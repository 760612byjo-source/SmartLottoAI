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945" windowWidth="11250" windowHeight="3900" tabRatio="799" activeTab="1"/>
  </bookViews>
  <sheets>
    <sheet name="당첨번호" sheetId="10" r:id="rId1"/>
    <sheet name="집계" sheetId="13" r:id="rId2"/>
  </sheets>
  <definedNames>
    <definedName name="_1열">집계!$N$5:$N$497</definedName>
    <definedName name="_2열">집계!$O$5:$O$497</definedName>
    <definedName name="_3열">집계!$P$5:$P$497</definedName>
    <definedName name="_4열">집계!$Q$5:$Q$497</definedName>
    <definedName name="_5열">집계!$R$5:$R$497</definedName>
    <definedName name="_6열">집계!$S$5:$S$497</definedName>
    <definedName name="_xlnm._FilterDatabase" localSheetId="1" hidden="1">집계!$A$4:$CD$563</definedName>
    <definedName name="dfsf">#REF!</definedName>
    <definedName name="wh">#REF!</definedName>
    <definedName name="당첨">집계!$CB$5:$CB$49</definedName>
    <definedName name="당첨번호">집계!$B$4:$S$1499</definedName>
    <definedName name="보너스">집계!$T$5:$T$497</definedName>
    <definedName name="삼그룹">집계!$BR$4:$BW$49</definedName>
    <definedName name="전체출현번호">집계!$N$5:$T$1000</definedName>
    <definedName name="최근10회">집계!$N$490:$T$2498</definedName>
    <definedName name="최근5회">집계!$N$495:$T$2498</definedName>
    <definedName name="포함수필터">#REF!</definedName>
    <definedName name="합계">집계!$U$5:$U$497</definedName>
    <definedName name="홀짝수">집계!$CC$5:$CC$49</definedName>
    <definedName name="회차">집계!$B$3:$B$1000</definedName>
  </definedNames>
  <calcPr calcId="145621"/>
</workbook>
</file>

<file path=xl/calcChain.xml><?xml version="1.0" encoding="utf-8"?>
<calcChain xmlns="http://schemas.openxmlformats.org/spreadsheetml/2006/main">
  <c r="BC725" i="13" l="1"/>
  <c r="BD725" i="13"/>
  <c r="BE725" i="13"/>
  <c r="BF725" i="13"/>
  <c r="BG725" i="13"/>
  <c r="BH725" i="13"/>
  <c r="BI725" i="13"/>
  <c r="BL725" i="13" s="1"/>
  <c r="BJ725" i="13"/>
  <c r="BK725" i="13"/>
  <c r="U725" i="13"/>
  <c r="AB725" i="13"/>
  <c r="AD725" i="13"/>
  <c r="AC725" i="13" s="1"/>
  <c r="AE725" i="13"/>
  <c r="AK725" i="13"/>
  <c r="AM725" i="13"/>
  <c r="AL725" i="13" s="1"/>
  <c r="AN725" i="13"/>
  <c r="AO725" i="13"/>
  <c r="AU725" i="13"/>
  <c r="BB725" i="13" s="1"/>
  <c r="BA725" i="13"/>
  <c r="AA725" i="13"/>
  <c r="AJ725" i="13"/>
  <c r="AT725" i="13"/>
  <c r="AZ725" i="13"/>
  <c r="Z725" i="13"/>
  <c r="AI725" i="13"/>
  <c r="AS725" i="13"/>
  <c r="AY725" i="13"/>
  <c r="Y725" i="13"/>
  <c r="AH725" i="13"/>
  <c r="AR725" i="13"/>
  <c r="AX725" i="13"/>
  <c r="X725" i="13"/>
  <c r="AG725" i="13"/>
  <c r="AQ725" i="13"/>
  <c r="AW725" i="13"/>
  <c r="W725" i="13"/>
  <c r="AF725" i="13"/>
  <c r="AP725" i="13"/>
  <c r="AV725" i="13"/>
  <c r="BC724" i="13" l="1"/>
  <c r="BD724" i="13"/>
  <c r="BE724" i="13"/>
  <c r="BF724" i="13"/>
  <c r="BG724" i="13"/>
  <c r="BH724" i="13"/>
  <c r="BI724" i="13"/>
  <c r="BJ724" i="13"/>
  <c r="BK724" i="13"/>
  <c r="U724" i="13"/>
  <c r="AB724" i="13"/>
  <c r="AD724" i="13"/>
  <c r="AC724" i="13" s="1"/>
  <c r="AE724" i="13"/>
  <c r="AK724" i="13"/>
  <c r="AM724" i="13"/>
  <c r="AL724" i="13" s="1"/>
  <c r="AN724" i="13"/>
  <c r="AO724" i="13"/>
  <c r="AU724" i="13"/>
  <c r="BB724" i="13" s="1"/>
  <c r="BA724" i="13"/>
  <c r="AA724" i="13"/>
  <c r="AJ724" i="13"/>
  <c r="AT724" i="13"/>
  <c r="AZ724" i="13"/>
  <c r="Z724" i="13"/>
  <c r="AI724" i="13"/>
  <c r="AS724" i="13"/>
  <c r="AY724" i="13"/>
  <c r="Y724" i="13"/>
  <c r="AH724" i="13"/>
  <c r="AR724" i="13"/>
  <c r="AX724" i="13"/>
  <c r="X724" i="13"/>
  <c r="AG724" i="13"/>
  <c r="AQ724" i="13"/>
  <c r="AW724" i="13"/>
  <c r="W724" i="13"/>
  <c r="AF724" i="13"/>
  <c r="AP724" i="13"/>
  <c r="AV724" i="13"/>
  <c r="BL724" i="13" l="1"/>
  <c r="BC723" i="13"/>
  <c r="BD723" i="13"/>
  <c r="BE723" i="13"/>
  <c r="BJ723" i="13" s="1"/>
  <c r="BF723" i="13"/>
  <c r="BG723" i="13"/>
  <c r="BH723" i="13"/>
  <c r="U723" i="13"/>
  <c r="AB723" i="13"/>
  <c r="AD723" i="13"/>
  <c r="AC723" i="13" s="1"/>
  <c r="AE723" i="13"/>
  <c r="AK723" i="13"/>
  <c r="AM723" i="13"/>
  <c r="AL723" i="13" s="1"/>
  <c r="AN723" i="13"/>
  <c r="AO723" i="13"/>
  <c r="AU723" i="13"/>
  <c r="BB723" i="13" s="1"/>
  <c r="BA723" i="13"/>
  <c r="AA723" i="13"/>
  <c r="AJ723" i="13"/>
  <c r="AT723" i="13"/>
  <c r="AZ723" i="13"/>
  <c r="Z723" i="13"/>
  <c r="AI723" i="13"/>
  <c r="AS723" i="13"/>
  <c r="AY723" i="13"/>
  <c r="Y723" i="13"/>
  <c r="AH723" i="13"/>
  <c r="AR723" i="13"/>
  <c r="AX723" i="13"/>
  <c r="X723" i="13"/>
  <c r="AG723" i="13"/>
  <c r="AQ723" i="13"/>
  <c r="AW723" i="13"/>
  <c r="W723" i="13"/>
  <c r="AF723" i="13"/>
  <c r="AP723" i="13"/>
  <c r="AV723" i="13"/>
  <c r="BK723" i="13" l="1"/>
  <c r="BI723" i="13"/>
  <c r="BC722" i="13"/>
  <c r="BD722" i="13"/>
  <c r="BE722" i="13"/>
  <c r="BK722" i="13" s="1"/>
  <c r="BF722" i="13"/>
  <c r="BG722" i="13"/>
  <c r="BH722" i="13"/>
  <c r="U722" i="13"/>
  <c r="AB722" i="13"/>
  <c r="AD722" i="13"/>
  <c r="AC722" i="13" s="1"/>
  <c r="AE722" i="13"/>
  <c r="AK722" i="13"/>
  <c r="AM722" i="13"/>
  <c r="AL722" i="13" s="1"/>
  <c r="AN722" i="13"/>
  <c r="AO722" i="13"/>
  <c r="AU722" i="13"/>
  <c r="BB722" i="13" s="1"/>
  <c r="BA722" i="13"/>
  <c r="AA722" i="13"/>
  <c r="AJ722" i="13"/>
  <c r="AT722" i="13"/>
  <c r="AZ722" i="13"/>
  <c r="Z722" i="13"/>
  <c r="AI722" i="13"/>
  <c r="AS722" i="13"/>
  <c r="AY722" i="13"/>
  <c r="Y722" i="13"/>
  <c r="AH722" i="13"/>
  <c r="AR722" i="13"/>
  <c r="AX722" i="13"/>
  <c r="X722" i="13"/>
  <c r="AG722" i="13"/>
  <c r="AQ722" i="13"/>
  <c r="AW722" i="13"/>
  <c r="W722" i="13"/>
  <c r="AF722" i="13"/>
  <c r="AP722" i="13"/>
  <c r="AV722" i="13"/>
  <c r="BJ722" i="13" l="1"/>
  <c r="BL723" i="13"/>
  <c r="BI722" i="13"/>
  <c r="BC721" i="13"/>
  <c r="BD721" i="13"/>
  <c r="BE721" i="13"/>
  <c r="BF721" i="13"/>
  <c r="BG721" i="13"/>
  <c r="BH721" i="13"/>
  <c r="U721" i="13"/>
  <c r="AB721" i="13"/>
  <c r="AD721" i="13"/>
  <c r="AC721" i="13" s="1"/>
  <c r="AE721" i="13"/>
  <c r="AK721" i="13"/>
  <c r="AM721" i="13"/>
  <c r="AL721" i="13" s="1"/>
  <c r="AN721" i="13"/>
  <c r="AO721" i="13"/>
  <c r="AU721" i="13"/>
  <c r="BB721" i="13" s="1"/>
  <c r="BA721" i="13"/>
  <c r="AA721" i="13"/>
  <c r="AJ721" i="13"/>
  <c r="AT721" i="13"/>
  <c r="AZ721" i="13"/>
  <c r="Z721" i="13"/>
  <c r="AI721" i="13"/>
  <c r="AS721" i="13"/>
  <c r="AY721" i="13"/>
  <c r="Y721" i="13"/>
  <c r="AH721" i="13"/>
  <c r="AR721" i="13"/>
  <c r="AX721" i="13"/>
  <c r="X721" i="13"/>
  <c r="AG721" i="13"/>
  <c r="AQ721" i="13"/>
  <c r="AW721" i="13"/>
  <c r="W721" i="13"/>
  <c r="AF721" i="13"/>
  <c r="AP721" i="13"/>
  <c r="AV721" i="13"/>
  <c r="BI721" i="13" l="1"/>
  <c r="BJ721" i="13"/>
  <c r="BL721" i="13" s="1"/>
  <c r="BK721" i="13"/>
  <c r="BL722" i="13"/>
  <c r="BC720" i="13"/>
  <c r="BD720" i="13"/>
  <c r="BE720" i="13"/>
  <c r="BF720" i="13"/>
  <c r="BG720" i="13"/>
  <c r="BH720" i="13"/>
  <c r="BI720" i="13"/>
  <c r="U720" i="13"/>
  <c r="AB720" i="13"/>
  <c r="AD720" i="13"/>
  <c r="AC720" i="13" s="1"/>
  <c r="AE720" i="13"/>
  <c r="AK720" i="13"/>
  <c r="AM720" i="13"/>
  <c r="AL720" i="13" s="1"/>
  <c r="AN720" i="13"/>
  <c r="AO720" i="13"/>
  <c r="AU720" i="13"/>
  <c r="BB720" i="13" s="1"/>
  <c r="BA720" i="13"/>
  <c r="AA720" i="13"/>
  <c r="AJ720" i="13"/>
  <c r="AT720" i="13"/>
  <c r="AZ720" i="13"/>
  <c r="Z720" i="13"/>
  <c r="AI720" i="13"/>
  <c r="AS720" i="13"/>
  <c r="AY720" i="13"/>
  <c r="Y720" i="13"/>
  <c r="AH720" i="13"/>
  <c r="AR720" i="13"/>
  <c r="AX720" i="13"/>
  <c r="X720" i="13"/>
  <c r="AG720" i="13"/>
  <c r="AQ720" i="13"/>
  <c r="AW720" i="13"/>
  <c r="W720" i="13"/>
  <c r="AF720" i="13"/>
  <c r="AP720" i="13"/>
  <c r="AV720" i="13"/>
  <c r="BJ720" i="13" l="1"/>
  <c r="BK720" i="13"/>
  <c r="BL720" i="13" s="1"/>
  <c r="BC719" i="13"/>
  <c r="BD719" i="13"/>
  <c r="BE719" i="13"/>
  <c r="BF719" i="13"/>
  <c r="BG719" i="13"/>
  <c r="BH719" i="13"/>
  <c r="BI719" i="13"/>
  <c r="U719" i="13"/>
  <c r="AB719" i="13"/>
  <c r="AD719" i="13" s="1"/>
  <c r="AK719" i="13"/>
  <c r="AN719" i="13" s="1"/>
  <c r="AM719" i="13"/>
  <c r="AL719" i="13" s="1"/>
  <c r="AO719" i="13"/>
  <c r="AU719" i="13"/>
  <c r="BB719" i="13" s="1"/>
  <c r="BA719" i="13"/>
  <c r="AA719" i="13"/>
  <c r="AJ719" i="13"/>
  <c r="AT719" i="13"/>
  <c r="AZ719" i="13"/>
  <c r="Z719" i="13"/>
  <c r="AI719" i="13"/>
  <c r="AS719" i="13"/>
  <c r="AY719" i="13"/>
  <c r="Y719" i="13"/>
  <c r="AH719" i="13"/>
  <c r="AR719" i="13"/>
  <c r="AX719" i="13"/>
  <c r="X719" i="13"/>
  <c r="AG719" i="13"/>
  <c r="AQ719" i="13"/>
  <c r="AW719" i="13"/>
  <c r="W719" i="13"/>
  <c r="AF719" i="13"/>
  <c r="AP719" i="13"/>
  <c r="AV719" i="13"/>
  <c r="BJ719" i="13" l="1"/>
  <c r="BK719" i="13"/>
  <c r="BL719" i="13" s="1"/>
  <c r="AE719" i="13"/>
  <c r="AC719" i="13" s="1"/>
  <c r="BC718" i="13"/>
  <c r="BD718" i="13"/>
  <c r="BE718" i="13"/>
  <c r="BK718" i="13" s="1"/>
  <c r="BF718" i="13"/>
  <c r="BG718" i="13"/>
  <c r="BH718" i="13"/>
  <c r="U718" i="13"/>
  <c r="AB718" i="13"/>
  <c r="AD718" i="13"/>
  <c r="AC718" i="13" s="1"/>
  <c r="AE718" i="13"/>
  <c r="AK718" i="13"/>
  <c r="AM718" i="13"/>
  <c r="AL718" i="13" s="1"/>
  <c r="AN718" i="13"/>
  <c r="AO718" i="13"/>
  <c r="AU718" i="13"/>
  <c r="BB718" i="13" s="1"/>
  <c r="BA718" i="13"/>
  <c r="AA718" i="13"/>
  <c r="AJ718" i="13"/>
  <c r="AT718" i="13"/>
  <c r="AZ718" i="13"/>
  <c r="Z718" i="13"/>
  <c r="AI718" i="13"/>
  <c r="AS718" i="13"/>
  <c r="AY718" i="13"/>
  <c r="Y718" i="13"/>
  <c r="AH718" i="13"/>
  <c r="AR718" i="13"/>
  <c r="AX718" i="13"/>
  <c r="X718" i="13"/>
  <c r="AG718" i="13"/>
  <c r="AQ718" i="13"/>
  <c r="AW718" i="13"/>
  <c r="W718" i="13"/>
  <c r="AF718" i="13"/>
  <c r="AP718" i="13"/>
  <c r="AV718" i="13"/>
  <c r="BJ718" i="13" l="1"/>
  <c r="BI718" i="13"/>
  <c r="BC717" i="13"/>
  <c r="BD717" i="13"/>
  <c r="BE717" i="13"/>
  <c r="BF717" i="13"/>
  <c r="BG717" i="13"/>
  <c r="BH717" i="13"/>
  <c r="U717" i="13"/>
  <c r="AB717" i="13"/>
  <c r="AD717" i="13"/>
  <c r="AC717" i="13" s="1"/>
  <c r="AE717" i="13"/>
  <c r="AK717" i="13"/>
  <c r="AM717" i="13"/>
  <c r="AN717" i="13"/>
  <c r="AL717" i="13"/>
  <c r="AO717" i="13"/>
  <c r="AU717" i="13"/>
  <c r="BA717" i="13"/>
  <c r="BB717" i="13"/>
  <c r="AA717" i="13"/>
  <c r="AJ717" i="13"/>
  <c r="AT717" i="13"/>
  <c r="AZ717" i="13"/>
  <c r="Z717" i="13"/>
  <c r="AI717" i="13"/>
  <c r="AS717" i="13"/>
  <c r="AY717" i="13"/>
  <c r="Y717" i="13"/>
  <c r="AH717" i="13"/>
  <c r="AR717" i="13"/>
  <c r="AX717" i="13"/>
  <c r="X717" i="13"/>
  <c r="AG717" i="13"/>
  <c r="AQ717" i="13"/>
  <c r="AW717" i="13"/>
  <c r="W717" i="13"/>
  <c r="AF717" i="13"/>
  <c r="AP717" i="13"/>
  <c r="AV717" i="13"/>
  <c r="BL718" i="13" l="1"/>
  <c r="BK717" i="13"/>
  <c r="BJ717" i="13"/>
  <c r="BI717" i="13"/>
  <c r="BC716" i="13"/>
  <c r="BD716" i="13"/>
  <c r="BE716" i="13"/>
  <c r="BF716" i="13"/>
  <c r="BK716" i="13" s="1"/>
  <c r="BG716" i="13"/>
  <c r="BH716" i="13"/>
  <c r="U716" i="13"/>
  <c r="AB716" i="13"/>
  <c r="AD716" i="13"/>
  <c r="AC716" i="13" s="1"/>
  <c r="AE716" i="13"/>
  <c r="AK716" i="13"/>
  <c r="AM716" i="13"/>
  <c r="AL716" i="13" s="1"/>
  <c r="AN716" i="13"/>
  <c r="AO716" i="13"/>
  <c r="AU716" i="13"/>
  <c r="BB716" i="13" s="1"/>
  <c r="BA716" i="13"/>
  <c r="AA716" i="13"/>
  <c r="AJ716" i="13"/>
  <c r="AT716" i="13"/>
  <c r="AZ716" i="13"/>
  <c r="Z716" i="13"/>
  <c r="AI716" i="13"/>
  <c r="AS716" i="13"/>
  <c r="AY716" i="13"/>
  <c r="Y716" i="13"/>
  <c r="AH716" i="13"/>
  <c r="AR716" i="13"/>
  <c r="AX716" i="13"/>
  <c r="X716" i="13"/>
  <c r="AG716" i="13"/>
  <c r="AQ716" i="13"/>
  <c r="AW716" i="13"/>
  <c r="W716" i="13"/>
  <c r="AF716" i="13"/>
  <c r="AP716" i="13"/>
  <c r="AV716" i="13"/>
  <c r="BL717" i="13" l="1"/>
  <c r="BI716" i="13"/>
  <c r="BJ716" i="13"/>
  <c r="BC715" i="13"/>
  <c r="BD715" i="13"/>
  <c r="BE715" i="13"/>
  <c r="BF715" i="13"/>
  <c r="BG715" i="13"/>
  <c r="BH715" i="13"/>
  <c r="U715" i="13"/>
  <c r="AB715" i="13"/>
  <c r="AD715" i="13"/>
  <c r="AC715" i="13" s="1"/>
  <c r="AE715" i="13"/>
  <c r="AK715" i="13"/>
  <c r="AM715" i="13"/>
  <c r="AL715" i="13" s="1"/>
  <c r="AN715" i="13"/>
  <c r="AO715" i="13"/>
  <c r="AU715" i="13"/>
  <c r="BB715" i="13" s="1"/>
  <c r="BA715" i="13"/>
  <c r="AA715" i="13"/>
  <c r="AJ715" i="13"/>
  <c r="AT715" i="13"/>
  <c r="AZ715" i="13"/>
  <c r="Z715" i="13"/>
  <c r="AI715" i="13"/>
  <c r="AS715" i="13"/>
  <c r="AY715" i="13"/>
  <c r="Y715" i="13"/>
  <c r="AH715" i="13"/>
  <c r="AR715" i="13"/>
  <c r="AX715" i="13"/>
  <c r="X715" i="13"/>
  <c r="AG715" i="13"/>
  <c r="AQ715" i="13"/>
  <c r="AW715" i="13"/>
  <c r="W715" i="13"/>
  <c r="AF715" i="13"/>
  <c r="AP715" i="13"/>
  <c r="AV715" i="13"/>
  <c r="BC714" i="13"/>
  <c r="BD714" i="13"/>
  <c r="BE714" i="13"/>
  <c r="BF714" i="13"/>
  <c r="BG714" i="13"/>
  <c r="BH714" i="13"/>
  <c r="U714" i="13"/>
  <c r="AB714" i="13"/>
  <c r="AK714" i="13"/>
  <c r="AO714" i="13"/>
  <c r="AU714" i="13"/>
  <c r="BA714" i="13"/>
  <c r="AA714" i="13"/>
  <c r="AJ714" i="13"/>
  <c r="AT714" i="13"/>
  <c r="AZ714" i="13"/>
  <c r="Z714" i="13"/>
  <c r="AI714" i="13"/>
  <c r="AS714" i="13"/>
  <c r="AY714" i="13"/>
  <c r="Y714" i="13"/>
  <c r="AH714" i="13"/>
  <c r="AR714" i="13"/>
  <c r="AX714" i="13"/>
  <c r="X714" i="13"/>
  <c r="AG714" i="13"/>
  <c r="AQ714" i="13"/>
  <c r="AW714" i="13"/>
  <c r="W714" i="13"/>
  <c r="AE714" i="13" s="1"/>
  <c r="AF714" i="13"/>
  <c r="AM714" i="13" s="1"/>
  <c r="AP714" i="13"/>
  <c r="AV714" i="13"/>
  <c r="BI715" i="13" l="1"/>
  <c r="BL716" i="13"/>
  <c r="BK714" i="13"/>
  <c r="BK715" i="13"/>
  <c r="BJ715" i="13"/>
  <c r="BJ714" i="13"/>
  <c r="BI714" i="13"/>
  <c r="AN714" i="13"/>
  <c r="AL714" i="13" s="1"/>
  <c r="AD714" i="13"/>
  <c r="AC714" i="13" s="1"/>
  <c r="BB714" i="13"/>
  <c r="BC713" i="13"/>
  <c r="BD713" i="13"/>
  <c r="BE713" i="13"/>
  <c r="BF713" i="13"/>
  <c r="BG713" i="13"/>
  <c r="BH713" i="13"/>
  <c r="U713" i="13"/>
  <c r="AB713" i="13"/>
  <c r="AK713" i="13"/>
  <c r="AM713" i="13"/>
  <c r="AO713" i="13"/>
  <c r="AU713" i="13"/>
  <c r="BA713" i="13"/>
  <c r="AA713" i="13"/>
  <c r="AJ713" i="13"/>
  <c r="AT713" i="13"/>
  <c r="AZ713" i="13"/>
  <c r="Z713" i="13"/>
  <c r="AI713" i="13"/>
  <c r="AS713" i="13"/>
  <c r="AY713" i="13"/>
  <c r="Y713" i="13"/>
  <c r="AH713" i="13"/>
  <c r="AR713" i="13"/>
  <c r="AX713" i="13"/>
  <c r="X713" i="13"/>
  <c r="AG713" i="13"/>
  <c r="AQ713" i="13"/>
  <c r="AW713" i="13"/>
  <c r="W713" i="13"/>
  <c r="AD713" i="13" s="1"/>
  <c r="AF713" i="13"/>
  <c r="AN713" i="13" s="1"/>
  <c r="AP713" i="13"/>
  <c r="AV713" i="13"/>
  <c r="BL715" i="13" l="1"/>
  <c r="BL714" i="13"/>
  <c r="BK713" i="13"/>
  <c r="AL713" i="13"/>
  <c r="BB713" i="13"/>
  <c r="AE713" i="13"/>
  <c r="AC713" i="13" s="1"/>
  <c r="BJ713" i="13"/>
  <c r="BI713" i="13"/>
  <c r="BC712" i="13"/>
  <c r="BD712" i="13"/>
  <c r="BE712" i="13"/>
  <c r="BF712" i="13"/>
  <c r="BG712" i="13"/>
  <c r="BH712" i="13"/>
  <c r="U712" i="13"/>
  <c r="AB712" i="13"/>
  <c r="AK712" i="13"/>
  <c r="AM712" i="13"/>
  <c r="AN712" i="13"/>
  <c r="AO712" i="13"/>
  <c r="AU712" i="13"/>
  <c r="BA712" i="13"/>
  <c r="AA712" i="13"/>
  <c r="AJ712" i="13"/>
  <c r="AT712" i="13"/>
  <c r="AZ712" i="13"/>
  <c r="Z712" i="13"/>
  <c r="AI712" i="13"/>
  <c r="AS712" i="13"/>
  <c r="AY712" i="13"/>
  <c r="Y712" i="13"/>
  <c r="AH712" i="13"/>
  <c r="AR712" i="13"/>
  <c r="AX712" i="13"/>
  <c r="X712" i="13"/>
  <c r="AG712" i="13"/>
  <c r="AQ712" i="13"/>
  <c r="AW712" i="13"/>
  <c r="W712" i="13"/>
  <c r="AE712" i="13" s="1"/>
  <c r="AF712" i="13"/>
  <c r="AP712" i="13"/>
  <c r="AV712" i="13"/>
  <c r="AL712" i="13" l="1"/>
  <c r="AD712" i="13"/>
  <c r="AC712" i="13" s="1"/>
  <c r="BB712" i="13"/>
  <c r="BK712" i="13"/>
  <c r="BL713" i="13"/>
  <c r="BI712" i="13"/>
  <c r="BJ712" i="13"/>
  <c r="BC711" i="13"/>
  <c r="BD711" i="13"/>
  <c r="BE711" i="13"/>
  <c r="BF711" i="13"/>
  <c r="BG711" i="13"/>
  <c r="BH711" i="13"/>
  <c r="U711" i="13"/>
  <c r="AB711" i="13"/>
  <c r="AK711" i="13"/>
  <c r="AM711" i="13"/>
  <c r="AO711" i="13"/>
  <c r="AU711" i="13"/>
  <c r="BA711" i="13"/>
  <c r="AA711" i="13"/>
  <c r="AJ711" i="13"/>
  <c r="AT711" i="13"/>
  <c r="AZ711" i="13"/>
  <c r="Z711" i="13"/>
  <c r="AI711" i="13"/>
  <c r="AS711" i="13"/>
  <c r="AY711" i="13"/>
  <c r="Y711" i="13"/>
  <c r="AH711" i="13"/>
  <c r="AR711" i="13"/>
  <c r="AX711" i="13"/>
  <c r="X711" i="13"/>
  <c r="AG711" i="13"/>
  <c r="AQ711" i="13"/>
  <c r="AW711" i="13"/>
  <c r="W711" i="13"/>
  <c r="AD711" i="13" s="1"/>
  <c r="AF711" i="13"/>
  <c r="AN711" i="13" s="1"/>
  <c r="AP711" i="13"/>
  <c r="AV711" i="13"/>
  <c r="BK711" i="13" l="1"/>
  <c r="AL711" i="13"/>
  <c r="BB711" i="13"/>
  <c r="BJ711" i="13"/>
  <c r="BL712" i="13"/>
  <c r="AE711" i="13"/>
  <c r="AC711" i="13" s="1"/>
  <c r="BI711" i="13"/>
  <c r="BC710" i="13"/>
  <c r="BD710" i="13"/>
  <c r="BE710" i="13"/>
  <c r="BF710" i="13"/>
  <c r="BG710" i="13"/>
  <c r="BH710" i="13"/>
  <c r="U710" i="13"/>
  <c r="AB710" i="13"/>
  <c r="AK710" i="13"/>
  <c r="AM710" i="13"/>
  <c r="AN710" i="13"/>
  <c r="AO710" i="13"/>
  <c r="AU710" i="13"/>
  <c r="BA710" i="13"/>
  <c r="AA710" i="13"/>
  <c r="AJ710" i="13"/>
  <c r="AT710" i="13"/>
  <c r="AZ710" i="13"/>
  <c r="Z710" i="13"/>
  <c r="AI710" i="13"/>
  <c r="AS710" i="13"/>
  <c r="AY710" i="13"/>
  <c r="Y710" i="13"/>
  <c r="AH710" i="13"/>
  <c r="AR710" i="13"/>
  <c r="AX710" i="13"/>
  <c r="X710" i="13"/>
  <c r="AG710" i="13"/>
  <c r="AQ710" i="13"/>
  <c r="AW710" i="13"/>
  <c r="W710" i="13"/>
  <c r="AE710" i="13" s="1"/>
  <c r="AF710" i="13"/>
  <c r="AP710" i="13"/>
  <c r="AV710" i="13"/>
  <c r="AD710" i="13" l="1"/>
  <c r="AC710" i="13" s="1"/>
  <c r="BI710" i="13"/>
  <c r="BL711" i="13"/>
  <c r="AL710" i="13"/>
  <c r="BB710" i="13"/>
  <c r="BJ710" i="13"/>
  <c r="BK710" i="13"/>
  <c r="BC709" i="13"/>
  <c r="BD709" i="13"/>
  <c r="BE709" i="13"/>
  <c r="BF709" i="13"/>
  <c r="BG709" i="13"/>
  <c r="BH709" i="13"/>
  <c r="U709" i="13"/>
  <c r="AB709" i="13"/>
  <c r="AK709" i="13"/>
  <c r="AN709" i="13"/>
  <c r="AO709" i="13"/>
  <c r="AU709" i="13"/>
  <c r="BA709" i="13"/>
  <c r="AA709" i="13"/>
  <c r="AJ709" i="13"/>
  <c r="AT709" i="13"/>
  <c r="AZ709" i="13"/>
  <c r="Z709" i="13"/>
  <c r="AI709" i="13"/>
  <c r="AS709" i="13"/>
  <c r="AY709" i="13"/>
  <c r="Y709" i="13"/>
  <c r="AH709" i="13"/>
  <c r="AR709" i="13"/>
  <c r="AX709" i="13"/>
  <c r="X709" i="13"/>
  <c r="AG709" i="13"/>
  <c r="AQ709" i="13"/>
  <c r="AW709" i="13"/>
  <c r="W709" i="13"/>
  <c r="AE709" i="13" s="1"/>
  <c r="AF709" i="13"/>
  <c r="AM709" i="13" s="1"/>
  <c r="AL709" i="13" s="1"/>
  <c r="AP709" i="13"/>
  <c r="AV709" i="13"/>
  <c r="AD709" i="13" l="1"/>
  <c r="AC709" i="13" s="1"/>
  <c r="BB709" i="13"/>
  <c r="BJ709" i="13"/>
  <c r="BL710" i="13"/>
  <c r="BK709" i="13"/>
  <c r="BI709" i="13"/>
  <c r="BC708" i="13"/>
  <c r="BD708" i="13"/>
  <c r="BE708" i="13"/>
  <c r="BF708" i="13"/>
  <c r="BG708" i="13"/>
  <c r="BH708" i="13"/>
  <c r="U708" i="13"/>
  <c r="AB708" i="13"/>
  <c r="AK708" i="13"/>
  <c r="AN708" i="13" s="1"/>
  <c r="AO708" i="13"/>
  <c r="AU708" i="13"/>
  <c r="BA708" i="13"/>
  <c r="AA708" i="13"/>
  <c r="AJ708" i="13"/>
  <c r="AT708" i="13"/>
  <c r="AZ708" i="13"/>
  <c r="Z708" i="13"/>
  <c r="AI708" i="13"/>
  <c r="AS708" i="13"/>
  <c r="AY708" i="13"/>
  <c r="Y708" i="13"/>
  <c r="AH708" i="13"/>
  <c r="AR708" i="13"/>
  <c r="AX708" i="13"/>
  <c r="X708" i="13"/>
  <c r="AG708" i="13"/>
  <c r="AQ708" i="13"/>
  <c r="AW708" i="13"/>
  <c r="W708" i="13"/>
  <c r="AE708" i="13" s="1"/>
  <c r="AF708" i="13"/>
  <c r="AM708" i="13" s="1"/>
  <c r="AP708" i="13"/>
  <c r="AV708" i="13"/>
  <c r="AL708" i="13" l="1"/>
  <c r="BB708" i="13"/>
  <c r="AD708" i="13"/>
  <c r="AC708" i="13" s="1"/>
  <c r="BJ708" i="13"/>
  <c r="BL709" i="13"/>
  <c r="BK708" i="13"/>
  <c r="BI708" i="13"/>
  <c r="BC707" i="13"/>
  <c r="BD707" i="13"/>
  <c r="BE707" i="13"/>
  <c r="BF707" i="13"/>
  <c r="BG707" i="13"/>
  <c r="BH707" i="13"/>
  <c r="U707" i="13"/>
  <c r="AB707" i="13"/>
  <c r="AK707" i="13"/>
  <c r="AM707" i="13"/>
  <c r="AL707" i="13" s="1"/>
  <c r="AN707" i="13"/>
  <c r="AO707" i="13"/>
  <c r="AU707" i="13"/>
  <c r="BA707" i="13"/>
  <c r="AA707" i="13"/>
  <c r="AJ707" i="13"/>
  <c r="AT707" i="13"/>
  <c r="AZ707" i="13"/>
  <c r="Z707" i="13"/>
  <c r="AI707" i="13"/>
  <c r="AS707" i="13"/>
  <c r="AY707" i="13"/>
  <c r="Y707" i="13"/>
  <c r="AH707" i="13"/>
  <c r="AR707" i="13"/>
  <c r="AX707" i="13"/>
  <c r="X707" i="13"/>
  <c r="AG707" i="13"/>
  <c r="AQ707" i="13"/>
  <c r="AW707" i="13"/>
  <c r="W707" i="13"/>
  <c r="AE707" i="13" s="1"/>
  <c r="AF707" i="13"/>
  <c r="AP707" i="13"/>
  <c r="AV707" i="13"/>
  <c r="BI707" i="13" l="1"/>
  <c r="AD707" i="13"/>
  <c r="AC707" i="13" s="1"/>
  <c r="BB707" i="13"/>
  <c r="BJ707" i="13"/>
  <c r="BK707" i="13"/>
  <c r="BL708" i="13"/>
  <c r="BC706" i="13"/>
  <c r="BD706" i="13"/>
  <c r="BE706" i="13"/>
  <c r="BF706" i="13"/>
  <c r="BG706" i="13"/>
  <c r="BH706" i="13"/>
  <c r="U706" i="13"/>
  <c r="AB706" i="13"/>
  <c r="AK706" i="13"/>
  <c r="AO706" i="13"/>
  <c r="AU706" i="13"/>
  <c r="BA706" i="13"/>
  <c r="AA706" i="13"/>
  <c r="AJ706" i="13"/>
  <c r="AT706" i="13"/>
  <c r="AZ706" i="13"/>
  <c r="Z706" i="13"/>
  <c r="AI706" i="13"/>
  <c r="AS706" i="13"/>
  <c r="AY706" i="13"/>
  <c r="Y706" i="13"/>
  <c r="AH706" i="13"/>
  <c r="AR706" i="13"/>
  <c r="AX706" i="13"/>
  <c r="X706" i="13"/>
  <c r="AG706" i="13"/>
  <c r="AQ706" i="13"/>
  <c r="AW706" i="13"/>
  <c r="W706" i="13"/>
  <c r="AD706" i="13" s="1"/>
  <c r="AF706" i="13"/>
  <c r="AM706" i="13" s="1"/>
  <c r="AP706" i="13"/>
  <c r="AV706" i="13"/>
  <c r="AE706" i="13" l="1"/>
  <c r="AC706" i="13" s="1"/>
  <c r="BB706" i="13"/>
  <c r="AN706" i="13"/>
  <c r="AL706" i="13" s="1"/>
  <c r="BK706" i="13"/>
  <c r="BL707" i="13"/>
  <c r="BI706" i="13"/>
  <c r="BJ706" i="13"/>
  <c r="BC705" i="13"/>
  <c r="BJ705" i="13" s="1"/>
  <c r="BD705" i="13"/>
  <c r="BE705" i="13"/>
  <c r="BF705" i="13"/>
  <c r="BG705" i="13"/>
  <c r="BH705" i="13"/>
  <c r="U705" i="13"/>
  <c r="AB705" i="13"/>
  <c r="AK705" i="13"/>
  <c r="AM705" i="13"/>
  <c r="AN705" i="13"/>
  <c r="AO705" i="13"/>
  <c r="AU705" i="13"/>
  <c r="BA705" i="13"/>
  <c r="AA705" i="13"/>
  <c r="AJ705" i="13"/>
  <c r="AT705" i="13"/>
  <c r="AZ705" i="13"/>
  <c r="Z705" i="13"/>
  <c r="AI705" i="13"/>
  <c r="AS705" i="13"/>
  <c r="AY705" i="13"/>
  <c r="Y705" i="13"/>
  <c r="AH705" i="13"/>
  <c r="AR705" i="13"/>
  <c r="AX705" i="13"/>
  <c r="X705" i="13"/>
  <c r="AG705" i="13"/>
  <c r="AQ705" i="13"/>
  <c r="AW705" i="13"/>
  <c r="W705" i="13"/>
  <c r="AE705" i="13" s="1"/>
  <c r="AF705" i="13"/>
  <c r="AP705" i="13"/>
  <c r="AV705" i="13"/>
  <c r="BK705" i="13" l="1"/>
  <c r="AL705" i="13"/>
  <c r="BB705" i="13"/>
  <c r="AD705" i="13"/>
  <c r="AC705" i="13" s="1"/>
  <c r="BI705" i="13"/>
  <c r="BL706" i="13"/>
  <c r="BC704" i="13"/>
  <c r="BD704" i="13"/>
  <c r="BE704" i="13"/>
  <c r="BF704" i="13"/>
  <c r="BG704" i="13"/>
  <c r="BH704" i="13"/>
  <c r="U704" i="13"/>
  <c r="AB704" i="13"/>
  <c r="AK704" i="13"/>
  <c r="AO704" i="13"/>
  <c r="AU704" i="13"/>
  <c r="BA704" i="13"/>
  <c r="AA704" i="13"/>
  <c r="AJ704" i="13"/>
  <c r="AT704" i="13"/>
  <c r="AZ704" i="13"/>
  <c r="Z704" i="13"/>
  <c r="AI704" i="13"/>
  <c r="AS704" i="13"/>
  <c r="AY704" i="13"/>
  <c r="Y704" i="13"/>
  <c r="AH704" i="13"/>
  <c r="AR704" i="13"/>
  <c r="AX704" i="13"/>
  <c r="X704" i="13"/>
  <c r="AG704" i="13"/>
  <c r="AQ704" i="13"/>
  <c r="AW704" i="13"/>
  <c r="W704" i="13"/>
  <c r="AF704" i="13"/>
  <c r="AN704" i="13" s="1"/>
  <c r="AP704" i="13"/>
  <c r="BB704" i="13" s="1"/>
  <c r="AV704" i="13"/>
  <c r="BL705" i="13" l="1"/>
  <c r="BJ704" i="13"/>
  <c r="AE704" i="13"/>
  <c r="BI704" i="13"/>
  <c r="BK704" i="13"/>
  <c r="AM704" i="13"/>
  <c r="AL704" i="13" s="1"/>
  <c r="AD704" i="13"/>
  <c r="AC704" i="13" s="1"/>
  <c r="BC703" i="13"/>
  <c r="BD703" i="13"/>
  <c r="BE703" i="13"/>
  <c r="BF703" i="13"/>
  <c r="BG703" i="13"/>
  <c r="BH703" i="13"/>
  <c r="U703" i="13"/>
  <c r="AB703" i="13"/>
  <c r="AK703" i="13"/>
  <c r="AO703" i="13"/>
  <c r="AU703" i="13"/>
  <c r="BA703" i="13"/>
  <c r="AA703" i="13"/>
  <c r="AJ703" i="13"/>
  <c r="AT703" i="13"/>
  <c r="AZ703" i="13"/>
  <c r="Z703" i="13"/>
  <c r="AI703" i="13"/>
  <c r="AS703" i="13"/>
  <c r="AY703" i="13"/>
  <c r="Y703" i="13"/>
  <c r="AH703" i="13"/>
  <c r="AR703" i="13"/>
  <c r="AX703" i="13"/>
  <c r="X703" i="13"/>
  <c r="AG703" i="13"/>
  <c r="AQ703" i="13"/>
  <c r="AW703" i="13"/>
  <c r="W703" i="13"/>
  <c r="AE703" i="13" s="1"/>
  <c r="AF703" i="13"/>
  <c r="AM703" i="13" s="1"/>
  <c r="AP703" i="13"/>
  <c r="AV703" i="13"/>
  <c r="AD703" i="13" l="1"/>
  <c r="AN703" i="13"/>
  <c r="BB703" i="13"/>
  <c r="BL704" i="13"/>
  <c r="AC703" i="13"/>
  <c r="AL703" i="13"/>
  <c r="BJ703" i="13"/>
  <c r="BI703" i="13"/>
  <c r="BK703" i="13"/>
  <c r="BC702" i="13"/>
  <c r="BD702" i="13"/>
  <c r="BE702" i="13"/>
  <c r="BF702" i="13"/>
  <c r="BG702" i="13"/>
  <c r="BH702" i="13"/>
  <c r="U702" i="13"/>
  <c r="AB702" i="13"/>
  <c r="AK702" i="13"/>
  <c r="AO702" i="13"/>
  <c r="AU702" i="13"/>
  <c r="BA702" i="13"/>
  <c r="AA702" i="13"/>
  <c r="AJ702" i="13"/>
  <c r="AT702" i="13"/>
  <c r="AZ702" i="13"/>
  <c r="Z702" i="13"/>
  <c r="AI702" i="13"/>
  <c r="AS702" i="13"/>
  <c r="AY702" i="13"/>
  <c r="Y702" i="13"/>
  <c r="AH702" i="13"/>
  <c r="AR702" i="13"/>
  <c r="AX702" i="13"/>
  <c r="X702" i="13"/>
  <c r="AG702" i="13"/>
  <c r="AQ702" i="13"/>
  <c r="AW702" i="13"/>
  <c r="W702" i="13"/>
  <c r="AD702" i="13" s="1"/>
  <c r="AF702" i="13"/>
  <c r="AM702" i="13" s="1"/>
  <c r="AP702" i="13"/>
  <c r="AV702" i="13"/>
  <c r="BB702" i="13" l="1"/>
  <c r="AE702" i="13"/>
  <c r="AC702" i="13" s="1"/>
  <c r="AN702" i="13"/>
  <c r="AL702" i="13" s="1"/>
  <c r="BJ702" i="13"/>
  <c r="BL703" i="13"/>
  <c r="BI702" i="13"/>
  <c r="BK702" i="13"/>
  <c r="BC701" i="13"/>
  <c r="BD701" i="13"/>
  <c r="BE701" i="13"/>
  <c r="BF701" i="13"/>
  <c r="BG701" i="13"/>
  <c r="BH701" i="13"/>
  <c r="U701" i="13"/>
  <c r="AB701" i="13"/>
  <c r="AK701" i="13"/>
  <c r="AO701" i="13"/>
  <c r="AU701" i="13"/>
  <c r="BA701" i="13"/>
  <c r="AA701" i="13"/>
  <c r="AJ701" i="13"/>
  <c r="AT701" i="13"/>
  <c r="AZ701" i="13"/>
  <c r="Z701" i="13"/>
  <c r="AI701" i="13"/>
  <c r="AS701" i="13"/>
  <c r="AY701" i="13"/>
  <c r="Y701" i="13"/>
  <c r="AH701" i="13"/>
  <c r="AR701" i="13"/>
  <c r="AX701" i="13"/>
  <c r="X701" i="13"/>
  <c r="AG701" i="13"/>
  <c r="AQ701" i="13"/>
  <c r="AW701" i="13"/>
  <c r="W701" i="13"/>
  <c r="AD701" i="13" s="1"/>
  <c r="AF701" i="13"/>
  <c r="AP701" i="13"/>
  <c r="AV701" i="13"/>
  <c r="AN701" i="13" l="1"/>
  <c r="AM701" i="13"/>
  <c r="AL701" i="13" s="1"/>
  <c r="BB701" i="13"/>
  <c r="AE701" i="13"/>
  <c r="AC701" i="13" s="1"/>
  <c r="BJ701" i="13"/>
  <c r="BL702" i="13"/>
  <c r="BI701" i="13"/>
  <c r="BK701" i="13"/>
  <c r="BC700" i="13"/>
  <c r="BD700" i="13"/>
  <c r="BE700" i="13"/>
  <c r="BF700" i="13"/>
  <c r="BG700" i="13"/>
  <c r="BH700" i="13"/>
  <c r="U700" i="13"/>
  <c r="AB700" i="13"/>
  <c r="AK700" i="13"/>
  <c r="AO700" i="13"/>
  <c r="AU700" i="13"/>
  <c r="BA700" i="13"/>
  <c r="AA700" i="13"/>
  <c r="AJ700" i="13"/>
  <c r="AT700" i="13"/>
  <c r="AZ700" i="13"/>
  <c r="Z700" i="13"/>
  <c r="AI700" i="13"/>
  <c r="AS700" i="13"/>
  <c r="AY700" i="13"/>
  <c r="Y700" i="13"/>
  <c r="AH700" i="13"/>
  <c r="AR700" i="13"/>
  <c r="AX700" i="13"/>
  <c r="X700" i="13"/>
  <c r="AG700" i="13"/>
  <c r="AQ700" i="13"/>
  <c r="AW700" i="13"/>
  <c r="W700" i="13"/>
  <c r="AD700" i="13" s="1"/>
  <c r="AF700" i="13"/>
  <c r="AN700" i="13" s="1"/>
  <c r="AP700" i="13"/>
  <c r="AV700" i="13"/>
  <c r="AM700" i="13" l="1"/>
  <c r="AL700" i="13" s="1"/>
  <c r="BB700" i="13"/>
  <c r="AE700" i="13"/>
  <c r="AC700" i="13" s="1"/>
  <c r="BJ700" i="13"/>
  <c r="BL701" i="13"/>
  <c r="BI700" i="13"/>
  <c r="BK700" i="13"/>
  <c r="BC698" i="13"/>
  <c r="BD698" i="13"/>
  <c r="BE698" i="13"/>
  <c r="BF698" i="13"/>
  <c r="BG698" i="13"/>
  <c r="BH698" i="13"/>
  <c r="BC699" i="13"/>
  <c r="BD699" i="13"/>
  <c r="BE699" i="13"/>
  <c r="BF699" i="13"/>
  <c r="BG699" i="13"/>
  <c r="BH699" i="13"/>
  <c r="U699" i="13"/>
  <c r="AB699" i="13"/>
  <c r="AK699" i="13"/>
  <c r="AO699" i="13"/>
  <c r="AU699" i="13"/>
  <c r="BA699" i="13"/>
  <c r="AA699" i="13"/>
  <c r="AJ699" i="13"/>
  <c r="AT699" i="13"/>
  <c r="AZ699" i="13"/>
  <c r="Z699" i="13"/>
  <c r="AI699" i="13"/>
  <c r="AS699" i="13"/>
  <c r="AY699" i="13"/>
  <c r="Y699" i="13"/>
  <c r="AH699" i="13"/>
  <c r="AR699" i="13"/>
  <c r="AX699" i="13"/>
  <c r="X699" i="13"/>
  <c r="AG699" i="13"/>
  <c r="AQ699" i="13"/>
  <c r="AW699" i="13"/>
  <c r="W699" i="13"/>
  <c r="AD699" i="13" s="1"/>
  <c r="AF699" i="13"/>
  <c r="AM699" i="13" s="1"/>
  <c r="AP699" i="13"/>
  <c r="AV699" i="13"/>
  <c r="AE699" i="13" l="1"/>
  <c r="AC699" i="13" s="1"/>
  <c r="AN699" i="13"/>
  <c r="AL699" i="13" s="1"/>
  <c r="BB699" i="13"/>
  <c r="BL700" i="13"/>
  <c r="BJ699" i="13"/>
  <c r="BJ698" i="13"/>
  <c r="BI698" i="13"/>
  <c r="BK698" i="13"/>
  <c r="BK699" i="13"/>
  <c r="BI699" i="13"/>
  <c r="U698" i="13"/>
  <c r="AB698" i="13"/>
  <c r="AK698" i="13"/>
  <c r="AO698" i="13"/>
  <c r="AU698" i="13"/>
  <c r="BA698" i="13"/>
  <c r="AA698" i="13"/>
  <c r="AJ698" i="13"/>
  <c r="AT698" i="13"/>
  <c r="AZ698" i="13"/>
  <c r="Z698" i="13"/>
  <c r="AI698" i="13"/>
  <c r="AS698" i="13"/>
  <c r="AY698" i="13"/>
  <c r="Y698" i="13"/>
  <c r="AH698" i="13"/>
  <c r="AR698" i="13"/>
  <c r="AX698" i="13"/>
  <c r="X698" i="13"/>
  <c r="AG698" i="13"/>
  <c r="AQ698" i="13"/>
  <c r="AW698" i="13"/>
  <c r="W698" i="13"/>
  <c r="AD698" i="13" s="1"/>
  <c r="AF698" i="13"/>
  <c r="AM698" i="13" s="1"/>
  <c r="AP698" i="13"/>
  <c r="AV698" i="13"/>
  <c r="AE698" i="13" l="1"/>
  <c r="AC698" i="13" s="1"/>
  <c r="AN698" i="13"/>
  <c r="AL698" i="13" s="1"/>
  <c r="BB698" i="13"/>
  <c r="BL698" i="13"/>
  <c r="BL699" i="13"/>
  <c r="BC697" i="13"/>
  <c r="BD697" i="13"/>
  <c r="BE697" i="13"/>
  <c r="BF697" i="13"/>
  <c r="BG697" i="13"/>
  <c r="BH697" i="13"/>
  <c r="U697" i="13"/>
  <c r="AB697" i="13"/>
  <c r="AK697" i="13"/>
  <c r="AO697" i="13"/>
  <c r="AU697" i="13"/>
  <c r="BA697" i="13"/>
  <c r="AA697" i="13"/>
  <c r="AJ697" i="13"/>
  <c r="AT697" i="13"/>
  <c r="AZ697" i="13"/>
  <c r="Z697" i="13"/>
  <c r="AI697" i="13"/>
  <c r="AS697" i="13"/>
  <c r="AY697" i="13"/>
  <c r="Y697" i="13"/>
  <c r="AH697" i="13"/>
  <c r="AR697" i="13"/>
  <c r="AX697" i="13"/>
  <c r="X697" i="13"/>
  <c r="AG697" i="13"/>
  <c r="AQ697" i="13"/>
  <c r="AW697" i="13"/>
  <c r="W697" i="13"/>
  <c r="AE697" i="13" s="1"/>
  <c r="AF697" i="13"/>
  <c r="AM697" i="13" s="1"/>
  <c r="AP697" i="13"/>
  <c r="AV697" i="13"/>
  <c r="AN697" i="13" l="1"/>
  <c r="AL697" i="13" s="1"/>
  <c r="AD697" i="13"/>
  <c r="AC697" i="13" s="1"/>
  <c r="BB697" i="13"/>
  <c r="BK697" i="13"/>
  <c r="BJ697" i="13"/>
  <c r="BI697" i="13"/>
  <c r="BC696" i="13"/>
  <c r="BD696" i="13"/>
  <c r="BE696" i="13"/>
  <c r="BF696" i="13"/>
  <c r="BG696" i="13"/>
  <c r="BH696" i="13"/>
  <c r="U696" i="13"/>
  <c r="AB696" i="13"/>
  <c r="AK696" i="13"/>
  <c r="AO696" i="13"/>
  <c r="AU696" i="13"/>
  <c r="BA696" i="13"/>
  <c r="AA696" i="13"/>
  <c r="AJ696" i="13"/>
  <c r="AT696" i="13"/>
  <c r="AZ696" i="13"/>
  <c r="Z696" i="13"/>
  <c r="AI696" i="13"/>
  <c r="AS696" i="13"/>
  <c r="AY696" i="13"/>
  <c r="Y696" i="13"/>
  <c r="AH696" i="13"/>
  <c r="AR696" i="13"/>
  <c r="AX696" i="13"/>
  <c r="X696" i="13"/>
  <c r="AG696" i="13"/>
  <c r="AQ696" i="13"/>
  <c r="AW696" i="13"/>
  <c r="W696" i="13"/>
  <c r="AE696" i="13" s="1"/>
  <c r="AF696" i="13"/>
  <c r="AM696" i="13" s="1"/>
  <c r="AP696" i="13"/>
  <c r="AV696" i="13"/>
  <c r="U694" i="13"/>
  <c r="W694" i="13"/>
  <c r="AD694" i="13" s="1"/>
  <c r="X694" i="13"/>
  <c r="Y694" i="13"/>
  <c r="Z694" i="13"/>
  <c r="AA694" i="13"/>
  <c r="AB694" i="13"/>
  <c r="AF694" i="13"/>
  <c r="AM694" i="13" s="1"/>
  <c r="AG694" i="13"/>
  <c r="AH694" i="13"/>
  <c r="AI694" i="13"/>
  <c r="AJ694" i="13"/>
  <c r="AK694" i="13"/>
  <c r="AO694" i="13"/>
  <c r="AP694" i="13"/>
  <c r="AQ694" i="13"/>
  <c r="AR694" i="13"/>
  <c r="U695" i="13"/>
  <c r="W695" i="13"/>
  <c r="X695" i="13"/>
  <c r="Y695" i="13"/>
  <c r="Z695" i="13"/>
  <c r="AA695" i="13"/>
  <c r="AB695" i="13"/>
  <c r="AF695" i="13"/>
  <c r="AG695" i="13"/>
  <c r="AH695" i="13"/>
  <c r="AI695" i="13"/>
  <c r="AJ695" i="13"/>
  <c r="AK695" i="13"/>
  <c r="AO695" i="13"/>
  <c r="AP695" i="13"/>
  <c r="AQ695" i="13"/>
  <c r="AR695" i="13"/>
  <c r="AM695" i="13" l="1"/>
  <c r="AN694" i="13"/>
  <c r="AE694" i="13"/>
  <c r="AN696" i="13"/>
  <c r="AL696" i="13" s="1"/>
  <c r="AD696" i="13"/>
  <c r="AC696" i="13" s="1"/>
  <c r="AL694" i="13"/>
  <c r="AC694" i="13"/>
  <c r="AE695" i="13"/>
  <c r="AD695" i="13"/>
  <c r="BB696" i="13"/>
  <c r="AN695" i="13"/>
  <c r="AL695" i="13" s="1"/>
  <c r="BK696" i="13"/>
  <c r="BL697" i="13"/>
  <c r="BI696" i="13"/>
  <c r="BJ696" i="13"/>
  <c r="AC695" i="13"/>
  <c r="BC695" i="13"/>
  <c r="BD695" i="13"/>
  <c r="BE695" i="13"/>
  <c r="BF695" i="13"/>
  <c r="BG695" i="13"/>
  <c r="BH695" i="13"/>
  <c r="AU695" i="13"/>
  <c r="BA695" i="13"/>
  <c r="AT695" i="13"/>
  <c r="AZ695" i="13"/>
  <c r="AS695" i="13"/>
  <c r="AY695" i="13"/>
  <c r="AX695" i="13"/>
  <c r="AW695" i="13"/>
  <c r="AV695" i="13"/>
  <c r="BK695" i="13" l="1"/>
  <c r="BL696" i="13"/>
  <c r="BJ695" i="13"/>
  <c r="BI695" i="13"/>
  <c r="BB695" i="13"/>
  <c r="BC694" i="13"/>
  <c r="BD694" i="13"/>
  <c r="BE694" i="13"/>
  <c r="BF694" i="13"/>
  <c r="BG694" i="13"/>
  <c r="BH694" i="13"/>
  <c r="AU694" i="13"/>
  <c r="BA694" i="13"/>
  <c r="AT694" i="13"/>
  <c r="AZ694" i="13"/>
  <c r="AS694" i="13"/>
  <c r="AY694" i="13"/>
  <c r="AX694" i="13"/>
  <c r="AW694" i="13"/>
  <c r="AV694" i="13"/>
  <c r="BL695" i="13" l="1"/>
  <c r="BJ694" i="13"/>
  <c r="BB694" i="13"/>
  <c r="BK694" i="13"/>
  <c r="BI694" i="13"/>
  <c r="BC693" i="13"/>
  <c r="BD693" i="13"/>
  <c r="BE693" i="13"/>
  <c r="BF693" i="13"/>
  <c r="BG693" i="13"/>
  <c r="BH693" i="13"/>
  <c r="U693" i="13"/>
  <c r="AB693" i="13"/>
  <c r="AK693" i="13"/>
  <c r="AO693" i="13"/>
  <c r="AU693" i="13"/>
  <c r="BA693" i="13"/>
  <c r="AA693" i="13"/>
  <c r="AJ693" i="13"/>
  <c r="AT693" i="13"/>
  <c r="AZ693" i="13"/>
  <c r="Z693" i="13"/>
  <c r="AI693" i="13"/>
  <c r="AS693" i="13"/>
  <c r="AY693" i="13"/>
  <c r="Y693" i="13"/>
  <c r="AH693" i="13"/>
  <c r="AR693" i="13"/>
  <c r="AX693" i="13"/>
  <c r="X693" i="13"/>
  <c r="AG693" i="13"/>
  <c r="AQ693" i="13"/>
  <c r="AW693" i="13"/>
  <c r="W693" i="13"/>
  <c r="AD693" i="13" s="1"/>
  <c r="AF693" i="13"/>
  <c r="AM693" i="13" s="1"/>
  <c r="AP693" i="13"/>
  <c r="AV693" i="13"/>
  <c r="AE693" i="13" l="1"/>
  <c r="AC693" i="13" s="1"/>
  <c r="BB693" i="13"/>
  <c r="AN693" i="13"/>
  <c r="AL693" i="13" s="1"/>
  <c r="BK693" i="13"/>
  <c r="BJ693" i="13"/>
  <c r="BL694" i="13"/>
  <c r="BI693" i="13"/>
  <c r="BC692" i="13"/>
  <c r="BD692" i="13"/>
  <c r="BE692" i="13"/>
  <c r="BF692" i="13"/>
  <c r="BG692" i="13"/>
  <c r="BH692" i="13"/>
  <c r="U692" i="13"/>
  <c r="AB692" i="13"/>
  <c r="AK692" i="13"/>
  <c r="AO692" i="13"/>
  <c r="AU692" i="13"/>
  <c r="BA692" i="13"/>
  <c r="AA692" i="13"/>
  <c r="AJ692" i="13"/>
  <c r="AT692" i="13"/>
  <c r="AZ692" i="13"/>
  <c r="Z692" i="13"/>
  <c r="AI692" i="13"/>
  <c r="AS692" i="13"/>
  <c r="AY692" i="13"/>
  <c r="Y692" i="13"/>
  <c r="AH692" i="13"/>
  <c r="AR692" i="13"/>
  <c r="AX692" i="13"/>
  <c r="X692" i="13"/>
  <c r="AG692" i="13"/>
  <c r="AQ692" i="13"/>
  <c r="AW692" i="13"/>
  <c r="W692" i="13"/>
  <c r="AF692" i="13"/>
  <c r="AM692" i="13" s="1"/>
  <c r="AP692" i="13"/>
  <c r="AV692" i="13"/>
  <c r="AE692" i="13" l="1"/>
  <c r="AN692" i="13"/>
  <c r="AL692" i="13" s="1"/>
  <c r="AD692" i="13"/>
  <c r="AC692" i="13" s="1"/>
  <c r="BB692" i="13"/>
  <c r="BJ692" i="13"/>
  <c r="BL693" i="13"/>
  <c r="BK692" i="13"/>
  <c r="BI692" i="13"/>
  <c r="BC691" i="13"/>
  <c r="BD691" i="13"/>
  <c r="BE691" i="13"/>
  <c r="BF691" i="13"/>
  <c r="BG691" i="13"/>
  <c r="BH691" i="13"/>
  <c r="U691" i="13"/>
  <c r="AB691" i="13"/>
  <c r="AK691" i="13"/>
  <c r="AO691" i="13"/>
  <c r="AU691" i="13"/>
  <c r="BA691" i="13"/>
  <c r="AA691" i="13"/>
  <c r="AJ691" i="13"/>
  <c r="AT691" i="13"/>
  <c r="AZ691" i="13"/>
  <c r="Z691" i="13"/>
  <c r="AI691" i="13"/>
  <c r="AS691" i="13"/>
  <c r="AY691" i="13"/>
  <c r="Y691" i="13"/>
  <c r="AH691" i="13"/>
  <c r="AR691" i="13"/>
  <c r="AX691" i="13"/>
  <c r="X691" i="13"/>
  <c r="AG691" i="13"/>
  <c r="AQ691" i="13"/>
  <c r="AW691" i="13"/>
  <c r="W691" i="13"/>
  <c r="AF691" i="13"/>
  <c r="AN691" i="13" s="1"/>
  <c r="AP691" i="13"/>
  <c r="AV691" i="13"/>
  <c r="AD691" i="13" l="1"/>
  <c r="AM691" i="13"/>
  <c r="AL691" i="13" s="1"/>
  <c r="BB691" i="13"/>
  <c r="AE691" i="13"/>
  <c r="AC691" i="13" s="1"/>
  <c r="BK691" i="13"/>
  <c r="BL692" i="13"/>
  <c r="BJ691" i="13"/>
  <c r="BI691" i="13"/>
  <c r="BC690" i="13"/>
  <c r="BD690" i="13"/>
  <c r="BE690" i="13"/>
  <c r="BF690" i="13"/>
  <c r="BG690" i="13"/>
  <c r="BH690" i="13"/>
  <c r="U690" i="13"/>
  <c r="AB690" i="13"/>
  <c r="AK690" i="13"/>
  <c r="AO690" i="13"/>
  <c r="AU690" i="13"/>
  <c r="BA690" i="13"/>
  <c r="AA690" i="13"/>
  <c r="AJ690" i="13"/>
  <c r="AT690" i="13"/>
  <c r="AZ690" i="13"/>
  <c r="Z690" i="13"/>
  <c r="AI690" i="13"/>
  <c r="AS690" i="13"/>
  <c r="AY690" i="13"/>
  <c r="Y690" i="13"/>
  <c r="AH690" i="13"/>
  <c r="AR690" i="13"/>
  <c r="AX690" i="13"/>
  <c r="X690" i="13"/>
  <c r="AG690" i="13"/>
  <c r="AQ690" i="13"/>
  <c r="AW690" i="13"/>
  <c r="W690" i="13"/>
  <c r="AD690" i="13" s="1"/>
  <c r="AF690" i="13"/>
  <c r="AN690" i="13" s="1"/>
  <c r="AP690" i="13"/>
  <c r="AV690" i="13"/>
  <c r="AM690" i="13" l="1"/>
  <c r="AL690" i="13" s="1"/>
  <c r="BB690" i="13"/>
  <c r="AE690" i="13"/>
  <c r="AC690" i="13" s="1"/>
  <c r="BI690" i="13"/>
  <c r="BL691" i="13"/>
  <c r="BK690" i="13"/>
  <c r="BJ690" i="13"/>
  <c r="BC689" i="13"/>
  <c r="BD689" i="13"/>
  <c r="BE689" i="13"/>
  <c r="BF689" i="13"/>
  <c r="BG689" i="13"/>
  <c r="BH689" i="13"/>
  <c r="U689" i="13"/>
  <c r="AB689" i="13"/>
  <c r="AK689" i="13"/>
  <c r="AO689" i="13"/>
  <c r="AU689" i="13"/>
  <c r="BA689" i="13"/>
  <c r="AA689" i="13"/>
  <c r="AJ689" i="13"/>
  <c r="AT689" i="13"/>
  <c r="AZ689" i="13"/>
  <c r="Z689" i="13"/>
  <c r="AI689" i="13"/>
  <c r="AS689" i="13"/>
  <c r="AY689" i="13"/>
  <c r="Y689" i="13"/>
  <c r="AH689" i="13"/>
  <c r="AR689" i="13"/>
  <c r="AX689" i="13"/>
  <c r="X689" i="13"/>
  <c r="AG689" i="13"/>
  <c r="AQ689" i="13"/>
  <c r="AW689" i="13"/>
  <c r="W689" i="13"/>
  <c r="AF689" i="13"/>
  <c r="AP689" i="13"/>
  <c r="AV689" i="13"/>
  <c r="AN689" i="13" l="1"/>
  <c r="AD689" i="13"/>
  <c r="AM689" i="13"/>
  <c r="AL689" i="13"/>
  <c r="BB689" i="13"/>
  <c r="AE689" i="13"/>
  <c r="AC689" i="13" s="1"/>
  <c r="BL690" i="13"/>
  <c r="BJ689" i="13"/>
  <c r="BI689" i="13"/>
  <c r="BK689" i="13"/>
  <c r="BC688" i="13"/>
  <c r="BD688" i="13"/>
  <c r="BE688" i="13"/>
  <c r="BF688" i="13"/>
  <c r="BG688" i="13"/>
  <c r="BH688" i="13"/>
  <c r="U688" i="13"/>
  <c r="AB688" i="13"/>
  <c r="AK688" i="13"/>
  <c r="AO688" i="13"/>
  <c r="AU688" i="13"/>
  <c r="BA688" i="13"/>
  <c r="AA688" i="13"/>
  <c r="AJ688" i="13"/>
  <c r="AT688" i="13"/>
  <c r="AZ688" i="13"/>
  <c r="Z688" i="13"/>
  <c r="AI688" i="13"/>
  <c r="AS688" i="13"/>
  <c r="AY688" i="13"/>
  <c r="Y688" i="13"/>
  <c r="AH688" i="13"/>
  <c r="AR688" i="13"/>
  <c r="AX688" i="13"/>
  <c r="X688" i="13"/>
  <c r="AG688" i="13"/>
  <c r="AQ688" i="13"/>
  <c r="AW688" i="13"/>
  <c r="W688" i="13"/>
  <c r="AD688" i="13" s="1"/>
  <c r="AF688" i="13"/>
  <c r="AN688" i="13" s="1"/>
  <c r="AP688" i="13"/>
  <c r="AV688" i="13"/>
  <c r="AM688" i="13" l="1"/>
  <c r="AL688" i="13" s="1"/>
  <c r="BB688" i="13"/>
  <c r="AE688" i="13"/>
  <c r="AC688" i="13" s="1"/>
  <c r="BI688" i="13"/>
  <c r="BJ688" i="13"/>
  <c r="BK688" i="13"/>
  <c r="BL689" i="13"/>
  <c r="BC687" i="13"/>
  <c r="BD687" i="13"/>
  <c r="BE687" i="13"/>
  <c r="BF687" i="13"/>
  <c r="BG687" i="13"/>
  <c r="BH687" i="13"/>
  <c r="U687" i="13"/>
  <c r="AB687" i="13"/>
  <c r="AE687" i="13"/>
  <c r="AK687" i="13"/>
  <c r="AO687" i="13"/>
  <c r="AU687" i="13"/>
  <c r="BA687" i="13"/>
  <c r="AA687" i="13"/>
  <c r="AJ687" i="13"/>
  <c r="AT687" i="13"/>
  <c r="AZ687" i="13"/>
  <c r="Z687" i="13"/>
  <c r="AI687" i="13"/>
  <c r="AS687" i="13"/>
  <c r="AY687" i="13"/>
  <c r="Y687" i="13"/>
  <c r="AH687" i="13"/>
  <c r="AR687" i="13"/>
  <c r="AX687" i="13"/>
  <c r="X687" i="13"/>
  <c r="AG687" i="13"/>
  <c r="AQ687" i="13"/>
  <c r="AW687" i="13"/>
  <c r="W687" i="13"/>
  <c r="AD687" i="13" s="1"/>
  <c r="AF687" i="13"/>
  <c r="AN687" i="13" s="1"/>
  <c r="AP687" i="13"/>
  <c r="AV687" i="13"/>
  <c r="AC687" i="13" l="1"/>
  <c r="AM687" i="13"/>
  <c r="AL687" i="13" s="1"/>
  <c r="BB687" i="13"/>
  <c r="BJ687" i="13"/>
  <c r="BL688" i="13"/>
  <c r="BI687" i="13"/>
  <c r="BK687" i="13"/>
  <c r="BC686" i="13"/>
  <c r="BD686" i="13"/>
  <c r="BE686" i="13"/>
  <c r="BF686" i="13"/>
  <c r="BG686" i="13"/>
  <c r="BH686" i="13"/>
  <c r="U686" i="13"/>
  <c r="AB686" i="13"/>
  <c r="AE686" i="13"/>
  <c r="AK686" i="13"/>
  <c r="AO686" i="13"/>
  <c r="AU686" i="13"/>
  <c r="BA686" i="13"/>
  <c r="AA686" i="13"/>
  <c r="AJ686" i="13"/>
  <c r="AT686" i="13"/>
  <c r="AZ686" i="13"/>
  <c r="Z686" i="13"/>
  <c r="AI686" i="13"/>
  <c r="AS686" i="13"/>
  <c r="AY686" i="13"/>
  <c r="Y686" i="13"/>
  <c r="AH686" i="13"/>
  <c r="AR686" i="13"/>
  <c r="AX686" i="13"/>
  <c r="X686" i="13"/>
  <c r="AG686" i="13"/>
  <c r="AQ686" i="13"/>
  <c r="AW686" i="13"/>
  <c r="W686" i="13"/>
  <c r="AD686" i="13" s="1"/>
  <c r="AF686" i="13"/>
  <c r="AM686" i="13" s="1"/>
  <c r="AP686" i="13"/>
  <c r="AV686" i="13"/>
  <c r="AC686" i="13" l="1"/>
  <c r="BJ686" i="13"/>
  <c r="AN686" i="13"/>
  <c r="AL686" i="13" s="1"/>
  <c r="BB686" i="13"/>
  <c r="BL687" i="13"/>
  <c r="BK686" i="13"/>
  <c r="BI686" i="13"/>
  <c r="BC685" i="13"/>
  <c r="BD685" i="13"/>
  <c r="BE685" i="13"/>
  <c r="BF685" i="13"/>
  <c r="BG685" i="13"/>
  <c r="BH685" i="13"/>
  <c r="U685" i="13"/>
  <c r="AB685" i="13"/>
  <c r="AK685" i="13"/>
  <c r="AO685" i="13"/>
  <c r="AU685" i="13"/>
  <c r="BA685" i="13"/>
  <c r="AA685" i="13"/>
  <c r="AJ685" i="13"/>
  <c r="AT685" i="13"/>
  <c r="AZ685" i="13"/>
  <c r="Z685" i="13"/>
  <c r="AI685" i="13"/>
  <c r="AS685" i="13"/>
  <c r="AY685" i="13"/>
  <c r="Y685" i="13"/>
  <c r="AH685" i="13"/>
  <c r="AR685" i="13"/>
  <c r="AX685" i="13"/>
  <c r="X685" i="13"/>
  <c r="AG685" i="13"/>
  <c r="AQ685" i="13"/>
  <c r="AW685" i="13"/>
  <c r="W685" i="13"/>
  <c r="AD685" i="13" s="1"/>
  <c r="AF685" i="13"/>
  <c r="AM685" i="13" s="1"/>
  <c r="AP685" i="13"/>
  <c r="AV685" i="13"/>
  <c r="AN685" i="13" l="1"/>
  <c r="AL685" i="13" s="1"/>
  <c r="AE685" i="13"/>
  <c r="AC685" i="13" s="1"/>
  <c r="BB685" i="13"/>
  <c r="BJ685" i="13"/>
  <c r="BI685" i="13"/>
  <c r="BK685" i="13"/>
  <c r="BL686" i="13"/>
  <c r="BC684" i="13"/>
  <c r="BD684" i="13"/>
  <c r="BE684" i="13"/>
  <c r="BF684" i="13"/>
  <c r="BG684" i="13"/>
  <c r="BH684" i="13"/>
  <c r="U684" i="13"/>
  <c r="AB684" i="13"/>
  <c r="AK684" i="13"/>
  <c r="AO684" i="13"/>
  <c r="AU684" i="13"/>
  <c r="BA684" i="13"/>
  <c r="AA684" i="13"/>
  <c r="AJ684" i="13"/>
  <c r="AT684" i="13"/>
  <c r="AZ684" i="13"/>
  <c r="Z684" i="13"/>
  <c r="AI684" i="13"/>
  <c r="AS684" i="13"/>
  <c r="AY684" i="13"/>
  <c r="Y684" i="13"/>
  <c r="AH684" i="13"/>
  <c r="AR684" i="13"/>
  <c r="AX684" i="13"/>
  <c r="X684" i="13"/>
  <c r="AG684" i="13"/>
  <c r="AQ684" i="13"/>
  <c r="AW684" i="13"/>
  <c r="W684" i="13"/>
  <c r="AF684" i="13"/>
  <c r="AM684" i="13" s="1"/>
  <c r="AP684" i="13"/>
  <c r="AV684" i="13"/>
  <c r="AE684" i="13" l="1"/>
  <c r="AN684" i="13"/>
  <c r="AL684" i="13" s="1"/>
  <c r="AD684" i="13"/>
  <c r="AC684" i="13" s="1"/>
  <c r="BB684" i="13"/>
  <c r="BI684" i="13"/>
  <c r="BJ684" i="13"/>
  <c r="BL685" i="13"/>
  <c r="BK684" i="13"/>
  <c r="BC683" i="13"/>
  <c r="BD683" i="13"/>
  <c r="BE683" i="13"/>
  <c r="BF683" i="13"/>
  <c r="BG683" i="13"/>
  <c r="BH683" i="13"/>
  <c r="U683" i="13"/>
  <c r="AB683" i="13"/>
  <c r="AK683" i="13"/>
  <c r="AO683" i="13"/>
  <c r="AU683" i="13"/>
  <c r="BA683" i="13"/>
  <c r="AA683" i="13"/>
  <c r="AJ683" i="13"/>
  <c r="AT683" i="13"/>
  <c r="AZ683" i="13"/>
  <c r="Z683" i="13"/>
  <c r="AI683" i="13"/>
  <c r="AS683" i="13"/>
  <c r="AY683" i="13"/>
  <c r="Y683" i="13"/>
  <c r="AH683" i="13"/>
  <c r="AR683" i="13"/>
  <c r="AX683" i="13"/>
  <c r="X683" i="13"/>
  <c r="AG683" i="13"/>
  <c r="AQ683" i="13"/>
  <c r="AW683" i="13"/>
  <c r="W683" i="13"/>
  <c r="AD683" i="13" s="1"/>
  <c r="AF683" i="13"/>
  <c r="AN683" i="13" s="1"/>
  <c r="AP683" i="13"/>
  <c r="AV683" i="13"/>
  <c r="AM683" i="13" l="1"/>
  <c r="AL683" i="13" s="1"/>
  <c r="AE683" i="13"/>
  <c r="AC683" i="13" s="1"/>
  <c r="BB683" i="13"/>
  <c r="BL684" i="13"/>
  <c r="BK683" i="13"/>
  <c r="BJ683" i="13"/>
  <c r="BI683" i="13"/>
  <c r="BC682" i="13"/>
  <c r="BD682" i="13"/>
  <c r="BE682" i="13"/>
  <c r="BF682" i="13"/>
  <c r="BG682" i="13"/>
  <c r="BH682" i="13"/>
  <c r="U682" i="13"/>
  <c r="AB682" i="13"/>
  <c r="AK682" i="13"/>
  <c r="AO682" i="13"/>
  <c r="AU682" i="13"/>
  <c r="BA682" i="13"/>
  <c r="AA682" i="13"/>
  <c r="AJ682" i="13"/>
  <c r="AT682" i="13"/>
  <c r="AZ682" i="13"/>
  <c r="Z682" i="13"/>
  <c r="AI682" i="13"/>
  <c r="AS682" i="13"/>
  <c r="AY682" i="13"/>
  <c r="Y682" i="13"/>
  <c r="AH682" i="13"/>
  <c r="AR682" i="13"/>
  <c r="AX682" i="13"/>
  <c r="X682" i="13"/>
  <c r="AG682" i="13"/>
  <c r="AQ682" i="13"/>
  <c r="AW682" i="13"/>
  <c r="W682" i="13"/>
  <c r="AF682" i="13"/>
  <c r="AN682" i="13" s="1"/>
  <c r="AP682" i="13"/>
  <c r="AV682" i="13"/>
  <c r="AD682" i="13" l="1"/>
  <c r="AM682" i="13"/>
  <c r="AL682" i="13" s="1"/>
  <c r="BB682" i="13"/>
  <c r="AE682" i="13"/>
  <c r="AC682" i="13" s="1"/>
  <c r="BI682" i="13"/>
  <c r="BJ682" i="13"/>
  <c r="BK682" i="13"/>
  <c r="BL683" i="13"/>
  <c r="BC681" i="13"/>
  <c r="BD681" i="13"/>
  <c r="BE681" i="13"/>
  <c r="BF681" i="13"/>
  <c r="BG681" i="13"/>
  <c r="BH681" i="13"/>
  <c r="U681" i="13"/>
  <c r="AB681" i="13"/>
  <c r="AK681" i="13"/>
  <c r="AO681" i="13"/>
  <c r="AU681" i="13"/>
  <c r="BA681" i="13"/>
  <c r="AA681" i="13"/>
  <c r="AJ681" i="13"/>
  <c r="AT681" i="13"/>
  <c r="AZ681" i="13"/>
  <c r="Z681" i="13"/>
  <c r="AI681" i="13"/>
  <c r="AS681" i="13"/>
  <c r="AY681" i="13"/>
  <c r="Y681" i="13"/>
  <c r="AH681" i="13"/>
  <c r="AR681" i="13"/>
  <c r="AX681" i="13"/>
  <c r="X681" i="13"/>
  <c r="AG681" i="13"/>
  <c r="AQ681" i="13"/>
  <c r="AW681" i="13"/>
  <c r="W681" i="13"/>
  <c r="AD681" i="13" s="1"/>
  <c r="AF681" i="13"/>
  <c r="AN681" i="13" s="1"/>
  <c r="AP681" i="13"/>
  <c r="AV681" i="13"/>
  <c r="AM681" i="13" l="1"/>
  <c r="AL681" i="13" s="1"/>
  <c r="BB681" i="13"/>
  <c r="AE681" i="13"/>
  <c r="AC681" i="13" s="1"/>
  <c r="BL682" i="13"/>
  <c r="BJ681" i="13"/>
  <c r="BI681" i="13"/>
  <c r="BK681" i="13"/>
  <c r="BC680" i="13"/>
  <c r="BD680" i="13"/>
  <c r="BE680" i="13"/>
  <c r="BF680" i="13"/>
  <c r="BG680" i="13"/>
  <c r="BH680" i="13"/>
  <c r="U680" i="13"/>
  <c r="AB680" i="13"/>
  <c r="AK680" i="13"/>
  <c r="AO680" i="13"/>
  <c r="AU680" i="13"/>
  <c r="BA680" i="13"/>
  <c r="AA680" i="13"/>
  <c r="AJ680" i="13"/>
  <c r="AT680" i="13"/>
  <c r="AZ680" i="13"/>
  <c r="Z680" i="13"/>
  <c r="AI680" i="13"/>
  <c r="AS680" i="13"/>
  <c r="AY680" i="13"/>
  <c r="Y680" i="13"/>
  <c r="AH680" i="13"/>
  <c r="AR680" i="13"/>
  <c r="AX680" i="13"/>
  <c r="X680" i="13"/>
  <c r="AG680" i="13"/>
  <c r="AQ680" i="13"/>
  <c r="AW680" i="13"/>
  <c r="W680" i="13"/>
  <c r="AD680" i="13" s="1"/>
  <c r="AF680" i="13"/>
  <c r="AP680" i="13"/>
  <c r="AV680" i="13"/>
  <c r="AE680" i="13" l="1"/>
  <c r="AN680" i="13"/>
  <c r="AM680" i="13"/>
  <c r="AL680" i="13" s="1"/>
  <c r="AC680" i="13"/>
  <c r="BB680" i="13"/>
  <c r="BJ680" i="13"/>
  <c r="BL681" i="13"/>
  <c r="BI680" i="13"/>
  <c r="BK680" i="13"/>
  <c r="BC679" i="13"/>
  <c r="BD679" i="13"/>
  <c r="BE679" i="13"/>
  <c r="BF679" i="13"/>
  <c r="BG679" i="13"/>
  <c r="BH679" i="13"/>
  <c r="U679" i="13"/>
  <c r="AB679" i="13"/>
  <c r="AK679" i="13"/>
  <c r="AM679" i="13"/>
  <c r="AO679" i="13"/>
  <c r="AU679" i="13"/>
  <c r="BA679" i="13"/>
  <c r="AA679" i="13"/>
  <c r="AJ679" i="13"/>
  <c r="AT679" i="13"/>
  <c r="AZ679" i="13"/>
  <c r="Z679" i="13"/>
  <c r="AI679" i="13"/>
  <c r="AS679" i="13"/>
  <c r="AY679" i="13"/>
  <c r="Y679" i="13"/>
  <c r="AH679" i="13"/>
  <c r="AR679" i="13"/>
  <c r="AX679" i="13"/>
  <c r="X679" i="13"/>
  <c r="AG679" i="13"/>
  <c r="AQ679" i="13"/>
  <c r="AW679" i="13"/>
  <c r="W679" i="13"/>
  <c r="AE679" i="13" s="1"/>
  <c r="AF679" i="13"/>
  <c r="AN679" i="13" s="1"/>
  <c r="AP679" i="13"/>
  <c r="AV679" i="13"/>
  <c r="AL679" i="13" l="1"/>
  <c r="AD679" i="13"/>
  <c r="AC679" i="13" s="1"/>
  <c r="BB679" i="13"/>
  <c r="BI679" i="13"/>
  <c r="BK679" i="13"/>
  <c r="BJ679" i="13"/>
  <c r="BL680" i="13"/>
  <c r="BC678" i="13"/>
  <c r="BD678" i="13"/>
  <c r="BE678" i="13"/>
  <c r="BF678" i="13"/>
  <c r="BG678" i="13"/>
  <c r="BH678" i="13"/>
  <c r="U678" i="13"/>
  <c r="AB678" i="13"/>
  <c r="AK678" i="13"/>
  <c r="AO678" i="13"/>
  <c r="AU678" i="13"/>
  <c r="BA678" i="13"/>
  <c r="AA678" i="13"/>
  <c r="AJ678" i="13"/>
  <c r="AT678" i="13"/>
  <c r="AZ678" i="13"/>
  <c r="Z678" i="13"/>
  <c r="AI678" i="13"/>
  <c r="AS678" i="13"/>
  <c r="AY678" i="13"/>
  <c r="Y678" i="13"/>
  <c r="AH678" i="13"/>
  <c r="AR678" i="13"/>
  <c r="AX678" i="13"/>
  <c r="X678" i="13"/>
  <c r="AG678" i="13"/>
  <c r="AQ678" i="13"/>
  <c r="AW678" i="13"/>
  <c r="W678" i="13"/>
  <c r="AE678" i="13" s="1"/>
  <c r="AF678" i="13"/>
  <c r="AM678" i="13" s="1"/>
  <c r="AP678" i="13"/>
  <c r="AV678" i="13"/>
  <c r="AN678" i="13" l="1"/>
  <c r="AL678" i="13" s="1"/>
  <c r="BB678" i="13"/>
  <c r="AD678" i="13"/>
  <c r="AC678" i="13" s="1"/>
  <c r="BK678" i="13"/>
  <c r="BL679" i="13"/>
  <c r="BJ678" i="13"/>
  <c r="BI678" i="13"/>
  <c r="BC677" i="13"/>
  <c r="BD677" i="13"/>
  <c r="BE677" i="13"/>
  <c r="BF677" i="13"/>
  <c r="BG677" i="13"/>
  <c r="BH677" i="13"/>
  <c r="U677" i="13"/>
  <c r="AB677" i="13"/>
  <c r="AK677" i="13"/>
  <c r="AO677" i="13"/>
  <c r="AU677" i="13"/>
  <c r="BA677" i="13"/>
  <c r="AA677" i="13"/>
  <c r="AJ677" i="13"/>
  <c r="AT677" i="13"/>
  <c r="AZ677" i="13"/>
  <c r="Z677" i="13"/>
  <c r="AI677" i="13"/>
  <c r="AS677" i="13"/>
  <c r="AY677" i="13"/>
  <c r="Y677" i="13"/>
  <c r="AH677" i="13"/>
  <c r="AR677" i="13"/>
  <c r="AX677" i="13"/>
  <c r="X677" i="13"/>
  <c r="AG677" i="13"/>
  <c r="AQ677" i="13"/>
  <c r="AW677" i="13"/>
  <c r="W677" i="13"/>
  <c r="AF677" i="13"/>
  <c r="AM677" i="13" s="1"/>
  <c r="AP677" i="13"/>
  <c r="AV677" i="13"/>
  <c r="AN677" i="13" l="1"/>
  <c r="AE677" i="13"/>
  <c r="AD677" i="13"/>
  <c r="AC677" i="13" s="1"/>
  <c r="AL677" i="13"/>
  <c r="BB677" i="13"/>
  <c r="BL678" i="13"/>
  <c r="BK677" i="13"/>
  <c r="BJ677" i="13"/>
  <c r="BI677" i="13"/>
  <c r="BC676" i="13"/>
  <c r="BD676" i="13"/>
  <c r="BE676" i="13"/>
  <c r="BF676" i="13"/>
  <c r="BG676" i="13"/>
  <c r="BH676" i="13"/>
  <c r="U676" i="13"/>
  <c r="AB676" i="13"/>
  <c r="AK676" i="13"/>
  <c r="AO676" i="13"/>
  <c r="AU676" i="13"/>
  <c r="BA676" i="13"/>
  <c r="AA676" i="13"/>
  <c r="AJ676" i="13"/>
  <c r="AT676" i="13"/>
  <c r="AZ676" i="13"/>
  <c r="Z676" i="13"/>
  <c r="AI676" i="13"/>
  <c r="AS676" i="13"/>
  <c r="AY676" i="13"/>
  <c r="Y676" i="13"/>
  <c r="AH676" i="13"/>
  <c r="AR676" i="13"/>
  <c r="AX676" i="13"/>
  <c r="X676" i="13"/>
  <c r="AG676" i="13"/>
  <c r="AQ676" i="13"/>
  <c r="AW676" i="13"/>
  <c r="W676" i="13"/>
  <c r="AE676" i="13" s="1"/>
  <c r="AF676" i="13"/>
  <c r="AM676" i="13" s="1"/>
  <c r="AP676" i="13"/>
  <c r="AV676" i="13"/>
  <c r="AN676" i="13" l="1"/>
  <c r="BI676" i="13"/>
  <c r="AD676" i="13"/>
  <c r="AC676" i="13" s="1"/>
  <c r="BB676" i="13"/>
  <c r="AL676" i="13"/>
  <c r="BK676" i="13"/>
  <c r="BJ676" i="13"/>
  <c r="BL677" i="13"/>
  <c r="BC674" i="13"/>
  <c r="BD674" i="13"/>
  <c r="BE674" i="13"/>
  <c r="BF674" i="13"/>
  <c r="BG674" i="13"/>
  <c r="BH674" i="13"/>
  <c r="BC675" i="13"/>
  <c r="BD675" i="13"/>
  <c r="BE675" i="13"/>
  <c r="BF675" i="13"/>
  <c r="BG675" i="13"/>
  <c r="BH675" i="13"/>
  <c r="U675" i="13"/>
  <c r="AB675" i="13"/>
  <c r="AK675" i="13"/>
  <c r="AN675" i="13"/>
  <c r="AO675" i="13"/>
  <c r="AU675" i="13"/>
  <c r="BA675" i="13"/>
  <c r="AA675" i="13"/>
  <c r="AJ675" i="13"/>
  <c r="AT675" i="13"/>
  <c r="AZ675" i="13"/>
  <c r="Z675" i="13"/>
  <c r="AI675" i="13"/>
  <c r="AS675" i="13"/>
  <c r="AY675" i="13"/>
  <c r="Y675" i="13"/>
  <c r="AH675" i="13"/>
  <c r="AR675" i="13"/>
  <c r="AX675" i="13"/>
  <c r="X675" i="13"/>
  <c r="AG675" i="13"/>
  <c r="AQ675" i="13"/>
  <c r="AW675" i="13"/>
  <c r="W675" i="13"/>
  <c r="AD675" i="13" s="1"/>
  <c r="AF675" i="13"/>
  <c r="AM675" i="13" s="1"/>
  <c r="AP675" i="13"/>
  <c r="AV675" i="13"/>
  <c r="U674" i="13"/>
  <c r="AB674" i="13"/>
  <c r="AK674" i="13"/>
  <c r="AO674" i="13"/>
  <c r="AU674" i="13"/>
  <c r="BA674" i="13"/>
  <c r="AA674" i="13"/>
  <c r="AJ674" i="13"/>
  <c r="AT674" i="13"/>
  <c r="AZ674" i="13"/>
  <c r="Z674" i="13"/>
  <c r="AI674" i="13"/>
  <c r="AS674" i="13"/>
  <c r="AY674" i="13"/>
  <c r="Y674" i="13"/>
  <c r="AH674" i="13"/>
  <c r="AR674" i="13"/>
  <c r="AX674" i="13"/>
  <c r="X674" i="13"/>
  <c r="AG674" i="13"/>
  <c r="AQ674" i="13"/>
  <c r="AW674" i="13"/>
  <c r="W674" i="13"/>
  <c r="AD674" i="13" s="1"/>
  <c r="AF674" i="13"/>
  <c r="AM674" i="13" s="1"/>
  <c r="AP674" i="13"/>
  <c r="AV674" i="13"/>
  <c r="BB674" i="13" l="1"/>
  <c r="AL675" i="13"/>
  <c r="AE674" i="13"/>
  <c r="AC674" i="13" s="1"/>
  <c r="AN674" i="13"/>
  <c r="AL674" i="13" s="1"/>
  <c r="BB675" i="13"/>
  <c r="AE675" i="13"/>
  <c r="AC675" i="13" s="1"/>
  <c r="BL676" i="13"/>
  <c r="BI675" i="13"/>
  <c r="BK674" i="13"/>
  <c r="BI674" i="13"/>
  <c r="BK675" i="13"/>
  <c r="BJ674" i="13"/>
  <c r="BJ675" i="13"/>
  <c r="BC673" i="13"/>
  <c r="BD673" i="13"/>
  <c r="BE673" i="13"/>
  <c r="BF673" i="13"/>
  <c r="BG673" i="13"/>
  <c r="BH673" i="13"/>
  <c r="U673" i="13"/>
  <c r="AB673" i="13"/>
  <c r="AK673" i="13"/>
  <c r="AO673" i="13"/>
  <c r="AU673" i="13"/>
  <c r="BA673" i="13"/>
  <c r="AA673" i="13"/>
  <c r="AJ673" i="13"/>
  <c r="AT673" i="13"/>
  <c r="AZ673" i="13"/>
  <c r="Z673" i="13"/>
  <c r="AI673" i="13"/>
  <c r="AS673" i="13"/>
  <c r="AY673" i="13"/>
  <c r="Y673" i="13"/>
  <c r="AH673" i="13"/>
  <c r="AR673" i="13"/>
  <c r="AX673" i="13"/>
  <c r="X673" i="13"/>
  <c r="AG673" i="13"/>
  <c r="AQ673" i="13"/>
  <c r="AW673" i="13"/>
  <c r="W673" i="13"/>
  <c r="AD673" i="13" s="1"/>
  <c r="AF673" i="13"/>
  <c r="AM673" i="13" s="1"/>
  <c r="AP673" i="13"/>
  <c r="AV673" i="13"/>
  <c r="AE673" i="13" l="1"/>
  <c r="AC673" i="13" s="1"/>
  <c r="AN673" i="13"/>
  <c r="AL673" i="13" s="1"/>
  <c r="BB673" i="13"/>
  <c r="BK673" i="13"/>
  <c r="BL675" i="13"/>
  <c r="BI673" i="13"/>
  <c r="BL674" i="13"/>
  <c r="BJ673" i="13"/>
  <c r="BC672" i="13"/>
  <c r="BD672" i="13"/>
  <c r="BE672" i="13"/>
  <c r="BF672" i="13"/>
  <c r="BG672" i="13"/>
  <c r="BH672" i="13"/>
  <c r="U672" i="13"/>
  <c r="AB672" i="13"/>
  <c r="AK672" i="13"/>
  <c r="AO672" i="13"/>
  <c r="AU672" i="13"/>
  <c r="BA672" i="13"/>
  <c r="AA672" i="13"/>
  <c r="AJ672" i="13"/>
  <c r="AT672" i="13"/>
  <c r="AZ672" i="13"/>
  <c r="Z672" i="13"/>
  <c r="AI672" i="13"/>
  <c r="AS672" i="13"/>
  <c r="AY672" i="13"/>
  <c r="Y672" i="13"/>
  <c r="AH672" i="13"/>
  <c r="AR672" i="13"/>
  <c r="AX672" i="13"/>
  <c r="X672" i="13"/>
  <c r="AG672" i="13"/>
  <c r="AQ672" i="13"/>
  <c r="AW672" i="13"/>
  <c r="W672" i="13"/>
  <c r="AF672" i="13"/>
  <c r="AM672" i="13" s="1"/>
  <c r="AP672" i="13"/>
  <c r="AV672" i="13"/>
  <c r="AD672" i="13" l="1"/>
  <c r="AE672" i="13"/>
  <c r="AC672" i="13" s="1"/>
  <c r="AN672" i="13"/>
  <c r="AL672" i="13" s="1"/>
  <c r="BB672" i="13"/>
  <c r="BL673" i="13"/>
  <c r="BK672" i="13"/>
  <c r="BI672" i="13"/>
  <c r="BJ672" i="13"/>
  <c r="U671" i="13"/>
  <c r="W671" i="13"/>
  <c r="X671" i="13"/>
  <c r="Y671" i="13"/>
  <c r="Z671" i="13"/>
  <c r="AA671" i="13"/>
  <c r="AB671" i="13"/>
  <c r="AD671" i="13"/>
  <c r="AF671" i="13"/>
  <c r="AG671" i="13"/>
  <c r="AH671" i="13"/>
  <c r="AI671" i="13"/>
  <c r="AM671" i="13" s="1"/>
  <c r="AJ671" i="13"/>
  <c r="AK671" i="13"/>
  <c r="AO671" i="13"/>
  <c r="AP671" i="13"/>
  <c r="AQ671" i="13"/>
  <c r="AR671" i="13"/>
  <c r="AS671" i="13"/>
  <c r="AT671" i="13"/>
  <c r="AU671" i="13"/>
  <c r="AV671" i="13"/>
  <c r="AW671" i="13"/>
  <c r="AX671" i="13"/>
  <c r="AY671" i="13"/>
  <c r="AZ671" i="13"/>
  <c r="BA671" i="13"/>
  <c r="BC671" i="13"/>
  <c r="BD671" i="13"/>
  <c r="BE671" i="13"/>
  <c r="BF671" i="13"/>
  <c r="BG671" i="13"/>
  <c r="BH671" i="13"/>
  <c r="AE671" i="13" l="1"/>
  <c r="AN671" i="13"/>
  <c r="BI671" i="13"/>
  <c r="BL672" i="13"/>
  <c r="BJ671" i="13"/>
  <c r="BK671" i="13"/>
  <c r="AC671" i="13"/>
  <c r="BB671" i="13"/>
  <c r="AL671" i="13"/>
  <c r="BC670" i="13"/>
  <c r="BD670" i="13"/>
  <c r="BE670" i="13"/>
  <c r="BF670" i="13"/>
  <c r="BG670" i="13"/>
  <c r="BH670" i="13"/>
  <c r="U670" i="13"/>
  <c r="AB670" i="13"/>
  <c r="AK670" i="13"/>
  <c r="AO670" i="13"/>
  <c r="AU670" i="13"/>
  <c r="BA670" i="13"/>
  <c r="AA670" i="13"/>
  <c r="AJ670" i="13"/>
  <c r="AT670" i="13"/>
  <c r="AZ670" i="13"/>
  <c r="Z670" i="13"/>
  <c r="AI670" i="13"/>
  <c r="AS670" i="13"/>
  <c r="AY670" i="13"/>
  <c r="Y670" i="13"/>
  <c r="AH670" i="13"/>
  <c r="AR670" i="13"/>
  <c r="AX670" i="13"/>
  <c r="X670" i="13"/>
  <c r="AG670" i="13"/>
  <c r="AQ670" i="13"/>
  <c r="AW670" i="13"/>
  <c r="W670" i="13"/>
  <c r="AD670" i="13" s="1"/>
  <c r="AF670" i="13"/>
  <c r="AN670" i="13" s="1"/>
  <c r="AP670" i="13"/>
  <c r="AV670" i="13"/>
  <c r="AM670" i="13" l="1"/>
  <c r="AL670" i="13" s="1"/>
  <c r="BB670" i="13"/>
  <c r="AE670" i="13"/>
  <c r="AC670" i="13" s="1"/>
  <c r="BJ670" i="13"/>
  <c r="BL671" i="13"/>
  <c r="BI670" i="13"/>
  <c r="BK670" i="13"/>
  <c r="BP6" i="13"/>
  <c r="BC669" i="13"/>
  <c r="BD669" i="13"/>
  <c r="BE669" i="13"/>
  <c r="BF669" i="13"/>
  <c r="BG669" i="13"/>
  <c r="BH669" i="13"/>
  <c r="U669" i="13"/>
  <c r="AB669" i="13"/>
  <c r="AK669" i="13"/>
  <c r="AO669" i="13"/>
  <c r="AU669" i="13"/>
  <c r="BA669" i="13"/>
  <c r="AA669" i="13"/>
  <c r="AJ669" i="13"/>
  <c r="AT669" i="13"/>
  <c r="AZ669" i="13"/>
  <c r="Z669" i="13"/>
  <c r="AI669" i="13"/>
  <c r="AS669" i="13"/>
  <c r="AY669" i="13"/>
  <c r="Y669" i="13"/>
  <c r="AH669" i="13"/>
  <c r="AR669" i="13"/>
  <c r="AX669" i="13"/>
  <c r="X669" i="13"/>
  <c r="AG669" i="13"/>
  <c r="AQ669" i="13"/>
  <c r="AW669" i="13"/>
  <c r="W669" i="13"/>
  <c r="AF669" i="13"/>
  <c r="AN669" i="13" s="1"/>
  <c r="AP669" i="13"/>
  <c r="AV669" i="13"/>
  <c r="BB669" i="13" l="1"/>
  <c r="AM669" i="13"/>
  <c r="AD669" i="13"/>
  <c r="AL669" i="13"/>
  <c r="AE669" i="13"/>
  <c r="AC669" i="13" s="1"/>
  <c r="BJ669" i="13"/>
  <c r="BL670" i="13"/>
  <c r="BK669" i="13"/>
  <c r="BI669" i="13"/>
  <c r="BC668" i="13"/>
  <c r="BD668" i="13"/>
  <c r="BE668" i="13"/>
  <c r="BF668" i="13"/>
  <c r="BG668" i="13"/>
  <c r="BH668" i="13"/>
  <c r="U668" i="13"/>
  <c r="AB668" i="13"/>
  <c r="AK668" i="13"/>
  <c r="AN668" i="13"/>
  <c r="AO668" i="13"/>
  <c r="AU668" i="13"/>
  <c r="BA668" i="13"/>
  <c r="AA668" i="13"/>
  <c r="AJ668" i="13"/>
  <c r="AT668" i="13"/>
  <c r="AZ668" i="13"/>
  <c r="Z668" i="13"/>
  <c r="AI668" i="13"/>
  <c r="AS668" i="13"/>
  <c r="AY668" i="13"/>
  <c r="Y668" i="13"/>
  <c r="AH668" i="13"/>
  <c r="AR668" i="13"/>
  <c r="AX668" i="13"/>
  <c r="X668" i="13"/>
  <c r="AG668" i="13"/>
  <c r="AQ668" i="13"/>
  <c r="AW668" i="13"/>
  <c r="W668" i="13"/>
  <c r="AD668" i="13" s="1"/>
  <c r="AF668" i="13"/>
  <c r="AM668" i="13" s="1"/>
  <c r="AL668" i="13" s="1"/>
  <c r="AP668" i="13"/>
  <c r="AV668" i="13"/>
  <c r="AE668" i="13" l="1"/>
  <c r="AC668" i="13" s="1"/>
  <c r="BB668" i="13"/>
  <c r="BK668" i="13"/>
  <c r="BI668" i="13"/>
  <c r="BL669" i="13"/>
  <c r="BJ668" i="13"/>
  <c r="BC667" i="13"/>
  <c r="BD667" i="13"/>
  <c r="BE667" i="13"/>
  <c r="BF667" i="13"/>
  <c r="BG667" i="13"/>
  <c r="BH667" i="13"/>
  <c r="U667" i="13"/>
  <c r="AB667" i="13"/>
  <c r="AK667" i="13"/>
  <c r="AM667" i="13"/>
  <c r="AO667" i="13"/>
  <c r="AU667" i="13"/>
  <c r="BA667" i="13"/>
  <c r="AA667" i="13"/>
  <c r="AJ667" i="13"/>
  <c r="AT667" i="13"/>
  <c r="AZ667" i="13"/>
  <c r="Z667" i="13"/>
  <c r="AI667" i="13"/>
  <c r="AS667" i="13"/>
  <c r="AY667" i="13"/>
  <c r="Y667" i="13"/>
  <c r="AH667" i="13"/>
  <c r="AR667" i="13"/>
  <c r="AX667" i="13"/>
  <c r="X667" i="13"/>
  <c r="AG667" i="13"/>
  <c r="AQ667" i="13"/>
  <c r="AW667" i="13"/>
  <c r="W667" i="13"/>
  <c r="AE667" i="13" s="1"/>
  <c r="AF667" i="13"/>
  <c r="AN667" i="13" s="1"/>
  <c r="AP667" i="13"/>
  <c r="AV667" i="13"/>
  <c r="AD667" i="13" l="1"/>
  <c r="AC667" i="13" s="1"/>
  <c r="AL667" i="13"/>
  <c r="BB667" i="13"/>
  <c r="BJ667" i="13"/>
  <c r="BL668" i="13"/>
  <c r="BI667" i="13"/>
  <c r="BK667" i="13"/>
  <c r="BC666" i="13"/>
  <c r="BD666" i="13"/>
  <c r="BE666" i="13"/>
  <c r="BF666" i="13"/>
  <c r="BG666" i="13"/>
  <c r="BH666" i="13"/>
  <c r="U666" i="13"/>
  <c r="AB666" i="13"/>
  <c r="AK666" i="13"/>
  <c r="AO666" i="13"/>
  <c r="AU666" i="13"/>
  <c r="BA666" i="13"/>
  <c r="AA666" i="13"/>
  <c r="AJ666" i="13"/>
  <c r="AT666" i="13"/>
  <c r="AZ666" i="13"/>
  <c r="Z666" i="13"/>
  <c r="AI666" i="13"/>
  <c r="AS666" i="13"/>
  <c r="AY666" i="13"/>
  <c r="Y666" i="13"/>
  <c r="AH666" i="13"/>
  <c r="AR666" i="13"/>
  <c r="AX666" i="13"/>
  <c r="X666" i="13"/>
  <c r="AG666" i="13"/>
  <c r="AQ666" i="13"/>
  <c r="AW666" i="13"/>
  <c r="W666" i="13"/>
  <c r="AE666" i="13" s="1"/>
  <c r="AF666" i="13"/>
  <c r="AP666" i="13"/>
  <c r="AV666" i="13"/>
  <c r="AN666" i="13" l="1"/>
  <c r="AM666" i="13"/>
  <c r="AD666" i="13"/>
  <c r="AC666" i="13" s="1"/>
  <c r="AL666" i="13"/>
  <c r="BB666" i="13"/>
  <c r="BJ666" i="13"/>
  <c r="BL667" i="13"/>
  <c r="BI666" i="13"/>
  <c r="BK666" i="13"/>
  <c r="BC665" i="13"/>
  <c r="BD665" i="13"/>
  <c r="BE665" i="13"/>
  <c r="BF665" i="13"/>
  <c r="BG665" i="13"/>
  <c r="BH665" i="13"/>
  <c r="U665" i="13"/>
  <c r="AB665" i="13"/>
  <c r="AK665" i="13"/>
  <c r="AN665" i="13"/>
  <c r="AO665" i="13"/>
  <c r="AU665" i="13"/>
  <c r="BA665" i="13"/>
  <c r="AA665" i="13"/>
  <c r="AJ665" i="13"/>
  <c r="AT665" i="13"/>
  <c r="AZ665" i="13"/>
  <c r="Z665" i="13"/>
  <c r="AI665" i="13"/>
  <c r="AS665" i="13"/>
  <c r="AY665" i="13"/>
  <c r="Y665" i="13"/>
  <c r="AH665" i="13"/>
  <c r="AR665" i="13"/>
  <c r="AX665" i="13"/>
  <c r="X665" i="13"/>
  <c r="AG665" i="13"/>
  <c r="AQ665" i="13"/>
  <c r="AW665" i="13"/>
  <c r="W665" i="13"/>
  <c r="AE665" i="13" s="1"/>
  <c r="AF665" i="13"/>
  <c r="AM665" i="13" s="1"/>
  <c r="AL665" i="13" s="1"/>
  <c r="AP665" i="13"/>
  <c r="AV665" i="13"/>
  <c r="AD665" i="13" l="1"/>
  <c r="AC665" i="13" s="1"/>
  <c r="BB665" i="13"/>
  <c r="BL666" i="13"/>
  <c r="BK665" i="13"/>
  <c r="BJ665" i="13"/>
  <c r="BI665" i="13"/>
  <c r="W664" i="13"/>
  <c r="X664" i="13"/>
  <c r="AD664" i="13" s="1"/>
  <c r="Y664" i="13"/>
  <c r="Z664" i="13"/>
  <c r="AA664" i="13"/>
  <c r="AB664" i="13"/>
  <c r="AF664" i="13"/>
  <c r="AG664" i="13"/>
  <c r="AM664" i="13" s="1"/>
  <c r="AH664" i="13"/>
  <c r="AI664" i="13"/>
  <c r="AJ664" i="13"/>
  <c r="AK664" i="13"/>
  <c r="AO664" i="13"/>
  <c r="AP664" i="13"/>
  <c r="AQ664" i="13"/>
  <c r="AR664" i="13"/>
  <c r="AS664" i="13"/>
  <c r="AT664" i="13"/>
  <c r="AU664" i="13"/>
  <c r="AV664" i="13"/>
  <c r="AW664" i="13"/>
  <c r="AX664" i="13"/>
  <c r="AY664" i="13"/>
  <c r="AZ664" i="13"/>
  <c r="BA664" i="13"/>
  <c r="BC664" i="13"/>
  <c r="BD664" i="13"/>
  <c r="BE664" i="13"/>
  <c r="BF664" i="13"/>
  <c r="BG664" i="13"/>
  <c r="BH664" i="13"/>
  <c r="BC663" i="13"/>
  <c r="BD663" i="13"/>
  <c r="BE663" i="13"/>
  <c r="BF663" i="13"/>
  <c r="BG663" i="13"/>
  <c r="BH663" i="13"/>
  <c r="U664" i="13"/>
  <c r="U663" i="13"/>
  <c r="AB663" i="13"/>
  <c r="AK663" i="13"/>
  <c r="AN663" i="13"/>
  <c r="AO663" i="13"/>
  <c r="AU663" i="13"/>
  <c r="BA663" i="13"/>
  <c r="AA663" i="13"/>
  <c r="AJ663" i="13"/>
  <c r="AT663" i="13"/>
  <c r="AZ663" i="13"/>
  <c r="Z663" i="13"/>
  <c r="AI663" i="13"/>
  <c r="AS663" i="13"/>
  <c r="AY663" i="13"/>
  <c r="Y663" i="13"/>
  <c r="AH663" i="13"/>
  <c r="AR663" i="13"/>
  <c r="AX663" i="13"/>
  <c r="X663" i="13"/>
  <c r="AG663" i="13"/>
  <c r="AQ663" i="13"/>
  <c r="AW663" i="13"/>
  <c r="W663" i="13"/>
  <c r="AD663" i="13" s="1"/>
  <c r="AF663" i="13"/>
  <c r="AM663" i="13" s="1"/>
  <c r="AP663" i="13"/>
  <c r="AV663" i="13"/>
  <c r="AN664" i="13" l="1"/>
  <c r="AE664" i="13"/>
  <c r="AC664" i="13" s="1"/>
  <c r="BB663" i="13"/>
  <c r="BB664" i="13"/>
  <c r="AE663" i="13"/>
  <c r="AC663" i="13" s="1"/>
  <c r="BK664" i="13"/>
  <c r="AL663" i="13"/>
  <c r="BL665" i="13"/>
  <c r="BK663" i="13"/>
  <c r="BI663" i="13"/>
  <c r="BJ663" i="13"/>
  <c r="BI664" i="13"/>
  <c r="AL664" i="13"/>
  <c r="BJ664" i="13"/>
  <c r="BC662" i="13"/>
  <c r="BD662" i="13"/>
  <c r="BE662" i="13"/>
  <c r="BF662" i="13"/>
  <c r="BG662" i="13"/>
  <c r="BH662" i="13"/>
  <c r="U662" i="13"/>
  <c r="AB662" i="13"/>
  <c r="AK662" i="13"/>
  <c r="AO662" i="13"/>
  <c r="AU662" i="13"/>
  <c r="BA662" i="13"/>
  <c r="AA662" i="13"/>
  <c r="AJ662" i="13"/>
  <c r="AT662" i="13"/>
  <c r="AZ662" i="13"/>
  <c r="Z662" i="13"/>
  <c r="AI662" i="13"/>
  <c r="AS662" i="13"/>
  <c r="AY662" i="13"/>
  <c r="Y662" i="13"/>
  <c r="AH662" i="13"/>
  <c r="AR662" i="13"/>
  <c r="AX662" i="13"/>
  <c r="X662" i="13"/>
  <c r="AG662" i="13"/>
  <c r="AQ662" i="13"/>
  <c r="AW662" i="13"/>
  <c r="W662" i="13"/>
  <c r="AD662" i="13" s="1"/>
  <c r="AF662" i="13"/>
  <c r="AP662" i="13"/>
  <c r="AV662" i="13"/>
  <c r="AN662" i="13" l="1"/>
  <c r="AM662" i="13"/>
  <c r="AL662" i="13" s="1"/>
  <c r="BB662" i="13"/>
  <c r="AE662" i="13"/>
  <c r="AC662" i="13" s="1"/>
  <c r="BK662" i="13"/>
  <c r="BL663" i="13"/>
  <c r="BL664" i="13"/>
  <c r="BJ662" i="13"/>
  <c r="BI662" i="13"/>
  <c r="BC661" i="13"/>
  <c r="BD661" i="13"/>
  <c r="BE661" i="13"/>
  <c r="BF661" i="13"/>
  <c r="BG661" i="13"/>
  <c r="BH661" i="13"/>
  <c r="U661" i="13"/>
  <c r="AB661" i="13"/>
  <c r="AK661" i="13"/>
  <c r="AM661" i="13"/>
  <c r="AO661" i="13"/>
  <c r="AU661" i="13"/>
  <c r="BA661" i="13"/>
  <c r="AA661" i="13"/>
  <c r="AJ661" i="13"/>
  <c r="AT661" i="13"/>
  <c r="AZ661" i="13"/>
  <c r="Z661" i="13"/>
  <c r="AI661" i="13"/>
  <c r="AS661" i="13"/>
  <c r="AY661" i="13"/>
  <c r="Y661" i="13"/>
  <c r="AH661" i="13"/>
  <c r="AR661" i="13"/>
  <c r="AX661" i="13"/>
  <c r="X661" i="13"/>
  <c r="AG661" i="13"/>
  <c r="AQ661" i="13"/>
  <c r="AW661" i="13"/>
  <c r="W661" i="13"/>
  <c r="AD661" i="13" s="1"/>
  <c r="AF661" i="13"/>
  <c r="AN661" i="13" s="1"/>
  <c r="AP661" i="13"/>
  <c r="AV661" i="13"/>
  <c r="BB661" i="13" l="1"/>
  <c r="AE661" i="13"/>
  <c r="AC661" i="13" s="1"/>
  <c r="AL661" i="13"/>
  <c r="BL662" i="13"/>
  <c r="BI661" i="13"/>
  <c r="BJ661" i="13"/>
  <c r="BK661" i="13"/>
  <c r="BC660" i="13"/>
  <c r="BD660" i="13"/>
  <c r="BE660" i="13"/>
  <c r="BF660" i="13"/>
  <c r="BG660" i="13"/>
  <c r="BH660" i="13"/>
  <c r="U660" i="13"/>
  <c r="AB660" i="13"/>
  <c r="AK660" i="13"/>
  <c r="AO660" i="13"/>
  <c r="AU660" i="13"/>
  <c r="BA660" i="13"/>
  <c r="AA660" i="13"/>
  <c r="AJ660" i="13"/>
  <c r="AT660" i="13"/>
  <c r="AZ660" i="13"/>
  <c r="Z660" i="13"/>
  <c r="AI660" i="13"/>
  <c r="AS660" i="13"/>
  <c r="AY660" i="13"/>
  <c r="Y660" i="13"/>
  <c r="AH660" i="13"/>
  <c r="AR660" i="13"/>
  <c r="AX660" i="13"/>
  <c r="X660" i="13"/>
  <c r="AG660" i="13"/>
  <c r="AQ660" i="13"/>
  <c r="AW660" i="13"/>
  <c r="W660" i="13"/>
  <c r="AD660" i="13" s="1"/>
  <c r="AF660" i="13"/>
  <c r="AN660" i="13" s="1"/>
  <c r="AP660" i="13"/>
  <c r="AV660" i="13"/>
  <c r="AM660" i="13" l="1"/>
  <c r="AL660" i="13" s="1"/>
  <c r="BB660" i="13"/>
  <c r="AE660" i="13"/>
  <c r="AC660" i="13" s="1"/>
  <c r="BI660" i="13"/>
  <c r="BJ660" i="13"/>
  <c r="BL661" i="13"/>
  <c r="BK660" i="13"/>
  <c r="BC659" i="13"/>
  <c r="BD659" i="13"/>
  <c r="BE659" i="13"/>
  <c r="BF659" i="13"/>
  <c r="BG659" i="13"/>
  <c r="BH659" i="13"/>
  <c r="U659" i="13"/>
  <c r="AB659" i="13"/>
  <c r="AK659" i="13"/>
  <c r="AO659" i="13"/>
  <c r="AU659" i="13"/>
  <c r="BA659" i="13"/>
  <c r="AA659" i="13"/>
  <c r="AJ659" i="13"/>
  <c r="AT659" i="13"/>
  <c r="AZ659" i="13"/>
  <c r="Z659" i="13"/>
  <c r="AI659" i="13"/>
  <c r="AS659" i="13"/>
  <c r="AY659" i="13"/>
  <c r="Y659" i="13"/>
  <c r="AH659" i="13"/>
  <c r="AR659" i="13"/>
  <c r="AX659" i="13"/>
  <c r="X659" i="13"/>
  <c r="AG659" i="13"/>
  <c r="AQ659" i="13"/>
  <c r="AW659" i="13"/>
  <c r="W659" i="13"/>
  <c r="AF659" i="13"/>
  <c r="AN659" i="13" s="1"/>
  <c r="AP659" i="13"/>
  <c r="AV659" i="13"/>
  <c r="AD659" i="13" l="1"/>
  <c r="AM659" i="13"/>
  <c r="AL659" i="13" s="1"/>
  <c r="BB659" i="13"/>
  <c r="AE659" i="13"/>
  <c r="AC659" i="13" s="1"/>
  <c r="BL660" i="13"/>
  <c r="BI659" i="13"/>
  <c r="BK659" i="13"/>
  <c r="BJ659" i="13"/>
  <c r="BC658" i="13"/>
  <c r="BD658" i="13"/>
  <c r="BE658" i="13"/>
  <c r="BF658" i="13"/>
  <c r="BG658" i="13"/>
  <c r="BH658" i="13"/>
  <c r="U658" i="13"/>
  <c r="AB658" i="13"/>
  <c r="AK658" i="13"/>
  <c r="AO658" i="13"/>
  <c r="AU658" i="13"/>
  <c r="BA658" i="13"/>
  <c r="AA658" i="13"/>
  <c r="AJ658" i="13"/>
  <c r="AT658" i="13"/>
  <c r="AZ658" i="13"/>
  <c r="Z658" i="13"/>
  <c r="AI658" i="13"/>
  <c r="AS658" i="13"/>
  <c r="AY658" i="13"/>
  <c r="Y658" i="13"/>
  <c r="AH658" i="13"/>
  <c r="AR658" i="13"/>
  <c r="AX658" i="13"/>
  <c r="X658" i="13"/>
  <c r="AG658" i="13"/>
  <c r="AQ658" i="13"/>
  <c r="AW658" i="13"/>
  <c r="W658" i="13"/>
  <c r="AF658" i="13"/>
  <c r="AN658" i="13" s="1"/>
  <c r="AP658" i="13"/>
  <c r="AV658" i="13"/>
  <c r="AD658" i="13" l="1"/>
  <c r="AM658" i="13"/>
  <c r="AL658" i="13" s="1"/>
  <c r="BB658" i="13"/>
  <c r="AE658" i="13"/>
  <c r="AC658" i="13" s="1"/>
  <c r="BK658" i="13"/>
  <c r="BL659" i="13"/>
  <c r="BI658" i="13"/>
  <c r="BJ658" i="13"/>
  <c r="BC657" i="13"/>
  <c r="BD657" i="13"/>
  <c r="BE657" i="13"/>
  <c r="BF657" i="13"/>
  <c r="BG657" i="13"/>
  <c r="BH657" i="13"/>
  <c r="U657" i="13"/>
  <c r="AB657" i="13"/>
  <c r="AK657" i="13"/>
  <c r="AO657" i="13"/>
  <c r="AU657" i="13"/>
  <c r="BA657" i="13"/>
  <c r="AA657" i="13"/>
  <c r="AJ657" i="13"/>
  <c r="AT657" i="13"/>
  <c r="AZ657" i="13"/>
  <c r="Z657" i="13"/>
  <c r="AI657" i="13"/>
  <c r="AS657" i="13"/>
  <c r="AY657" i="13"/>
  <c r="Y657" i="13"/>
  <c r="AH657" i="13"/>
  <c r="AR657" i="13"/>
  <c r="AX657" i="13"/>
  <c r="X657" i="13"/>
  <c r="AG657" i="13"/>
  <c r="AQ657" i="13"/>
  <c r="AW657" i="13"/>
  <c r="W657" i="13"/>
  <c r="AF657" i="13"/>
  <c r="AN657" i="13" s="1"/>
  <c r="AP657" i="13"/>
  <c r="AV657" i="13"/>
  <c r="AD657" i="13" l="1"/>
  <c r="AM657" i="13"/>
  <c r="AL657" i="13" s="1"/>
  <c r="BB657" i="13"/>
  <c r="AE657" i="13"/>
  <c r="AC657" i="13" s="1"/>
  <c r="BK657" i="13"/>
  <c r="BJ657" i="13"/>
  <c r="BI657" i="13"/>
  <c r="BL658" i="13"/>
  <c r="BC656" i="13"/>
  <c r="BD656" i="13"/>
  <c r="BE656" i="13"/>
  <c r="BF656" i="13"/>
  <c r="BG656" i="13"/>
  <c r="BH656" i="13"/>
  <c r="U656" i="13"/>
  <c r="AB656" i="13"/>
  <c r="AK656" i="13"/>
  <c r="AO656" i="13"/>
  <c r="AU656" i="13"/>
  <c r="BA656" i="13"/>
  <c r="AA656" i="13"/>
  <c r="AJ656" i="13"/>
  <c r="AT656" i="13"/>
  <c r="AZ656" i="13"/>
  <c r="Z656" i="13"/>
  <c r="AI656" i="13"/>
  <c r="AS656" i="13"/>
  <c r="AY656" i="13"/>
  <c r="Y656" i="13"/>
  <c r="AH656" i="13"/>
  <c r="AR656" i="13"/>
  <c r="AX656" i="13"/>
  <c r="X656" i="13"/>
  <c r="AG656" i="13"/>
  <c r="AQ656" i="13"/>
  <c r="AW656" i="13"/>
  <c r="W656" i="13"/>
  <c r="AF656" i="13"/>
  <c r="AM656" i="13" s="1"/>
  <c r="AP656" i="13"/>
  <c r="AV656" i="13"/>
  <c r="AD656" i="13" l="1"/>
  <c r="BB656" i="13"/>
  <c r="AE656" i="13"/>
  <c r="AC656" i="13" s="1"/>
  <c r="AN656" i="13"/>
  <c r="AL656" i="13" s="1"/>
  <c r="BL657" i="13"/>
  <c r="BJ656" i="13"/>
  <c r="BI656" i="13"/>
  <c r="BK656" i="13"/>
  <c r="BC655" i="13"/>
  <c r="BD655" i="13"/>
  <c r="BE655" i="13"/>
  <c r="BF655" i="13"/>
  <c r="BG655" i="13"/>
  <c r="BH655" i="13"/>
  <c r="U655" i="13"/>
  <c r="AB655" i="13"/>
  <c r="AK655" i="13"/>
  <c r="AO655" i="13"/>
  <c r="AU655" i="13"/>
  <c r="BA655" i="13"/>
  <c r="AA655" i="13"/>
  <c r="AJ655" i="13"/>
  <c r="AT655" i="13"/>
  <c r="AZ655" i="13"/>
  <c r="Z655" i="13"/>
  <c r="AI655" i="13"/>
  <c r="AS655" i="13"/>
  <c r="AY655" i="13"/>
  <c r="Y655" i="13"/>
  <c r="AH655" i="13"/>
  <c r="AR655" i="13"/>
  <c r="AX655" i="13"/>
  <c r="X655" i="13"/>
  <c r="AG655" i="13"/>
  <c r="AQ655" i="13"/>
  <c r="AW655" i="13"/>
  <c r="W655" i="13"/>
  <c r="AF655" i="13"/>
  <c r="AM655" i="13" s="1"/>
  <c r="AP655" i="13"/>
  <c r="AV655" i="13"/>
  <c r="AD655" i="13" l="1"/>
  <c r="BB655" i="13"/>
  <c r="AE655" i="13"/>
  <c r="AC655" i="13" s="1"/>
  <c r="AN655" i="13"/>
  <c r="AL655" i="13" s="1"/>
  <c r="BI655" i="13"/>
  <c r="BJ655" i="13"/>
  <c r="BL656" i="13"/>
  <c r="BK655" i="13"/>
  <c r="BC654" i="13"/>
  <c r="BD654" i="13"/>
  <c r="BE654" i="13"/>
  <c r="BF654" i="13"/>
  <c r="BG654" i="13"/>
  <c r="BH654" i="13"/>
  <c r="U654" i="13"/>
  <c r="AB654" i="13"/>
  <c r="AK654" i="13"/>
  <c r="AO654" i="13"/>
  <c r="AU654" i="13"/>
  <c r="BA654" i="13"/>
  <c r="AA654" i="13"/>
  <c r="AJ654" i="13"/>
  <c r="AT654" i="13"/>
  <c r="AZ654" i="13"/>
  <c r="Z654" i="13"/>
  <c r="AI654" i="13"/>
  <c r="AS654" i="13"/>
  <c r="AY654" i="13"/>
  <c r="Y654" i="13"/>
  <c r="AH654" i="13"/>
  <c r="AR654" i="13"/>
  <c r="AX654" i="13"/>
  <c r="X654" i="13"/>
  <c r="AG654" i="13"/>
  <c r="AQ654" i="13"/>
  <c r="AW654" i="13"/>
  <c r="W654" i="13"/>
  <c r="AF654" i="13"/>
  <c r="AM654" i="13" s="1"/>
  <c r="AP654" i="13"/>
  <c r="AV654" i="13"/>
  <c r="AD654" i="13" l="1"/>
  <c r="BB654" i="13"/>
  <c r="AE654" i="13"/>
  <c r="AC654" i="13" s="1"/>
  <c r="AN654" i="13"/>
  <c r="AL654" i="13" s="1"/>
  <c r="BK654" i="13"/>
  <c r="BL655" i="13"/>
  <c r="BJ654" i="13"/>
  <c r="BI654" i="13"/>
  <c r="BC653" i="13"/>
  <c r="BD653" i="13"/>
  <c r="BE653" i="13"/>
  <c r="BF653" i="13"/>
  <c r="BG653" i="13"/>
  <c r="BH653" i="13"/>
  <c r="U653" i="13"/>
  <c r="AB653" i="13"/>
  <c r="AK653" i="13"/>
  <c r="AO653" i="13"/>
  <c r="AU653" i="13"/>
  <c r="BA653" i="13"/>
  <c r="AA653" i="13"/>
  <c r="AJ653" i="13"/>
  <c r="AT653" i="13"/>
  <c r="AZ653" i="13"/>
  <c r="Z653" i="13"/>
  <c r="AI653" i="13"/>
  <c r="AS653" i="13"/>
  <c r="AY653" i="13"/>
  <c r="Y653" i="13"/>
  <c r="AH653" i="13"/>
  <c r="AR653" i="13"/>
  <c r="AX653" i="13"/>
  <c r="X653" i="13"/>
  <c r="AG653" i="13"/>
  <c r="AQ653" i="13"/>
  <c r="AW653" i="13"/>
  <c r="W653" i="13"/>
  <c r="AF653" i="13"/>
  <c r="AM653" i="13" s="1"/>
  <c r="AP653" i="13"/>
  <c r="AV653" i="13"/>
  <c r="AD653" i="13" l="1"/>
  <c r="BB653" i="13"/>
  <c r="AE653" i="13"/>
  <c r="AC653" i="13" s="1"/>
  <c r="AN653" i="13"/>
  <c r="AL653" i="13" s="1"/>
  <c r="BL654" i="13"/>
  <c r="BJ653" i="13"/>
  <c r="BI653" i="13"/>
  <c r="BK653" i="13"/>
  <c r="BC652" i="13"/>
  <c r="BD652" i="13"/>
  <c r="BE652" i="13"/>
  <c r="BF652" i="13"/>
  <c r="BG652" i="13"/>
  <c r="BH652" i="13"/>
  <c r="U652" i="13"/>
  <c r="AB652" i="13"/>
  <c r="AK652" i="13"/>
  <c r="AO652" i="13"/>
  <c r="AU652" i="13"/>
  <c r="BA652" i="13"/>
  <c r="AA652" i="13"/>
  <c r="AJ652" i="13"/>
  <c r="AT652" i="13"/>
  <c r="AZ652" i="13"/>
  <c r="Z652" i="13"/>
  <c r="AI652" i="13"/>
  <c r="AS652" i="13"/>
  <c r="AY652" i="13"/>
  <c r="Y652" i="13"/>
  <c r="AH652" i="13"/>
  <c r="AR652" i="13"/>
  <c r="AX652" i="13"/>
  <c r="X652" i="13"/>
  <c r="AG652" i="13"/>
  <c r="AQ652" i="13"/>
  <c r="AW652" i="13"/>
  <c r="W652" i="13"/>
  <c r="AF652" i="13"/>
  <c r="AM652" i="13" s="1"/>
  <c r="AP652" i="13"/>
  <c r="AV652" i="13"/>
  <c r="AD652" i="13" l="1"/>
  <c r="BB652" i="13"/>
  <c r="AE652" i="13"/>
  <c r="AC652" i="13" s="1"/>
  <c r="AN652" i="13"/>
  <c r="AL652" i="13" s="1"/>
  <c r="BI652" i="13"/>
  <c r="BL653" i="13"/>
  <c r="BK652" i="13"/>
  <c r="BJ652" i="13"/>
  <c r="BC651" i="13"/>
  <c r="BD651" i="13"/>
  <c r="BE651" i="13"/>
  <c r="BF651" i="13"/>
  <c r="BG651" i="13"/>
  <c r="BH651" i="13"/>
  <c r="U651" i="13"/>
  <c r="AB651" i="13"/>
  <c r="AK651" i="13"/>
  <c r="AO651" i="13"/>
  <c r="AU651" i="13"/>
  <c r="BA651" i="13"/>
  <c r="AA651" i="13"/>
  <c r="AJ651" i="13"/>
  <c r="AT651" i="13"/>
  <c r="AZ651" i="13"/>
  <c r="Z651" i="13"/>
  <c r="AI651" i="13"/>
  <c r="AS651" i="13"/>
  <c r="AY651" i="13"/>
  <c r="Y651" i="13"/>
  <c r="AH651" i="13"/>
  <c r="AR651" i="13"/>
  <c r="AX651" i="13"/>
  <c r="X651" i="13"/>
  <c r="AG651" i="13"/>
  <c r="AQ651" i="13"/>
  <c r="AW651" i="13"/>
  <c r="W651" i="13"/>
  <c r="AD651" i="13" s="1"/>
  <c r="AF651" i="13"/>
  <c r="AM651" i="13" s="1"/>
  <c r="AP651" i="13"/>
  <c r="AV651" i="13"/>
  <c r="BB651" i="13" l="1"/>
  <c r="AE651" i="13"/>
  <c r="AC651" i="13" s="1"/>
  <c r="AN651" i="13"/>
  <c r="AL651" i="13" s="1"/>
  <c r="BL652" i="13"/>
  <c r="BK651" i="13"/>
  <c r="BJ651" i="13"/>
  <c r="BI651" i="13"/>
  <c r="BC650" i="13"/>
  <c r="BD650" i="13"/>
  <c r="BE650" i="13"/>
  <c r="BF650" i="13"/>
  <c r="BG650" i="13"/>
  <c r="BH650" i="13"/>
  <c r="U650" i="13"/>
  <c r="AB650" i="13"/>
  <c r="AK650" i="13"/>
  <c r="AO650" i="13"/>
  <c r="AU650" i="13"/>
  <c r="BA650" i="13"/>
  <c r="AA650" i="13"/>
  <c r="AJ650" i="13"/>
  <c r="AT650" i="13"/>
  <c r="AZ650" i="13"/>
  <c r="Z650" i="13"/>
  <c r="AI650" i="13"/>
  <c r="AS650" i="13"/>
  <c r="AY650" i="13"/>
  <c r="Y650" i="13"/>
  <c r="AH650" i="13"/>
  <c r="AR650" i="13"/>
  <c r="AX650" i="13"/>
  <c r="X650" i="13"/>
  <c r="AG650" i="13"/>
  <c r="AQ650" i="13"/>
  <c r="AW650" i="13"/>
  <c r="W650" i="13"/>
  <c r="AD650" i="13" s="1"/>
  <c r="AF650" i="13"/>
  <c r="AP650" i="13"/>
  <c r="AV650" i="13"/>
  <c r="AE650" i="13" l="1"/>
  <c r="AN650" i="13"/>
  <c r="AM650" i="13"/>
  <c r="AL650" i="13" s="1"/>
  <c r="BI650" i="13"/>
  <c r="AC650" i="13"/>
  <c r="BB650" i="13"/>
  <c r="BL651" i="13"/>
  <c r="BK650" i="13"/>
  <c r="BJ650" i="13"/>
  <c r="BC649" i="13"/>
  <c r="BD649" i="13"/>
  <c r="BE649" i="13"/>
  <c r="BF649" i="13"/>
  <c r="BG649" i="13"/>
  <c r="BH649" i="13"/>
  <c r="U649" i="13"/>
  <c r="AB649" i="13"/>
  <c r="AK649" i="13"/>
  <c r="AO649" i="13"/>
  <c r="AU649" i="13"/>
  <c r="BA649" i="13"/>
  <c r="AA649" i="13"/>
  <c r="AJ649" i="13"/>
  <c r="AT649" i="13"/>
  <c r="AZ649" i="13"/>
  <c r="Z649" i="13"/>
  <c r="AI649" i="13"/>
  <c r="AS649" i="13"/>
  <c r="AY649" i="13"/>
  <c r="Y649" i="13"/>
  <c r="AH649" i="13"/>
  <c r="AR649" i="13"/>
  <c r="AX649" i="13"/>
  <c r="X649" i="13"/>
  <c r="AG649" i="13"/>
  <c r="AQ649" i="13"/>
  <c r="AW649" i="13"/>
  <c r="W649" i="13"/>
  <c r="AD649" i="13" s="1"/>
  <c r="AF649" i="13"/>
  <c r="AM649" i="13" s="1"/>
  <c r="AP649" i="13"/>
  <c r="AV649" i="13"/>
  <c r="AN649" i="13" l="1"/>
  <c r="AL649" i="13" s="1"/>
  <c r="AE649" i="13"/>
  <c r="AC649" i="13" s="1"/>
  <c r="BB649" i="13"/>
  <c r="BL650" i="13"/>
  <c r="BI649" i="13"/>
  <c r="BK649" i="13"/>
  <c r="BJ649" i="13"/>
  <c r="BC648" i="13"/>
  <c r="BD648" i="13"/>
  <c r="BE648" i="13"/>
  <c r="BF648" i="13"/>
  <c r="BG648" i="13"/>
  <c r="BH648" i="13"/>
  <c r="U648" i="13"/>
  <c r="AB648" i="13"/>
  <c r="AK648" i="13"/>
  <c r="AO648" i="13"/>
  <c r="AU648" i="13"/>
  <c r="BA648" i="13"/>
  <c r="AA648" i="13"/>
  <c r="AJ648" i="13"/>
  <c r="AT648" i="13"/>
  <c r="AZ648" i="13"/>
  <c r="Z648" i="13"/>
  <c r="AI648" i="13"/>
  <c r="AS648" i="13"/>
  <c r="AY648" i="13"/>
  <c r="Y648" i="13"/>
  <c r="AH648" i="13"/>
  <c r="AR648" i="13"/>
  <c r="AX648" i="13"/>
  <c r="X648" i="13"/>
  <c r="AG648" i="13"/>
  <c r="AQ648" i="13"/>
  <c r="AW648" i="13"/>
  <c r="W648" i="13"/>
  <c r="AE648" i="13" s="1"/>
  <c r="AF648" i="13"/>
  <c r="AN648" i="13" s="1"/>
  <c r="AP648" i="13"/>
  <c r="AV648" i="13"/>
  <c r="AM648" i="13" l="1"/>
  <c r="AL648" i="13" s="1"/>
  <c r="AD648" i="13"/>
  <c r="AC648" i="13" s="1"/>
  <c r="BB648" i="13"/>
  <c r="BL649" i="13"/>
  <c r="BI648" i="13"/>
  <c r="BK648" i="13"/>
  <c r="BJ648" i="13"/>
  <c r="BC647" i="13"/>
  <c r="BD647" i="13"/>
  <c r="BE647" i="13"/>
  <c r="BF647" i="13"/>
  <c r="BG647" i="13"/>
  <c r="BH647" i="13"/>
  <c r="U647" i="13"/>
  <c r="AB647" i="13"/>
  <c r="AK647" i="13"/>
  <c r="AO647" i="13"/>
  <c r="AU647" i="13"/>
  <c r="BA647" i="13"/>
  <c r="AA647" i="13"/>
  <c r="AJ647" i="13"/>
  <c r="AT647" i="13"/>
  <c r="AZ647" i="13"/>
  <c r="Z647" i="13"/>
  <c r="AI647" i="13"/>
  <c r="AS647" i="13"/>
  <c r="AY647" i="13"/>
  <c r="Y647" i="13"/>
  <c r="AH647" i="13"/>
  <c r="AR647" i="13"/>
  <c r="AX647" i="13"/>
  <c r="X647" i="13"/>
  <c r="AG647" i="13"/>
  <c r="AQ647" i="13"/>
  <c r="AW647" i="13"/>
  <c r="W647" i="13"/>
  <c r="AE647" i="13" s="1"/>
  <c r="AF647" i="13"/>
  <c r="AM647" i="13" s="1"/>
  <c r="AP647" i="13"/>
  <c r="AV647" i="13"/>
  <c r="AN647" i="13" l="1"/>
  <c r="AL647" i="13" s="1"/>
  <c r="AD647" i="13"/>
  <c r="AC647" i="13" s="1"/>
  <c r="BB647" i="13"/>
  <c r="BK647" i="13"/>
  <c r="BL648" i="13"/>
  <c r="BI647" i="13"/>
  <c r="BJ647" i="13"/>
  <c r="BC646" i="13"/>
  <c r="BD646" i="13"/>
  <c r="BE646" i="13"/>
  <c r="BF646" i="13"/>
  <c r="BG646" i="13"/>
  <c r="BH646" i="13"/>
  <c r="U646" i="13"/>
  <c r="AB646" i="13"/>
  <c r="AK646" i="13"/>
  <c r="AO646" i="13"/>
  <c r="AU646" i="13"/>
  <c r="BA646" i="13"/>
  <c r="AA646" i="13"/>
  <c r="AJ646" i="13"/>
  <c r="AT646" i="13"/>
  <c r="AZ646" i="13"/>
  <c r="Z646" i="13"/>
  <c r="AI646" i="13"/>
  <c r="AS646" i="13"/>
  <c r="AY646" i="13"/>
  <c r="Y646" i="13"/>
  <c r="AH646" i="13"/>
  <c r="AR646" i="13"/>
  <c r="AX646" i="13"/>
  <c r="X646" i="13"/>
  <c r="AG646" i="13"/>
  <c r="AQ646" i="13"/>
  <c r="AW646" i="13"/>
  <c r="W646" i="13"/>
  <c r="AF646" i="13"/>
  <c r="AP646" i="13"/>
  <c r="AV646" i="13"/>
  <c r="AN646" i="13" l="1"/>
  <c r="AD646" i="13"/>
  <c r="AM646" i="13"/>
  <c r="AL646" i="13" s="1"/>
  <c r="BB646" i="13"/>
  <c r="AE646" i="13"/>
  <c r="BK646" i="13"/>
  <c r="BJ646" i="13"/>
  <c r="BL647" i="13"/>
  <c r="BI646" i="13"/>
  <c r="BC645" i="13"/>
  <c r="BD645" i="13"/>
  <c r="BE645" i="13"/>
  <c r="BF645" i="13"/>
  <c r="BG645" i="13"/>
  <c r="BH645" i="13"/>
  <c r="U645" i="13"/>
  <c r="AB645" i="13"/>
  <c r="AK645" i="13"/>
  <c r="AO645" i="13"/>
  <c r="AU645" i="13"/>
  <c r="BA645" i="13"/>
  <c r="AA645" i="13"/>
  <c r="AJ645" i="13"/>
  <c r="AT645" i="13"/>
  <c r="AZ645" i="13"/>
  <c r="Z645" i="13"/>
  <c r="AI645" i="13"/>
  <c r="AS645" i="13"/>
  <c r="AY645" i="13"/>
  <c r="Y645" i="13"/>
  <c r="AH645" i="13"/>
  <c r="AR645" i="13"/>
  <c r="AX645" i="13"/>
  <c r="X645" i="13"/>
  <c r="AG645" i="13"/>
  <c r="AQ645" i="13"/>
  <c r="AW645" i="13"/>
  <c r="W645" i="13"/>
  <c r="AF645" i="13"/>
  <c r="AN645" i="13" s="1"/>
  <c r="AP645" i="13"/>
  <c r="AV645" i="13"/>
  <c r="BC644" i="13"/>
  <c r="BD644" i="13"/>
  <c r="BE644" i="13"/>
  <c r="BF644" i="13"/>
  <c r="BG644" i="13"/>
  <c r="BH644" i="13"/>
  <c r="U644" i="13"/>
  <c r="AB644" i="13"/>
  <c r="AK644" i="13"/>
  <c r="AO644" i="13"/>
  <c r="AU644" i="13"/>
  <c r="BA644" i="13"/>
  <c r="AA644" i="13"/>
  <c r="AJ644" i="13"/>
  <c r="AT644" i="13"/>
  <c r="AZ644" i="13"/>
  <c r="Z644" i="13"/>
  <c r="AI644" i="13"/>
  <c r="AS644" i="13"/>
  <c r="AY644" i="13"/>
  <c r="Y644" i="13"/>
  <c r="AH644" i="13"/>
  <c r="AR644" i="13"/>
  <c r="AX644" i="13"/>
  <c r="X644" i="13"/>
  <c r="AG644" i="13"/>
  <c r="AQ644" i="13"/>
  <c r="AW644" i="13"/>
  <c r="W644" i="13"/>
  <c r="AE644" i="13" s="1"/>
  <c r="AF644" i="13"/>
  <c r="AM644" i="13" s="1"/>
  <c r="AP644" i="13"/>
  <c r="AV644" i="13"/>
  <c r="AC646" i="13" l="1"/>
  <c r="AD645" i="13"/>
  <c r="AM645" i="13"/>
  <c r="AL645" i="13"/>
  <c r="BB645" i="13"/>
  <c r="AE645" i="13"/>
  <c r="AC645" i="13" s="1"/>
  <c r="BL646" i="13"/>
  <c r="BI645" i="13"/>
  <c r="BK645" i="13"/>
  <c r="BK644" i="13"/>
  <c r="BI644" i="13"/>
  <c r="BJ645" i="13"/>
  <c r="BJ644" i="13"/>
  <c r="AN644" i="13"/>
  <c r="AL644" i="13" s="1"/>
  <c r="AD644" i="13"/>
  <c r="AC644" i="13" s="1"/>
  <c r="BB644" i="13"/>
  <c r="BC643" i="13"/>
  <c r="BD643" i="13"/>
  <c r="BE643" i="13"/>
  <c r="BF643" i="13"/>
  <c r="BG643" i="13"/>
  <c r="BH643" i="13"/>
  <c r="U643" i="13"/>
  <c r="AB643" i="13"/>
  <c r="AK643" i="13"/>
  <c r="AO643" i="13"/>
  <c r="AU643" i="13"/>
  <c r="BA643" i="13"/>
  <c r="AA643" i="13"/>
  <c r="AJ643" i="13"/>
  <c r="AT643" i="13"/>
  <c r="AZ643" i="13"/>
  <c r="Z643" i="13"/>
  <c r="AI643" i="13"/>
  <c r="AS643" i="13"/>
  <c r="AY643" i="13"/>
  <c r="Y643" i="13"/>
  <c r="AH643" i="13"/>
  <c r="AR643" i="13"/>
  <c r="AX643" i="13"/>
  <c r="X643" i="13"/>
  <c r="AG643" i="13"/>
  <c r="AQ643" i="13"/>
  <c r="AW643" i="13"/>
  <c r="W643" i="13"/>
  <c r="AF643" i="13"/>
  <c r="AN643" i="13" s="1"/>
  <c r="AP643" i="13"/>
  <c r="AV643" i="13"/>
  <c r="BC642" i="13"/>
  <c r="BD642" i="13"/>
  <c r="BE642" i="13"/>
  <c r="BF642" i="13"/>
  <c r="BG642" i="13"/>
  <c r="BH642" i="13"/>
  <c r="U642" i="13"/>
  <c r="AB642" i="13"/>
  <c r="AK642" i="13"/>
  <c r="AO642" i="13"/>
  <c r="AU642" i="13"/>
  <c r="BA642" i="13"/>
  <c r="AA642" i="13"/>
  <c r="AJ642" i="13"/>
  <c r="AT642" i="13"/>
  <c r="AZ642" i="13"/>
  <c r="Z642" i="13"/>
  <c r="AI642" i="13"/>
  <c r="AS642" i="13"/>
  <c r="AY642" i="13"/>
  <c r="Y642" i="13"/>
  <c r="AH642" i="13"/>
  <c r="AR642" i="13"/>
  <c r="AX642" i="13"/>
  <c r="X642" i="13"/>
  <c r="AG642" i="13"/>
  <c r="AQ642" i="13"/>
  <c r="AW642" i="13"/>
  <c r="W642" i="13"/>
  <c r="AF642" i="13"/>
  <c r="AN642" i="13" s="1"/>
  <c r="AP642" i="13"/>
  <c r="AV642" i="13"/>
  <c r="BB642" i="13" s="1"/>
  <c r="AE642" i="13" l="1"/>
  <c r="AD643" i="13"/>
  <c r="AM643" i="13"/>
  <c r="BL645" i="13"/>
  <c r="BL644" i="13"/>
  <c r="BJ643" i="13"/>
  <c r="AL643" i="13"/>
  <c r="BB643" i="13"/>
  <c r="BI643" i="13"/>
  <c r="AE643" i="13"/>
  <c r="AC643" i="13" s="1"/>
  <c r="BK643" i="13"/>
  <c r="BI642" i="13"/>
  <c r="BK642" i="13"/>
  <c r="BJ642" i="13"/>
  <c r="AD642" i="13"/>
  <c r="AC642" i="13" s="1"/>
  <c r="AM642" i="13"/>
  <c r="AL642" i="13" s="1"/>
  <c r="BC641" i="13"/>
  <c r="BD641" i="13"/>
  <c r="BE641" i="13"/>
  <c r="BF641" i="13"/>
  <c r="BG641" i="13"/>
  <c r="BH641" i="13"/>
  <c r="U641" i="13"/>
  <c r="AB641" i="13"/>
  <c r="AK641" i="13"/>
  <c r="AO641" i="13"/>
  <c r="AU641" i="13"/>
  <c r="BA641" i="13"/>
  <c r="AA641" i="13"/>
  <c r="AJ641" i="13"/>
  <c r="AT641" i="13"/>
  <c r="AZ641" i="13"/>
  <c r="Z641" i="13"/>
  <c r="AI641" i="13"/>
  <c r="AS641" i="13"/>
  <c r="AY641" i="13"/>
  <c r="Y641" i="13"/>
  <c r="AH641" i="13"/>
  <c r="AR641" i="13"/>
  <c r="AX641" i="13"/>
  <c r="X641" i="13"/>
  <c r="AG641" i="13"/>
  <c r="AQ641" i="13"/>
  <c r="AW641" i="13"/>
  <c r="W641" i="13"/>
  <c r="AF641" i="13"/>
  <c r="AN641" i="13" s="1"/>
  <c r="AP641" i="13"/>
  <c r="AV641" i="13"/>
  <c r="BL643" i="13" l="1"/>
  <c r="AD641" i="13"/>
  <c r="BK641" i="13"/>
  <c r="BL642" i="13"/>
  <c r="BB641" i="13"/>
  <c r="AM641" i="13"/>
  <c r="AL641" i="13" s="1"/>
  <c r="AE641" i="13"/>
  <c r="AC641" i="13" s="1"/>
  <c r="BJ641" i="13"/>
  <c r="BI641" i="13"/>
  <c r="BC640" i="13"/>
  <c r="BD640" i="13"/>
  <c r="BE640" i="13"/>
  <c r="BF640" i="13"/>
  <c r="BG640" i="13"/>
  <c r="BH640" i="13"/>
  <c r="U640" i="13"/>
  <c r="AB640" i="13"/>
  <c r="AK640" i="13"/>
  <c r="AO640" i="13"/>
  <c r="AU640" i="13"/>
  <c r="BA640" i="13"/>
  <c r="AA640" i="13"/>
  <c r="AJ640" i="13"/>
  <c r="AT640" i="13"/>
  <c r="AZ640" i="13"/>
  <c r="Z640" i="13"/>
  <c r="AI640" i="13"/>
  <c r="AS640" i="13"/>
  <c r="AY640" i="13"/>
  <c r="Y640" i="13"/>
  <c r="AH640" i="13"/>
  <c r="AR640" i="13"/>
  <c r="AX640" i="13"/>
  <c r="X640" i="13"/>
  <c r="AG640" i="13"/>
  <c r="AQ640" i="13"/>
  <c r="AW640" i="13"/>
  <c r="W640" i="13"/>
  <c r="AE640" i="13" s="1"/>
  <c r="AF640" i="13"/>
  <c r="AM640" i="13" s="1"/>
  <c r="AP640" i="13"/>
  <c r="AV640" i="13"/>
  <c r="BL641" i="13" l="1"/>
  <c r="AN640" i="13"/>
  <c r="AL640" i="13" s="1"/>
  <c r="BK640" i="13"/>
  <c r="AD640" i="13"/>
  <c r="AC640" i="13" s="1"/>
  <c r="BB640" i="13"/>
  <c r="BJ640" i="13"/>
  <c r="BI640" i="13"/>
  <c r="BC639" i="13"/>
  <c r="BD639" i="13"/>
  <c r="BE639" i="13"/>
  <c r="BF639" i="13"/>
  <c r="BG639" i="13"/>
  <c r="BH639" i="13"/>
  <c r="U639" i="13"/>
  <c r="AB639" i="13"/>
  <c r="AK639" i="13"/>
  <c r="AO639" i="13"/>
  <c r="AU639" i="13"/>
  <c r="BA639" i="13"/>
  <c r="AA639" i="13"/>
  <c r="AJ639" i="13"/>
  <c r="AT639" i="13"/>
  <c r="AZ639" i="13"/>
  <c r="Z639" i="13"/>
  <c r="AI639" i="13"/>
  <c r="AS639" i="13"/>
  <c r="AY639" i="13"/>
  <c r="Y639" i="13"/>
  <c r="AH639" i="13"/>
  <c r="AR639" i="13"/>
  <c r="AX639" i="13"/>
  <c r="X639" i="13"/>
  <c r="AG639" i="13"/>
  <c r="AQ639" i="13"/>
  <c r="AW639" i="13"/>
  <c r="W639" i="13"/>
  <c r="AE639" i="13" s="1"/>
  <c r="AF639" i="13"/>
  <c r="AP639" i="13"/>
  <c r="AV639" i="13"/>
  <c r="AN639" i="13" l="1"/>
  <c r="AD639" i="13"/>
  <c r="AC639" i="13" s="1"/>
  <c r="BB639" i="13"/>
  <c r="AM639" i="13"/>
  <c r="AL639" i="13" s="1"/>
  <c r="BL640" i="13"/>
  <c r="BI639" i="13"/>
  <c r="BK639" i="13"/>
  <c r="BJ639" i="13"/>
  <c r="BC638" i="13"/>
  <c r="BD638" i="13"/>
  <c r="BE638" i="13"/>
  <c r="BF638" i="13"/>
  <c r="BG638" i="13"/>
  <c r="BH638" i="13"/>
  <c r="U638" i="13"/>
  <c r="AB638" i="13"/>
  <c r="AK638" i="13"/>
  <c r="AO638" i="13"/>
  <c r="AU638" i="13"/>
  <c r="BA638" i="13"/>
  <c r="AA638" i="13"/>
  <c r="AJ638" i="13"/>
  <c r="AT638" i="13"/>
  <c r="AZ638" i="13"/>
  <c r="Z638" i="13"/>
  <c r="AI638" i="13"/>
  <c r="AS638" i="13"/>
  <c r="AY638" i="13"/>
  <c r="Y638" i="13"/>
  <c r="AH638" i="13"/>
  <c r="AR638" i="13"/>
  <c r="AX638" i="13"/>
  <c r="X638" i="13"/>
  <c r="AG638" i="13"/>
  <c r="AQ638" i="13"/>
  <c r="AW638" i="13"/>
  <c r="W638" i="13"/>
  <c r="AF638" i="13"/>
  <c r="AM638" i="13" s="1"/>
  <c r="AP638" i="13"/>
  <c r="AV638" i="13"/>
  <c r="AN638" i="13" l="1"/>
  <c r="AE638" i="13"/>
  <c r="BL639" i="13"/>
  <c r="AD638" i="13"/>
  <c r="AL638" i="13"/>
  <c r="BK638" i="13"/>
  <c r="BB638" i="13"/>
  <c r="BJ638" i="13"/>
  <c r="BI638" i="13"/>
  <c r="BC637" i="13"/>
  <c r="BD637" i="13"/>
  <c r="BE637" i="13"/>
  <c r="BF637" i="13"/>
  <c r="BG637" i="13"/>
  <c r="BH637" i="13"/>
  <c r="U637" i="13"/>
  <c r="AB637" i="13"/>
  <c r="AK637" i="13"/>
  <c r="AO637" i="13"/>
  <c r="AU637" i="13"/>
  <c r="BA637" i="13"/>
  <c r="AA637" i="13"/>
  <c r="AJ637" i="13"/>
  <c r="AT637" i="13"/>
  <c r="AZ637" i="13"/>
  <c r="Z637" i="13"/>
  <c r="AI637" i="13"/>
  <c r="AS637" i="13"/>
  <c r="AY637" i="13"/>
  <c r="Y637" i="13"/>
  <c r="AH637" i="13"/>
  <c r="AR637" i="13"/>
  <c r="AX637" i="13"/>
  <c r="X637" i="13"/>
  <c r="AG637" i="13"/>
  <c r="AQ637" i="13"/>
  <c r="AW637" i="13"/>
  <c r="W637" i="13"/>
  <c r="AD637" i="13" s="1"/>
  <c r="AF637" i="13"/>
  <c r="AN637" i="13" s="1"/>
  <c r="AP637" i="13"/>
  <c r="AV637" i="13"/>
  <c r="AM637" i="13" l="1"/>
  <c r="AL637" i="13" s="1"/>
  <c r="AC638" i="13"/>
  <c r="AE637" i="13"/>
  <c r="AC637" i="13" s="1"/>
  <c r="BB637" i="13"/>
  <c r="BL638" i="13"/>
  <c r="BJ637" i="13"/>
  <c r="BK637" i="13"/>
  <c r="BI637" i="13"/>
  <c r="BC636" i="13"/>
  <c r="BD636" i="13"/>
  <c r="BE636" i="13"/>
  <c r="BF636" i="13"/>
  <c r="BG636" i="13"/>
  <c r="BH636" i="13"/>
  <c r="U636" i="13"/>
  <c r="AB636" i="13"/>
  <c r="AK636" i="13"/>
  <c r="AO636" i="13"/>
  <c r="AU636" i="13"/>
  <c r="BA636" i="13"/>
  <c r="AA636" i="13"/>
  <c r="AJ636" i="13"/>
  <c r="AT636" i="13"/>
  <c r="AZ636" i="13"/>
  <c r="Z636" i="13"/>
  <c r="AI636" i="13"/>
  <c r="AS636" i="13"/>
  <c r="AY636" i="13"/>
  <c r="Y636" i="13"/>
  <c r="AH636" i="13"/>
  <c r="AR636" i="13"/>
  <c r="AX636" i="13"/>
  <c r="X636" i="13"/>
  <c r="AG636" i="13"/>
  <c r="AQ636" i="13"/>
  <c r="AW636" i="13"/>
  <c r="W636" i="13"/>
  <c r="AF636" i="13"/>
  <c r="AM636" i="13" s="1"/>
  <c r="AP636" i="13"/>
  <c r="AV636" i="13"/>
  <c r="AE636" i="13" l="1"/>
  <c r="AN636" i="13"/>
  <c r="AL636" i="13" s="1"/>
  <c r="BB636" i="13"/>
  <c r="AD636" i="13"/>
  <c r="BL637" i="13"/>
  <c r="BK636" i="13"/>
  <c r="BI636" i="13"/>
  <c r="BJ636" i="13"/>
  <c r="BC635" i="13"/>
  <c r="BD635" i="13"/>
  <c r="BE635" i="13"/>
  <c r="BF635" i="13"/>
  <c r="BG635" i="13"/>
  <c r="BH635" i="13"/>
  <c r="U635" i="13"/>
  <c r="AB635" i="13"/>
  <c r="AK635" i="13"/>
  <c r="AO635" i="13"/>
  <c r="AU635" i="13"/>
  <c r="BA635" i="13"/>
  <c r="AA635" i="13"/>
  <c r="AJ635" i="13"/>
  <c r="AT635" i="13"/>
  <c r="AZ635" i="13"/>
  <c r="Z635" i="13"/>
  <c r="AI635" i="13"/>
  <c r="AS635" i="13"/>
  <c r="AY635" i="13"/>
  <c r="Y635" i="13"/>
  <c r="AH635" i="13"/>
  <c r="AR635" i="13"/>
  <c r="AX635" i="13"/>
  <c r="X635" i="13"/>
  <c r="AG635" i="13"/>
  <c r="AQ635" i="13"/>
  <c r="AW635" i="13"/>
  <c r="W635" i="13"/>
  <c r="AF635" i="13"/>
  <c r="AM635" i="13" s="1"/>
  <c r="AP635" i="13"/>
  <c r="AV635" i="13"/>
  <c r="AD635" i="13" l="1"/>
  <c r="AE635" i="13"/>
  <c r="AC635" i="13" s="1"/>
  <c r="AC636" i="13"/>
  <c r="BB635" i="13"/>
  <c r="AN635" i="13"/>
  <c r="AL635" i="13" s="1"/>
  <c r="BL636" i="13"/>
  <c r="BK635" i="13"/>
  <c r="BI635" i="13"/>
  <c r="BJ635" i="13"/>
  <c r="BC634" i="13"/>
  <c r="BD634" i="13"/>
  <c r="BE634" i="13"/>
  <c r="BF634" i="13"/>
  <c r="BG634" i="13"/>
  <c r="BH634" i="13"/>
  <c r="U634" i="13"/>
  <c r="AB634" i="13"/>
  <c r="AK634" i="13"/>
  <c r="AO634" i="13"/>
  <c r="AU634" i="13"/>
  <c r="BA634" i="13"/>
  <c r="AA634" i="13"/>
  <c r="AJ634" i="13"/>
  <c r="AT634" i="13"/>
  <c r="AZ634" i="13"/>
  <c r="Z634" i="13"/>
  <c r="AI634" i="13"/>
  <c r="AS634" i="13"/>
  <c r="AY634" i="13"/>
  <c r="Y634" i="13"/>
  <c r="AH634" i="13"/>
  <c r="AR634" i="13"/>
  <c r="AX634" i="13"/>
  <c r="X634" i="13"/>
  <c r="AG634" i="13"/>
  <c r="AQ634" i="13"/>
  <c r="AW634" i="13"/>
  <c r="W634" i="13"/>
  <c r="AE634" i="13" s="1"/>
  <c r="AF634" i="13"/>
  <c r="AP634" i="13"/>
  <c r="AV634" i="13"/>
  <c r="AN634" i="13" l="1"/>
  <c r="AM634" i="13"/>
  <c r="AL634" i="13" s="1"/>
  <c r="AD634" i="13"/>
  <c r="AC634" i="13" s="1"/>
  <c r="BB634" i="13"/>
  <c r="BL635" i="13"/>
  <c r="BI634" i="13"/>
  <c r="BK634" i="13"/>
  <c r="BJ634" i="13"/>
  <c r="BC633" i="13"/>
  <c r="BD633" i="13"/>
  <c r="BE633" i="13"/>
  <c r="BF633" i="13"/>
  <c r="BG633" i="13"/>
  <c r="BH633" i="13"/>
  <c r="U633" i="13"/>
  <c r="AB633" i="13"/>
  <c r="AK633" i="13"/>
  <c r="AO633" i="13"/>
  <c r="AU633" i="13"/>
  <c r="BA633" i="13"/>
  <c r="AA633" i="13"/>
  <c r="AJ633" i="13"/>
  <c r="AT633" i="13"/>
  <c r="AZ633" i="13"/>
  <c r="Z633" i="13"/>
  <c r="AI633" i="13"/>
  <c r="AS633" i="13"/>
  <c r="AY633" i="13"/>
  <c r="Y633" i="13"/>
  <c r="AH633" i="13"/>
  <c r="AR633" i="13"/>
  <c r="AX633" i="13"/>
  <c r="X633" i="13"/>
  <c r="AG633" i="13"/>
  <c r="AQ633" i="13"/>
  <c r="AW633" i="13"/>
  <c r="W633" i="13"/>
  <c r="AF633" i="13"/>
  <c r="AM633" i="13" s="1"/>
  <c r="AP633" i="13"/>
  <c r="AV633" i="13"/>
  <c r="AE633" i="13" l="1"/>
  <c r="AN633" i="13"/>
  <c r="AL633" i="13" s="1"/>
  <c r="AD633" i="13"/>
  <c r="AC633" i="13" s="1"/>
  <c r="BB633" i="13"/>
  <c r="BL634" i="13"/>
  <c r="BJ633" i="13"/>
  <c r="BI633" i="13"/>
  <c r="BK633" i="13"/>
  <c r="Q44" i="10"/>
  <c r="BC632" i="13"/>
  <c r="BD632" i="13"/>
  <c r="BE632" i="13"/>
  <c r="BF632" i="13"/>
  <c r="BG632" i="13"/>
  <c r="BH632" i="13"/>
  <c r="U632" i="13"/>
  <c r="AB632" i="13"/>
  <c r="AK632" i="13"/>
  <c r="AO632" i="13"/>
  <c r="AU632" i="13"/>
  <c r="BA632" i="13"/>
  <c r="AA632" i="13"/>
  <c r="AJ632" i="13"/>
  <c r="AT632" i="13"/>
  <c r="AZ632" i="13"/>
  <c r="Z632" i="13"/>
  <c r="AI632" i="13"/>
  <c r="AS632" i="13"/>
  <c r="AY632" i="13"/>
  <c r="Y632" i="13"/>
  <c r="AH632" i="13"/>
  <c r="AR632" i="13"/>
  <c r="AX632" i="13"/>
  <c r="X632" i="13"/>
  <c r="AG632" i="13"/>
  <c r="AQ632" i="13"/>
  <c r="AW632" i="13"/>
  <c r="W632" i="13"/>
  <c r="AF632" i="13"/>
  <c r="AP632" i="13"/>
  <c r="AV632" i="13"/>
  <c r="AE632" i="13" l="1"/>
  <c r="AN632" i="13"/>
  <c r="AM632" i="13"/>
  <c r="AL632" i="13" s="1"/>
  <c r="AD632" i="13"/>
  <c r="AC632" i="13" s="1"/>
  <c r="BB632" i="13"/>
  <c r="BK632" i="13"/>
  <c r="BL633" i="13"/>
  <c r="BJ632" i="13"/>
  <c r="BI632" i="13"/>
  <c r="BC631" i="13"/>
  <c r="BD631" i="13"/>
  <c r="BE631" i="13"/>
  <c r="BF631" i="13"/>
  <c r="BG631" i="13"/>
  <c r="BH631" i="13"/>
  <c r="U631" i="13"/>
  <c r="AB631" i="13"/>
  <c r="AK631" i="13"/>
  <c r="AO631" i="13"/>
  <c r="AU631" i="13"/>
  <c r="BA631" i="13"/>
  <c r="AA631" i="13"/>
  <c r="AJ631" i="13"/>
  <c r="AT631" i="13"/>
  <c r="AZ631" i="13"/>
  <c r="Z631" i="13"/>
  <c r="AI631" i="13"/>
  <c r="AS631" i="13"/>
  <c r="AY631" i="13"/>
  <c r="Y631" i="13"/>
  <c r="AH631" i="13"/>
  <c r="AR631" i="13"/>
  <c r="AX631" i="13"/>
  <c r="X631" i="13"/>
  <c r="AG631" i="13"/>
  <c r="AQ631" i="13"/>
  <c r="AW631" i="13"/>
  <c r="W631" i="13"/>
  <c r="AF631" i="13"/>
  <c r="AN631" i="13" s="1"/>
  <c r="AP631" i="13"/>
  <c r="AV631" i="13"/>
  <c r="AD631" i="13" l="1"/>
  <c r="AM631" i="13"/>
  <c r="AL631" i="13" s="1"/>
  <c r="AE631" i="13"/>
  <c r="AC631" i="13" s="1"/>
  <c r="BB631" i="13"/>
  <c r="BK631" i="13"/>
  <c r="BL632" i="13"/>
  <c r="BJ631" i="13"/>
  <c r="BI631" i="13"/>
  <c r="BC630" i="13"/>
  <c r="BD630" i="13"/>
  <c r="BE630" i="13"/>
  <c r="BF630" i="13"/>
  <c r="BG630" i="13"/>
  <c r="BH630" i="13"/>
  <c r="U630" i="13"/>
  <c r="AB630" i="13"/>
  <c r="AK630" i="13"/>
  <c r="AO630" i="13"/>
  <c r="AU630" i="13"/>
  <c r="BA630" i="13"/>
  <c r="AA630" i="13"/>
  <c r="AJ630" i="13"/>
  <c r="AT630" i="13"/>
  <c r="AZ630" i="13"/>
  <c r="Z630" i="13"/>
  <c r="AI630" i="13"/>
  <c r="AS630" i="13"/>
  <c r="AY630" i="13"/>
  <c r="Y630" i="13"/>
  <c r="AH630" i="13"/>
  <c r="AR630" i="13"/>
  <c r="AX630" i="13"/>
  <c r="X630" i="13"/>
  <c r="AG630" i="13"/>
  <c r="AQ630" i="13"/>
  <c r="AW630" i="13"/>
  <c r="W630" i="13"/>
  <c r="AF630" i="13"/>
  <c r="AN630" i="13" s="1"/>
  <c r="AP630" i="13"/>
  <c r="AV630" i="13"/>
  <c r="AE630" i="13" l="1"/>
  <c r="AM630" i="13"/>
  <c r="AL630" i="13" s="1"/>
  <c r="AD630" i="13"/>
  <c r="AC630" i="13" s="1"/>
  <c r="BB630" i="13"/>
  <c r="BI630" i="13"/>
  <c r="BL631" i="13"/>
  <c r="BJ630" i="13"/>
  <c r="BK630" i="13"/>
  <c r="BC629" i="13"/>
  <c r="BD629" i="13"/>
  <c r="BE629" i="13"/>
  <c r="BF629" i="13"/>
  <c r="BG629" i="13"/>
  <c r="BH629" i="13"/>
  <c r="U629" i="13"/>
  <c r="AB629" i="13"/>
  <c r="AK629" i="13"/>
  <c r="AO629" i="13"/>
  <c r="AU629" i="13"/>
  <c r="BA629" i="13"/>
  <c r="AA629" i="13"/>
  <c r="AJ629" i="13"/>
  <c r="AT629" i="13"/>
  <c r="AZ629" i="13"/>
  <c r="Z629" i="13"/>
  <c r="AI629" i="13"/>
  <c r="AS629" i="13"/>
  <c r="AY629" i="13"/>
  <c r="Y629" i="13"/>
  <c r="AH629" i="13"/>
  <c r="AR629" i="13"/>
  <c r="AX629" i="13"/>
  <c r="X629" i="13"/>
  <c r="AG629" i="13"/>
  <c r="AQ629" i="13"/>
  <c r="AW629" i="13"/>
  <c r="W629" i="13"/>
  <c r="AF629" i="13"/>
  <c r="AM629" i="13" s="1"/>
  <c r="AP629" i="13"/>
  <c r="AV629" i="13"/>
  <c r="AE629" i="13" l="1"/>
  <c r="AD629" i="13"/>
  <c r="AC629" i="13" s="1"/>
  <c r="AN629" i="13"/>
  <c r="AL629" i="13" s="1"/>
  <c r="BB629" i="13"/>
  <c r="BL630" i="13"/>
  <c r="BK629" i="13"/>
  <c r="BI629" i="13"/>
  <c r="BJ629" i="13"/>
  <c r="BC628" i="13"/>
  <c r="BD628" i="13"/>
  <c r="BE628" i="13"/>
  <c r="BF628" i="13"/>
  <c r="BG628" i="13"/>
  <c r="BH628" i="13"/>
  <c r="U628" i="13"/>
  <c r="AB628" i="13"/>
  <c r="AK628" i="13"/>
  <c r="AO628" i="13"/>
  <c r="AU628" i="13"/>
  <c r="BA628" i="13"/>
  <c r="AA628" i="13"/>
  <c r="AJ628" i="13"/>
  <c r="AT628" i="13"/>
  <c r="AZ628" i="13"/>
  <c r="Z628" i="13"/>
  <c r="AI628" i="13"/>
  <c r="AS628" i="13"/>
  <c r="AY628" i="13"/>
  <c r="Y628" i="13"/>
  <c r="AH628" i="13"/>
  <c r="AR628" i="13"/>
  <c r="AX628" i="13"/>
  <c r="X628" i="13"/>
  <c r="AG628" i="13"/>
  <c r="AQ628" i="13"/>
  <c r="AW628" i="13"/>
  <c r="W628" i="13"/>
  <c r="AF628" i="13"/>
  <c r="AM628" i="13" s="1"/>
  <c r="AP628" i="13"/>
  <c r="AV628" i="13"/>
  <c r="AD628" i="13" l="1"/>
  <c r="BB628" i="13"/>
  <c r="AN628" i="13"/>
  <c r="AL628" i="13" s="1"/>
  <c r="BK628" i="13"/>
  <c r="BJ628" i="13"/>
  <c r="BL629" i="13"/>
  <c r="BI628" i="13"/>
  <c r="AE628" i="13"/>
  <c r="BC627" i="13"/>
  <c r="BD627" i="13"/>
  <c r="BE627" i="13"/>
  <c r="BF627" i="13"/>
  <c r="BG627" i="13"/>
  <c r="BH627" i="13"/>
  <c r="U627" i="13"/>
  <c r="AB627" i="13"/>
  <c r="AK627" i="13"/>
  <c r="AO627" i="13"/>
  <c r="AU627" i="13"/>
  <c r="BA627" i="13"/>
  <c r="AA627" i="13"/>
  <c r="AJ627" i="13"/>
  <c r="AT627" i="13"/>
  <c r="AZ627" i="13"/>
  <c r="Z627" i="13"/>
  <c r="AI627" i="13"/>
  <c r="AS627" i="13"/>
  <c r="AY627" i="13"/>
  <c r="Y627" i="13"/>
  <c r="AH627" i="13"/>
  <c r="AR627" i="13"/>
  <c r="AX627" i="13"/>
  <c r="X627" i="13"/>
  <c r="AG627" i="13"/>
  <c r="AQ627" i="13"/>
  <c r="AW627" i="13"/>
  <c r="W627" i="13"/>
  <c r="AF627" i="13"/>
  <c r="AP627" i="13"/>
  <c r="AV627" i="13"/>
  <c r="AD627" i="13" l="1"/>
  <c r="BB627" i="13"/>
  <c r="AC628" i="13"/>
  <c r="AN627" i="13"/>
  <c r="AM627" i="13"/>
  <c r="AE627" i="13"/>
  <c r="AC627" i="13" s="1"/>
  <c r="BK627" i="13"/>
  <c r="BJ627" i="13"/>
  <c r="BL628" i="13"/>
  <c r="BI627" i="13"/>
  <c r="BC626" i="13"/>
  <c r="BD626" i="13"/>
  <c r="BE626" i="13"/>
  <c r="BF626" i="13"/>
  <c r="BG626" i="13"/>
  <c r="BH626" i="13"/>
  <c r="U626" i="13"/>
  <c r="AB626" i="13"/>
  <c r="AK626" i="13"/>
  <c r="AO626" i="13"/>
  <c r="AU626" i="13"/>
  <c r="BA626" i="13"/>
  <c r="AA626" i="13"/>
  <c r="AJ626" i="13"/>
  <c r="AT626" i="13"/>
  <c r="AZ626" i="13"/>
  <c r="Z626" i="13"/>
  <c r="AI626" i="13"/>
  <c r="AS626" i="13"/>
  <c r="AY626" i="13"/>
  <c r="Y626" i="13"/>
  <c r="AH626" i="13"/>
  <c r="AR626" i="13"/>
  <c r="AX626" i="13"/>
  <c r="X626" i="13"/>
  <c r="AG626" i="13"/>
  <c r="AQ626" i="13"/>
  <c r="AW626" i="13"/>
  <c r="W626" i="13"/>
  <c r="AE626" i="13" s="1"/>
  <c r="AF626" i="13"/>
  <c r="AN626" i="13" s="1"/>
  <c r="AP626" i="13"/>
  <c r="AV626" i="13"/>
  <c r="AM626" i="13" l="1"/>
  <c r="AL626" i="13" s="1"/>
  <c r="AL627" i="13"/>
  <c r="AD626" i="13"/>
  <c r="AC626" i="13" s="1"/>
  <c r="BB626" i="13"/>
  <c r="BK626" i="13"/>
  <c r="BL627" i="13"/>
  <c r="BJ626" i="13"/>
  <c r="BI626" i="13"/>
  <c r="BC625" i="13"/>
  <c r="BD625" i="13"/>
  <c r="BE625" i="13"/>
  <c r="BF625" i="13"/>
  <c r="BG625" i="13"/>
  <c r="BH625" i="13"/>
  <c r="U625" i="13"/>
  <c r="AB625" i="13"/>
  <c r="AK625" i="13"/>
  <c r="AO625" i="13"/>
  <c r="AU625" i="13"/>
  <c r="BA625" i="13"/>
  <c r="AA625" i="13"/>
  <c r="AJ625" i="13"/>
  <c r="AT625" i="13"/>
  <c r="AZ625" i="13"/>
  <c r="Z625" i="13"/>
  <c r="AI625" i="13"/>
  <c r="AS625" i="13"/>
  <c r="AY625" i="13"/>
  <c r="Y625" i="13"/>
  <c r="AH625" i="13"/>
  <c r="AR625" i="13"/>
  <c r="AX625" i="13"/>
  <c r="X625" i="13"/>
  <c r="AG625" i="13"/>
  <c r="AQ625" i="13"/>
  <c r="AW625" i="13"/>
  <c r="W625" i="13"/>
  <c r="AF625" i="13"/>
  <c r="AM625" i="13" s="1"/>
  <c r="AP625" i="13"/>
  <c r="AV625" i="13"/>
  <c r="BC607" i="13"/>
  <c r="BD607" i="13"/>
  <c r="BE607" i="13"/>
  <c r="BF607" i="13"/>
  <c r="BG607" i="13"/>
  <c r="BH607" i="13"/>
  <c r="BC608" i="13"/>
  <c r="BD608" i="13"/>
  <c r="BE608" i="13"/>
  <c r="BF608" i="13"/>
  <c r="BG608" i="13"/>
  <c r="BH608" i="13"/>
  <c r="BC609" i="13"/>
  <c r="BD609" i="13"/>
  <c r="BE609" i="13"/>
  <c r="BF609" i="13"/>
  <c r="BG609" i="13"/>
  <c r="BH609" i="13"/>
  <c r="BC610" i="13"/>
  <c r="BD610" i="13"/>
  <c r="BE610" i="13"/>
  <c r="BF610" i="13"/>
  <c r="BG610" i="13"/>
  <c r="BH610" i="13"/>
  <c r="BC611" i="13"/>
  <c r="BD611" i="13"/>
  <c r="BE611" i="13"/>
  <c r="BF611" i="13"/>
  <c r="BG611" i="13"/>
  <c r="BH611" i="13"/>
  <c r="BC612" i="13"/>
  <c r="BD612" i="13"/>
  <c r="BE612" i="13"/>
  <c r="BF612" i="13"/>
  <c r="BG612" i="13"/>
  <c r="BH612" i="13"/>
  <c r="BC613" i="13"/>
  <c r="BD613" i="13"/>
  <c r="BE613" i="13"/>
  <c r="BF613" i="13"/>
  <c r="BG613" i="13"/>
  <c r="BH613" i="13"/>
  <c r="BC614" i="13"/>
  <c r="BD614" i="13"/>
  <c r="BE614" i="13"/>
  <c r="BF614" i="13"/>
  <c r="BG614" i="13"/>
  <c r="BH614" i="13"/>
  <c r="BC615" i="13"/>
  <c r="BD615" i="13"/>
  <c r="BE615" i="13"/>
  <c r="BF615" i="13"/>
  <c r="BG615" i="13"/>
  <c r="BH615" i="13"/>
  <c r="BC616" i="13"/>
  <c r="BD616" i="13"/>
  <c r="BE616" i="13"/>
  <c r="BF616" i="13"/>
  <c r="BG616" i="13"/>
  <c r="BH616" i="13"/>
  <c r="BC617" i="13"/>
  <c r="BD617" i="13"/>
  <c r="BE617" i="13"/>
  <c r="BF617" i="13"/>
  <c r="BG617" i="13"/>
  <c r="BH617" i="13"/>
  <c r="BC618" i="13"/>
  <c r="BD618" i="13"/>
  <c r="BE618" i="13"/>
  <c r="BF618" i="13"/>
  <c r="BG618" i="13"/>
  <c r="BH618" i="13"/>
  <c r="BC619" i="13"/>
  <c r="BD619" i="13"/>
  <c r="BE619" i="13"/>
  <c r="BF619" i="13"/>
  <c r="BG619" i="13"/>
  <c r="BH619" i="13"/>
  <c r="BC620" i="13"/>
  <c r="BD620" i="13"/>
  <c r="BE620" i="13"/>
  <c r="BF620" i="13"/>
  <c r="BG620" i="13"/>
  <c r="BH620" i="13"/>
  <c r="BC621" i="13"/>
  <c r="BD621" i="13"/>
  <c r="BE621" i="13"/>
  <c r="BF621" i="13"/>
  <c r="BG621" i="13"/>
  <c r="BH621" i="13"/>
  <c r="BC622" i="13"/>
  <c r="BD622" i="13"/>
  <c r="BE622" i="13"/>
  <c r="BF622" i="13"/>
  <c r="BG622" i="13"/>
  <c r="BH622" i="13"/>
  <c r="BC623" i="13"/>
  <c r="BD623" i="13"/>
  <c r="BE623" i="13"/>
  <c r="BF623" i="13"/>
  <c r="BG623" i="13"/>
  <c r="BH623" i="13"/>
  <c r="BC624" i="13"/>
  <c r="BD624" i="13"/>
  <c r="BE624" i="13"/>
  <c r="BF624" i="13"/>
  <c r="BG624" i="13"/>
  <c r="BH624" i="13"/>
  <c r="U624" i="13"/>
  <c r="AB624" i="13"/>
  <c r="AK624" i="13"/>
  <c r="AO624" i="13"/>
  <c r="AU624" i="13"/>
  <c r="BA624" i="13"/>
  <c r="AA624" i="13"/>
  <c r="AJ624" i="13"/>
  <c r="AT624" i="13"/>
  <c r="AZ624" i="13"/>
  <c r="Z624" i="13"/>
  <c r="AI624" i="13"/>
  <c r="AS624" i="13"/>
  <c r="AY624" i="13"/>
  <c r="Y624" i="13"/>
  <c r="AH624" i="13"/>
  <c r="AR624" i="13"/>
  <c r="AX624" i="13"/>
  <c r="X624" i="13"/>
  <c r="AG624" i="13"/>
  <c r="AQ624" i="13"/>
  <c r="AW624" i="13"/>
  <c r="W624" i="13"/>
  <c r="AF624" i="13"/>
  <c r="AP624" i="13"/>
  <c r="AV624" i="13"/>
  <c r="U623" i="13"/>
  <c r="AB623" i="13"/>
  <c r="AK623" i="13"/>
  <c r="AO623" i="13"/>
  <c r="AU623" i="13"/>
  <c r="BA623" i="13"/>
  <c r="AA623" i="13"/>
  <c r="AJ623" i="13"/>
  <c r="AT623" i="13"/>
  <c r="AZ623" i="13"/>
  <c r="Z623" i="13"/>
  <c r="AI623" i="13"/>
  <c r="AS623" i="13"/>
  <c r="AY623" i="13"/>
  <c r="Y623" i="13"/>
  <c r="AH623" i="13"/>
  <c r="AR623" i="13"/>
  <c r="AX623" i="13"/>
  <c r="X623" i="13"/>
  <c r="AG623" i="13"/>
  <c r="AQ623" i="13"/>
  <c r="AW623" i="13"/>
  <c r="W623" i="13"/>
  <c r="AF623" i="13"/>
  <c r="AP623" i="13"/>
  <c r="AV623" i="13"/>
  <c r="U622" i="13"/>
  <c r="AB622" i="13"/>
  <c r="AK622" i="13"/>
  <c r="AO622" i="13"/>
  <c r="AU622" i="13"/>
  <c r="BA622" i="13"/>
  <c r="AA622" i="13"/>
  <c r="AJ622" i="13"/>
  <c r="AT622" i="13"/>
  <c r="AZ622" i="13"/>
  <c r="Z622" i="13"/>
  <c r="AI622" i="13"/>
  <c r="AS622" i="13"/>
  <c r="AY622" i="13"/>
  <c r="Y622" i="13"/>
  <c r="AH622" i="13"/>
  <c r="AR622" i="13"/>
  <c r="AX622" i="13"/>
  <c r="X622" i="13"/>
  <c r="AG622" i="13"/>
  <c r="AQ622" i="13"/>
  <c r="AW622" i="13"/>
  <c r="W622" i="13"/>
  <c r="AF622" i="13"/>
  <c r="AN622" i="13" s="1"/>
  <c r="AP622" i="13"/>
  <c r="AV622" i="13"/>
  <c r="U621" i="13"/>
  <c r="AB621" i="13"/>
  <c r="AK621" i="13"/>
  <c r="AO621" i="13"/>
  <c r="AU621" i="13"/>
  <c r="BA621" i="13"/>
  <c r="AA621" i="13"/>
  <c r="AJ621" i="13"/>
  <c r="AT621" i="13"/>
  <c r="AZ621" i="13"/>
  <c r="Z621" i="13"/>
  <c r="AI621" i="13"/>
  <c r="AS621" i="13"/>
  <c r="AY621" i="13"/>
  <c r="Y621" i="13"/>
  <c r="AH621" i="13"/>
  <c r="AR621" i="13"/>
  <c r="AX621" i="13"/>
  <c r="X621" i="13"/>
  <c r="AG621" i="13"/>
  <c r="AQ621" i="13"/>
  <c r="AW621" i="13"/>
  <c r="W621" i="13"/>
  <c r="AF621" i="13"/>
  <c r="AP621" i="13"/>
  <c r="AV621" i="13"/>
  <c r="U620" i="13"/>
  <c r="AB620" i="13"/>
  <c r="AK620" i="13"/>
  <c r="AO620" i="13"/>
  <c r="AU620" i="13"/>
  <c r="BA620" i="13"/>
  <c r="AA620" i="13"/>
  <c r="AJ620" i="13"/>
  <c r="AT620" i="13"/>
  <c r="AZ620" i="13"/>
  <c r="Z620" i="13"/>
  <c r="AI620" i="13"/>
  <c r="AS620" i="13"/>
  <c r="AY620" i="13"/>
  <c r="Y620" i="13"/>
  <c r="AH620" i="13"/>
  <c r="AR620" i="13"/>
  <c r="AX620" i="13"/>
  <c r="X620" i="13"/>
  <c r="AG620" i="13"/>
  <c r="AQ620" i="13"/>
  <c r="AW620" i="13"/>
  <c r="W620" i="13"/>
  <c r="AF620" i="13"/>
  <c r="AN620" i="13" s="1"/>
  <c r="AP620" i="13"/>
  <c r="AV620" i="13"/>
  <c r="U619" i="13"/>
  <c r="AB619" i="13"/>
  <c r="AK619" i="13"/>
  <c r="AO619" i="13"/>
  <c r="AU619" i="13"/>
  <c r="BA619" i="13"/>
  <c r="AA619" i="13"/>
  <c r="AJ619" i="13"/>
  <c r="AT619" i="13"/>
  <c r="AZ619" i="13"/>
  <c r="Z619" i="13"/>
  <c r="AI619" i="13"/>
  <c r="AS619" i="13"/>
  <c r="AY619" i="13"/>
  <c r="Y619" i="13"/>
  <c r="AH619" i="13"/>
  <c r="AR619" i="13"/>
  <c r="AX619" i="13"/>
  <c r="X619" i="13"/>
  <c r="AG619" i="13"/>
  <c r="AQ619" i="13"/>
  <c r="AW619" i="13"/>
  <c r="W619" i="13"/>
  <c r="AF619" i="13"/>
  <c r="AP619" i="13"/>
  <c r="AV619" i="13"/>
  <c r="U618" i="13"/>
  <c r="AB618" i="13"/>
  <c r="AK618" i="13"/>
  <c r="AO618" i="13"/>
  <c r="AU618" i="13"/>
  <c r="BA618" i="13"/>
  <c r="AA618" i="13"/>
  <c r="AJ618" i="13"/>
  <c r="AT618" i="13"/>
  <c r="AZ618" i="13"/>
  <c r="Z618" i="13"/>
  <c r="AI618" i="13"/>
  <c r="AS618" i="13"/>
  <c r="AY618" i="13"/>
  <c r="Y618" i="13"/>
  <c r="AH618" i="13"/>
  <c r="AR618" i="13"/>
  <c r="AX618" i="13"/>
  <c r="X618" i="13"/>
  <c r="AG618" i="13"/>
  <c r="AQ618" i="13"/>
  <c r="AW618" i="13"/>
  <c r="W618" i="13"/>
  <c r="AF618" i="13"/>
  <c r="AN618" i="13" s="1"/>
  <c r="AP618" i="13"/>
  <c r="AV618" i="13"/>
  <c r="U617" i="13"/>
  <c r="AB617" i="13"/>
  <c r="AK617" i="13"/>
  <c r="AO617" i="13"/>
  <c r="AU617" i="13"/>
  <c r="BA617" i="13"/>
  <c r="AA617" i="13"/>
  <c r="AJ617" i="13"/>
  <c r="AT617" i="13"/>
  <c r="AZ617" i="13"/>
  <c r="Z617" i="13"/>
  <c r="AI617" i="13"/>
  <c r="AS617" i="13"/>
  <c r="AY617" i="13"/>
  <c r="Y617" i="13"/>
  <c r="AH617" i="13"/>
  <c r="AR617" i="13"/>
  <c r="AX617" i="13"/>
  <c r="X617" i="13"/>
  <c r="AG617" i="13"/>
  <c r="AQ617" i="13"/>
  <c r="AW617" i="13"/>
  <c r="W617" i="13"/>
  <c r="AF617" i="13"/>
  <c r="AP617" i="13"/>
  <c r="AV617" i="13"/>
  <c r="U616" i="13"/>
  <c r="AB616" i="13"/>
  <c r="AK616" i="13"/>
  <c r="AO616" i="13"/>
  <c r="AU616" i="13"/>
  <c r="BA616" i="13"/>
  <c r="AA616" i="13"/>
  <c r="AJ616" i="13"/>
  <c r="AT616" i="13"/>
  <c r="AZ616" i="13"/>
  <c r="Z616" i="13"/>
  <c r="AI616" i="13"/>
  <c r="AS616" i="13"/>
  <c r="AY616" i="13"/>
  <c r="Y616" i="13"/>
  <c r="AH616" i="13"/>
  <c r="AR616" i="13"/>
  <c r="AX616" i="13"/>
  <c r="X616" i="13"/>
  <c r="AG616" i="13"/>
  <c r="AQ616" i="13"/>
  <c r="AW616" i="13"/>
  <c r="W616" i="13"/>
  <c r="AF616" i="13"/>
  <c r="AP616" i="13"/>
  <c r="AV616" i="13"/>
  <c r="U615" i="13"/>
  <c r="AB615" i="13"/>
  <c r="AK615" i="13"/>
  <c r="AO615" i="13"/>
  <c r="AU615" i="13"/>
  <c r="BA615" i="13"/>
  <c r="AA615" i="13"/>
  <c r="AJ615" i="13"/>
  <c r="AT615" i="13"/>
  <c r="AZ615" i="13"/>
  <c r="Z615" i="13"/>
  <c r="AI615" i="13"/>
  <c r="AS615" i="13"/>
  <c r="AY615" i="13"/>
  <c r="Y615" i="13"/>
  <c r="AH615" i="13"/>
  <c r="AR615" i="13"/>
  <c r="AX615" i="13"/>
  <c r="X615" i="13"/>
  <c r="AG615" i="13"/>
  <c r="AQ615" i="13"/>
  <c r="AW615" i="13"/>
  <c r="W615" i="13"/>
  <c r="AF615" i="13"/>
  <c r="AP615" i="13"/>
  <c r="AV615" i="13"/>
  <c r="U614" i="13"/>
  <c r="AB614" i="13"/>
  <c r="AK614" i="13"/>
  <c r="AO614" i="13"/>
  <c r="AU614" i="13"/>
  <c r="BA614" i="13"/>
  <c r="AA614" i="13"/>
  <c r="AJ614" i="13"/>
  <c r="AT614" i="13"/>
  <c r="AZ614" i="13"/>
  <c r="Z614" i="13"/>
  <c r="AI614" i="13"/>
  <c r="AS614" i="13"/>
  <c r="AY614" i="13"/>
  <c r="Y614" i="13"/>
  <c r="AH614" i="13"/>
  <c r="AR614" i="13"/>
  <c r="AX614" i="13"/>
  <c r="X614" i="13"/>
  <c r="AG614" i="13"/>
  <c r="AQ614" i="13"/>
  <c r="AW614" i="13"/>
  <c r="W614" i="13"/>
  <c r="AF614" i="13"/>
  <c r="AP614" i="13"/>
  <c r="AV614" i="13"/>
  <c r="U613" i="13"/>
  <c r="AB613" i="13"/>
  <c r="AK613" i="13"/>
  <c r="AO613" i="13"/>
  <c r="AU613" i="13"/>
  <c r="BA613" i="13"/>
  <c r="AA613" i="13"/>
  <c r="AJ613" i="13"/>
  <c r="AT613" i="13"/>
  <c r="AZ613" i="13"/>
  <c r="Z613" i="13"/>
  <c r="AI613" i="13"/>
  <c r="AS613" i="13"/>
  <c r="AY613" i="13"/>
  <c r="Y613" i="13"/>
  <c r="AH613" i="13"/>
  <c r="AR613" i="13"/>
  <c r="AX613" i="13"/>
  <c r="X613" i="13"/>
  <c r="AG613" i="13"/>
  <c r="AQ613" i="13"/>
  <c r="AW613" i="13"/>
  <c r="W613" i="13"/>
  <c r="AF613" i="13"/>
  <c r="AP613" i="13"/>
  <c r="AV613" i="13"/>
  <c r="U612" i="13"/>
  <c r="AB612" i="13"/>
  <c r="AK612" i="13"/>
  <c r="AO612" i="13"/>
  <c r="AU612" i="13"/>
  <c r="BA612" i="13"/>
  <c r="AA612" i="13"/>
  <c r="AJ612" i="13"/>
  <c r="AT612" i="13"/>
  <c r="AZ612" i="13"/>
  <c r="Z612" i="13"/>
  <c r="AI612" i="13"/>
  <c r="AS612" i="13"/>
  <c r="AY612" i="13"/>
  <c r="Y612" i="13"/>
  <c r="AH612" i="13"/>
  <c r="AR612" i="13"/>
  <c r="AX612" i="13"/>
  <c r="X612" i="13"/>
  <c r="AG612" i="13"/>
  <c r="AQ612" i="13"/>
  <c r="AW612" i="13"/>
  <c r="W612" i="13"/>
  <c r="AF612" i="13"/>
  <c r="AP612" i="13"/>
  <c r="AV612" i="13"/>
  <c r="U611" i="13"/>
  <c r="AB611" i="13"/>
  <c r="AK611" i="13"/>
  <c r="AN611" i="13" s="1"/>
  <c r="AO611" i="13"/>
  <c r="AU611" i="13"/>
  <c r="BA611" i="13"/>
  <c r="AA611" i="13"/>
  <c r="AJ611" i="13"/>
  <c r="AT611" i="13"/>
  <c r="AZ611" i="13"/>
  <c r="Z611" i="13"/>
  <c r="AI611" i="13"/>
  <c r="AS611" i="13"/>
  <c r="AY611" i="13"/>
  <c r="Y611" i="13"/>
  <c r="AH611" i="13"/>
  <c r="AR611" i="13"/>
  <c r="AX611" i="13"/>
  <c r="X611" i="13"/>
  <c r="AG611" i="13"/>
  <c r="AQ611" i="13"/>
  <c r="AW611" i="13"/>
  <c r="W611" i="13"/>
  <c r="AF611" i="13"/>
  <c r="AP611" i="13"/>
  <c r="AV611" i="13"/>
  <c r="U610" i="13"/>
  <c r="AB610" i="13"/>
  <c r="AK610" i="13"/>
  <c r="AO610" i="13"/>
  <c r="AU610" i="13"/>
  <c r="BA610" i="13"/>
  <c r="AA610" i="13"/>
  <c r="AJ610" i="13"/>
  <c r="AT610" i="13"/>
  <c r="AZ610" i="13"/>
  <c r="Z610" i="13"/>
  <c r="AI610" i="13"/>
  <c r="AS610" i="13"/>
  <c r="AY610" i="13"/>
  <c r="Y610" i="13"/>
  <c r="AH610" i="13"/>
  <c r="AR610" i="13"/>
  <c r="AX610" i="13"/>
  <c r="X610" i="13"/>
  <c r="AG610" i="13"/>
  <c r="AQ610" i="13"/>
  <c r="AW610" i="13"/>
  <c r="W610" i="13"/>
  <c r="AD610" i="13" s="1"/>
  <c r="AF610" i="13"/>
  <c r="AP610" i="13"/>
  <c r="AV610" i="13"/>
  <c r="U609" i="13"/>
  <c r="AB609" i="13"/>
  <c r="AK609" i="13"/>
  <c r="AN609" i="13" s="1"/>
  <c r="AO609" i="13"/>
  <c r="AU609" i="13"/>
  <c r="BA609" i="13"/>
  <c r="AA609" i="13"/>
  <c r="AJ609" i="13"/>
  <c r="AT609" i="13"/>
  <c r="AZ609" i="13"/>
  <c r="Z609" i="13"/>
  <c r="AI609" i="13"/>
  <c r="AS609" i="13"/>
  <c r="AY609" i="13"/>
  <c r="Y609" i="13"/>
  <c r="AH609" i="13"/>
  <c r="AR609" i="13"/>
  <c r="AX609" i="13"/>
  <c r="X609" i="13"/>
  <c r="AG609" i="13"/>
  <c r="AQ609" i="13"/>
  <c r="AW609" i="13"/>
  <c r="W609" i="13"/>
  <c r="AF609" i="13"/>
  <c r="AP609" i="13"/>
  <c r="AV609" i="13"/>
  <c r="U608" i="13"/>
  <c r="AB608" i="13"/>
  <c r="AK608" i="13"/>
  <c r="AO608" i="13"/>
  <c r="AU608" i="13"/>
  <c r="BA608" i="13"/>
  <c r="AA608" i="13"/>
  <c r="AJ608" i="13"/>
  <c r="AT608" i="13"/>
  <c r="AZ608" i="13"/>
  <c r="Z608" i="13"/>
  <c r="AI608" i="13"/>
  <c r="AS608" i="13"/>
  <c r="AY608" i="13"/>
  <c r="Y608" i="13"/>
  <c r="AH608" i="13"/>
  <c r="AR608" i="13"/>
  <c r="AX608" i="13"/>
  <c r="X608" i="13"/>
  <c r="AG608" i="13"/>
  <c r="AQ608" i="13"/>
  <c r="AW608" i="13"/>
  <c r="W608" i="13"/>
  <c r="AF608" i="13"/>
  <c r="AP608" i="13"/>
  <c r="AV608" i="13"/>
  <c r="U607" i="13"/>
  <c r="AB607" i="13"/>
  <c r="AK607" i="13"/>
  <c r="AO607" i="13"/>
  <c r="AU607" i="13"/>
  <c r="BA607" i="13"/>
  <c r="AA607" i="13"/>
  <c r="AJ607" i="13"/>
  <c r="AT607" i="13"/>
  <c r="AZ607" i="13"/>
  <c r="Z607" i="13"/>
  <c r="AI607" i="13"/>
  <c r="AS607" i="13"/>
  <c r="AY607" i="13"/>
  <c r="Y607" i="13"/>
  <c r="AH607" i="13"/>
  <c r="AR607" i="13"/>
  <c r="AX607" i="13"/>
  <c r="X607" i="13"/>
  <c r="AG607" i="13"/>
  <c r="AQ607" i="13"/>
  <c r="AW607" i="13"/>
  <c r="W607" i="13"/>
  <c r="AF607" i="13"/>
  <c r="AP607" i="13"/>
  <c r="AV607" i="13"/>
  <c r="AM614" i="13" l="1"/>
  <c r="AM619" i="13"/>
  <c r="AM623" i="13"/>
  <c r="AE611" i="13"/>
  <c r="AD613" i="13"/>
  <c r="AD615" i="13"/>
  <c r="AD617" i="13"/>
  <c r="AM607" i="13"/>
  <c r="AN608" i="13"/>
  <c r="AM616" i="13"/>
  <c r="AN610" i="13"/>
  <c r="AN612" i="13"/>
  <c r="AN616" i="13"/>
  <c r="AN621" i="13"/>
  <c r="AE623" i="13"/>
  <c r="AD618" i="13"/>
  <c r="AD625" i="13"/>
  <c r="AN625" i="13"/>
  <c r="AM608" i="13"/>
  <c r="AD607" i="13"/>
  <c r="AM609" i="13"/>
  <c r="AM613" i="13"/>
  <c r="AM615" i="13"/>
  <c r="AM617" i="13"/>
  <c r="AM618" i="13"/>
  <c r="AE620" i="13"/>
  <c r="BB623" i="13"/>
  <c r="AD624" i="13"/>
  <c r="AE609" i="13"/>
  <c r="AM611" i="13"/>
  <c r="AL611" i="13" s="1"/>
  <c r="AM612" i="13"/>
  <c r="AD616" i="13"/>
  <c r="AD619" i="13"/>
  <c r="AN619" i="13"/>
  <c r="AL619" i="13" s="1"/>
  <c r="AM621" i="13"/>
  <c r="AM622" i="13"/>
  <c r="AL622" i="13" s="1"/>
  <c r="AD623" i="13"/>
  <c r="AM624" i="13"/>
  <c r="AD608" i="13"/>
  <c r="BB607" i="13"/>
  <c r="AD621" i="13"/>
  <c r="AL608" i="13"/>
  <c r="AN613" i="13"/>
  <c r="AN615" i="13"/>
  <c r="AL615" i="13" s="1"/>
  <c r="AL618" i="13"/>
  <c r="AN623" i="13"/>
  <c r="AL623" i="13" s="1"/>
  <c r="AE624" i="13"/>
  <c r="AL616" i="13"/>
  <c r="AN607" i="13"/>
  <c r="AM610" i="13"/>
  <c r="AL610" i="13" s="1"/>
  <c r="AD612" i="13"/>
  <c r="AN617" i="13"/>
  <c r="AL617" i="13" s="1"/>
  <c r="AM620" i="13"/>
  <c r="AL620" i="13" s="1"/>
  <c r="AD622" i="13"/>
  <c r="AL609" i="13"/>
  <c r="BB609" i="13"/>
  <c r="AD620" i="13"/>
  <c r="BB621" i="13"/>
  <c r="AD609" i="13"/>
  <c r="AC609" i="13" s="1"/>
  <c r="AD611" i="13"/>
  <c r="AC611" i="13" s="1"/>
  <c r="BB612" i="13"/>
  <c r="AE608" i="13"/>
  <c r="AC608" i="13" s="1"/>
  <c r="AE610" i="13"/>
  <c r="AC610" i="13" s="1"/>
  <c r="AE612" i="13"/>
  <c r="AC612" i="13" s="1"/>
  <c r="AE616" i="13"/>
  <c r="AE618" i="13"/>
  <c r="AE622" i="13"/>
  <c r="BB624" i="13"/>
  <c r="AE625" i="13"/>
  <c r="AC625" i="13" s="1"/>
  <c r="BB613" i="13"/>
  <c r="BB617" i="13"/>
  <c r="AC623" i="13"/>
  <c r="BB611" i="13"/>
  <c r="BB615" i="13"/>
  <c r="BB619" i="13"/>
  <c r="AE607" i="13"/>
  <c r="AC607" i="13" s="1"/>
  <c r="AE613" i="13"/>
  <c r="AC613" i="13" s="1"/>
  <c r="AD614" i="13"/>
  <c r="AE615" i="13"/>
  <c r="AC615" i="13" s="1"/>
  <c r="AE617" i="13"/>
  <c r="AC617" i="13" s="1"/>
  <c r="AE619" i="13"/>
  <c r="AC619" i="13" s="1"/>
  <c r="AE621" i="13"/>
  <c r="AC621" i="13" s="1"/>
  <c r="AN624" i="13"/>
  <c r="AL625" i="13"/>
  <c r="BB608" i="13"/>
  <c r="BB610" i="13"/>
  <c r="BB614" i="13"/>
  <c r="BB616" i="13"/>
  <c r="BB618" i="13"/>
  <c r="BB620" i="13"/>
  <c r="BB622" i="13"/>
  <c r="BB625" i="13"/>
  <c r="BL626" i="13"/>
  <c r="BK625" i="13"/>
  <c r="BJ625" i="13"/>
  <c r="BK607" i="13"/>
  <c r="BI625" i="13"/>
  <c r="BI618" i="13"/>
  <c r="BI622" i="13"/>
  <c r="BI614" i="13"/>
  <c r="BI612" i="13"/>
  <c r="BI610" i="13"/>
  <c r="BI617" i="13"/>
  <c r="BI619" i="13"/>
  <c r="BI624" i="13"/>
  <c r="BI615" i="13"/>
  <c r="BI613" i="13"/>
  <c r="BI608" i="13"/>
  <c r="BI620" i="13"/>
  <c r="BK614" i="13"/>
  <c r="BI611" i="13"/>
  <c r="BI609" i="13"/>
  <c r="BI623" i="13"/>
  <c r="BI621" i="13"/>
  <c r="BI616" i="13"/>
  <c r="BK610" i="13"/>
  <c r="BK615" i="13"/>
  <c r="BK611" i="13"/>
  <c r="BJ607" i="13"/>
  <c r="BK612" i="13"/>
  <c r="BK608" i="13"/>
  <c r="BK613" i="13"/>
  <c r="BJ609" i="13"/>
  <c r="BI607" i="13"/>
  <c r="BJ624" i="13"/>
  <c r="BJ623" i="13"/>
  <c r="BJ622" i="13"/>
  <c r="BJ621" i="13"/>
  <c r="BJ620" i="13"/>
  <c r="BJ619" i="13"/>
  <c r="BJ618" i="13"/>
  <c r="BJ617" i="13"/>
  <c r="BJ616" i="13"/>
  <c r="BJ615" i="13"/>
  <c r="BJ614" i="13"/>
  <c r="BJ613" i="13"/>
  <c r="BJ612" i="13"/>
  <c r="BJ611" i="13"/>
  <c r="BJ610" i="13"/>
  <c r="BJ608" i="13"/>
  <c r="BK624" i="13"/>
  <c r="BK623" i="13"/>
  <c r="BK622" i="13"/>
  <c r="BK621" i="13"/>
  <c r="BK620" i="13"/>
  <c r="BL620" i="13" s="1"/>
  <c r="BK619" i="13"/>
  <c r="BK618" i="13"/>
  <c r="BK617" i="13"/>
  <c r="BK616" i="13"/>
  <c r="BK609" i="13"/>
  <c r="AN614" i="13"/>
  <c r="AL614" i="13" s="1"/>
  <c r="AE614" i="13"/>
  <c r="AC614" i="13" s="1"/>
  <c r="U578" i="13"/>
  <c r="W578" i="13"/>
  <c r="X578" i="13"/>
  <c r="Y578" i="13"/>
  <c r="Z578" i="13"/>
  <c r="AA578" i="13"/>
  <c r="AB578" i="13"/>
  <c r="AD578" i="13"/>
  <c r="AF578" i="13"/>
  <c r="AG578" i="13"/>
  <c r="AH578" i="13"/>
  <c r="AI578" i="13"/>
  <c r="AM578" i="13" s="1"/>
  <c r="AJ578" i="13"/>
  <c r="AK578" i="13"/>
  <c r="AO578" i="13"/>
  <c r="AP578" i="13"/>
  <c r="AQ578" i="13"/>
  <c r="AR578" i="13"/>
  <c r="AS578" i="13"/>
  <c r="AT578" i="13"/>
  <c r="AU578" i="13"/>
  <c r="AV578" i="13"/>
  <c r="AW578" i="13"/>
  <c r="AX578" i="13"/>
  <c r="AY578" i="13"/>
  <c r="AZ578" i="13"/>
  <c r="BA578" i="13"/>
  <c r="BC578" i="13"/>
  <c r="BD578" i="13"/>
  <c r="BE578" i="13"/>
  <c r="BF578" i="13"/>
  <c r="BG578" i="13"/>
  <c r="BH578" i="13"/>
  <c r="U579" i="13"/>
  <c r="W579" i="13"/>
  <c r="X579" i="13"/>
  <c r="Y579" i="13"/>
  <c r="Z579" i="13"/>
  <c r="AA579" i="13"/>
  <c r="AB579" i="13"/>
  <c r="AF579" i="13"/>
  <c r="AG579" i="13"/>
  <c r="AH579" i="13"/>
  <c r="AI579" i="13"/>
  <c r="AJ579" i="13"/>
  <c r="AK579" i="13"/>
  <c r="AO579" i="13"/>
  <c r="AP579" i="13"/>
  <c r="AQ579" i="13"/>
  <c r="AR579" i="13"/>
  <c r="AS579" i="13"/>
  <c r="AT579" i="13"/>
  <c r="AU579" i="13"/>
  <c r="AV579" i="13"/>
  <c r="AW579" i="13"/>
  <c r="AX579" i="13"/>
  <c r="AY579" i="13"/>
  <c r="AZ579" i="13"/>
  <c r="BA579" i="13"/>
  <c r="BC579" i="13"/>
  <c r="BD579" i="13"/>
  <c r="BE579" i="13"/>
  <c r="BF579" i="13"/>
  <c r="BG579" i="13"/>
  <c r="BH579" i="13"/>
  <c r="U580" i="13"/>
  <c r="W580" i="13"/>
  <c r="X580" i="13"/>
  <c r="Y580" i="13"/>
  <c r="Z580" i="13"/>
  <c r="AA580" i="13"/>
  <c r="AB580" i="13"/>
  <c r="AF580" i="13"/>
  <c r="AG580" i="13"/>
  <c r="AH580" i="13"/>
  <c r="AI580" i="13"/>
  <c r="AJ580" i="13"/>
  <c r="AK580" i="13"/>
  <c r="AO580" i="13"/>
  <c r="AP580" i="13"/>
  <c r="AQ580" i="13"/>
  <c r="AR580" i="13"/>
  <c r="AS580" i="13"/>
  <c r="AT580" i="13"/>
  <c r="AU580" i="13"/>
  <c r="AV580" i="13"/>
  <c r="AW580" i="13"/>
  <c r="AX580" i="13"/>
  <c r="AY580" i="13"/>
  <c r="AZ580" i="13"/>
  <c r="BA580" i="13"/>
  <c r="BC580" i="13"/>
  <c r="BD580" i="13"/>
  <c r="BE580" i="13"/>
  <c r="BF580" i="13"/>
  <c r="BG580" i="13"/>
  <c r="BH580" i="13"/>
  <c r="U581" i="13"/>
  <c r="W581" i="13"/>
  <c r="X581" i="13"/>
  <c r="Y581" i="13"/>
  <c r="Z581" i="13"/>
  <c r="AA581" i="13"/>
  <c r="AB581" i="13"/>
  <c r="AF581" i="13"/>
  <c r="AG581" i="13"/>
  <c r="AH581" i="13"/>
  <c r="AI581" i="13"/>
  <c r="AJ581" i="13"/>
  <c r="AK581" i="13"/>
  <c r="AO581" i="13"/>
  <c r="AP581" i="13"/>
  <c r="AQ581" i="13"/>
  <c r="AR581" i="13"/>
  <c r="AS581" i="13"/>
  <c r="AT581" i="13"/>
  <c r="AU581" i="13"/>
  <c r="AV581" i="13"/>
  <c r="AW581" i="13"/>
  <c r="AX581" i="13"/>
  <c r="AY581" i="13"/>
  <c r="AZ581" i="13"/>
  <c r="BA581" i="13"/>
  <c r="BC581" i="13"/>
  <c r="BD581" i="13"/>
  <c r="BE581" i="13"/>
  <c r="BF581" i="13"/>
  <c r="BG581" i="13"/>
  <c r="BH581" i="13"/>
  <c r="U582" i="13"/>
  <c r="W582" i="13"/>
  <c r="X582" i="13"/>
  <c r="Y582" i="13"/>
  <c r="Z582" i="13"/>
  <c r="AA582" i="13"/>
  <c r="AB582" i="13"/>
  <c r="AF582" i="13"/>
  <c r="AG582" i="13"/>
  <c r="AH582" i="13"/>
  <c r="AI582" i="13"/>
  <c r="AJ582" i="13"/>
  <c r="AK582" i="13"/>
  <c r="AO582" i="13"/>
  <c r="AP582" i="13"/>
  <c r="AQ582" i="13"/>
  <c r="AR582" i="13"/>
  <c r="AS582" i="13"/>
  <c r="AT582" i="13"/>
  <c r="AU582" i="13"/>
  <c r="AV582" i="13"/>
  <c r="AW582" i="13"/>
  <c r="AX582" i="13"/>
  <c r="AY582" i="13"/>
  <c r="AZ582" i="13"/>
  <c r="BA582" i="13"/>
  <c r="BC582" i="13"/>
  <c r="BD582" i="13"/>
  <c r="BE582" i="13"/>
  <c r="BF582" i="13"/>
  <c r="BG582" i="13"/>
  <c r="BH582" i="13"/>
  <c r="U583" i="13"/>
  <c r="W583" i="13"/>
  <c r="X583" i="13"/>
  <c r="Y583" i="13"/>
  <c r="Z583" i="13"/>
  <c r="AA583" i="13"/>
  <c r="AB583" i="13"/>
  <c r="AF583" i="13"/>
  <c r="AG583" i="13"/>
  <c r="AH583" i="13"/>
  <c r="AI583" i="13"/>
  <c r="AJ583" i="13"/>
  <c r="AK583" i="13"/>
  <c r="AO583" i="13"/>
  <c r="AP583" i="13"/>
  <c r="AQ583" i="13"/>
  <c r="AR583" i="13"/>
  <c r="AS583" i="13"/>
  <c r="AT583" i="13"/>
  <c r="AU583" i="13"/>
  <c r="AV583" i="13"/>
  <c r="AW583" i="13"/>
  <c r="AX583" i="13"/>
  <c r="AY583" i="13"/>
  <c r="AZ583" i="13"/>
  <c r="BA583" i="13"/>
  <c r="BC583" i="13"/>
  <c r="BD583" i="13"/>
  <c r="BE583" i="13"/>
  <c r="BF583" i="13"/>
  <c r="BG583" i="13"/>
  <c r="BH583" i="13"/>
  <c r="U584" i="13"/>
  <c r="W584" i="13"/>
  <c r="X584" i="13"/>
  <c r="Y584" i="13"/>
  <c r="Z584" i="13"/>
  <c r="AA584" i="13"/>
  <c r="AB584" i="13"/>
  <c r="AF584" i="13"/>
  <c r="AG584" i="13"/>
  <c r="AH584" i="13"/>
  <c r="AI584" i="13"/>
  <c r="AJ584" i="13"/>
  <c r="AK584" i="13"/>
  <c r="AO584" i="13"/>
  <c r="AP584" i="13"/>
  <c r="AQ584" i="13"/>
  <c r="AR584" i="13"/>
  <c r="AS584" i="13"/>
  <c r="AT584" i="13"/>
  <c r="AU584" i="13"/>
  <c r="AV584" i="13"/>
  <c r="AW584" i="13"/>
  <c r="AX584" i="13"/>
  <c r="AY584" i="13"/>
  <c r="AZ584" i="13"/>
  <c r="BA584" i="13"/>
  <c r="BC584" i="13"/>
  <c r="BD584" i="13"/>
  <c r="BE584" i="13"/>
  <c r="BF584" i="13"/>
  <c r="BG584" i="13"/>
  <c r="BH584" i="13"/>
  <c r="U585" i="13"/>
  <c r="W585" i="13"/>
  <c r="X585" i="13"/>
  <c r="Y585" i="13"/>
  <c r="Z585" i="13"/>
  <c r="AA585" i="13"/>
  <c r="AB585" i="13"/>
  <c r="AF585" i="13"/>
  <c r="AG585" i="13"/>
  <c r="AH585" i="13"/>
  <c r="AI585" i="13"/>
  <c r="AJ585" i="13"/>
  <c r="AK585" i="13"/>
  <c r="AO585" i="13"/>
  <c r="AP585" i="13"/>
  <c r="AQ585" i="13"/>
  <c r="AR585" i="13"/>
  <c r="AS585" i="13"/>
  <c r="AT585" i="13"/>
  <c r="AU585" i="13"/>
  <c r="AV585" i="13"/>
  <c r="AW585" i="13"/>
  <c r="AX585" i="13"/>
  <c r="AY585" i="13"/>
  <c r="AZ585" i="13"/>
  <c r="BA585" i="13"/>
  <c r="BC585" i="13"/>
  <c r="BD585" i="13"/>
  <c r="BE585" i="13"/>
  <c r="BF585" i="13"/>
  <c r="BG585" i="13"/>
  <c r="BH585" i="13"/>
  <c r="U586" i="13"/>
  <c r="W586" i="13"/>
  <c r="X586" i="13"/>
  <c r="Y586" i="13"/>
  <c r="Z586" i="13"/>
  <c r="AA586" i="13"/>
  <c r="AB586" i="13"/>
  <c r="AF586" i="13"/>
  <c r="AG586" i="13"/>
  <c r="AH586" i="13"/>
  <c r="AI586" i="13"/>
  <c r="AJ586" i="13"/>
  <c r="AK586" i="13"/>
  <c r="AO586" i="13"/>
  <c r="AP586" i="13"/>
  <c r="AQ586" i="13"/>
  <c r="AR586" i="13"/>
  <c r="AS586" i="13"/>
  <c r="AT586" i="13"/>
  <c r="AU586" i="13"/>
  <c r="AV586" i="13"/>
  <c r="AW586" i="13"/>
  <c r="AX586" i="13"/>
  <c r="AY586" i="13"/>
  <c r="AZ586" i="13"/>
  <c r="BA586" i="13"/>
  <c r="BC586" i="13"/>
  <c r="BD586" i="13"/>
  <c r="BE586" i="13"/>
  <c r="BF586" i="13"/>
  <c r="BG586" i="13"/>
  <c r="BH586" i="13"/>
  <c r="U587" i="13"/>
  <c r="W587" i="13"/>
  <c r="X587" i="13"/>
  <c r="Y587" i="13"/>
  <c r="Z587" i="13"/>
  <c r="AA587" i="13"/>
  <c r="AB587" i="13"/>
  <c r="AF587" i="13"/>
  <c r="AG587" i="13"/>
  <c r="AH587" i="13"/>
  <c r="AI587" i="13"/>
  <c r="AJ587" i="13"/>
  <c r="AK587" i="13"/>
  <c r="AO587" i="13"/>
  <c r="AP587" i="13"/>
  <c r="AQ587" i="13"/>
  <c r="AR587" i="13"/>
  <c r="AS587" i="13"/>
  <c r="AT587" i="13"/>
  <c r="AU587" i="13"/>
  <c r="AV587" i="13"/>
  <c r="AW587" i="13"/>
  <c r="AX587" i="13"/>
  <c r="AY587" i="13"/>
  <c r="AZ587" i="13"/>
  <c r="BA587" i="13"/>
  <c r="BC587" i="13"/>
  <c r="BD587" i="13"/>
  <c r="BE587" i="13"/>
  <c r="BF587" i="13"/>
  <c r="BG587" i="13"/>
  <c r="BH587" i="13"/>
  <c r="U588" i="13"/>
  <c r="W588" i="13"/>
  <c r="X588" i="13"/>
  <c r="Y588" i="13"/>
  <c r="Z588" i="13"/>
  <c r="AA588" i="13"/>
  <c r="AB588" i="13"/>
  <c r="AF588" i="13"/>
  <c r="AG588" i="13"/>
  <c r="AH588" i="13"/>
  <c r="AI588" i="13"/>
  <c r="AJ588" i="13"/>
  <c r="AK588" i="13"/>
  <c r="AO588" i="13"/>
  <c r="AP588" i="13"/>
  <c r="AQ588" i="13"/>
  <c r="AR588" i="13"/>
  <c r="AS588" i="13"/>
  <c r="AT588" i="13"/>
  <c r="AU588" i="13"/>
  <c r="AV588" i="13"/>
  <c r="AW588" i="13"/>
  <c r="AX588" i="13"/>
  <c r="AY588" i="13"/>
  <c r="AZ588" i="13"/>
  <c r="BA588" i="13"/>
  <c r="BC588" i="13"/>
  <c r="BD588" i="13"/>
  <c r="BE588" i="13"/>
  <c r="BF588" i="13"/>
  <c r="BG588" i="13"/>
  <c r="BH588" i="13"/>
  <c r="U589" i="13"/>
  <c r="W589" i="13"/>
  <c r="X589" i="13"/>
  <c r="Y589" i="13"/>
  <c r="Z589" i="13"/>
  <c r="AA589" i="13"/>
  <c r="AB589" i="13"/>
  <c r="AF589" i="13"/>
  <c r="AG589" i="13"/>
  <c r="AH589" i="13"/>
  <c r="AI589" i="13"/>
  <c r="AJ589" i="13"/>
  <c r="AK589" i="13"/>
  <c r="AO589" i="13"/>
  <c r="AP589" i="13"/>
  <c r="AQ589" i="13"/>
  <c r="AR589" i="13"/>
  <c r="AS589" i="13"/>
  <c r="AT589" i="13"/>
  <c r="AU589" i="13"/>
  <c r="AV589" i="13"/>
  <c r="AW589" i="13"/>
  <c r="AX589" i="13"/>
  <c r="AY589" i="13"/>
  <c r="AZ589" i="13"/>
  <c r="BA589" i="13"/>
  <c r="BC589" i="13"/>
  <c r="BD589" i="13"/>
  <c r="BE589" i="13"/>
  <c r="BF589" i="13"/>
  <c r="BG589" i="13"/>
  <c r="BH589" i="13"/>
  <c r="U590" i="13"/>
  <c r="W590" i="13"/>
  <c r="X590" i="13"/>
  <c r="Y590" i="13"/>
  <c r="Z590" i="13"/>
  <c r="AA590" i="13"/>
  <c r="AB590" i="13"/>
  <c r="AF590" i="13"/>
  <c r="AG590" i="13"/>
  <c r="AH590" i="13"/>
  <c r="AI590" i="13"/>
  <c r="AJ590" i="13"/>
  <c r="AK590" i="13"/>
  <c r="AO590" i="13"/>
  <c r="AP590" i="13"/>
  <c r="AQ590" i="13"/>
  <c r="AR590" i="13"/>
  <c r="AS590" i="13"/>
  <c r="AT590" i="13"/>
  <c r="AU590" i="13"/>
  <c r="AV590" i="13"/>
  <c r="AW590" i="13"/>
  <c r="AX590" i="13"/>
  <c r="AY590" i="13"/>
  <c r="AZ590" i="13"/>
  <c r="BA590" i="13"/>
  <c r="BC590" i="13"/>
  <c r="BD590" i="13"/>
  <c r="BE590" i="13"/>
  <c r="BF590" i="13"/>
  <c r="BG590" i="13"/>
  <c r="BH590" i="13"/>
  <c r="U591" i="13"/>
  <c r="W591" i="13"/>
  <c r="X591" i="13"/>
  <c r="Y591" i="13"/>
  <c r="Z591" i="13"/>
  <c r="AA591" i="13"/>
  <c r="AB591" i="13"/>
  <c r="AF591" i="13"/>
  <c r="AG591" i="13"/>
  <c r="AH591" i="13"/>
  <c r="AI591" i="13"/>
  <c r="AJ591" i="13"/>
  <c r="AK591" i="13"/>
  <c r="AO591" i="13"/>
  <c r="AP591" i="13"/>
  <c r="AQ591" i="13"/>
  <c r="AR591" i="13"/>
  <c r="AS591" i="13"/>
  <c r="AT591" i="13"/>
  <c r="AU591" i="13"/>
  <c r="AV591" i="13"/>
  <c r="AW591" i="13"/>
  <c r="AX591" i="13"/>
  <c r="AY591" i="13"/>
  <c r="AZ591" i="13"/>
  <c r="BA591" i="13"/>
  <c r="BC591" i="13"/>
  <c r="BD591" i="13"/>
  <c r="BE591" i="13"/>
  <c r="BF591" i="13"/>
  <c r="BG591" i="13"/>
  <c r="BH591" i="13"/>
  <c r="U592" i="13"/>
  <c r="W592" i="13"/>
  <c r="X592" i="13"/>
  <c r="Y592" i="13"/>
  <c r="Z592" i="13"/>
  <c r="AA592" i="13"/>
  <c r="AB592" i="13"/>
  <c r="AF592" i="13"/>
  <c r="AG592" i="13"/>
  <c r="AH592" i="13"/>
  <c r="AI592" i="13"/>
  <c r="AJ592" i="13"/>
  <c r="AK592" i="13"/>
  <c r="AO592" i="13"/>
  <c r="AP592" i="13"/>
  <c r="AQ592" i="13"/>
  <c r="AR592" i="13"/>
  <c r="AS592" i="13"/>
  <c r="AT592" i="13"/>
  <c r="AU592" i="13"/>
  <c r="AV592" i="13"/>
  <c r="AW592" i="13"/>
  <c r="AX592" i="13"/>
  <c r="AY592" i="13"/>
  <c r="AZ592" i="13"/>
  <c r="BA592" i="13"/>
  <c r="BC592" i="13"/>
  <c r="BD592" i="13"/>
  <c r="BE592" i="13"/>
  <c r="BF592" i="13"/>
  <c r="BG592" i="13"/>
  <c r="BH592" i="13"/>
  <c r="U593" i="13"/>
  <c r="W593" i="13"/>
  <c r="X593" i="13"/>
  <c r="Y593" i="13"/>
  <c r="Z593" i="13"/>
  <c r="AA593" i="13"/>
  <c r="AB593" i="13"/>
  <c r="AF593" i="13"/>
  <c r="AG593" i="13"/>
  <c r="AH593" i="13"/>
  <c r="AI593" i="13"/>
  <c r="AJ593" i="13"/>
  <c r="AK593" i="13"/>
  <c r="AO593" i="13"/>
  <c r="AP593" i="13"/>
  <c r="AQ593" i="13"/>
  <c r="AR593" i="13"/>
  <c r="AS593" i="13"/>
  <c r="AT593" i="13"/>
  <c r="AU593" i="13"/>
  <c r="AV593" i="13"/>
  <c r="AW593" i="13"/>
  <c r="AX593" i="13"/>
  <c r="AY593" i="13"/>
  <c r="AZ593" i="13"/>
  <c r="BA593" i="13"/>
  <c r="BC593" i="13"/>
  <c r="BD593" i="13"/>
  <c r="BE593" i="13"/>
  <c r="BF593" i="13"/>
  <c r="BG593" i="13"/>
  <c r="BH593" i="13"/>
  <c r="U594" i="13"/>
  <c r="W594" i="13"/>
  <c r="X594" i="13"/>
  <c r="Y594" i="13"/>
  <c r="Z594" i="13"/>
  <c r="AA594" i="13"/>
  <c r="AB594" i="13"/>
  <c r="AF594" i="13"/>
  <c r="AG594" i="13"/>
  <c r="AH594" i="13"/>
  <c r="AI594" i="13"/>
  <c r="AJ594" i="13"/>
  <c r="AK594" i="13"/>
  <c r="AO594" i="13"/>
  <c r="AP594" i="13"/>
  <c r="AQ594" i="13"/>
  <c r="AR594" i="13"/>
  <c r="AS594" i="13"/>
  <c r="AT594" i="13"/>
  <c r="AU594" i="13"/>
  <c r="AV594" i="13"/>
  <c r="AW594" i="13"/>
  <c r="AX594" i="13"/>
  <c r="AY594" i="13"/>
  <c r="AZ594" i="13"/>
  <c r="BA594" i="13"/>
  <c r="BC594" i="13"/>
  <c r="BD594" i="13"/>
  <c r="BE594" i="13"/>
  <c r="BF594" i="13"/>
  <c r="BG594" i="13"/>
  <c r="BH594" i="13"/>
  <c r="U595" i="13"/>
  <c r="W595" i="13"/>
  <c r="X595" i="13"/>
  <c r="Y595" i="13"/>
  <c r="Z595" i="13"/>
  <c r="AA595" i="13"/>
  <c r="AB595" i="13"/>
  <c r="AF595" i="13"/>
  <c r="AG595" i="13"/>
  <c r="AH595" i="13"/>
  <c r="AI595" i="13"/>
  <c r="AJ595" i="13"/>
  <c r="AK595" i="13"/>
  <c r="AO595" i="13"/>
  <c r="AP595" i="13"/>
  <c r="AQ595" i="13"/>
  <c r="AR595" i="13"/>
  <c r="AS595" i="13"/>
  <c r="AT595" i="13"/>
  <c r="AU595" i="13"/>
  <c r="AV595" i="13"/>
  <c r="AW595" i="13"/>
  <c r="AX595" i="13"/>
  <c r="AY595" i="13"/>
  <c r="AZ595" i="13"/>
  <c r="BA595" i="13"/>
  <c r="BC595" i="13"/>
  <c r="BD595" i="13"/>
  <c r="BE595" i="13"/>
  <c r="BF595" i="13"/>
  <c r="BG595" i="13"/>
  <c r="BH595" i="13"/>
  <c r="U596" i="13"/>
  <c r="W596" i="13"/>
  <c r="X596" i="13"/>
  <c r="Y596" i="13"/>
  <c r="Z596" i="13"/>
  <c r="AA596" i="13"/>
  <c r="AB596" i="13"/>
  <c r="AF596" i="13"/>
  <c r="AG596" i="13"/>
  <c r="AH596" i="13"/>
  <c r="AI596" i="13"/>
  <c r="AJ596" i="13"/>
  <c r="AK596" i="13"/>
  <c r="AO596" i="13"/>
  <c r="AP596" i="13"/>
  <c r="AQ596" i="13"/>
  <c r="AR596" i="13"/>
  <c r="AS596" i="13"/>
  <c r="AT596" i="13"/>
  <c r="AU596" i="13"/>
  <c r="AV596" i="13"/>
  <c r="AW596" i="13"/>
  <c r="AX596" i="13"/>
  <c r="AY596" i="13"/>
  <c r="AZ596" i="13"/>
  <c r="BA596" i="13"/>
  <c r="BC596" i="13"/>
  <c r="BD596" i="13"/>
  <c r="BE596" i="13"/>
  <c r="BF596" i="13"/>
  <c r="BG596" i="13"/>
  <c r="BH596" i="13"/>
  <c r="U597" i="13"/>
  <c r="W597" i="13"/>
  <c r="X597" i="13"/>
  <c r="Y597" i="13"/>
  <c r="Z597" i="13"/>
  <c r="AA597" i="13"/>
  <c r="AB597" i="13"/>
  <c r="AF597" i="13"/>
  <c r="AG597" i="13"/>
  <c r="AH597" i="13"/>
  <c r="AI597" i="13"/>
  <c r="AJ597" i="13"/>
  <c r="AK597" i="13"/>
  <c r="AO597" i="13"/>
  <c r="AP597" i="13"/>
  <c r="AQ597" i="13"/>
  <c r="AR597" i="13"/>
  <c r="AS597" i="13"/>
  <c r="AT597" i="13"/>
  <c r="AU597" i="13"/>
  <c r="AV597" i="13"/>
  <c r="AW597" i="13"/>
  <c r="AX597" i="13"/>
  <c r="AY597" i="13"/>
  <c r="AZ597" i="13"/>
  <c r="BA597" i="13"/>
  <c r="BC597" i="13"/>
  <c r="BD597" i="13"/>
  <c r="BE597" i="13"/>
  <c r="BF597" i="13"/>
  <c r="BG597" i="13"/>
  <c r="BH597" i="13"/>
  <c r="U598" i="13"/>
  <c r="W598" i="13"/>
  <c r="X598" i="13"/>
  <c r="Y598" i="13"/>
  <c r="Z598" i="13"/>
  <c r="AA598" i="13"/>
  <c r="AB598" i="13"/>
  <c r="AF598" i="13"/>
  <c r="AG598" i="13"/>
  <c r="AH598" i="13"/>
  <c r="AI598" i="13"/>
  <c r="AJ598" i="13"/>
  <c r="AK598" i="13"/>
  <c r="AO598" i="13"/>
  <c r="AP598" i="13"/>
  <c r="AQ598" i="13"/>
  <c r="AR598" i="13"/>
  <c r="AS598" i="13"/>
  <c r="AT598" i="13"/>
  <c r="AU598" i="13"/>
  <c r="AV598" i="13"/>
  <c r="AW598" i="13"/>
  <c r="AX598" i="13"/>
  <c r="AY598" i="13"/>
  <c r="AZ598" i="13"/>
  <c r="BA598" i="13"/>
  <c r="BC598" i="13"/>
  <c r="BD598" i="13"/>
  <c r="BE598" i="13"/>
  <c r="BF598" i="13"/>
  <c r="BG598" i="13"/>
  <c r="BH598" i="13"/>
  <c r="U599" i="13"/>
  <c r="W599" i="13"/>
  <c r="X599" i="13"/>
  <c r="Y599" i="13"/>
  <c r="Z599" i="13"/>
  <c r="AA599" i="13"/>
  <c r="AB599" i="13"/>
  <c r="AF599" i="13"/>
  <c r="AG599" i="13"/>
  <c r="AH599" i="13"/>
  <c r="AI599" i="13"/>
  <c r="AJ599" i="13"/>
  <c r="AK599" i="13"/>
  <c r="AO599" i="13"/>
  <c r="AP599" i="13"/>
  <c r="AQ599" i="13"/>
  <c r="AR599" i="13"/>
  <c r="AS599" i="13"/>
  <c r="AT599" i="13"/>
  <c r="AU599" i="13"/>
  <c r="AV599" i="13"/>
  <c r="AW599" i="13"/>
  <c r="AX599" i="13"/>
  <c r="AY599" i="13"/>
  <c r="AZ599" i="13"/>
  <c r="BA599" i="13"/>
  <c r="BC599" i="13"/>
  <c r="BD599" i="13"/>
  <c r="BE599" i="13"/>
  <c r="BF599" i="13"/>
  <c r="BG599" i="13"/>
  <c r="BH599" i="13"/>
  <c r="U600" i="13"/>
  <c r="W600" i="13"/>
  <c r="X600" i="13"/>
  <c r="Y600" i="13"/>
  <c r="Z600" i="13"/>
  <c r="AA600" i="13"/>
  <c r="AB600" i="13"/>
  <c r="AF600" i="13"/>
  <c r="AG600" i="13"/>
  <c r="AH600" i="13"/>
  <c r="AI600" i="13"/>
  <c r="AJ600" i="13"/>
  <c r="AK600" i="13"/>
  <c r="AO600" i="13"/>
  <c r="AP600" i="13"/>
  <c r="AQ600" i="13"/>
  <c r="AR600" i="13"/>
  <c r="AS600" i="13"/>
  <c r="AT600" i="13"/>
  <c r="AU600" i="13"/>
  <c r="AV600" i="13"/>
  <c r="AW600" i="13"/>
  <c r="AX600" i="13"/>
  <c r="AY600" i="13"/>
  <c r="AZ600" i="13"/>
  <c r="BA600" i="13"/>
  <c r="BC600" i="13"/>
  <c r="BD600" i="13"/>
  <c r="BE600" i="13"/>
  <c r="BF600" i="13"/>
  <c r="BG600" i="13"/>
  <c r="BH600" i="13"/>
  <c r="U601" i="13"/>
  <c r="W601" i="13"/>
  <c r="X601" i="13"/>
  <c r="Y601" i="13"/>
  <c r="Z601" i="13"/>
  <c r="AA601" i="13"/>
  <c r="AB601" i="13"/>
  <c r="AF601" i="13"/>
  <c r="AG601" i="13"/>
  <c r="AH601" i="13"/>
  <c r="AI601" i="13"/>
  <c r="AJ601" i="13"/>
  <c r="AK601" i="13"/>
  <c r="AO601" i="13"/>
  <c r="AP601" i="13"/>
  <c r="AQ601" i="13"/>
  <c r="AR601" i="13"/>
  <c r="AS601" i="13"/>
  <c r="AT601" i="13"/>
  <c r="AU601" i="13"/>
  <c r="AV601" i="13"/>
  <c r="AW601" i="13"/>
  <c r="AX601" i="13"/>
  <c r="AY601" i="13"/>
  <c r="AZ601" i="13"/>
  <c r="BA601" i="13"/>
  <c r="BC601" i="13"/>
  <c r="BD601" i="13"/>
  <c r="BE601" i="13"/>
  <c r="BF601" i="13"/>
  <c r="BG601" i="13"/>
  <c r="BH601" i="13"/>
  <c r="U602" i="13"/>
  <c r="W602" i="13"/>
  <c r="X602" i="13"/>
  <c r="Y602" i="13"/>
  <c r="Z602" i="13"/>
  <c r="AA602" i="13"/>
  <c r="AB602" i="13"/>
  <c r="AF602" i="13"/>
  <c r="AG602" i="13"/>
  <c r="AH602" i="13"/>
  <c r="AI602" i="13"/>
  <c r="AJ602" i="13"/>
  <c r="AK602" i="13"/>
  <c r="AO602" i="13"/>
  <c r="AP602" i="13"/>
  <c r="AQ602" i="13"/>
  <c r="AR602" i="13"/>
  <c r="AS602" i="13"/>
  <c r="AT602" i="13"/>
  <c r="AU602" i="13"/>
  <c r="AV602" i="13"/>
  <c r="AW602" i="13"/>
  <c r="AX602" i="13"/>
  <c r="AY602" i="13"/>
  <c r="AZ602" i="13"/>
  <c r="BA602" i="13"/>
  <c r="BC602" i="13"/>
  <c r="BD602" i="13"/>
  <c r="BE602" i="13"/>
  <c r="BF602" i="13"/>
  <c r="BG602" i="13"/>
  <c r="BH602" i="13"/>
  <c r="U603" i="13"/>
  <c r="W603" i="13"/>
  <c r="X603" i="13"/>
  <c r="Y603" i="13"/>
  <c r="Z603" i="13"/>
  <c r="AA603" i="13"/>
  <c r="AB603" i="13"/>
  <c r="AF603" i="13"/>
  <c r="AG603" i="13"/>
  <c r="AH603" i="13"/>
  <c r="AI603" i="13"/>
  <c r="AJ603" i="13"/>
  <c r="AK603" i="13"/>
  <c r="AO603" i="13"/>
  <c r="AP603" i="13"/>
  <c r="AQ603" i="13"/>
  <c r="AR603" i="13"/>
  <c r="AS603" i="13"/>
  <c r="AT603" i="13"/>
  <c r="AU603" i="13"/>
  <c r="AV603" i="13"/>
  <c r="AW603" i="13"/>
  <c r="AX603" i="13"/>
  <c r="AY603" i="13"/>
  <c r="AZ603" i="13"/>
  <c r="BA603" i="13"/>
  <c r="BC603" i="13"/>
  <c r="BD603" i="13"/>
  <c r="BE603" i="13"/>
  <c r="BF603" i="13"/>
  <c r="BG603" i="13"/>
  <c r="BH603" i="13"/>
  <c r="U604" i="13"/>
  <c r="W604" i="13"/>
  <c r="X604" i="13"/>
  <c r="Y604" i="13"/>
  <c r="Z604" i="13"/>
  <c r="AA604" i="13"/>
  <c r="AB604" i="13"/>
  <c r="AF604" i="13"/>
  <c r="AG604" i="13"/>
  <c r="AH604" i="13"/>
  <c r="AI604" i="13"/>
  <c r="AJ604" i="13"/>
  <c r="AK604" i="13"/>
  <c r="AO604" i="13"/>
  <c r="AP604" i="13"/>
  <c r="AQ604" i="13"/>
  <c r="AR604" i="13"/>
  <c r="AS604" i="13"/>
  <c r="AT604" i="13"/>
  <c r="AU604" i="13"/>
  <c r="AV604" i="13"/>
  <c r="AW604" i="13"/>
  <c r="AX604" i="13"/>
  <c r="AY604" i="13"/>
  <c r="AZ604" i="13"/>
  <c r="BA604" i="13"/>
  <c r="BC604" i="13"/>
  <c r="BD604" i="13"/>
  <c r="BE604" i="13"/>
  <c r="BF604" i="13"/>
  <c r="BG604" i="13"/>
  <c r="BH604" i="13"/>
  <c r="U605" i="13"/>
  <c r="W605" i="13"/>
  <c r="X605" i="13"/>
  <c r="Y605" i="13"/>
  <c r="Z605" i="13"/>
  <c r="AA605" i="13"/>
  <c r="AB605" i="13"/>
  <c r="AF605" i="13"/>
  <c r="AG605" i="13"/>
  <c r="AH605" i="13"/>
  <c r="AI605" i="13"/>
  <c r="AJ605" i="13"/>
  <c r="AK605" i="13"/>
  <c r="AO605" i="13"/>
  <c r="AP605" i="13"/>
  <c r="AQ605" i="13"/>
  <c r="AR605" i="13"/>
  <c r="AS605" i="13"/>
  <c r="AT605" i="13"/>
  <c r="AU605" i="13"/>
  <c r="AV605" i="13"/>
  <c r="AW605" i="13"/>
  <c r="AX605" i="13"/>
  <c r="AY605" i="13"/>
  <c r="AZ605" i="13"/>
  <c r="BA605" i="13"/>
  <c r="BC605" i="13"/>
  <c r="BD605" i="13"/>
  <c r="BE605" i="13"/>
  <c r="BF605" i="13"/>
  <c r="BG605" i="13"/>
  <c r="BH605" i="13"/>
  <c r="U606" i="13"/>
  <c r="W606" i="13"/>
  <c r="X606" i="13"/>
  <c r="Y606" i="13"/>
  <c r="Z606" i="13"/>
  <c r="AA606" i="13"/>
  <c r="AB606" i="13"/>
  <c r="AF606" i="13"/>
  <c r="AG606" i="13"/>
  <c r="AH606" i="13"/>
  <c r="AI606" i="13"/>
  <c r="AJ606" i="13"/>
  <c r="AK606" i="13"/>
  <c r="AO606" i="13"/>
  <c r="AP606" i="13"/>
  <c r="AQ606" i="13"/>
  <c r="AR606" i="13"/>
  <c r="AS606" i="13"/>
  <c r="AT606" i="13"/>
  <c r="AU606" i="13"/>
  <c r="AV606" i="13"/>
  <c r="AW606" i="13"/>
  <c r="AX606" i="13"/>
  <c r="AY606" i="13"/>
  <c r="AZ606" i="13"/>
  <c r="BA606" i="13"/>
  <c r="BC606" i="13"/>
  <c r="BD606" i="13"/>
  <c r="BE606" i="13"/>
  <c r="BF606" i="13"/>
  <c r="BG606" i="13"/>
  <c r="BH606" i="13"/>
  <c r="AE603" i="13" l="1"/>
  <c r="AC624" i="13"/>
  <c r="AL612" i="13"/>
  <c r="AC618" i="13"/>
  <c r="AC616" i="13"/>
  <c r="AL607" i="13"/>
  <c r="BL624" i="13"/>
  <c r="AE583" i="13"/>
  <c r="AE579" i="13"/>
  <c r="AM587" i="13"/>
  <c r="AM597" i="13"/>
  <c r="BB598" i="13"/>
  <c r="AD598" i="13"/>
  <c r="AN584" i="13"/>
  <c r="AN583" i="13"/>
  <c r="AM582" i="13"/>
  <c r="AE578" i="13"/>
  <c r="AL624" i="13"/>
  <c r="AC622" i="13"/>
  <c r="AN604" i="13"/>
  <c r="AM603" i="13"/>
  <c r="AM601" i="13"/>
  <c r="AD590" i="13"/>
  <c r="AN580" i="13"/>
  <c r="AN579" i="13"/>
  <c r="AN578" i="13"/>
  <c r="AL578" i="13" s="1"/>
  <c r="BB590" i="13"/>
  <c r="AC620" i="13"/>
  <c r="AL613" i="13"/>
  <c r="AL621" i="13"/>
  <c r="BL621" i="13"/>
  <c r="BL618" i="13"/>
  <c r="AN602" i="13"/>
  <c r="AM599" i="13"/>
  <c r="AD594" i="13"/>
  <c r="AN588" i="13"/>
  <c r="AD586" i="13"/>
  <c r="AE582" i="13"/>
  <c r="AC578" i="13"/>
  <c r="BB604" i="13"/>
  <c r="AN600" i="13"/>
  <c r="AM594" i="13"/>
  <c r="AE591" i="13"/>
  <c r="AD589" i="13"/>
  <c r="AE586" i="13"/>
  <c r="AM581" i="13"/>
  <c r="AM605" i="13"/>
  <c r="AE601" i="13"/>
  <c r="AN598" i="13"/>
  <c r="AM591" i="13"/>
  <c r="BB586" i="13"/>
  <c r="AD582" i="13"/>
  <c r="AN606" i="13"/>
  <c r="AD606" i="13"/>
  <c r="AE605" i="13"/>
  <c r="AE599" i="13"/>
  <c r="AM595" i="13"/>
  <c r="BB594" i="13"/>
  <c r="AN592" i="13"/>
  <c r="AE587" i="13"/>
  <c r="AM583" i="13"/>
  <c r="BB582" i="13"/>
  <c r="AN582" i="13"/>
  <c r="AM579" i="13"/>
  <c r="AL579" i="13" s="1"/>
  <c r="AM604" i="13"/>
  <c r="BB603" i="13"/>
  <c r="AN603" i="13"/>
  <c r="AD603" i="13"/>
  <c r="AC603" i="13" s="1"/>
  <c r="AD602" i="13"/>
  <c r="BB600" i="13"/>
  <c r="AE598" i="13"/>
  <c r="AE597" i="13"/>
  <c r="AE594" i="13"/>
  <c r="AC594" i="13" s="1"/>
  <c r="AM593" i="13"/>
  <c r="BB592" i="13"/>
  <c r="AN591" i="13"/>
  <c r="AL591" i="13" s="1"/>
  <c r="AD588" i="13"/>
  <c r="AM586" i="13"/>
  <c r="AM584" i="13"/>
  <c r="AL584" i="13" s="1"/>
  <c r="BB583" i="13"/>
  <c r="AD583" i="13"/>
  <c r="BB581" i="13"/>
  <c r="AM580" i="13"/>
  <c r="BB579" i="13"/>
  <c r="AD579" i="13"/>
  <c r="AC579" i="13" s="1"/>
  <c r="AM606" i="13"/>
  <c r="AL606" i="13" s="1"/>
  <c r="BB605" i="13"/>
  <c r="AN605" i="13"/>
  <c r="AL605" i="13" s="1"/>
  <c r="AD605" i="13"/>
  <c r="AC605" i="13" s="1"/>
  <c r="AD604" i="13"/>
  <c r="BB602" i="13"/>
  <c r="AM596" i="13"/>
  <c r="BB595" i="13"/>
  <c r="AD595" i="13"/>
  <c r="AD593" i="13"/>
  <c r="AE590" i="13"/>
  <c r="AM589" i="13"/>
  <c r="BB588" i="13"/>
  <c r="AN587" i="13"/>
  <c r="AD584" i="13"/>
  <c r="AD580" i="13"/>
  <c r="AM600" i="13"/>
  <c r="AL600" i="13" s="1"/>
  <c r="BB599" i="13"/>
  <c r="AN599" i="13"/>
  <c r="AL599" i="13" s="1"/>
  <c r="AD599" i="13"/>
  <c r="AM598" i="13"/>
  <c r="AL598" i="13" s="1"/>
  <c r="AD597" i="13"/>
  <c r="AD596" i="13"/>
  <c r="AM592" i="13"/>
  <c r="AL592" i="13" s="1"/>
  <c r="BB591" i="13"/>
  <c r="AD591" i="13"/>
  <c r="AC591" i="13" s="1"/>
  <c r="AC590" i="13"/>
  <c r="BB589" i="13"/>
  <c r="AM585" i="13"/>
  <c r="BB584" i="13"/>
  <c r="AC582" i="13"/>
  <c r="AN581" i="13"/>
  <c r="AL581" i="13" s="1"/>
  <c r="BB578" i="13"/>
  <c r="BB606" i="13"/>
  <c r="AM602" i="13"/>
  <c r="AL602" i="13" s="1"/>
  <c r="BB601" i="13"/>
  <c r="AN601" i="13"/>
  <c r="AD601" i="13"/>
  <c r="AD600" i="13"/>
  <c r="BB597" i="13"/>
  <c r="AN597" i="13"/>
  <c r="BB596" i="13"/>
  <c r="AN596" i="13"/>
  <c r="AN595" i="13"/>
  <c r="AE595" i="13"/>
  <c r="BB593" i="13"/>
  <c r="AD592" i="13"/>
  <c r="AM590" i="13"/>
  <c r="AM588" i="13"/>
  <c r="BB587" i="13"/>
  <c r="AD587" i="13"/>
  <c r="AC587" i="13" s="1"/>
  <c r="BB585" i="13"/>
  <c r="AD585" i="13"/>
  <c r="AD581" i="13"/>
  <c r="BB580" i="13"/>
  <c r="BL622" i="13"/>
  <c r="BL617" i="13"/>
  <c r="BL613" i="13"/>
  <c r="BL611" i="13"/>
  <c r="BL616" i="13"/>
  <c r="BL608" i="13"/>
  <c r="BL623" i="13"/>
  <c r="BL615" i="13"/>
  <c r="BL612" i="13"/>
  <c r="BL610" i="13"/>
  <c r="BL614" i="13"/>
  <c r="BL609" i="13"/>
  <c r="BL619" i="13"/>
  <c r="BL625" i="13"/>
  <c r="BL607" i="13"/>
  <c r="BJ604" i="13"/>
  <c r="BK605" i="13"/>
  <c r="BJ578" i="13"/>
  <c r="BK579" i="13"/>
  <c r="BK581" i="13"/>
  <c r="BK578" i="13"/>
  <c r="BI585" i="13"/>
  <c r="BJ594" i="13"/>
  <c r="BJ590" i="13"/>
  <c r="BK594" i="13"/>
  <c r="BJ581" i="13"/>
  <c r="BJ586" i="13"/>
  <c r="BJ606" i="13"/>
  <c r="BJ582" i="13"/>
  <c r="BJ597" i="13"/>
  <c r="BK591" i="13"/>
  <c r="BI589" i="13"/>
  <c r="BJ598" i="13"/>
  <c r="BK583" i="13"/>
  <c r="BI581" i="13"/>
  <c r="BK595" i="13"/>
  <c r="BI593" i="13"/>
  <c r="BK587" i="13"/>
  <c r="BJ585" i="13"/>
  <c r="BI606" i="13"/>
  <c r="BJ603" i="13"/>
  <c r="BI599" i="13"/>
  <c r="BK603" i="13"/>
  <c r="BJ602" i="13"/>
  <c r="BI600" i="13"/>
  <c r="BK597" i="13"/>
  <c r="BJ589" i="13"/>
  <c r="BI584" i="13"/>
  <c r="BK582" i="13"/>
  <c r="BI604" i="13"/>
  <c r="BI601" i="13"/>
  <c r="BJ605" i="13"/>
  <c r="BI603" i="13"/>
  <c r="BI602" i="13"/>
  <c r="BK601" i="13"/>
  <c r="BK599" i="13"/>
  <c r="BK598" i="13"/>
  <c r="BI597" i="13"/>
  <c r="BI594" i="13"/>
  <c r="BI590" i="13"/>
  <c r="BI586" i="13"/>
  <c r="BI579" i="13"/>
  <c r="BI578" i="13"/>
  <c r="BI598" i="13"/>
  <c r="BI595" i="13"/>
  <c r="BJ593" i="13"/>
  <c r="BI591" i="13"/>
  <c r="BK590" i="13"/>
  <c r="BK589" i="13"/>
  <c r="BI587" i="13"/>
  <c r="BK586" i="13"/>
  <c r="BK585" i="13"/>
  <c r="BI580" i="13"/>
  <c r="BI596" i="13"/>
  <c r="BI592" i="13"/>
  <c r="BI588" i="13"/>
  <c r="BI583" i="13"/>
  <c r="BI582" i="13"/>
  <c r="BJ580" i="13"/>
  <c r="AC598" i="13"/>
  <c r="AL595" i="13"/>
  <c r="AL587" i="13"/>
  <c r="AL603" i="13"/>
  <c r="AL601" i="13"/>
  <c r="AL597" i="13"/>
  <c r="AL583" i="13"/>
  <c r="BI605" i="13"/>
  <c r="BK604" i="13"/>
  <c r="AE604" i="13"/>
  <c r="AC604" i="13" s="1"/>
  <c r="BK600" i="13"/>
  <c r="AE600" i="13"/>
  <c r="BJ599" i="13"/>
  <c r="BK596" i="13"/>
  <c r="AE596" i="13"/>
  <c r="BJ595" i="13"/>
  <c r="AN593" i="13"/>
  <c r="AL593" i="13" s="1"/>
  <c r="BK592" i="13"/>
  <c r="AE592" i="13"/>
  <c r="BJ591" i="13"/>
  <c r="AN589" i="13"/>
  <c r="AL589" i="13" s="1"/>
  <c r="BK588" i="13"/>
  <c r="AE588" i="13"/>
  <c r="AC588" i="13" s="1"/>
  <c r="BJ587" i="13"/>
  <c r="AN585" i="13"/>
  <c r="AL585" i="13" s="1"/>
  <c r="BK584" i="13"/>
  <c r="AE584" i="13"/>
  <c r="BJ583" i="13"/>
  <c r="BK580" i="13"/>
  <c r="AE580" i="13"/>
  <c r="AC580" i="13" s="1"/>
  <c r="BJ579" i="13"/>
  <c r="BJ600" i="13"/>
  <c r="BJ596" i="13"/>
  <c r="AN594" i="13"/>
  <c r="AL594" i="13" s="1"/>
  <c r="BK593" i="13"/>
  <c r="AE593" i="13"/>
  <c r="AC593" i="13" s="1"/>
  <c r="BJ592" i="13"/>
  <c r="AN590" i="13"/>
  <c r="AL590" i="13" s="1"/>
  <c r="AE589" i="13"/>
  <c r="BJ588" i="13"/>
  <c r="AN586" i="13"/>
  <c r="AL586" i="13" s="1"/>
  <c r="AE585" i="13"/>
  <c r="AC585" i="13" s="1"/>
  <c r="BJ584" i="13"/>
  <c r="AE581" i="13"/>
  <c r="AC581" i="13" s="1"/>
  <c r="BK606" i="13"/>
  <c r="AE606" i="13"/>
  <c r="AC606" i="13" s="1"/>
  <c r="BK602" i="13"/>
  <c r="AE602" i="13"/>
  <c r="AC602" i="13" s="1"/>
  <c r="BJ601" i="13"/>
  <c r="BC577" i="13"/>
  <c r="BD577" i="13"/>
  <c r="BE577" i="13"/>
  <c r="BF577" i="13"/>
  <c r="BG577" i="13"/>
  <c r="BH577" i="13"/>
  <c r="U577" i="13"/>
  <c r="AB577" i="13"/>
  <c r="AK577" i="13"/>
  <c r="AO577" i="13"/>
  <c r="AU577" i="13"/>
  <c r="BA577" i="13"/>
  <c r="AA577" i="13"/>
  <c r="AJ577" i="13"/>
  <c r="AT577" i="13"/>
  <c r="AZ577" i="13"/>
  <c r="Z577" i="13"/>
  <c r="AI577" i="13"/>
  <c r="AS577" i="13"/>
  <c r="AY577" i="13"/>
  <c r="Y577" i="13"/>
  <c r="AH577" i="13"/>
  <c r="AR577" i="13"/>
  <c r="AX577" i="13"/>
  <c r="X577" i="13"/>
  <c r="AG577" i="13"/>
  <c r="AQ577" i="13"/>
  <c r="AW577" i="13"/>
  <c r="W577" i="13"/>
  <c r="AD577" i="13" s="1"/>
  <c r="AF577" i="13"/>
  <c r="AP577" i="13"/>
  <c r="AV577" i="13"/>
  <c r="AC601" i="13" l="1"/>
  <c r="AC597" i="13"/>
  <c r="AL580" i="13"/>
  <c r="AL582" i="13"/>
  <c r="AC600" i="13"/>
  <c r="AL588" i="13"/>
  <c r="AM577" i="13"/>
  <c r="AC589" i="13"/>
  <c r="AC584" i="13"/>
  <c r="AC592" i="13"/>
  <c r="AC596" i="13"/>
  <c r="AC599" i="13"/>
  <c r="AC583" i="13"/>
  <c r="AL604" i="13"/>
  <c r="BL597" i="13"/>
  <c r="BB577" i="13"/>
  <c r="AN577" i="13"/>
  <c r="AL577" i="13" s="1"/>
  <c r="AC586" i="13"/>
  <c r="AE577" i="13"/>
  <c r="AC577" i="13" s="1"/>
  <c r="AL596" i="13"/>
  <c r="AC595" i="13"/>
  <c r="BL606" i="13"/>
  <c r="BL594" i="13"/>
  <c r="BL605" i="13"/>
  <c r="BL582" i="13"/>
  <c r="BL591" i="13"/>
  <c r="BL601" i="13"/>
  <c r="BL595" i="13"/>
  <c r="BL586" i="13"/>
  <c r="BL578" i="13"/>
  <c r="BJ577" i="13"/>
  <c r="BL590" i="13"/>
  <c r="BL592" i="13"/>
  <c r="BL580" i="13"/>
  <c r="BL581" i="13"/>
  <c r="BL588" i="13"/>
  <c r="BL600" i="13"/>
  <c r="BL583" i="13"/>
  <c r="BL587" i="13"/>
  <c r="BL603" i="13"/>
  <c r="BL585" i="13"/>
  <c r="BL584" i="13"/>
  <c r="BI577" i="13"/>
  <c r="BL596" i="13"/>
  <c r="BL599" i="13"/>
  <c r="BL604" i="13"/>
  <c r="BL589" i="13"/>
  <c r="BK577" i="13"/>
  <c r="BL579" i="13"/>
  <c r="BL602" i="13"/>
  <c r="BL593" i="13"/>
  <c r="BL598" i="13"/>
  <c r="BC576" i="13"/>
  <c r="BD576" i="13"/>
  <c r="BE576" i="13"/>
  <c r="BF576" i="13"/>
  <c r="BG576" i="13"/>
  <c r="BH576" i="13"/>
  <c r="U576" i="13"/>
  <c r="AB576" i="13"/>
  <c r="AK576" i="13"/>
  <c r="AO576" i="13"/>
  <c r="AU576" i="13"/>
  <c r="BA576" i="13"/>
  <c r="AA576" i="13"/>
  <c r="AJ576" i="13"/>
  <c r="AT576" i="13"/>
  <c r="AZ576" i="13"/>
  <c r="Z576" i="13"/>
  <c r="AI576" i="13"/>
  <c r="AS576" i="13"/>
  <c r="AY576" i="13"/>
  <c r="Y576" i="13"/>
  <c r="AH576" i="13"/>
  <c r="AR576" i="13"/>
  <c r="AX576" i="13"/>
  <c r="X576" i="13"/>
  <c r="AG576" i="13"/>
  <c r="AQ576" i="13"/>
  <c r="AW576" i="13"/>
  <c r="W576" i="13"/>
  <c r="AF576" i="13"/>
  <c r="AN576" i="13" s="1"/>
  <c r="AP576" i="13"/>
  <c r="AV576" i="13"/>
  <c r="AD576" i="13" l="1"/>
  <c r="AM576" i="13"/>
  <c r="AL576" i="13" s="1"/>
  <c r="BB576" i="13"/>
  <c r="AE576" i="13"/>
  <c r="BL577" i="13"/>
  <c r="BK576" i="13"/>
  <c r="BJ576" i="13"/>
  <c r="BI576" i="13"/>
  <c r="BC575" i="13"/>
  <c r="BD575" i="13"/>
  <c r="BE575" i="13"/>
  <c r="BF575" i="13"/>
  <c r="BG575" i="13"/>
  <c r="BH575" i="13"/>
  <c r="U575" i="13"/>
  <c r="AB575" i="13"/>
  <c r="AK575" i="13"/>
  <c r="AO575" i="13"/>
  <c r="AU575" i="13"/>
  <c r="BA575" i="13"/>
  <c r="AA575" i="13"/>
  <c r="AJ575" i="13"/>
  <c r="AT575" i="13"/>
  <c r="AZ575" i="13"/>
  <c r="Z575" i="13"/>
  <c r="AI575" i="13"/>
  <c r="AS575" i="13"/>
  <c r="AY575" i="13"/>
  <c r="Y575" i="13"/>
  <c r="AH575" i="13"/>
  <c r="AR575" i="13"/>
  <c r="AX575" i="13"/>
  <c r="X575" i="13"/>
  <c r="AG575" i="13"/>
  <c r="AQ575" i="13"/>
  <c r="AW575" i="13"/>
  <c r="W575" i="13"/>
  <c r="AF575" i="13"/>
  <c r="AM575" i="13" s="1"/>
  <c r="AP575" i="13"/>
  <c r="AV575" i="13"/>
  <c r="BB575" i="13" l="1"/>
  <c r="AD575" i="13"/>
  <c r="AC576" i="13"/>
  <c r="AN575" i="13"/>
  <c r="AL575" i="13" s="1"/>
  <c r="BL576" i="13"/>
  <c r="BK575" i="13"/>
  <c r="BJ575" i="13"/>
  <c r="BI575" i="13"/>
  <c r="AE575" i="13"/>
  <c r="AC575" i="13" s="1"/>
  <c r="BC574" i="13"/>
  <c r="BD574" i="13"/>
  <c r="BE574" i="13"/>
  <c r="BF574" i="13"/>
  <c r="BG574" i="13"/>
  <c r="BH574" i="13"/>
  <c r="U574" i="13"/>
  <c r="AB574" i="13"/>
  <c r="AK574" i="13"/>
  <c r="AO574" i="13"/>
  <c r="AU574" i="13"/>
  <c r="BA574" i="13"/>
  <c r="AA574" i="13"/>
  <c r="AJ574" i="13"/>
  <c r="AT574" i="13"/>
  <c r="AZ574" i="13"/>
  <c r="Z574" i="13"/>
  <c r="AI574" i="13"/>
  <c r="AS574" i="13"/>
  <c r="AY574" i="13"/>
  <c r="Y574" i="13"/>
  <c r="AH574" i="13"/>
  <c r="AR574" i="13"/>
  <c r="AX574" i="13"/>
  <c r="X574" i="13"/>
  <c r="AG574" i="13"/>
  <c r="AQ574" i="13"/>
  <c r="AW574" i="13"/>
  <c r="W574" i="13"/>
  <c r="AF574" i="13"/>
  <c r="AM574" i="13" s="1"/>
  <c r="AP574" i="13"/>
  <c r="AV574" i="13"/>
  <c r="BC573" i="13"/>
  <c r="BD573" i="13"/>
  <c r="BE573" i="13"/>
  <c r="BF573" i="13"/>
  <c r="BG573" i="13"/>
  <c r="BH573" i="13"/>
  <c r="U573" i="13"/>
  <c r="AB573" i="13"/>
  <c r="AK573" i="13"/>
  <c r="AO573" i="13"/>
  <c r="AU573" i="13"/>
  <c r="BA573" i="13"/>
  <c r="AA573" i="13"/>
  <c r="AJ573" i="13"/>
  <c r="AT573" i="13"/>
  <c r="AZ573" i="13"/>
  <c r="Z573" i="13"/>
  <c r="AI573" i="13"/>
  <c r="AS573" i="13"/>
  <c r="AY573" i="13"/>
  <c r="Y573" i="13"/>
  <c r="AH573" i="13"/>
  <c r="AR573" i="13"/>
  <c r="AX573" i="13"/>
  <c r="X573" i="13"/>
  <c r="AG573" i="13"/>
  <c r="AQ573" i="13"/>
  <c r="AW573" i="13"/>
  <c r="W573" i="13"/>
  <c r="AE573" i="13" s="1"/>
  <c r="AF573" i="13"/>
  <c r="AM573" i="13" s="1"/>
  <c r="AP573" i="13"/>
  <c r="AV573" i="13"/>
  <c r="BI573" i="13" l="1"/>
  <c r="BK574" i="13"/>
  <c r="BL575" i="13"/>
  <c r="BJ574" i="13"/>
  <c r="BI574" i="13"/>
  <c r="AE574" i="13"/>
  <c r="BK573" i="13"/>
  <c r="BB573" i="13"/>
  <c r="AN573" i="13"/>
  <c r="AL573" i="13" s="1"/>
  <c r="AD573" i="13"/>
  <c r="AC573" i="13" s="1"/>
  <c r="BJ573" i="13"/>
  <c r="BB574" i="13"/>
  <c r="AN574" i="13"/>
  <c r="AL574" i="13" s="1"/>
  <c r="AD574" i="13"/>
  <c r="AC574" i="13" s="1"/>
  <c r="BL574" i="13" l="1"/>
  <c r="BL573" i="13"/>
  <c r="BC572" i="13" l="1"/>
  <c r="BD572" i="13"/>
  <c r="BE572" i="13"/>
  <c r="BF572" i="13"/>
  <c r="BG572" i="13"/>
  <c r="BH572" i="13"/>
  <c r="U572" i="13"/>
  <c r="AB572" i="13"/>
  <c r="AK572" i="13"/>
  <c r="AO572" i="13"/>
  <c r="AU572" i="13"/>
  <c r="BA572" i="13"/>
  <c r="AA572" i="13"/>
  <c r="AJ572" i="13"/>
  <c r="AT572" i="13"/>
  <c r="AZ572" i="13"/>
  <c r="Z572" i="13"/>
  <c r="AI572" i="13"/>
  <c r="AS572" i="13"/>
  <c r="AY572" i="13"/>
  <c r="Y572" i="13"/>
  <c r="AH572" i="13"/>
  <c r="AR572" i="13"/>
  <c r="AX572" i="13"/>
  <c r="X572" i="13"/>
  <c r="AG572" i="13"/>
  <c r="AQ572" i="13"/>
  <c r="AW572" i="13"/>
  <c r="W572" i="13"/>
  <c r="AF572" i="13"/>
  <c r="AM572" i="13" s="1"/>
  <c r="AP572" i="13"/>
  <c r="AV572" i="13"/>
  <c r="BJ572" i="13" l="1"/>
  <c r="BK572" i="13"/>
  <c r="AE572" i="13"/>
  <c r="BI572" i="13"/>
  <c r="BB572" i="13"/>
  <c r="AN572" i="13"/>
  <c r="AL572" i="13" s="1"/>
  <c r="AD572" i="13"/>
  <c r="AC572" i="13" s="1"/>
  <c r="BL572" i="13" l="1"/>
  <c r="BC571" i="13"/>
  <c r="BD571" i="13"/>
  <c r="BE571" i="13"/>
  <c r="BF571" i="13"/>
  <c r="BG571" i="13"/>
  <c r="BH571" i="13"/>
  <c r="U571" i="13"/>
  <c r="AB571" i="13"/>
  <c r="AK571" i="13"/>
  <c r="AO571" i="13"/>
  <c r="AU571" i="13"/>
  <c r="BA571" i="13"/>
  <c r="AA571" i="13"/>
  <c r="AJ571" i="13"/>
  <c r="AT571" i="13"/>
  <c r="AZ571" i="13"/>
  <c r="Z571" i="13"/>
  <c r="AI571" i="13"/>
  <c r="AS571" i="13"/>
  <c r="AY571" i="13"/>
  <c r="Y571" i="13"/>
  <c r="AH571" i="13"/>
  <c r="AR571" i="13"/>
  <c r="AX571" i="13"/>
  <c r="X571" i="13"/>
  <c r="AG571" i="13"/>
  <c r="AQ571" i="13"/>
  <c r="AW571" i="13"/>
  <c r="W571" i="13"/>
  <c r="AE571" i="13" s="1"/>
  <c r="AF571" i="13"/>
  <c r="AP571" i="13"/>
  <c r="AV571" i="13"/>
  <c r="AN571" i="13" l="1"/>
  <c r="BI571" i="13"/>
  <c r="BJ571" i="13"/>
  <c r="BK571" i="13"/>
  <c r="BB571" i="13"/>
  <c r="AM571" i="13"/>
  <c r="AL571" i="13" s="1"/>
  <c r="AD571" i="13"/>
  <c r="AC571" i="13" s="1"/>
  <c r="BL571" i="13" l="1"/>
  <c r="BC570" i="13" l="1"/>
  <c r="BD570" i="13"/>
  <c r="BE570" i="13"/>
  <c r="BF570" i="13"/>
  <c r="BG570" i="13"/>
  <c r="BH570" i="13"/>
  <c r="U570" i="13"/>
  <c r="AB570" i="13"/>
  <c r="AK570" i="13"/>
  <c r="AO570" i="13"/>
  <c r="AU570" i="13"/>
  <c r="BA570" i="13"/>
  <c r="AA570" i="13"/>
  <c r="AJ570" i="13"/>
  <c r="AT570" i="13"/>
  <c r="AZ570" i="13"/>
  <c r="Z570" i="13"/>
  <c r="AI570" i="13"/>
  <c r="AS570" i="13"/>
  <c r="AY570" i="13"/>
  <c r="Y570" i="13"/>
  <c r="AH570" i="13"/>
  <c r="AR570" i="13"/>
  <c r="AX570" i="13"/>
  <c r="X570" i="13"/>
  <c r="AG570" i="13"/>
  <c r="AQ570" i="13"/>
  <c r="AW570" i="13"/>
  <c r="W570" i="13"/>
  <c r="AF570" i="13"/>
  <c r="AP570" i="13"/>
  <c r="AV570" i="13"/>
  <c r="AE570" i="13" l="1"/>
  <c r="AM570" i="13"/>
  <c r="BK570" i="13"/>
  <c r="BI570" i="13"/>
  <c r="BJ570" i="13"/>
  <c r="BB570" i="13"/>
  <c r="AN570" i="13"/>
  <c r="AD570" i="13"/>
  <c r="AC570" i="13" s="1"/>
  <c r="AL570" i="13" l="1"/>
  <c r="BL570" i="13"/>
  <c r="BC569" i="13" l="1"/>
  <c r="BD569" i="13"/>
  <c r="BE569" i="13"/>
  <c r="BF569" i="13"/>
  <c r="BG569" i="13"/>
  <c r="BH569" i="13"/>
  <c r="U569" i="13"/>
  <c r="AB569" i="13"/>
  <c r="AK569" i="13"/>
  <c r="AO569" i="13"/>
  <c r="AU569" i="13"/>
  <c r="BA569" i="13"/>
  <c r="AA569" i="13"/>
  <c r="AJ569" i="13"/>
  <c r="AT569" i="13"/>
  <c r="AZ569" i="13"/>
  <c r="Z569" i="13"/>
  <c r="AI569" i="13"/>
  <c r="AS569" i="13"/>
  <c r="AY569" i="13"/>
  <c r="Y569" i="13"/>
  <c r="AH569" i="13"/>
  <c r="AR569" i="13"/>
  <c r="AX569" i="13"/>
  <c r="X569" i="13"/>
  <c r="AG569" i="13"/>
  <c r="AQ569" i="13"/>
  <c r="AW569" i="13"/>
  <c r="W569" i="13"/>
  <c r="AE569" i="13" s="1"/>
  <c r="AF569" i="13"/>
  <c r="AP569" i="13"/>
  <c r="AV569" i="13"/>
  <c r="AM569" i="13" l="1"/>
  <c r="BB569" i="13"/>
  <c r="AN569" i="13"/>
  <c r="AD569" i="13"/>
  <c r="AC569" i="13" s="1"/>
  <c r="BK569" i="13"/>
  <c r="BJ569" i="13"/>
  <c r="BI569" i="13"/>
  <c r="AL569" i="13" l="1"/>
  <c r="BL569" i="13"/>
  <c r="BC568" i="13" l="1"/>
  <c r="BD568" i="13"/>
  <c r="BE568" i="13"/>
  <c r="BF568" i="13"/>
  <c r="BG568" i="13"/>
  <c r="BH568" i="13"/>
  <c r="U568" i="13"/>
  <c r="AB568" i="13"/>
  <c r="AK568" i="13"/>
  <c r="AO568" i="13"/>
  <c r="AU568" i="13"/>
  <c r="BA568" i="13"/>
  <c r="AA568" i="13"/>
  <c r="AJ568" i="13"/>
  <c r="AT568" i="13"/>
  <c r="AZ568" i="13"/>
  <c r="Z568" i="13"/>
  <c r="AI568" i="13"/>
  <c r="AS568" i="13"/>
  <c r="AY568" i="13"/>
  <c r="Y568" i="13"/>
  <c r="AH568" i="13"/>
  <c r="AR568" i="13"/>
  <c r="AX568" i="13"/>
  <c r="X568" i="13"/>
  <c r="AG568" i="13"/>
  <c r="AQ568" i="13"/>
  <c r="AW568" i="13"/>
  <c r="W568" i="13"/>
  <c r="AF568" i="13"/>
  <c r="AP568" i="13"/>
  <c r="AV568" i="13"/>
  <c r="AD568" i="13" l="1"/>
  <c r="BJ568" i="13"/>
  <c r="BK568" i="13"/>
  <c r="AN568" i="13"/>
  <c r="BI568" i="13"/>
  <c r="AM568" i="13"/>
  <c r="AE568" i="13"/>
  <c r="AC568" i="13" s="1"/>
  <c r="BB568" i="13"/>
  <c r="AL568" i="13" l="1"/>
  <c r="BL568" i="13"/>
  <c r="BC567" i="13" l="1"/>
  <c r="BD567" i="13"/>
  <c r="BE567" i="13"/>
  <c r="BF567" i="13"/>
  <c r="BG567" i="13"/>
  <c r="BH567" i="13"/>
  <c r="U567" i="13"/>
  <c r="AB567" i="13"/>
  <c r="AK567" i="13"/>
  <c r="AO567" i="13"/>
  <c r="AU567" i="13"/>
  <c r="BA567" i="13"/>
  <c r="AA567" i="13"/>
  <c r="AJ567" i="13"/>
  <c r="AT567" i="13"/>
  <c r="AZ567" i="13"/>
  <c r="Z567" i="13"/>
  <c r="AI567" i="13"/>
  <c r="AS567" i="13"/>
  <c r="AY567" i="13"/>
  <c r="Y567" i="13"/>
  <c r="AH567" i="13"/>
  <c r="AR567" i="13"/>
  <c r="AX567" i="13"/>
  <c r="X567" i="13"/>
  <c r="AG567" i="13"/>
  <c r="AQ567" i="13"/>
  <c r="AW567" i="13"/>
  <c r="W567" i="13"/>
  <c r="AF567" i="13"/>
  <c r="AP567" i="13"/>
  <c r="AV567" i="13"/>
  <c r="AM567" i="13" l="1"/>
  <c r="AD567" i="13"/>
  <c r="BI567" i="13"/>
  <c r="AN567" i="13"/>
  <c r="AL567" i="13" s="1"/>
  <c r="BJ567" i="13"/>
  <c r="AE567" i="13"/>
  <c r="AC567" i="13" s="1"/>
  <c r="BK567" i="13"/>
  <c r="BB567" i="13"/>
  <c r="BL567" i="13" l="1"/>
  <c r="C44" i="10" l="1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BC566" i="13" l="1"/>
  <c r="BD566" i="13"/>
  <c r="BE566" i="13"/>
  <c r="BF566" i="13"/>
  <c r="BG566" i="13"/>
  <c r="BH566" i="13"/>
  <c r="U566" i="13"/>
  <c r="AB566" i="13"/>
  <c r="AK566" i="13"/>
  <c r="AO566" i="13"/>
  <c r="AU566" i="13"/>
  <c r="BA566" i="13"/>
  <c r="AA566" i="13"/>
  <c r="AJ566" i="13"/>
  <c r="AT566" i="13"/>
  <c r="AZ566" i="13"/>
  <c r="Z566" i="13"/>
  <c r="AI566" i="13"/>
  <c r="AS566" i="13"/>
  <c r="AY566" i="13"/>
  <c r="Y566" i="13"/>
  <c r="AH566" i="13"/>
  <c r="AR566" i="13"/>
  <c r="AX566" i="13"/>
  <c r="X566" i="13"/>
  <c r="AG566" i="13"/>
  <c r="AQ566" i="13"/>
  <c r="AW566" i="13"/>
  <c r="W566" i="13"/>
  <c r="AF566" i="13"/>
  <c r="AN566" i="13" s="1"/>
  <c r="AP566" i="13"/>
  <c r="AV566" i="13"/>
  <c r="BK566" i="13" l="1"/>
  <c r="BB566" i="13"/>
  <c r="AE566" i="13"/>
  <c r="BI566" i="13"/>
  <c r="BJ566" i="13"/>
  <c r="AM566" i="13"/>
  <c r="AL566" i="13" s="1"/>
  <c r="AD566" i="13"/>
  <c r="AC566" i="13" s="1"/>
  <c r="BL566" i="13" l="1"/>
  <c r="BC565" i="13" l="1"/>
  <c r="BD565" i="13"/>
  <c r="BE565" i="13"/>
  <c r="BF565" i="13"/>
  <c r="BG565" i="13"/>
  <c r="BH565" i="13"/>
  <c r="U565" i="13"/>
  <c r="AB565" i="13"/>
  <c r="AK565" i="13"/>
  <c r="AO565" i="13"/>
  <c r="AU565" i="13"/>
  <c r="BA565" i="13"/>
  <c r="AA565" i="13"/>
  <c r="AJ565" i="13"/>
  <c r="AT565" i="13"/>
  <c r="AZ565" i="13"/>
  <c r="Z565" i="13"/>
  <c r="AI565" i="13"/>
  <c r="AS565" i="13"/>
  <c r="AY565" i="13"/>
  <c r="Y565" i="13"/>
  <c r="AH565" i="13"/>
  <c r="AR565" i="13"/>
  <c r="AX565" i="13"/>
  <c r="X565" i="13"/>
  <c r="AG565" i="13"/>
  <c r="AQ565" i="13"/>
  <c r="AW565" i="13"/>
  <c r="W565" i="13"/>
  <c r="AF565" i="13"/>
  <c r="AP565" i="13"/>
  <c r="AV565" i="13"/>
  <c r="AM565" i="13" l="1"/>
  <c r="BI565" i="13"/>
  <c r="AD565" i="13"/>
  <c r="BJ565" i="13"/>
  <c r="BB565" i="13"/>
  <c r="AN565" i="13"/>
  <c r="AL565" i="13" s="1"/>
  <c r="BK565" i="13"/>
  <c r="AE565" i="13"/>
  <c r="AC565" i="13" l="1"/>
  <c r="BL565" i="13"/>
  <c r="BC564" i="13" l="1"/>
  <c r="BD564" i="13"/>
  <c r="BE564" i="13"/>
  <c r="BF564" i="13"/>
  <c r="BG564" i="13"/>
  <c r="BH564" i="13"/>
  <c r="U564" i="13"/>
  <c r="AB564" i="13"/>
  <c r="AK564" i="13"/>
  <c r="AO564" i="13"/>
  <c r="AU564" i="13"/>
  <c r="BA564" i="13"/>
  <c r="AA564" i="13"/>
  <c r="AJ564" i="13"/>
  <c r="AT564" i="13"/>
  <c r="AZ564" i="13"/>
  <c r="Z564" i="13"/>
  <c r="AI564" i="13"/>
  <c r="AS564" i="13"/>
  <c r="AY564" i="13"/>
  <c r="Y564" i="13"/>
  <c r="AH564" i="13"/>
  <c r="AR564" i="13"/>
  <c r="AX564" i="13"/>
  <c r="X564" i="13"/>
  <c r="AG564" i="13"/>
  <c r="AQ564" i="13"/>
  <c r="AW564" i="13"/>
  <c r="W564" i="13"/>
  <c r="AF564" i="13"/>
  <c r="AP564" i="13"/>
  <c r="AV564" i="13"/>
  <c r="AL89" i="10"/>
  <c r="AM89" i="10"/>
  <c r="AN89" i="10"/>
  <c r="AO89" i="10"/>
  <c r="AP89" i="10"/>
  <c r="AQ89" i="10"/>
  <c r="AR89" i="10"/>
  <c r="AS89" i="10"/>
  <c r="AT89" i="10"/>
  <c r="AU89" i="10"/>
  <c r="AL90" i="10"/>
  <c r="AM90" i="10"/>
  <c r="AN90" i="10"/>
  <c r="AO90" i="10"/>
  <c r="AP90" i="10"/>
  <c r="AQ90" i="10"/>
  <c r="AR90" i="10"/>
  <c r="AS90" i="10"/>
  <c r="AT90" i="10"/>
  <c r="AU90" i="10"/>
  <c r="AL91" i="10"/>
  <c r="AM91" i="10"/>
  <c r="AN91" i="10"/>
  <c r="AO91" i="10"/>
  <c r="AP91" i="10"/>
  <c r="AQ91" i="10"/>
  <c r="AR91" i="10"/>
  <c r="AS91" i="10"/>
  <c r="AT91" i="10"/>
  <c r="AU91" i="10"/>
  <c r="AL92" i="10"/>
  <c r="AM92" i="10"/>
  <c r="AN92" i="10"/>
  <c r="AO92" i="10"/>
  <c r="AP92" i="10"/>
  <c r="AQ92" i="10"/>
  <c r="AR92" i="10"/>
  <c r="AS92" i="10"/>
  <c r="AT92" i="10"/>
  <c r="AU92" i="10"/>
  <c r="AL93" i="10"/>
  <c r="AM93" i="10"/>
  <c r="AN93" i="10"/>
  <c r="AO93" i="10"/>
  <c r="AP93" i="10"/>
  <c r="AQ93" i="10"/>
  <c r="AR93" i="10"/>
  <c r="AS93" i="10"/>
  <c r="AT93" i="10"/>
  <c r="AU93" i="10"/>
  <c r="AL94" i="10"/>
  <c r="AM94" i="10"/>
  <c r="AN94" i="10"/>
  <c r="AO94" i="10"/>
  <c r="AP94" i="10"/>
  <c r="AQ94" i="10"/>
  <c r="AR94" i="10"/>
  <c r="AS94" i="10"/>
  <c r="AT94" i="10"/>
  <c r="AU94" i="10"/>
  <c r="AL95" i="10"/>
  <c r="AM95" i="10"/>
  <c r="AN95" i="10"/>
  <c r="AO95" i="10"/>
  <c r="AP95" i="10"/>
  <c r="AQ95" i="10"/>
  <c r="AR95" i="10"/>
  <c r="AS95" i="10"/>
  <c r="AT95" i="10"/>
  <c r="AU95" i="10"/>
  <c r="AL96" i="10"/>
  <c r="AM96" i="10"/>
  <c r="AN96" i="10"/>
  <c r="AO96" i="10"/>
  <c r="AP96" i="10"/>
  <c r="AQ96" i="10"/>
  <c r="AR96" i="10"/>
  <c r="AS96" i="10"/>
  <c r="AT96" i="10"/>
  <c r="AU96" i="10"/>
  <c r="AL97" i="10"/>
  <c r="AM97" i="10"/>
  <c r="AN97" i="10"/>
  <c r="AO97" i="10"/>
  <c r="AP97" i="10"/>
  <c r="AQ97" i="10"/>
  <c r="AR97" i="10"/>
  <c r="AS97" i="10"/>
  <c r="AT97" i="10"/>
  <c r="AU97" i="10"/>
  <c r="AL98" i="10"/>
  <c r="AM98" i="10"/>
  <c r="AN98" i="10"/>
  <c r="AO98" i="10"/>
  <c r="AP98" i="10"/>
  <c r="AQ98" i="10"/>
  <c r="AR98" i="10"/>
  <c r="AS98" i="10"/>
  <c r="AT98" i="10"/>
  <c r="AU98" i="10"/>
  <c r="AL99" i="10"/>
  <c r="AM99" i="10"/>
  <c r="AN99" i="10"/>
  <c r="AO99" i="10"/>
  <c r="AP99" i="10"/>
  <c r="AQ99" i="10"/>
  <c r="AR99" i="10"/>
  <c r="AS99" i="10"/>
  <c r="AT99" i="10"/>
  <c r="AU99" i="10"/>
  <c r="AL100" i="10"/>
  <c r="AM100" i="10"/>
  <c r="AM101" i="10" s="1"/>
  <c r="AM205" i="10" s="1"/>
  <c r="AN100" i="10"/>
  <c r="AO100" i="10"/>
  <c r="AP100" i="10"/>
  <c r="AQ100" i="10"/>
  <c r="AQ101" i="10" s="1"/>
  <c r="AQ205" i="10" s="1"/>
  <c r="AR100" i="10"/>
  <c r="AS100" i="10"/>
  <c r="AT100" i="10"/>
  <c r="AU100" i="10"/>
  <c r="AU101" i="10" s="1"/>
  <c r="AU205" i="10" s="1"/>
  <c r="AL102" i="10"/>
  <c r="AM102" i="10"/>
  <c r="AN102" i="10"/>
  <c r="AO102" i="10"/>
  <c r="AP102" i="10"/>
  <c r="AQ102" i="10"/>
  <c r="AR102" i="10"/>
  <c r="AS102" i="10"/>
  <c r="AT102" i="10"/>
  <c r="AU102" i="10"/>
  <c r="AL103" i="10"/>
  <c r="AM103" i="10"/>
  <c r="AN103" i="10"/>
  <c r="AO103" i="10"/>
  <c r="AP103" i="10"/>
  <c r="AQ103" i="10"/>
  <c r="AR103" i="10"/>
  <c r="AS103" i="10"/>
  <c r="AT103" i="10"/>
  <c r="AU103" i="10"/>
  <c r="AL104" i="10"/>
  <c r="AM104" i="10"/>
  <c r="AN104" i="10"/>
  <c r="AO104" i="10"/>
  <c r="AP104" i="10"/>
  <c r="AQ104" i="10"/>
  <c r="AR104" i="10"/>
  <c r="AS104" i="10"/>
  <c r="AT104" i="10"/>
  <c r="AU104" i="10"/>
  <c r="AL105" i="10"/>
  <c r="AM105" i="10"/>
  <c r="AN105" i="10"/>
  <c r="AO105" i="10"/>
  <c r="AP105" i="10"/>
  <c r="AQ105" i="10"/>
  <c r="AR105" i="10"/>
  <c r="AS105" i="10"/>
  <c r="AT105" i="10"/>
  <c r="AU105" i="10"/>
  <c r="AL106" i="10"/>
  <c r="AM106" i="10"/>
  <c r="AN106" i="10"/>
  <c r="AO106" i="10"/>
  <c r="AP106" i="10"/>
  <c r="AQ106" i="10"/>
  <c r="AR106" i="10"/>
  <c r="AS106" i="10"/>
  <c r="AT106" i="10"/>
  <c r="AU106" i="10"/>
  <c r="AL107" i="10"/>
  <c r="AM107" i="10"/>
  <c r="AN107" i="10"/>
  <c r="AO107" i="10"/>
  <c r="AP107" i="10"/>
  <c r="AQ107" i="10"/>
  <c r="AR107" i="10"/>
  <c r="AS107" i="10"/>
  <c r="AT107" i="10"/>
  <c r="AU107" i="10"/>
  <c r="AL109" i="10"/>
  <c r="AM109" i="10"/>
  <c r="AN109" i="10"/>
  <c r="AO109" i="10"/>
  <c r="AP109" i="10"/>
  <c r="AQ109" i="10"/>
  <c r="AR109" i="10"/>
  <c r="AS109" i="10"/>
  <c r="AT109" i="10"/>
  <c r="AU109" i="10"/>
  <c r="AL110" i="10"/>
  <c r="AM110" i="10"/>
  <c r="AN110" i="10"/>
  <c r="AO110" i="10"/>
  <c r="AP110" i="10"/>
  <c r="AQ110" i="10"/>
  <c r="AR110" i="10"/>
  <c r="AS110" i="10"/>
  <c r="AT110" i="10"/>
  <c r="AU110" i="10"/>
  <c r="AL111" i="10"/>
  <c r="AM111" i="10"/>
  <c r="AN111" i="10"/>
  <c r="AO111" i="10"/>
  <c r="AP111" i="10"/>
  <c r="AQ111" i="10"/>
  <c r="AR111" i="10"/>
  <c r="AS111" i="10"/>
  <c r="AT111" i="10"/>
  <c r="AU111" i="10"/>
  <c r="AL112" i="10"/>
  <c r="AM112" i="10"/>
  <c r="AN112" i="10"/>
  <c r="AO112" i="10"/>
  <c r="AP112" i="10"/>
  <c r="AQ112" i="10"/>
  <c r="AR112" i="10"/>
  <c r="AS112" i="10"/>
  <c r="AT112" i="10"/>
  <c r="AU112" i="10"/>
  <c r="AL113" i="10"/>
  <c r="AM113" i="10"/>
  <c r="AN113" i="10"/>
  <c r="AO113" i="10"/>
  <c r="AP113" i="10"/>
  <c r="AQ113" i="10"/>
  <c r="AR113" i="10"/>
  <c r="AS113" i="10"/>
  <c r="AT113" i="10"/>
  <c r="AU113" i="10"/>
  <c r="AL114" i="10"/>
  <c r="AM114" i="10"/>
  <c r="AN114" i="10"/>
  <c r="AO114" i="10"/>
  <c r="AP114" i="10"/>
  <c r="AQ114" i="10"/>
  <c r="AR114" i="10"/>
  <c r="AS114" i="10"/>
  <c r="AT114" i="10"/>
  <c r="AU114" i="10"/>
  <c r="AL116" i="10"/>
  <c r="AM116" i="10"/>
  <c r="AN116" i="10"/>
  <c r="AO116" i="10"/>
  <c r="AP116" i="10"/>
  <c r="AQ116" i="10"/>
  <c r="AR116" i="10"/>
  <c r="AS116" i="10"/>
  <c r="AT116" i="10"/>
  <c r="AU116" i="10"/>
  <c r="AL117" i="10"/>
  <c r="AM117" i="10"/>
  <c r="AN117" i="10"/>
  <c r="AO117" i="10"/>
  <c r="AP117" i="10"/>
  <c r="AQ117" i="10"/>
  <c r="AR117" i="10"/>
  <c r="AS117" i="10"/>
  <c r="AT117" i="10"/>
  <c r="AU117" i="10"/>
  <c r="AL118" i="10"/>
  <c r="AM118" i="10"/>
  <c r="AN118" i="10"/>
  <c r="AO118" i="10"/>
  <c r="AP118" i="10"/>
  <c r="AQ118" i="10"/>
  <c r="AR118" i="10"/>
  <c r="AS118" i="10"/>
  <c r="AT118" i="10"/>
  <c r="AU118" i="10"/>
  <c r="AL119" i="10"/>
  <c r="AM119" i="10"/>
  <c r="AN119" i="10"/>
  <c r="AO119" i="10"/>
  <c r="AP119" i="10"/>
  <c r="AQ119" i="10"/>
  <c r="AR119" i="10"/>
  <c r="AS119" i="10"/>
  <c r="AT119" i="10"/>
  <c r="AU119" i="10"/>
  <c r="AL120" i="10"/>
  <c r="AM120" i="10"/>
  <c r="AN120" i="10"/>
  <c r="AO120" i="10"/>
  <c r="AP120" i="10"/>
  <c r="AQ120" i="10"/>
  <c r="AR120" i="10"/>
  <c r="AS120" i="10"/>
  <c r="AT120" i="10"/>
  <c r="AU120" i="10"/>
  <c r="AL121" i="10"/>
  <c r="AM121" i="10"/>
  <c r="AN121" i="10"/>
  <c r="AO121" i="10"/>
  <c r="AP121" i="10"/>
  <c r="AQ121" i="10"/>
  <c r="AR121" i="10"/>
  <c r="AS121" i="10"/>
  <c r="AT121" i="10"/>
  <c r="AU121" i="10"/>
  <c r="AL123" i="10"/>
  <c r="AM123" i="10"/>
  <c r="AN123" i="10"/>
  <c r="AO123" i="10"/>
  <c r="AP123" i="10"/>
  <c r="AQ123" i="10"/>
  <c r="AR123" i="10"/>
  <c r="AS123" i="10"/>
  <c r="AT123" i="10"/>
  <c r="AU123" i="10"/>
  <c r="AL124" i="10"/>
  <c r="AM124" i="10"/>
  <c r="AN124" i="10"/>
  <c r="AO124" i="10"/>
  <c r="AP124" i="10"/>
  <c r="AQ124" i="10"/>
  <c r="AR124" i="10"/>
  <c r="AS124" i="10"/>
  <c r="AT124" i="10"/>
  <c r="AU124" i="10"/>
  <c r="AL125" i="10"/>
  <c r="AM125" i="10"/>
  <c r="AN125" i="10"/>
  <c r="AO125" i="10"/>
  <c r="AP125" i="10"/>
  <c r="AQ125" i="10"/>
  <c r="AR125" i="10"/>
  <c r="AS125" i="10"/>
  <c r="AT125" i="10"/>
  <c r="AU125" i="10"/>
  <c r="AL126" i="10"/>
  <c r="AM126" i="10"/>
  <c r="AN126" i="10"/>
  <c r="AO126" i="10"/>
  <c r="AP126" i="10"/>
  <c r="AQ126" i="10"/>
  <c r="AR126" i="10"/>
  <c r="AS126" i="10"/>
  <c r="AT126" i="10"/>
  <c r="AU126" i="10"/>
  <c r="AL127" i="10"/>
  <c r="AM127" i="10"/>
  <c r="AN127" i="10"/>
  <c r="AO127" i="10"/>
  <c r="AP127" i="10"/>
  <c r="AQ127" i="10"/>
  <c r="AR127" i="10"/>
  <c r="AS127" i="10"/>
  <c r="AT127" i="10"/>
  <c r="AU127" i="10"/>
  <c r="AL128" i="10"/>
  <c r="AM128" i="10"/>
  <c r="AN128" i="10"/>
  <c r="AO128" i="10"/>
  <c r="AP128" i="10"/>
  <c r="AQ128" i="10"/>
  <c r="AR128" i="10"/>
  <c r="AS128" i="10"/>
  <c r="AT128" i="10"/>
  <c r="AU128" i="10"/>
  <c r="AL130" i="10"/>
  <c r="AM130" i="10"/>
  <c r="AN130" i="10"/>
  <c r="AO130" i="10"/>
  <c r="AP130" i="10"/>
  <c r="AQ130" i="10"/>
  <c r="AR130" i="10"/>
  <c r="AS130" i="10"/>
  <c r="AT130" i="10"/>
  <c r="AU130" i="10"/>
  <c r="AL131" i="10"/>
  <c r="AM131" i="10"/>
  <c r="AN131" i="10"/>
  <c r="AO131" i="10"/>
  <c r="AP131" i="10"/>
  <c r="AQ131" i="10"/>
  <c r="AR131" i="10"/>
  <c r="AS131" i="10"/>
  <c r="AT131" i="10"/>
  <c r="AU131" i="10"/>
  <c r="AL132" i="10"/>
  <c r="AM132" i="10"/>
  <c r="AN132" i="10"/>
  <c r="AO132" i="10"/>
  <c r="AP132" i="10"/>
  <c r="AQ132" i="10"/>
  <c r="AR132" i="10"/>
  <c r="AS132" i="10"/>
  <c r="AT132" i="10"/>
  <c r="AU132" i="10"/>
  <c r="AL133" i="10"/>
  <c r="AM133" i="10"/>
  <c r="AN133" i="10"/>
  <c r="AO133" i="10"/>
  <c r="AP133" i="10"/>
  <c r="AQ133" i="10"/>
  <c r="AR133" i="10"/>
  <c r="AS133" i="10"/>
  <c r="AT133" i="10"/>
  <c r="AU133" i="10"/>
  <c r="AL134" i="10"/>
  <c r="AM134" i="10"/>
  <c r="AN134" i="10"/>
  <c r="AO134" i="10"/>
  <c r="AP134" i="10"/>
  <c r="AQ134" i="10"/>
  <c r="AR134" i="10"/>
  <c r="AS134" i="10"/>
  <c r="AT134" i="10"/>
  <c r="AU134" i="10"/>
  <c r="AL135" i="10"/>
  <c r="AM135" i="10"/>
  <c r="AN135" i="10"/>
  <c r="AO135" i="10"/>
  <c r="AP135" i="10"/>
  <c r="AQ135" i="10"/>
  <c r="AR135" i="10"/>
  <c r="AS135" i="10"/>
  <c r="AT135" i="10"/>
  <c r="AU135" i="10"/>
  <c r="AL137" i="10"/>
  <c r="AM137" i="10"/>
  <c r="AN137" i="10"/>
  <c r="AO137" i="10"/>
  <c r="AP137" i="10"/>
  <c r="AQ137" i="10"/>
  <c r="AR137" i="10"/>
  <c r="AS137" i="10"/>
  <c r="AT137" i="10"/>
  <c r="AU137" i="10"/>
  <c r="AL138" i="10"/>
  <c r="AM138" i="10"/>
  <c r="AN138" i="10"/>
  <c r="AO138" i="10"/>
  <c r="AP138" i="10"/>
  <c r="AQ138" i="10"/>
  <c r="AR138" i="10"/>
  <c r="AS138" i="10"/>
  <c r="AT138" i="10"/>
  <c r="AU138" i="10"/>
  <c r="AL139" i="10"/>
  <c r="AM139" i="10"/>
  <c r="AN139" i="10"/>
  <c r="AO139" i="10"/>
  <c r="AP139" i="10"/>
  <c r="AQ139" i="10"/>
  <c r="AR139" i="10"/>
  <c r="AS139" i="10"/>
  <c r="AT139" i="10"/>
  <c r="AU139" i="10"/>
  <c r="AL140" i="10"/>
  <c r="AM140" i="10"/>
  <c r="AN140" i="10"/>
  <c r="AO140" i="10"/>
  <c r="AP140" i="10"/>
  <c r="AQ140" i="10"/>
  <c r="AR140" i="10"/>
  <c r="AS140" i="10"/>
  <c r="AT140" i="10"/>
  <c r="AU140" i="10"/>
  <c r="AL141" i="10"/>
  <c r="AM141" i="10"/>
  <c r="AN141" i="10"/>
  <c r="AO141" i="10"/>
  <c r="AP141" i="10"/>
  <c r="AQ141" i="10"/>
  <c r="AR141" i="10"/>
  <c r="AS141" i="10"/>
  <c r="AT141" i="10"/>
  <c r="AU141" i="10"/>
  <c r="AL142" i="10"/>
  <c r="AM142" i="10"/>
  <c r="AN142" i="10"/>
  <c r="AO142" i="10"/>
  <c r="AP142" i="10"/>
  <c r="AQ142" i="10"/>
  <c r="AR142" i="10"/>
  <c r="AS142" i="10"/>
  <c r="AT142" i="10"/>
  <c r="AU142" i="10"/>
  <c r="AL144" i="10"/>
  <c r="AM144" i="10"/>
  <c r="AN144" i="10"/>
  <c r="AO144" i="10"/>
  <c r="AP144" i="10"/>
  <c r="AQ144" i="10"/>
  <c r="AR144" i="10"/>
  <c r="AS144" i="10"/>
  <c r="AT144" i="10"/>
  <c r="AU144" i="10"/>
  <c r="AL145" i="10"/>
  <c r="AM145" i="10"/>
  <c r="AN145" i="10"/>
  <c r="AO145" i="10"/>
  <c r="AP145" i="10"/>
  <c r="AQ145" i="10"/>
  <c r="AR145" i="10"/>
  <c r="AS145" i="10"/>
  <c r="AT145" i="10"/>
  <c r="AU145" i="10"/>
  <c r="AL146" i="10"/>
  <c r="AM146" i="10"/>
  <c r="AN146" i="10"/>
  <c r="AO146" i="10"/>
  <c r="AP146" i="10"/>
  <c r="AQ146" i="10"/>
  <c r="AR146" i="10"/>
  <c r="AS146" i="10"/>
  <c r="AT146" i="10"/>
  <c r="AU146" i="10"/>
  <c r="AL147" i="10"/>
  <c r="AM147" i="10"/>
  <c r="AN147" i="10"/>
  <c r="AO147" i="10"/>
  <c r="AP147" i="10"/>
  <c r="AQ147" i="10"/>
  <c r="AR147" i="10"/>
  <c r="AS147" i="10"/>
  <c r="AT147" i="10"/>
  <c r="AU147" i="10"/>
  <c r="AL148" i="10"/>
  <c r="AM148" i="10"/>
  <c r="AN148" i="10"/>
  <c r="AO148" i="10"/>
  <c r="AP148" i="10"/>
  <c r="AQ148" i="10"/>
  <c r="AR148" i="10"/>
  <c r="AS148" i="10"/>
  <c r="AT148" i="10"/>
  <c r="AU148" i="10"/>
  <c r="AL149" i="10"/>
  <c r="AM149" i="10"/>
  <c r="AN149" i="10"/>
  <c r="AO149" i="10"/>
  <c r="AP149" i="10"/>
  <c r="AQ149" i="10"/>
  <c r="AR149" i="10"/>
  <c r="AS149" i="10"/>
  <c r="AT149" i="10"/>
  <c r="AU149" i="10"/>
  <c r="AL151" i="10"/>
  <c r="AM151" i="10"/>
  <c r="AN151" i="10"/>
  <c r="AO151" i="10"/>
  <c r="AP151" i="10"/>
  <c r="AQ151" i="10"/>
  <c r="AR151" i="10"/>
  <c r="AS151" i="10"/>
  <c r="AT151" i="10"/>
  <c r="AU151" i="10"/>
  <c r="AL152" i="10"/>
  <c r="AM152" i="10"/>
  <c r="AN152" i="10"/>
  <c r="AO152" i="10"/>
  <c r="AP152" i="10"/>
  <c r="AQ152" i="10"/>
  <c r="AR152" i="10"/>
  <c r="AS152" i="10"/>
  <c r="AT152" i="10"/>
  <c r="AU152" i="10"/>
  <c r="AL153" i="10"/>
  <c r="AM153" i="10"/>
  <c r="AN153" i="10"/>
  <c r="AO153" i="10"/>
  <c r="AP153" i="10"/>
  <c r="AQ153" i="10"/>
  <c r="AR153" i="10"/>
  <c r="AS153" i="10"/>
  <c r="AT153" i="10"/>
  <c r="AU153" i="10"/>
  <c r="AL154" i="10"/>
  <c r="AM154" i="10"/>
  <c r="AN154" i="10"/>
  <c r="AO154" i="10"/>
  <c r="AP154" i="10"/>
  <c r="AQ154" i="10"/>
  <c r="AR154" i="10"/>
  <c r="AS154" i="10"/>
  <c r="AT154" i="10"/>
  <c r="AU154" i="10"/>
  <c r="AL155" i="10"/>
  <c r="AM155" i="10"/>
  <c r="AN155" i="10"/>
  <c r="AO155" i="10"/>
  <c r="AP155" i="10"/>
  <c r="AQ155" i="10"/>
  <c r="AR155" i="10"/>
  <c r="AS155" i="10"/>
  <c r="AT155" i="10"/>
  <c r="AU155" i="10"/>
  <c r="AL156" i="10"/>
  <c r="AM156" i="10"/>
  <c r="AN156" i="10"/>
  <c r="AO156" i="10"/>
  <c r="AP156" i="10"/>
  <c r="AQ156" i="10"/>
  <c r="AR156" i="10"/>
  <c r="AS156" i="10"/>
  <c r="AT156" i="10"/>
  <c r="AU156" i="10"/>
  <c r="AL158" i="10"/>
  <c r="AM158" i="10"/>
  <c r="AN158" i="10"/>
  <c r="AO158" i="10"/>
  <c r="AP158" i="10"/>
  <c r="AQ158" i="10"/>
  <c r="AR158" i="10"/>
  <c r="AS158" i="10"/>
  <c r="AT158" i="10"/>
  <c r="AU158" i="10"/>
  <c r="AL159" i="10"/>
  <c r="AM159" i="10"/>
  <c r="AN159" i="10"/>
  <c r="AO159" i="10"/>
  <c r="AP159" i="10"/>
  <c r="AQ159" i="10"/>
  <c r="AR159" i="10"/>
  <c r="AS159" i="10"/>
  <c r="AT159" i="10"/>
  <c r="AU159" i="10"/>
  <c r="AL160" i="10"/>
  <c r="AM160" i="10"/>
  <c r="AN160" i="10"/>
  <c r="AO160" i="10"/>
  <c r="AP160" i="10"/>
  <c r="AQ160" i="10"/>
  <c r="AR160" i="10"/>
  <c r="AS160" i="10"/>
  <c r="AT160" i="10"/>
  <c r="AU160" i="10"/>
  <c r="AL161" i="10"/>
  <c r="AM161" i="10"/>
  <c r="AN161" i="10"/>
  <c r="AO161" i="10"/>
  <c r="AP161" i="10"/>
  <c r="AQ161" i="10"/>
  <c r="AR161" i="10"/>
  <c r="AS161" i="10"/>
  <c r="AT161" i="10"/>
  <c r="AU161" i="10"/>
  <c r="AL162" i="10"/>
  <c r="AM162" i="10"/>
  <c r="AN162" i="10"/>
  <c r="AO162" i="10"/>
  <c r="AP162" i="10"/>
  <c r="AQ162" i="10"/>
  <c r="AR162" i="10"/>
  <c r="AS162" i="10"/>
  <c r="AT162" i="10"/>
  <c r="AU162" i="10"/>
  <c r="AL163" i="10"/>
  <c r="AM163" i="10"/>
  <c r="AN163" i="10"/>
  <c r="AO163" i="10"/>
  <c r="AP163" i="10"/>
  <c r="AQ163" i="10"/>
  <c r="AR163" i="10"/>
  <c r="AS163" i="10"/>
  <c r="AT163" i="10"/>
  <c r="AU163" i="10"/>
  <c r="AL165" i="10"/>
  <c r="AM165" i="10"/>
  <c r="AN165" i="10"/>
  <c r="AO165" i="10"/>
  <c r="AP165" i="10"/>
  <c r="AQ165" i="10"/>
  <c r="AR165" i="10"/>
  <c r="AS165" i="10"/>
  <c r="AT165" i="10"/>
  <c r="AU165" i="10"/>
  <c r="AL166" i="10"/>
  <c r="AM166" i="10"/>
  <c r="AN166" i="10"/>
  <c r="AO166" i="10"/>
  <c r="AP166" i="10"/>
  <c r="AQ166" i="10"/>
  <c r="AR166" i="10"/>
  <c r="AS166" i="10"/>
  <c r="AT166" i="10"/>
  <c r="AU166" i="10"/>
  <c r="AL167" i="10"/>
  <c r="AM167" i="10"/>
  <c r="AN167" i="10"/>
  <c r="AO167" i="10"/>
  <c r="AP167" i="10"/>
  <c r="AQ167" i="10"/>
  <c r="AR167" i="10"/>
  <c r="AS167" i="10"/>
  <c r="AT167" i="10"/>
  <c r="AU167" i="10"/>
  <c r="AL168" i="10"/>
  <c r="AM168" i="10"/>
  <c r="AN168" i="10"/>
  <c r="AO168" i="10"/>
  <c r="AP168" i="10"/>
  <c r="AQ168" i="10"/>
  <c r="AR168" i="10"/>
  <c r="AS168" i="10"/>
  <c r="AT168" i="10"/>
  <c r="AU168" i="10"/>
  <c r="AL169" i="10"/>
  <c r="AM169" i="10"/>
  <c r="AN169" i="10"/>
  <c r="AO169" i="10"/>
  <c r="AP169" i="10"/>
  <c r="AQ169" i="10"/>
  <c r="AR169" i="10"/>
  <c r="AS169" i="10"/>
  <c r="AT169" i="10"/>
  <c r="AU169" i="10"/>
  <c r="AL170" i="10"/>
  <c r="AM170" i="10"/>
  <c r="AN170" i="10"/>
  <c r="AO170" i="10"/>
  <c r="AP170" i="10"/>
  <c r="AQ170" i="10"/>
  <c r="AR170" i="10"/>
  <c r="AS170" i="10"/>
  <c r="AT170" i="10"/>
  <c r="AU170" i="10"/>
  <c r="AL172" i="10"/>
  <c r="AM172" i="10"/>
  <c r="AN172" i="10"/>
  <c r="AO172" i="10"/>
  <c r="AP172" i="10"/>
  <c r="AQ172" i="10"/>
  <c r="AR172" i="10"/>
  <c r="AS172" i="10"/>
  <c r="AT172" i="10"/>
  <c r="AU172" i="10"/>
  <c r="AL173" i="10"/>
  <c r="AM173" i="10"/>
  <c r="AN173" i="10"/>
  <c r="AO173" i="10"/>
  <c r="AP173" i="10"/>
  <c r="AQ173" i="10"/>
  <c r="AR173" i="10"/>
  <c r="AS173" i="10"/>
  <c r="AT173" i="10"/>
  <c r="AU173" i="10"/>
  <c r="AL174" i="10"/>
  <c r="AM174" i="10"/>
  <c r="AN174" i="10"/>
  <c r="AO174" i="10"/>
  <c r="AP174" i="10"/>
  <c r="AQ174" i="10"/>
  <c r="AR174" i="10"/>
  <c r="AS174" i="10"/>
  <c r="AT174" i="10"/>
  <c r="AU174" i="10"/>
  <c r="AL175" i="10"/>
  <c r="AM175" i="10"/>
  <c r="AN175" i="10"/>
  <c r="AO175" i="10"/>
  <c r="AP175" i="10"/>
  <c r="AQ175" i="10"/>
  <c r="AR175" i="10"/>
  <c r="AS175" i="10"/>
  <c r="AT175" i="10"/>
  <c r="AU175" i="10"/>
  <c r="AL176" i="10"/>
  <c r="AM176" i="10"/>
  <c r="AN176" i="10"/>
  <c r="AO176" i="10"/>
  <c r="AP176" i="10"/>
  <c r="AQ176" i="10"/>
  <c r="AR176" i="10"/>
  <c r="AS176" i="10"/>
  <c r="AT176" i="10"/>
  <c r="AU176" i="10"/>
  <c r="AL177" i="10"/>
  <c r="AM177" i="10"/>
  <c r="AN177" i="10"/>
  <c r="AO177" i="10"/>
  <c r="AP177" i="10"/>
  <c r="AQ177" i="10"/>
  <c r="AR177" i="10"/>
  <c r="AS177" i="10"/>
  <c r="AT177" i="10"/>
  <c r="AU177" i="10"/>
  <c r="AL179" i="10"/>
  <c r="AM179" i="10"/>
  <c r="AN179" i="10"/>
  <c r="AO179" i="10"/>
  <c r="AP179" i="10"/>
  <c r="AQ179" i="10"/>
  <c r="AR179" i="10"/>
  <c r="AS179" i="10"/>
  <c r="AT179" i="10"/>
  <c r="AU179" i="10"/>
  <c r="AL180" i="10"/>
  <c r="AM180" i="10"/>
  <c r="AN180" i="10"/>
  <c r="AO180" i="10"/>
  <c r="AP180" i="10"/>
  <c r="AQ180" i="10"/>
  <c r="AR180" i="10"/>
  <c r="AS180" i="10"/>
  <c r="AT180" i="10"/>
  <c r="AU180" i="10"/>
  <c r="AL181" i="10"/>
  <c r="AM181" i="10"/>
  <c r="AN181" i="10"/>
  <c r="AO181" i="10"/>
  <c r="AP181" i="10"/>
  <c r="AQ181" i="10"/>
  <c r="AR181" i="10"/>
  <c r="AS181" i="10"/>
  <c r="AT181" i="10"/>
  <c r="AU181" i="10"/>
  <c r="AL182" i="10"/>
  <c r="AM182" i="10"/>
  <c r="AN182" i="10"/>
  <c r="AO182" i="10"/>
  <c r="AP182" i="10"/>
  <c r="AQ182" i="10"/>
  <c r="AR182" i="10"/>
  <c r="AS182" i="10"/>
  <c r="AT182" i="10"/>
  <c r="AU182" i="10"/>
  <c r="AL183" i="10"/>
  <c r="AM183" i="10"/>
  <c r="AN183" i="10"/>
  <c r="AO183" i="10"/>
  <c r="AP183" i="10"/>
  <c r="AQ183" i="10"/>
  <c r="AR183" i="10"/>
  <c r="AS183" i="10"/>
  <c r="AT183" i="10"/>
  <c r="AU183" i="10"/>
  <c r="AL184" i="10"/>
  <c r="AM184" i="10"/>
  <c r="AN184" i="10"/>
  <c r="AO184" i="10"/>
  <c r="AP184" i="10"/>
  <c r="AQ184" i="10"/>
  <c r="AR184" i="10"/>
  <c r="AS184" i="10"/>
  <c r="AT184" i="10"/>
  <c r="AU184" i="10"/>
  <c r="AL185" i="10"/>
  <c r="AM185" i="10"/>
  <c r="AN185" i="10"/>
  <c r="AO185" i="10"/>
  <c r="AP185" i="10"/>
  <c r="AQ185" i="10"/>
  <c r="AR185" i="10"/>
  <c r="AS185" i="10"/>
  <c r="AT185" i="10"/>
  <c r="AU185" i="10"/>
  <c r="AL186" i="10"/>
  <c r="AM186" i="10"/>
  <c r="AN186" i="10"/>
  <c r="AO186" i="10"/>
  <c r="AP186" i="10"/>
  <c r="AQ186" i="10"/>
  <c r="AR186" i="10"/>
  <c r="AS186" i="10"/>
  <c r="AT186" i="10"/>
  <c r="AU186" i="10"/>
  <c r="AL187" i="10"/>
  <c r="AM187" i="10"/>
  <c r="AN187" i="10"/>
  <c r="AO187" i="10"/>
  <c r="AP187" i="10"/>
  <c r="AQ187" i="10"/>
  <c r="AR187" i="10"/>
  <c r="AS187" i="10"/>
  <c r="AT187" i="10"/>
  <c r="AU187" i="10"/>
  <c r="AL188" i="10"/>
  <c r="AM188" i="10"/>
  <c r="AN188" i="10"/>
  <c r="AO188" i="10"/>
  <c r="AP188" i="10"/>
  <c r="AQ188" i="10"/>
  <c r="AR188" i="10"/>
  <c r="AS188" i="10"/>
  <c r="AT188" i="10"/>
  <c r="AU188" i="10"/>
  <c r="AL189" i="10"/>
  <c r="AM189" i="10"/>
  <c r="AN189" i="10"/>
  <c r="AO189" i="10"/>
  <c r="AP189" i="10"/>
  <c r="AQ189" i="10"/>
  <c r="AR189" i="10"/>
  <c r="AS189" i="10"/>
  <c r="AT189" i="10"/>
  <c r="AU189" i="10"/>
  <c r="AL190" i="10"/>
  <c r="AM190" i="10"/>
  <c r="AN190" i="10"/>
  <c r="AO190" i="10"/>
  <c r="AP190" i="10"/>
  <c r="AQ190" i="10"/>
  <c r="AR190" i="10"/>
  <c r="AS190" i="10"/>
  <c r="AT190" i="10"/>
  <c r="AU190" i="10"/>
  <c r="AL192" i="10"/>
  <c r="AM192" i="10"/>
  <c r="AN192" i="10"/>
  <c r="AO192" i="10"/>
  <c r="AP192" i="10"/>
  <c r="AQ192" i="10"/>
  <c r="AR192" i="10"/>
  <c r="AS192" i="10"/>
  <c r="AT192" i="10"/>
  <c r="AU192" i="10"/>
  <c r="AL193" i="10"/>
  <c r="AM193" i="10"/>
  <c r="AN193" i="10"/>
  <c r="AO193" i="10"/>
  <c r="AP193" i="10"/>
  <c r="AQ193" i="10"/>
  <c r="AR193" i="10"/>
  <c r="AS193" i="10"/>
  <c r="AT193" i="10"/>
  <c r="AU193" i="10"/>
  <c r="AL194" i="10"/>
  <c r="AM194" i="10"/>
  <c r="AN194" i="10"/>
  <c r="AO194" i="10"/>
  <c r="AP194" i="10"/>
  <c r="AQ194" i="10"/>
  <c r="AR194" i="10"/>
  <c r="AS194" i="10"/>
  <c r="AT194" i="10"/>
  <c r="AU194" i="10"/>
  <c r="AL195" i="10"/>
  <c r="AM195" i="10"/>
  <c r="AN195" i="10"/>
  <c r="AO195" i="10"/>
  <c r="AP195" i="10"/>
  <c r="AQ195" i="10"/>
  <c r="AR195" i="10"/>
  <c r="AS195" i="10"/>
  <c r="AT195" i="10"/>
  <c r="AU195" i="10"/>
  <c r="AL196" i="10"/>
  <c r="AM196" i="10"/>
  <c r="AN196" i="10"/>
  <c r="AO196" i="10"/>
  <c r="AP196" i="10"/>
  <c r="AQ196" i="10"/>
  <c r="AR196" i="10"/>
  <c r="AS196" i="10"/>
  <c r="AT196" i="10"/>
  <c r="AU196" i="10"/>
  <c r="AL197" i="10"/>
  <c r="AM197" i="10"/>
  <c r="AN197" i="10"/>
  <c r="AO197" i="10"/>
  <c r="AP197" i="10"/>
  <c r="AQ197" i="10"/>
  <c r="AR197" i="10"/>
  <c r="AS197" i="10"/>
  <c r="AT197" i="10"/>
  <c r="AU197" i="10"/>
  <c r="AL198" i="10"/>
  <c r="AM198" i="10"/>
  <c r="AN198" i="10"/>
  <c r="AO198" i="10"/>
  <c r="AP198" i="10"/>
  <c r="AQ198" i="10"/>
  <c r="AR198" i="10"/>
  <c r="AS198" i="10"/>
  <c r="AT198" i="10"/>
  <c r="AU198" i="10"/>
  <c r="AL199" i="10"/>
  <c r="AM199" i="10"/>
  <c r="AN199" i="10"/>
  <c r="AO199" i="10"/>
  <c r="AP199" i="10"/>
  <c r="AQ199" i="10"/>
  <c r="AR199" i="10"/>
  <c r="AS199" i="10"/>
  <c r="AT199" i="10"/>
  <c r="AU199" i="10"/>
  <c r="AL200" i="10"/>
  <c r="AM200" i="10"/>
  <c r="AN200" i="10"/>
  <c r="AO200" i="10"/>
  <c r="AP200" i="10"/>
  <c r="AQ200" i="10"/>
  <c r="AR200" i="10"/>
  <c r="AS200" i="10"/>
  <c r="AT200" i="10"/>
  <c r="AU200" i="10"/>
  <c r="AL201" i="10"/>
  <c r="AM201" i="10"/>
  <c r="AN201" i="10"/>
  <c r="AO201" i="10"/>
  <c r="AP201" i="10"/>
  <c r="AQ201" i="10"/>
  <c r="AR201" i="10"/>
  <c r="AS201" i="10"/>
  <c r="AT201" i="10"/>
  <c r="AU201" i="10"/>
  <c r="AL202" i="10"/>
  <c r="AM202" i="10"/>
  <c r="AN202" i="10"/>
  <c r="AO202" i="10"/>
  <c r="AP202" i="10"/>
  <c r="AQ202" i="10"/>
  <c r="AR202" i="10"/>
  <c r="AS202" i="10"/>
  <c r="AT202" i="10"/>
  <c r="AU202" i="10"/>
  <c r="AL203" i="10"/>
  <c r="AM203" i="10"/>
  <c r="AN203" i="10"/>
  <c r="AO203" i="10"/>
  <c r="AP203" i="10"/>
  <c r="AQ203" i="10"/>
  <c r="AR203" i="10"/>
  <c r="AS203" i="10"/>
  <c r="AT203" i="10"/>
  <c r="AU203" i="10"/>
  <c r="AL88" i="10"/>
  <c r="AL209" i="10" s="1"/>
  <c r="AL210" i="10" s="1"/>
  <c r="AM88" i="10"/>
  <c r="AM209" i="10" s="1"/>
  <c r="AM210" i="10" s="1"/>
  <c r="AN88" i="10"/>
  <c r="AN209" i="10" s="1"/>
  <c r="AN210" i="10" s="1"/>
  <c r="AO88" i="10"/>
  <c r="AO209" i="10" s="1"/>
  <c r="AO210" i="10" s="1"/>
  <c r="AP88" i="10"/>
  <c r="AP209" i="10" s="1"/>
  <c r="AP210" i="10" s="1"/>
  <c r="AQ88" i="10"/>
  <c r="AQ209" i="10" s="1"/>
  <c r="AQ210" i="10" s="1"/>
  <c r="AR88" i="10"/>
  <c r="AR209" i="10" s="1"/>
  <c r="AR210" i="10" s="1"/>
  <c r="AS88" i="10"/>
  <c r="AS209" i="10" s="1"/>
  <c r="AS210" i="10" s="1"/>
  <c r="AT88" i="10"/>
  <c r="AT209" i="10" s="1"/>
  <c r="AT210" i="10" s="1"/>
  <c r="AU88" i="10"/>
  <c r="AU209" i="10" s="1"/>
  <c r="AU210" i="10" s="1"/>
  <c r="AL66" i="10"/>
  <c r="AM66" i="10"/>
  <c r="AN66" i="10"/>
  <c r="AO66" i="10"/>
  <c r="AP66" i="10"/>
  <c r="AQ66" i="10"/>
  <c r="AR66" i="10"/>
  <c r="AS66" i="10"/>
  <c r="AT66" i="10"/>
  <c r="AU66" i="10"/>
  <c r="AL67" i="10"/>
  <c r="AM67" i="10"/>
  <c r="AN67" i="10"/>
  <c r="AO67" i="10"/>
  <c r="AP67" i="10"/>
  <c r="AQ67" i="10"/>
  <c r="AR67" i="10"/>
  <c r="AS67" i="10"/>
  <c r="AT67" i="10"/>
  <c r="AU67" i="10"/>
  <c r="AL68" i="10"/>
  <c r="AM68" i="10"/>
  <c r="AN68" i="10"/>
  <c r="AO68" i="10"/>
  <c r="AP68" i="10"/>
  <c r="AQ68" i="10"/>
  <c r="AR68" i="10"/>
  <c r="AS68" i="10"/>
  <c r="AT68" i="10"/>
  <c r="AU68" i="10"/>
  <c r="AL69" i="10"/>
  <c r="AM69" i="10"/>
  <c r="AN69" i="10"/>
  <c r="AO69" i="10"/>
  <c r="AP69" i="10"/>
  <c r="AQ69" i="10"/>
  <c r="AR69" i="10"/>
  <c r="AS69" i="10"/>
  <c r="AT69" i="10"/>
  <c r="AU69" i="10"/>
  <c r="AL70" i="10"/>
  <c r="AM70" i="10"/>
  <c r="AN70" i="10"/>
  <c r="AO70" i="10"/>
  <c r="AP70" i="10"/>
  <c r="AQ70" i="10"/>
  <c r="AR70" i="10"/>
  <c r="AS70" i="10"/>
  <c r="AT70" i="10"/>
  <c r="AU70" i="10"/>
  <c r="AL72" i="10"/>
  <c r="AM72" i="10"/>
  <c r="AN72" i="10"/>
  <c r="AO72" i="10"/>
  <c r="AP72" i="10"/>
  <c r="AQ72" i="10"/>
  <c r="AR72" i="10"/>
  <c r="AS72" i="10"/>
  <c r="AT72" i="10"/>
  <c r="AU72" i="10"/>
  <c r="AL73" i="10"/>
  <c r="AM73" i="10"/>
  <c r="AN73" i="10"/>
  <c r="AO73" i="10"/>
  <c r="AP73" i="10"/>
  <c r="AQ73" i="10"/>
  <c r="AR73" i="10"/>
  <c r="AS73" i="10"/>
  <c r="AT73" i="10"/>
  <c r="AU73" i="10"/>
  <c r="AL74" i="10"/>
  <c r="AM74" i="10"/>
  <c r="AN74" i="10"/>
  <c r="AO74" i="10"/>
  <c r="AP74" i="10"/>
  <c r="AQ74" i="10"/>
  <c r="AR74" i="10"/>
  <c r="AS74" i="10"/>
  <c r="AT74" i="10"/>
  <c r="AU74" i="10"/>
  <c r="AL75" i="10"/>
  <c r="AM75" i="10"/>
  <c r="AN75" i="10"/>
  <c r="AO75" i="10"/>
  <c r="AP75" i="10"/>
  <c r="AQ75" i="10"/>
  <c r="AR75" i="10"/>
  <c r="AS75" i="10"/>
  <c r="AT75" i="10"/>
  <c r="AU75" i="10"/>
  <c r="AL76" i="10"/>
  <c r="AM76" i="10"/>
  <c r="AN76" i="10"/>
  <c r="AO76" i="10"/>
  <c r="AP76" i="10"/>
  <c r="AQ76" i="10"/>
  <c r="AR76" i="10"/>
  <c r="AS76" i="10"/>
  <c r="AT76" i="10"/>
  <c r="AU76" i="10"/>
  <c r="AL77" i="10"/>
  <c r="AM77" i="10"/>
  <c r="AN77" i="10"/>
  <c r="AO77" i="10"/>
  <c r="AP77" i="10"/>
  <c r="AQ77" i="10"/>
  <c r="AR77" i="10"/>
  <c r="AS77" i="10"/>
  <c r="AT77" i="10"/>
  <c r="AU77" i="10"/>
  <c r="AL79" i="10"/>
  <c r="AM79" i="10"/>
  <c r="AN79" i="10"/>
  <c r="AO79" i="10"/>
  <c r="AP79" i="10"/>
  <c r="AQ79" i="10"/>
  <c r="AR79" i="10"/>
  <c r="AS79" i="10"/>
  <c r="AT79" i="10"/>
  <c r="AU79" i="10"/>
  <c r="AL80" i="10"/>
  <c r="AM80" i="10"/>
  <c r="AN80" i="10"/>
  <c r="AO80" i="10"/>
  <c r="AP80" i="10"/>
  <c r="AQ80" i="10"/>
  <c r="AR80" i="10"/>
  <c r="AS80" i="10"/>
  <c r="AT80" i="10"/>
  <c r="AU80" i="10"/>
  <c r="AL81" i="10"/>
  <c r="AM81" i="10"/>
  <c r="AN81" i="10"/>
  <c r="AO81" i="10"/>
  <c r="AP81" i="10"/>
  <c r="AQ81" i="10"/>
  <c r="AR81" i="10"/>
  <c r="AS81" i="10"/>
  <c r="AT81" i="10"/>
  <c r="AU81" i="10"/>
  <c r="AL82" i="10"/>
  <c r="AM82" i="10"/>
  <c r="AN82" i="10"/>
  <c r="AO82" i="10"/>
  <c r="AP82" i="10"/>
  <c r="AQ82" i="10"/>
  <c r="AR82" i="10"/>
  <c r="AS82" i="10"/>
  <c r="AT82" i="10"/>
  <c r="AU82" i="10"/>
  <c r="AL83" i="10"/>
  <c r="AM83" i="10"/>
  <c r="AN83" i="10"/>
  <c r="AO83" i="10"/>
  <c r="AP83" i="10"/>
  <c r="AQ83" i="10"/>
  <c r="AR83" i="10"/>
  <c r="AS83" i="10"/>
  <c r="AT83" i="10"/>
  <c r="AU83" i="10"/>
  <c r="AL84" i="10"/>
  <c r="AM84" i="10"/>
  <c r="AN84" i="10"/>
  <c r="AO84" i="10"/>
  <c r="AP84" i="10"/>
  <c r="AQ84" i="10"/>
  <c r="AR84" i="10"/>
  <c r="AS84" i="10"/>
  <c r="AT84" i="10"/>
  <c r="AU84" i="10"/>
  <c r="AL59" i="10"/>
  <c r="AM59" i="10"/>
  <c r="AN59" i="10"/>
  <c r="AO59" i="10"/>
  <c r="AP59" i="10"/>
  <c r="AQ59" i="10"/>
  <c r="AR59" i="10"/>
  <c r="AS59" i="10"/>
  <c r="AT59" i="10"/>
  <c r="AU59" i="10"/>
  <c r="AL60" i="10"/>
  <c r="AM60" i="10"/>
  <c r="AN60" i="10"/>
  <c r="AO60" i="10"/>
  <c r="AP60" i="10"/>
  <c r="AQ60" i="10"/>
  <c r="AR60" i="10"/>
  <c r="AS60" i="10"/>
  <c r="AT60" i="10"/>
  <c r="AU60" i="10"/>
  <c r="AL61" i="10"/>
  <c r="AM61" i="10"/>
  <c r="AN61" i="10"/>
  <c r="AO61" i="10"/>
  <c r="AP61" i="10"/>
  <c r="AQ61" i="10"/>
  <c r="AR61" i="10"/>
  <c r="AS61" i="10"/>
  <c r="AT61" i="10"/>
  <c r="AU61" i="10"/>
  <c r="AL62" i="10"/>
  <c r="AM62" i="10"/>
  <c r="AN62" i="10"/>
  <c r="AO62" i="10"/>
  <c r="AP62" i="10"/>
  <c r="AQ62" i="10"/>
  <c r="AR62" i="10"/>
  <c r="AS62" i="10"/>
  <c r="AT62" i="10"/>
  <c r="AU62" i="10"/>
  <c r="AL63" i="10"/>
  <c r="AM63" i="10"/>
  <c r="AN63" i="10"/>
  <c r="AO63" i="10"/>
  <c r="AP63" i="10"/>
  <c r="AQ63" i="10"/>
  <c r="AR63" i="10"/>
  <c r="AS63" i="10"/>
  <c r="AT63" i="10"/>
  <c r="AU63" i="10"/>
  <c r="AL64" i="10"/>
  <c r="AM64" i="10"/>
  <c r="AN64" i="10"/>
  <c r="AO64" i="10"/>
  <c r="AP64" i="10"/>
  <c r="AQ64" i="10"/>
  <c r="AR64" i="10"/>
  <c r="AS64" i="10"/>
  <c r="AT64" i="10"/>
  <c r="AU64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50" i="10"/>
  <c r="AM50" i="10"/>
  <c r="AN50" i="10"/>
  <c r="AO50" i="10"/>
  <c r="AP50" i="10"/>
  <c r="AQ50" i="10"/>
  <c r="AR50" i="10"/>
  <c r="AS50" i="10"/>
  <c r="AT50" i="10"/>
  <c r="AU50" i="10"/>
  <c r="AL51" i="10"/>
  <c r="AM51" i="10"/>
  <c r="AN51" i="10"/>
  <c r="AO51" i="10"/>
  <c r="AP51" i="10"/>
  <c r="AQ51" i="10"/>
  <c r="AR51" i="10"/>
  <c r="AS51" i="10"/>
  <c r="AT51" i="10"/>
  <c r="AU51" i="10"/>
  <c r="AL52" i="10"/>
  <c r="AM52" i="10"/>
  <c r="AN52" i="10"/>
  <c r="AO52" i="10"/>
  <c r="AP52" i="10"/>
  <c r="AQ52" i="10"/>
  <c r="AR52" i="10"/>
  <c r="AS52" i="10"/>
  <c r="AT52" i="10"/>
  <c r="AU52" i="10"/>
  <c r="AL53" i="10"/>
  <c r="AM53" i="10"/>
  <c r="AN53" i="10"/>
  <c r="AO53" i="10"/>
  <c r="AP53" i="10"/>
  <c r="AQ53" i="10"/>
  <c r="AR53" i="10"/>
  <c r="AS53" i="10"/>
  <c r="AT53" i="10"/>
  <c r="AU53" i="10"/>
  <c r="AL54" i="10"/>
  <c r="AM54" i="10"/>
  <c r="AN54" i="10"/>
  <c r="AO54" i="10"/>
  <c r="AP54" i="10"/>
  <c r="AQ54" i="10"/>
  <c r="AR54" i="10"/>
  <c r="AS54" i="10"/>
  <c r="AT54" i="10"/>
  <c r="AU54" i="10"/>
  <c r="AL55" i="10"/>
  <c r="AM55" i="10"/>
  <c r="AN55" i="10"/>
  <c r="AO55" i="10"/>
  <c r="AP55" i="10"/>
  <c r="AQ55" i="10"/>
  <c r="AR55" i="10"/>
  <c r="AS55" i="10"/>
  <c r="AT55" i="10"/>
  <c r="AU55" i="10"/>
  <c r="AL44" i="10"/>
  <c r="AM44" i="10"/>
  <c r="AN44" i="10"/>
  <c r="AO44" i="10"/>
  <c r="AP44" i="10"/>
  <c r="AQ44" i="10"/>
  <c r="AR44" i="10"/>
  <c r="AS44" i="10"/>
  <c r="AT44" i="10"/>
  <c r="AU44" i="10"/>
  <c r="AL45" i="10"/>
  <c r="AM45" i="10"/>
  <c r="AN45" i="10"/>
  <c r="AO45" i="10"/>
  <c r="AP45" i="10"/>
  <c r="AQ45" i="10"/>
  <c r="AR45" i="10"/>
  <c r="AS45" i="10"/>
  <c r="AT45" i="10"/>
  <c r="AU45" i="10"/>
  <c r="AL46" i="10"/>
  <c r="AM46" i="10"/>
  <c r="AN46" i="10"/>
  <c r="AO46" i="10"/>
  <c r="AP46" i="10"/>
  <c r="AQ46" i="10"/>
  <c r="AR46" i="10"/>
  <c r="AS46" i="10"/>
  <c r="AT46" i="10"/>
  <c r="AU46" i="10"/>
  <c r="AL47" i="10"/>
  <c r="AM47" i="10"/>
  <c r="AN47" i="10"/>
  <c r="AO47" i="10"/>
  <c r="AP47" i="10"/>
  <c r="AQ47" i="10"/>
  <c r="AR47" i="10"/>
  <c r="AS47" i="10"/>
  <c r="AT47" i="10"/>
  <c r="AU47" i="10"/>
  <c r="AL48" i="10"/>
  <c r="AM48" i="10"/>
  <c r="AN48" i="10"/>
  <c r="AO48" i="10"/>
  <c r="AP48" i="10"/>
  <c r="AQ48" i="10"/>
  <c r="AR48" i="10"/>
  <c r="AS48" i="10"/>
  <c r="AT48" i="10"/>
  <c r="AU48" i="10"/>
  <c r="AL49" i="10"/>
  <c r="AM49" i="10"/>
  <c r="AN49" i="10"/>
  <c r="AO49" i="10"/>
  <c r="AP49" i="10"/>
  <c r="AQ49" i="10"/>
  <c r="AR49" i="10"/>
  <c r="AS49" i="10"/>
  <c r="AT49" i="10"/>
  <c r="AU49" i="10"/>
  <c r="BC563" i="13"/>
  <c r="BD563" i="13"/>
  <c r="BE563" i="13"/>
  <c r="BF563" i="13"/>
  <c r="BG563" i="13"/>
  <c r="BH563" i="13"/>
  <c r="U563" i="13"/>
  <c r="AB563" i="13"/>
  <c r="AK563" i="13"/>
  <c r="AO563" i="13"/>
  <c r="AU563" i="13"/>
  <c r="BA563" i="13"/>
  <c r="AA563" i="13"/>
  <c r="AJ563" i="13"/>
  <c r="AT563" i="13"/>
  <c r="AZ563" i="13"/>
  <c r="Z563" i="13"/>
  <c r="AI563" i="13"/>
  <c r="AS563" i="13"/>
  <c r="AY563" i="13"/>
  <c r="Y563" i="13"/>
  <c r="AH563" i="13"/>
  <c r="AR563" i="13"/>
  <c r="AX563" i="13"/>
  <c r="X563" i="13"/>
  <c r="AG563" i="13"/>
  <c r="AQ563" i="13"/>
  <c r="AW563" i="13"/>
  <c r="W563" i="13"/>
  <c r="AF563" i="13"/>
  <c r="AP563" i="13"/>
  <c r="AV563" i="13"/>
  <c r="BS5" i="13"/>
  <c r="AL101" i="10" l="1"/>
  <c r="AL205" i="10" s="1"/>
  <c r="AP129" i="10"/>
  <c r="AT115" i="10"/>
  <c r="AL108" i="10"/>
  <c r="AO86" i="10"/>
  <c r="AM564" i="13"/>
  <c r="AT129" i="10"/>
  <c r="AT101" i="10"/>
  <c r="AT205" i="10" s="1"/>
  <c r="AL86" i="10"/>
  <c r="AP191" i="10"/>
  <c r="AP206" i="10" s="1"/>
  <c r="AU115" i="10"/>
  <c r="AT136" i="10"/>
  <c r="AL136" i="10"/>
  <c r="AL178" i="10"/>
  <c r="AL71" i="10"/>
  <c r="AP57" i="10"/>
  <c r="AP78" i="10"/>
  <c r="AR136" i="10"/>
  <c r="AN204" i="10"/>
  <c r="AN207" i="10" s="1"/>
  <c r="AN101" i="10"/>
  <c r="AN205" i="10" s="1"/>
  <c r="AR78" i="10"/>
  <c r="AQ115" i="10"/>
  <c r="AR86" i="10"/>
  <c r="AS191" i="10"/>
  <c r="AS206" i="10" s="1"/>
  <c r="AM143" i="10"/>
  <c r="AE564" i="13"/>
  <c r="AN564" i="13"/>
  <c r="AU129" i="10"/>
  <c r="AU71" i="10"/>
  <c r="AU56" i="10"/>
  <c r="AQ71" i="10"/>
  <c r="AM129" i="10"/>
  <c r="BI564" i="13"/>
  <c r="BJ564" i="13"/>
  <c r="AM71" i="10"/>
  <c r="BB564" i="13"/>
  <c r="AD564" i="13"/>
  <c r="AU57" i="10"/>
  <c r="AT86" i="10"/>
  <c r="AR85" i="10"/>
  <c r="AR87" i="10" s="1"/>
  <c r="AN78" i="10"/>
  <c r="AT78" i="10"/>
  <c r="AL78" i="10"/>
  <c r="AU204" i="10"/>
  <c r="AU207" i="10" s="1"/>
  <c r="BK564" i="13"/>
  <c r="AO164" i="10"/>
  <c r="AN129" i="10"/>
  <c r="AL122" i="10"/>
  <c r="AR71" i="10"/>
  <c r="AT204" i="10"/>
  <c r="AT207" i="10" s="1"/>
  <c r="AP204" i="10"/>
  <c r="AP207" i="10" s="1"/>
  <c r="AL204" i="10"/>
  <c r="AL207" i="10" s="1"/>
  <c r="AN136" i="10"/>
  <c r="AM85" i="10"/>
  <c r="AL150" i="10"/>
  <c r="AL129" i="10"/>
  <c r="AR129" i="10"/>
  <c r="AP101" i="10"/>
  <c r="AP205" i="10" s="1"/>
  <c r="AS78" i="10"/>
  <c r="AP71" i="10"/>
  <c r="AU143" i="10"/>
  <c r="AP136" i="10"/>
  <c r="AS86" i="10"/>
  <c r="AR101" i="10"/>
  <c r="AR205" i="10" s="1"/>
  <c r="AL164" i="10"/>
  <c r="AS150" i="10"/>
  <c r="AR150" i="10"/>
  <c r="AN150" i="10"/>
  <c r="AP150" i="10"/>
  <c r="AT150" i="10"/>
  <c r="AR108" i="10"/>
  <c r="AQ129" i="10"/>
  <c r="AE563" i="13"/>
  <c r="AM563" i="13"/>
  <c r="AQ57" i="10"/>
  <c r="AO56" i="10"/>
  <c r="AT85" i="10"/>
  <c r="AN85" i="10"/>
  <c r="AQ204" i="10"/>
  <c r="AQ207" i="10" s="1"/>
  <c r="AM204" i="10"/>
  <c r="AM207" i="10" s="1"/>
  <c r="AM208" i="10" s="1"/>
  <c r="AN563" i="13"/>
  <c r="AQ56" i="10"/>
  <c r="AO78" i="10"/>
  <c r="AT71" i="10"/>
  <c r="AN71" i="10"/>
  <c r="AO191" i="10"/>
  <c r="AO206" i="10" s="1"/>
  <c r="BB563" i="13"/>
  <c r="AD563" i="13"/>
  <c r="BI563" i="13"/>
  <c r="AM57" i="10"/>
  <c r="AS57" i="10"/>
  <c r="AM56" i="10"/>
  <c r="AN86" i="10"/>
  <c r="AU86" i="10"/>
  <c r="AQ86" i="10"/>
  <c r="AM86" i="10"/>
  <c r="AU85" i="10"/>
  <c r="AS71" i="10"/>
  <c r="AO71" i="10"/>
  <c r="AR204" i="10"/>
  <c r="AR207" i="10" s="1"/>
  <c r="AT191" i="10"/>
  <c r="AT206" i="10" s="1"/>
  <c r="AL191" i="10"/>
  <c r="AL206" i="10" s="1"/>
  <c r="AQ171" i="10"/>
  <c r="BK563" i="13"/>
  <c r="BJ563" i="13"/>
  <c r="AO57" i="10"/>
  <c r="AS56" i="10"/>
  <c r="AN56" i="10"/>
  <c r="AL57" i="10"/>
  <c r="AR56" i="10"/>
  <c r="AL85" i="10"/>
  <c r="AP85" i="10"/>
  <c r="AU78" i="10"/>
  <c r="AQ78" i="10"/>
  <c r="AM78" i="10"/>
  <c r="AN171" i="10"/>
  <c r="AT164" i="10"/>
  <c r="AO136" i="10"/>
  <c r="AU171" i="10"/>
  <c r="AM171" i="10"/>
  <c r="AR171" i="10"/>
  <c r="AT56" i="10"/>
  <c r="AP86" i="10"/>
  <c r="AR191" i="10"/>
  <c r="AR206" i="10" s="1"/>
  <c r="AN191" i="10"/>
  <c r="AN206" i="10" s="1"/>
  <c r="AT171" i="10"/>
  <c r="AP171" i="10"/>
  <c r="AL171" i="10"/>
  <c r="AQ157" i="10"/>
  <c r="AS101" i="10"/>
  <c r="AS205" i="10" s="1"/>
  <c r="AO101" i="10"/>
  <c r="AO205" i="10" s="1"/>
  <c r="AT57" i="10"/>
  <c r="AQ85" i="10"/>
  <c r="AP56" i="10"/>
  <c r="AL56" i="10"/>
  <c r="AR57" i="10"/>
  <c r="AN57" i="10"/>
  <c r="AS85" i="10"/>
  <c r="AO85" i="10"/>
  <c r="AO87" i="10" s="1"/>
  <c r="AS204" i="10"/>
  <c r="AS207" i="10" s="1"/>
  <c r="AO204" i="10"/>
  <c r="AO207" i="10" s="1"/>
  <c r="AO150" i="10"/>
  <c r="AM115" i="10"/>
  <c r="AU191" i="10"/>
  <c r="AU206" i="10" s="1"/>
  <c r="AQ191" i="10"/>
  <c r="AQ206" i="10" s="1"/>
  <c r="AM191" i="10"/>
  <c r="AM206" i="10" s="1"/>
  <c r="AS171" i="10"/>
  <c r="AO171" i="10"/>
  <c r="AS136" i="10"/>
  <c r="AN115" i="10"/>
  <c r="AS178" i="10"/>
  <c r="AT178" i="10"/>
  <c r="AO178" i="10"/>
  <c r="AP178" i="10"/>
  <c r="AU178" i="10"/>
  <c r="AQ178" i="10"/>
  <c r="AM178" i="10"/>
  <c r="AR178" i="10"/>
  <c r="AN178" i="10"/>
  <c r="AP164" i="10"/>
  <c r="AS164" i="10"/>
  <c r="AR164" i="10"/>
  <c r="AN164" i="10"/>
  <c r="AU164" i="10"/>
  <c r="AQ164" i="10"/>
  <c r="AM164" i="10"/>
  <c r="AT157" i="10"/>
  <c r="AR157" i="10"/>
  <c r="AN157" i="10"/>
  <c r="AU157" i="10"/>
  <c r="AM157" i="10"/>
  <c r="AS157" i="10"/>
  <c r="AO157" i="10"/>
  <c r="AP157" i="10"/>
  <c r="AL157" i="10"/>
  <c r="AU150" i="10"/>
  <c r="AQ150" i="10"/>
  <c r="AM150" i="10"/>
  <c r="AR143" i="10"/>
  <c r="AN143" i="10"/>
  <c r="AT143" i="10"/>
  <c r="AP143" i="10"/>
  <c r="AQ143" i="10"/>
  <c r="AL143" i="10"/>
  <c r="AS143" i="10"/>
  <c r="AO143" i="10"/>
  <c r="AU136" i="10"/>
  <c r="AQ136" i="10"/>
  <c r="AM136" i="10"/>
  <c r="AS129" i="10"/>
  <c r="AO129" i="10"/>
  <c r="AR122" i="10"/>
  <c r="AN122" i="10"/>
  <c r="AT122" i="10"/>
  <c r="AP122" i="10"/>
  <c r="AS122" i="10"/>
  <c r="AO122" i="10"/>
  <c r="AU122" i="10"/>
  <c r="AQ122" i="10"/>
  <c r="AM122" i="10"/>
  <c r="AP115" i="10"/>
  <c r="AL115" i="10"/>
  <c r="AR115" i="10"/>
  <c r="AS115" i="10"/>
  <c r="AO115" i="10"/>
  <c r="AS108" i="10"/>
  <c r="AO108" i="10"/>
  <c r="AN108" i="10"/>
  <c r="AT108" i="10"/>
  <c r="AP108" i="10"/>
  <c r="AU108" i="10"/>
  <c r="AQ108" i="10"/>
  <c r="AM108" i="10"/>
  <c r="BT5" i="13"/>
  <c r="AM31" i="10"/>
  <c r="AN31" i="10"/>
  <c r="AO31" i="10"/>
  <c r="AP31" i="10"/>
  <c r="AQ31" i="10"/>
  <c r="AR31" i="10"/>
  <c r="AS31" i="10"/>
  <c r="AT31" i="10"/>
  <c r="AU31" i="10"/>
  <c r="BC562" i="13"/>
  <c r="BD562" i="13"/>
  <c r="BE562" i="13"/>
  <c r="BF562" i="13"/>
  <c r="BG562" i="13"/>
  <c r="BH562" i="13"/>
  <c r="U562" i="13"/>
  <c r="AB562" i="13"/>
  <c r="AK562" i="13"/>
  <c r="AO562" i="13"/>
  <c r="AU562" i="13"/>
  <c r="BA562" i="13"/>
  <c r="AA562" i="13"/>
  <c r="AJ562" i="13"/>
  <c r="AT562" i="13"/>
  <c r="AZ562" i="13"/>
  <c r="Z562" i="13"/>
  <c r="AI562" i="13"/>
  <c r="AS562" i="13"/>
  <c r="AY562" i="13"/>
  <c r="Y562" i="13"/>
  <c r="AH562" i="13"/>
  <c r="AR562" i="13"/>
  <c r="AX562" i="13"/>
  <c r="X562" i="13"/>
  <c r="AG562" i="13"/>
  <c r="AQ562" i="13"/>
  <c r="AW562" i="13"/>
  <c r="W562" i="13"/>
  <c r="AF562" i="13"/>
  <c r="AP562" i="13"/>
  <c r="AV562" i="13"/>
  <c r="AM87" i="10" l="1"/>
  <c r="AL564" i="13"/>
  <c r="AR208" i="10"/>
  <c r="AT208" i="10"/>
  <c r="AT87" i="10"/>
  <c r="AP58" i="10"/>
  <c r="AU208" i="10"/>
  <c r="AQ87" i="10"/>
  <c r="AN208" i="10"/>
  <c r="AO58" i="10"/>
  <c r="AL208" i="10"/>
  <c r="AQ58" i="10"/>
  <c r="AL87" i="10"/>
  <c r="AC563" i="13"/>
  <c r="AR58" i="10"/>
  <c r="AN87" i="10"/>
  <c r="AQ208" i="10"/>
  <c r="AU58" i="10"/>
  <c r="AO208" i="10"/>
  <c r="AL58" i="10"/>
  <c r="AC564" i="13"/>
  <c r="AU87" i="10"/>
  <c r="BL564" i="13"/>
  <c r="AS208" i="10"/>
  <c r="AP208" i="10"/>
  <c r="AS87" i="10"/>
  <c r="AM58" i="10"/>
  <c r="AN58" i="10"/>
  <c r="AS58" i="10"/>
  <c r="AP87" i="10"/>
  <c r="AE562" i="13"/>
  <c r="AM562" i="13"/>
  <c r="AL563" i="13"/>
  <c r="AN562" i="13"/>
  <c r="BB562" i="13"/>
  <c r="AD562" i="13"/>
  <c r="AC562" i="13" s="1"/>
  <c r="BL563" i="13"/>
  <c r="AT58" i="10"/>
  <c r="BK562" i="13"/>
  <c r="BJ562" i="13"/>
  <c r="BI562" i="13"/>
  <c r="AL562" i="13" l="1"/>
  <c r="BL562" i="13"/>
  <c r="BC561" i="13"/>
  <c r="BD561" i="13"/>
  <c r="BE561" i="13"/>
  <c r="BF561" i="13"/>
  <c r="BG561" i="13"/>
  <c r="BH561" i="13"/>
  <c r="U561" i="13"/>
  <c r="AB561" i="13"/>
  <c r="AK561" i="13"/>
  <c r="AO561" i="13"/>
  <c r="AU561" i="13"/>
  <c r="BA561" i="13"/>
  <c r="AA561" i="13"/>
  <c r="AJ561" i="13"/>
  <c r="AT561" i="13"/>
  <c r="AZ561" i="13"/>
  <c r="Z561" i="13"/>
  <c r="AI561" i="13"/>
  <c r="AS561" i="13"/>
  <c r="AY561" i="13"/>
  <c r="Y561" i="13"/>
  <c r="AH561" i="13"/>
  <c r="AR561" i="13"/>
  <c r="AX561" i="13"/>
  <c r="X561" i="13"/>
  <c r="AG561" i="13"/>
  <c r="AQ561" i="13"/>
  <c r="AW561" i="13"/>
  <c r="W561" i="13"/>
  <c r="AF561" i="13"/>
  <c r="AP561" i="13"/>
  <c r="AV561" i="13"/>
  <c r="AM561" i="13" l="1"/>
  <c r="AE561" i="13"/>
  <c r="BK561" i="13"/>
  <c r="BI561" i="13"/>
  <c r="BJ561" i="13"/>
  <c r="BB561" i="13"/>
  <c r="AN561" i="13"/>
  <c r="AL561" i="13" s="1"/>
  <c r="AD561" i="13"/>
  <c r="BC560" i="13"/>
  <c r="BD560" i="13"/>
  <c r="BE560" i="13"/>
  <c r="BF560" i="13"/>
  <c r="BG560" i="13"/>
  <c r="BH560" i="13"/>
  <c r="U560" i="13"/>
  <c r="AB560" i="13"/>
  <c r="AK560" i="13"/>
  <c r="AO560" i="13"/>
  <c r="AU560" i="13"/>
  <c r="BA560" i="13"/>
  <c r="AA560" i="13"/>
  <c r="AJ560" i="13"/>
  <c r="AT560" i="13"/>
  <c r="AZ560" i="13"/>
  <c r="Z560" i="13"/>
  <c r="AI560" i="13"/>
  <c r="AS560" i="13"/>
  <c r="AY560" i="13"/>
  <c r="Y560" i="13"/>
  <c r="AH560" i="13"/>
  <c r="AR560" i="13"/>
  <c r="AX560" i="13"/>
  <c r="X560" i="13"/>
  <c r="AG560" i="13"/>
  <c r="AQ560" i="13"/>
  <c r="AW560" i="13"/>
  <c r="W560" i="13"/>
  <c r="AF560" i="13"/>
  <c r="AP560" i="13"/>
  <c r="AV560" i="13"/>
  <c r="AC561" i="13" l="1"/>
  <c r="BL561" i="13"/>
  <c r="AD560" i="13"/>
  <c r="AM560" i="13"/>
  <c r="AE560" i="13"/>
  <c r="BB560" i="13"/>
  <c r="AN560" i="13"/>
  <c r="BI560" i="13"/>
  <c r="BK560" i="13"/>
  <c r="BJ560" i="13"/>
  <c r="AC560" i="13" l="1"/>
  <c r="AL560" i="13"/>
  <c r="BL560" i="13"/>
  <c r="BC559" i="13"/>
  <c r="BD559" i="13"/>
  <c r="BE559" i="13"/>
  <c r="BF559" i="13"/>
  <c r="BG559" i="13"/>
  <c r="BH559" i="13"/>
  <c r="U559" i="13"/>
  <c r="AB559" i="13"/>
  <c r="AK559" i="13"/>
  <c r="AO559" i="13"/>
  <c r="AU559" i="13"/>
  <c r="BA559" i="13"/>
  <c r="AA559" i="13"/>
  <c r="AJ559" i="13"/>
  <c r="AT559" i="13"/>
  <c r="AZ559" i="13"/>
  <c r="Z559" i="13"/>
  <c r="AI559" i="13"/>
  <c r="AS559" i="13"/>
  <c r="AY559" i="13"/>
  <c r="Y559" i="13"/>
  <c r="AH559" i="13"/>
  <c r="AR559" i="13"/>
  <c r="AX559" i="13"/>
  <c r="X559" i="13"/>
  <c r="AG559" i="13"/>
  <c r="AQ559" i="13"/>
  <c r="AW559" i="13"/>
  <c r="W559" i="13"/>
  <c r="AF559" i="13"/>
  <c r="AP559" i="13"/>
  <c r="AV559" i="13"/>
  <c r="AD559" i="13" l="1"/>
  <c r="AN559" i="13"/>
  <c r="AE559" i="13"/>
  <c r="BK559" i="13"/>
  <c r="BJ559" i="13"/>
  <c r="BI559" i="13"/>
  <c r="AM559" i="13"/>
  <c r="BB559" i="13"/>
  <c r="S44" i="10"/>
  <c r="AC559" i="13" l="1"/>
  <c r="AL559" i="13"/>
  <c r="BL559" i="13"/>
  <c r="BC558" i="13"/>
  <c r="BD558" i="13"/>
  <c r="BE558" i="13"/>
  <c r="BF558" i="13"/>
  <c r="BG558" i="13"/>
  <c r="BH558" i="13"/>
  <c r="BC557" i="13"/>
  <c r="U558" i="13"/>
  <c r="AB558" i="13"/>
  <c r="AK558" i="13"/>
  <c r="AO558" i="13"/>
  <c r="AU558" i="13"/>
  <c r="BA558" i="13"/>
  <c r="AA558" i="13"/>
  <c r="AJ558" i="13"/>
  <c r="AT558" i="13"/>
  <c r="AZ558" i="13"/>
  <c r="Z558" i="13"/>
  <c r="AI558" i="13"/>
  <c r="AS558" i="13"/>
  <c r="AY558" i="13"/>
  <c r="Y558" i="13"/>
  <c r="AH558" i="13"/>
  <c r="AR558" i="13"/>
  <c r="AX558" i="13"/>
  <c r="X558" i="13"/>
  <c r="AG558" i="13"/>
  <c r="AQ558" i="13"/>
  <c r="AW558" i="13"/>
  <c r="W558" i="13"/>
  <c r="AF558" i="13"/>
  <c r="AP558" i="13"/>
  <c r="AV558" i="13"/>
  <c r="AE558" i="13" l="1"/>
  <c r="AN558" i="13"/>
  <c r="AM558" i="13"/>
  <c r="BJ558" i="13"/>
  <c r="BI558" i="13"/>
  <c r="BK558" i="13"/>
  <c r="AD558" i="13"/>
  <c r="AC558" i="13" s="1"/>
  <c r="BB558" i="13"/>
  <c r="AL558" i="13" l="1"/>
  <c r="BL558" i="13"/>
  <c r="BD557" i="13"/>
  <c r="BE557" i="13"/>
  <c r="BF557" i="13"/>
  <c r="BG557" i="13"/>
  <c r="BH557" i="13"/>
  <c r="U557" i="13"/>
  <c r="AB557" i="13"/>
  <c r="AK557" i="13"/>
  <c r="AO557" i="13"/>
  <c r="AU557" i="13"/>
  <c r="BA557" i="13"/>
  <c r="AA557" i="13"/>
  <c r="AJ557" i="13"/>
  <c r="AT557" i="13"/>
  <c r="AZ557" i="13"/>
  <c r="Z557" i="13"/>
  <c r="AI557" i="13"/>
  <c r="AS557" i="13"/>
  <c r="AY557" i="13"/>
  <c r="Y557" i="13"/>
  <c r="AH557" i="13"/>
  <c r="AR557" i="13"/>
  <c r="AX557" i="13"/>
  <c r="X557" i="13"/>
  <c r="AG557" i="13"/>
  <c r="AQ557" i="13"/>
  <c r="AW557" i="13"/>
  <c r="W557" i="13"/>
  <c r="AF557" i="13"/>
  <c r="AP557" i="13"/>
  <c r="AV557" i="13"/>
  <c r="AN557" i="13" l="1"/>
  <c r="AD557" i="13"/>
  <c r="AE557" i="13"/>
  <c r="BI557" i="13"/>
  <c r="AM557" i="13"/>
  <c r="BJ557" i="13"/>
  <c r="BB557" i="13"/>
  <c r="BK557" i="13"/>
  <c r="AL557" i="13" l="1"/>
  <c r="AC557" i="13"/>
  <c r="BL557" i="13"/>
  <c r="BC556" i="13" l="1"/>
  <c r="BD556" i="13"/>
  <c r="BE556" i="13"/>
  <c r="BF556" i="13"/>
  <c r="BG556" i="13"/>
  <c r="BH556" i="13"/>
  <c r="U556" i="13"/>
  <c r="AB556" i="13"/>
  <c r="AK556" i="13"/>
  <c r="AO556" i="13"/>
  <c r="AU556" i="13"/>
  <c r="BA556" i="13"/>
  <c r="AA556" i="13"/>
  <c r="AJ556" i="13"/>
  <c r="AT556" i="13"/>
  <c r="AZ556" i="13"/>
  <c r="Z556" i="13"/>
  <c r="AI556" i="13"/>
  <c r="AS556" i="13"/>
  <c r="AY556" i="13"/>
  <c r="Y556" i="13"/>
  <c r="AH556" i="13"/>
  <c r="AR556" i="13"/>
  <c r="AX556" i="13"/>
  <c r="X556" i="13"/>
  <c r="AG556" i="13"/>
  <c r="AQ556" i="13"/>
  <c r="AW556" i="13"/>
  <c r="W556" i="13"/>
  <c r="AF556" i="13"/>
  <c r="AP556" i="13"/>
  <c r="AV556" i="13"/>
  <c r="AD556" i="13" l="1"/>
  <c r="AM556" i="13"/>
  <c r="BK556" i="13"/>
  <c r="BB556" i="13"/>
  <c r="AN556" i="13"/>
  <c r="BJ556" i="13"/>
  <c r="BI556" i="13"/>
  <c r="AE556" i="13"/>
  <c r="AC556" i="13" s="1"/>
  <c r="AL556" i="13" l="1"/>
  <c r="BL556" i="13"/>
  <c r="BC555" i="13" l="1"/>
  <c r="BD555" i="13"/>
  <c r="BE555" i="13"/>
  <c r="BF555" i="13"/>
  <c r="BG555" i="13"/>
  <c r="BH555" i="13"/>
  <c r="U555" i="13"/>
  <c r="AB555" i="13"/>
  <c r="AK555" i="13"/>
  <c r="AO555" i="13"/>
  <c r="AU555" i="13"/>
  <c r="BA555" i="13"/>
  <c r="AA555" i="13"/>
  <c r="AJ555" i="13"/>
  <c r="AT555" i="13"/>
  <c r="AZ555" i="13"/>
  <c r="Z555" i="13"/>
  <c r="AI555" i="13"/>
  <c r="AS555" i="13"/>
  <c r="AY555" i="13"/>
  <c r="Y555" i="13"/>
  <c r="AH555" i="13"/>
  <c r="AR555" i="13"/>
  <c r="AX555" i="13"/>
  <c r="X555" i="13"/>
  <c r="AG555" i="13"/>
  <c r="AQ555" i="13"/>
  <c r="AW555" i="13"/>
  <c r="W555" i="13"/>
  <c r="AF555" i="13"/>
  <c r="AP555" i="13"/>
  <c r="AV555" i="13"/>
  <c r="AE555" i="13" l="1"/>
  <c r="BJ555" i="13"/>
  <c r="BK555" i="13"/>
  <c r="BI555" i="13"/>
  <c r="AN555" i="13"/>
  <c r="AM555" i="13"/>
  <c r="AD555" i="13"/>
  <c r="BB555" i="13"/>
  <c r="AC555" i="13" l="1"/>
  <c r="BL555" i="13"/>
  <c r="AL555" i="13"/>
  <c r="BC554" i="13" l="1"/>
  <c r="BD554" i="13"/>
  <c r="BE554" i="13"/>
  <c r="BF554" i="13"/>
  <c r="BG554" i="13"/>
  <c r="BH554" i="13"/>
  <c r="U554" i="13"/>
  <c r="AB554" i="13"/>
  <c r="AK554" i="13"/>
  <c r="AO554" i="13"/>
  <c r="AU554" i="13"/>
  <c r="BA554" i="13"/>
  <c r="AA554" i="13"/>
  <c r="AJ554" i="13"/>
  <c r="AT554" i="13"/>
  <c r="AZ554" i="13"/>
  <c r="Z554" i="13"/>
  <c r="AI554" i="13"/>
  <c r="AS554" i="13"/>
  <c r="AY554" i="13"/>
  <c r="Y554" i="13"/>
  <c r="AH554" i="13"/>
  <c r="AR554" i="13"/>
  <c r="AX554" i="13"/>
  <c r="X554" i="13"/>
  <c r="AG554" i="13"/>
  <c r="AQ554" i="13"/>
  <c r="AW554" i="13"/>
  <c r="W554" i="13"/>
  <c r="AF554" i="13"/>
  <c r="AP554" i="13"/>
  <c r="AV554" i="13"/>
  <c r="BC553" i="13"/>
  <c r="BD553" i="13"/>
  <c r="BE553" i="13"/>
  <c r="BF553" i="13"/>
  <c r="BG553" i="13"/>
  <c r="BH553" i="13"/>
  <c r="U553" i="13"/>
  <c r="AB553" i="13"/>
  <c r="AK553" i="13"/>
  <c r="AO553" i="13"/>
  <c r="AU553" i="13"/>
  <c r="BA553" i="13"/>
  <c r="AA553" i="13"/>
  <c r="AJ553" i="13"/>
  <c r="AT553" i="13"/>
  <c r="AZ553" i="13"/>
  <c r="Z553" i="13"/>
  <c r="AI553" i="13"/>
  <c r="AS553" i="13"/>
  <c r="AY553" i="13"/>
  <c r="Y553" i="13"/>
  <c r="AH553" i="13"/>
  <c r="AR553" i="13"/>
  <c r="AX553" i="13"/>
  <c r="X553" i="13"/>
  <c r="AG553" i="13"/>
  <c r="AQ553" i="13"/>
  <c r="AW553" i="13"/>
  <c r="W553" i="13"/>
  <c r="AF553" i="13"/>
  <c r="AP553" i="13"/>
  <c r="AV553" i="13"/>
  <c r="BC552" i="13"/>
  <c r="BD552" i="13"/>
  <c r="BE552" i="13"/>
  <c r="BF552" i="13"/>
  <c r="BG552" i="13"/>
  <c r="BH552" i="13"/>
  <c r="U552" i="13"/>
  <c r="AB552" i="13"/>
  <c r="AK552" i="13"/>
  <c r="AO552" i="13"/>
  <c r="AU552" i="13"/>
  <c r="BA552" i="13"/>
  <c r="AA552" i="13"/>
  <c r="AJ552" i="13"/>
  <c r="AT552" i="13"/>
  <c r="AZ552" i="13"/>
  <c r="Z552" i="13"/>
  <c r="AI552" i="13"/>
  <c r="AS552" i="13"/>
  <c r="AY552" i="13"/>
  <c r="Y552" i="13"/>
  <c r="AH552" i="13"/>
  <c r="AR552" i="13"/>
  <c r="AX552" i="13"/>
  <c r="X552" i="13"/>
  <c r="AG552" i="13"/>
  <c r="AQ552" i="13"/>
  <c r="AW552" i="13"/>
  <c r="W552" i="13"/>
  <c r="AF552" i="13"/>
  <c r="AP552" i="13"/>
  <c r="AV552" i="13"/>
  <c r="BC551" i="13"/>
  <c r="BD551" i="13"/>
  <c r="BE551" i="13"/>
  <c r="BF551" i="13"/>
  <c r="BG551" i="13"/>
  <c r="BH551" i="13"/>
  <c r="U551" i="13"/>
  <c r="AB551" i="13"/>
  <c r="AK551" i="13"/>
  <c r="AO551" i="13"/>
  <c r="AU551" i="13"/>
  <c r="BA551" i="13"/>
  <c r="AA551" i="13"/>
  <c r="AJ551" i="13"/>
  <c r="AT551" i="13"/>
  <c r="AZ551" i="13"/>
  <c r="Z551" i="13"/>
  <c r="AI551" i="13"/>
  <c r="AS551" i="13"/>
  <c r="AY551" i="13"/>
  <c r="Y551" i="13"/>
  <c r="AH551" i="13"/>
  <c r="AR551" i="13"/>
  <c r="AX551" i="13"/>
  <c r="X551" i="13"/>
  <c r="AG551" i="13"/>
  <c r="AQ551" i="13"/>
  <c r="AW551" i="13"/>
  <c r="W551" i="13"/>
  <c r="AF551" i="13"/>
  <c r="AP551" i="13"/>
  <c r="AV551" i="13"/>
  <c r="AE552" i="13" l="1"/>
  <c r="AE553" i="13"/>
  <c r="AN551" i="13"/>
  <c r="AD551" i="13"/>
  <c r="AM553" i="13"/>
  <c r="AD554" i="13"/>
  <c r="AN554" i="13"/>
  <c r="AM552" i="13"/>
  <c r="AE554" i="13"/>
  <c r="AN553" i="13"/>
  <c r="AE551" i="13"/>
  <c r="AN552" i="13"/>
  <c r="AL552" i="13" s="1"/>
  <c r="BB552" i="13"/>
  <c r="AD552" i="13"/>
  <c r="BB553" i="13"/>
  <c r="AD553" i="13"/>
  <c r="AM554" i="13"/>
  <c r="BJ554" i="13"/>
  <c r="BB554" i="13"/>
  <c r="BB551" i="13"/>
  <c r="BI554" i="13"/>
  <c r="AM551" i="13"/>
  <c r="AL551" i="13" s="1"/>
  <c r="BK554" i="13"/>
  <c r="BJ553" i="13"/>
  <c r="BK553" i="13"/>
  <c r="BI553" i="13"/>
  <c r="BJ552" i="13"/>
  <c r="BI552" i="13"/>
  <c r="BK552" i="13"/>
  <c r="BJ551" i="13"/>
  <c r="BK551" i="13"/>
  <c r="BI551" i="13"/>
  <c r="AC553" i="13" l="1"/>
  <c r="AL553" i="13"/>
  <c r="AC554" i="13"/>
  <c r="AL554" i="13"/>
  <c r="AC552" i="13"/>
  <c r="AC551" i="13"/>
  <c r="BL554" i="13"/>
  <c r="BL553" i="13"/>
  <c r="BL552" i="13"/>
  <c r="BL551" i="13"/>
  <c r="BC550" i="13" l="1"/>
  <c r="BD550" i="13"/>
  <c r="BE550" i="13"/>
  <c r="BF550" i="13"/>
  <c r="BG550" i="13"/>
  <c r="BH550" i="13"/>
  <c r="U550" i="13"/>
  <c r="AB550" i="13"/>
  <c r="AK550" i="13"/>
  <c r="AO550" i="13"/>
  <c r="AU550" i="13"/>
  <c r="BA550" i="13"/>
  <c r="AA550" i="13"/>
  <c r="AJ550" i="13"/>
  <c r="AT550" i="13"/>
  <c r="AZ550" i="13"/>
  <c r="Z550" i="13"/>
  <c r="AI550" i="13"/>
  <c r="AS550" i="13"/>
  <c r="AY550" i="13"/>
  <c r="Y550" i="13"/>
  <c r="AH550" i="13"/>
  <c r="AR550" i="13"/>
  <c r="AX550" i="13"/>
  <c r="X550" i="13"/>
  <c r="AG550" i="13"/>
  <c r="AQ550" i="13"/>
  <c r="AW550" i="13"/>
  <c r="W550" i="13"/>
  <c r="AF550" i="13"/>
  <c r="AP550" i="13"/>
  <c r="AV550" i="13"/>
  <c r="BC549" i="13"/>
  <c r="BD549" i="13"/>
  <c r="BE549" i="13"/>
  <c r="BF549" i="13"/>
  <c r="BG549" i="13"/>
  <c r="BH549" i="13"/>
  <c r="U549" i="13"/>
  <c r="AB549" i="13"/>
  <c r="AK549" i="13"/>
  <c r="AO549" i="13"/>
  <c r="AU549" i="13"/>
  <c r="BA549" i="13"/>
  <c r="AA549" i="13"/>
  <c r="AJ549" i="13"/>
  <c r="AT549" i="13"/>
  <c r="AZ549" i="13"/>
  <c r="Z549" i="13"/>
  <c r="AI549" i="13"/>
  <c r="AS549" i="13"/>
  <c r="AY549" i="13"/>
  <c r="Y549" i="13"/>
  <c r="AH549" i="13"/>
  <c r="AR549" i="13"/>
  <c r="AX549" i="13"/>
  <c r="X549" i="13"/>
  <c r="AG549" i="13"/>
  <c r="AQ549" i="13"/>
  <c r="AW549" i="13"/>
  <c r="W549" i="13"/>
  <c r="AF549" i="13"/>
  <c r="AP549" i="13"/>
  <c r="AV549" i="13"/>
  <c r="AE550" i="13" l="1"/>
  <c r="AE549" i="13"/>
  <c r="AM550" i="13"/>
  <c r="AM549" i="13"/>
  <c r="AN550" i="13"/>
  <c r="AN549" i="13"/>
  <c r="BB549" i="13"/>
  <c r="BB550" i="13"/>
  <c r="AD549" i="13"/>
  <c r="AC549" i="13" s="1"/>
  <c r="AD550" i="13"/>
  <c r="BI550" i="13"/>
  <c r="BK550" i="13"/>
  <c r="BJ550" i="13"/>
  <c r="BJ549" i="13"/>
  <c r="BI549" i="13"/>
  <c r="BK549" i="13"/>
  <c r="AC550" i="13" l="1"/>
  <c r="AL550" i="13"/>
  <c r="AL549" i="13"/>
  <c r="BL550" i="13"/>
  <c r="BL549" i="13"/>
  <c r="BC548" i="13" l="1"/>
  <c r="BD548" i="13"/>
  <c r="BE548" i="13"/>
  <c r="BF548" i="13"/>
  <c r="BG548" i="13"/>
  <c r="BH548" i="13"/>
  <c r="U548" i="13"/>
  <c r="AB548" i="13"/>
  <c r="AK548" i="13"/>
  <c r="AO548" i="13"/>
  <c r="AU548" i="13"/>
  <c r="BA548" i="13"/>
  <c r="AA548" i="13"/>
  <c r="AJ548" i="13"/>
  <c r="AT548" i="13"/>
  <c r="AZ548" i="13"/>
  <c r="Z548" i="13"/>
  <c r="AI548" i="13"/>
  <c r="AS548" i="13"/>
  <c r="AY548" i="13"/>
  <c r="Y548" i="13"/>
  <c r="AH548" i="13"/>
  <c r="AR548" i="13"/>
  <c r="AX548" i="13"/>
  <c r="X548" i="13"/>
  <c r="AG548" i="13"/>
  <c r="AQ548" i="13"/>
  <c r="AW548" i="13"/>
  <c r="W548" i="13"/>
  <c r="AF548" i="13"/>
  <c r="AP548" i="13"/>
  <c r="AV548" i="13"/>
  <c r="AE548" i="13" l="1"/>
  <c r="AN548" i="13"/>
  <c r="BI548" i="13"/>
  <c r="AM548" i="13"/>
  <c r="AD548" i="13"/>
  <c r="AC548" i="13" s="1"/>
  <c r="BJ548" i="13"/>
  <c r="BK548" i="13"/>
  <c r="BB548" i="13"/>
  <c r="AL548" i="13" l="1"/>
  <c r="BL548" i="13"/>
  <c r="BC547" i="13" l="1"/>
  <c r="BD547" i="13"/>
  <c r="BE547" i="13"/>
  <c r="BF547" i="13"/>
  <c r="BG547" i="13"/>
  <c r="BH547" i="13"/>
  <c r="U547" i="13"/>
  <c r="AB547" i="13"/>
  <c r="AK547" i="13"/>
  <c r="AO547" i="13"/>
  <c r="AU547" i="13"/>
  <c r="BA547" i="13"/>
  <c r="AA547" i="13"/>
  <c r="AJ547" i="13"/>
  <c r="AT547" i="13"/>
  <c r="AZ547" i="13"/>
  <c r="Z547" i="13"/>
  <c r="AI547" i="13"/>
  <c r="AS547" i="13"/>
  <c r="AY547" i="13"/>
  <c r="Y547" i="13"/>
  <c r="AH547" i="13"/>
  <c r="AR547" i="13"/>
  <c r="AX547" i="13"/>
  <c r="X547" i="13"/>
  <c r="AG547" i="13"/>
  <c r="AQ547" i="13"/>
  <c r="AW547" i="13"/>
  <c r="W547" i="13"/>
  <c r="AF547" i="13"/>
  <c r="AP547" i="13"/>
  <c r="AV547" i="13"/>
  <c r="AE547" i="13" l="1"/>
  <c r="AM547" i="13"/>
  <c r="AN547" i="13"/>
  <c r="AD547" i="13"/>
  <c r="BB547" i="13"/>
  <c r="BI547" i="13"/>
  <c r="BK547" i="13"/>
  <c r="BJ547" i="13"/>
  <c r="AC547" i="13" l="1"/>
  <c r="AL547" i="13"/>
  <c r="BL547" i="13"/>
  <c r="BC546" i="13" l="1"/>
  <c r="BD546" i="13"/>
  <c r="BE546" i="13"/>
  <c r="BF546" i="13"/>
  <c r="BG546" i="13"/>
  <c r="BH546" i="13"/>
  <c r="U546" i="13"/>
  <c r="AB546" i="13"/>
  <c r="AK546" i="13"/>
  <c r="AO546" i="13"/>
  <c r="AU546" i="13"/>
  <c r="BA546" i="13"/>
  <c r="AA546" i="13"/>
  <c r="AJ546" i="13"/>
  <c r="AT546" i="13"/>
  <c r="AZ546" i="13"/>
  <c r="Z546" i="13"/>
  <c r="AI546" i="13"/>
  <c r="AS546" i="13"/>
  <c r="AY546" i="13"/>
  <c r="Y546" i="13"/>
  <c r="AH546" i="13"/>
  <c r="AR546" i="13"/>
  <c r="AX546" i="13"/>
  <c r="X546" i="13"/>
  <c r="AG546" i="13"/>
  <c r="AQ546" i="13"/>
  <c r="AW546" i="13"/>
  <c r="W546" i="13"/>
  <c r="AF546" i="13"/>
  <c r="AP546" i="13"/>
  <c r="AV546" i="13"/>
  <c r="AM546" i="13" l="1"/>
  <c r="AE546" i="13"/>
  <c r="AN546" i="13"/>
  <c r="AD546" i="13"/>
  <c r="BB546" i="13"/>
  <c r="BK546" i="13"/>
  <c r="BJ546" i="13"/>
  <c r="BI546" i="13"/>
  <c r="AL546" i="13" l="1"/>
  <c r="AC546" i="13"/>
  <c r="BL546" i="13"/>
  <c r="BC545" i="13"/>
  <c r="BD545" i="13"/>
  <c r="BE545" i="13"/>
  <c r="BF545" i="13"/>
  <c r="BG545" i="13"/>
  <c r="BH545" i="13"/>
  <c r="U545" i="13"/>
  <c r="AB545" i="13"/>
  <c r="AK545" i="13"/>
  <c r="AO545" i="13"/>
  <c r="AU545" i="13"/>
  <c r="BA545" i="13"/>
  <c r="AA545" i="13"/>
  <c r="AJ545" i="13"/>
  <c r="AT545" i="13"/>
  <c r="AZ545" i="13"/>
  <c r="Z545" i="13"/>
  <c r="AI545" i="13"/>
  <c r="AS545" i="13"/>
  <c r="AY545" i="13"/>
  <c r="Y545" i="13"/>
  <c r="AH545" i="13"/>
  <c r="AR545" i="13"/>
  <c r="AX545" i="13"/>
  <c r="X545" i="13"/>
  <c r="AG545" i="13"/>
  <c r="AQ545" i="13"/>
  <c r="AW545" i="13"/>
  <c r="W545" i="13"/>
  <c r="AF545" i="13"/>
  <c r="AP545" i="13"/>
  <c r="AV545" i="13"/>
  <c r="AM545" i="13" l="1"/>
  <c r="AD545" i="13"/>
  <c r="AN545" i="13"/>
  <c r="BI545" i="13"/>
  <c r="AE545" i="13"/>
  <c r="BB545" i="13"/>
  <c r="BJ545" i="13"/>
  <c r="BK545" i="13"/>
  <c r="AL545" i="13" l="1"/>
  <c r="AC545" i="13"/>
  <c r="BL545" i="13"/>
  <c r="BC544" i="13" l="1"/>
  <c r="BD544" i="13"/>
  <c r="BE544" i="13"/>
  <c r="BF544" i="13"/>
  <c r="BG544" i="13"/>
  <c r="BH544" i="13"/>
  <c r="U544" i="13"/>
  <c r="AB544" i="13"/>
  <c r="AK544" i="13"/>
  <c r="AO544" i="13"/>
  <c r="AU544" i="13"/>
  <c r="BA544" i="13"/>
  <c r="AA544" i="13"/>
  <c r="AJ544" i="13"/>
  <c r="AT544" i="13"/>
  <c r="AZ544" i="13"/>
  <c r="Z544" i="13"/>
  <c r="AI544" i="13"/>
  <c r="AS544" i="13"/>
  <c r="AY544" i="13"/>
  <c r="Y544" i="13"/>
  <c r="AH544" i="13"/>
  <c r="AR544" i="13"/>
  <c r="AX544" i="13"/>
  <c r="X544" i="13"/>
  <c r="AG544" i="13"/>
  <c r="AQ544" i="13"/>
  <c r="AW544" i="13"/>
  <c r="W544" i="13"/>
  <c r="AF544" i="13"/>
  <c r="AP544" i="13"/>
  <c r="AV544" i="13"/>
  <c r="AE544" i="13" l="1"/>
  <c r="AM544" i="13"/>
  <c r="AD544" i="13"/>
  <c r="BB544" i="13"/>
  <c r="AN544" i="13"/>
  <c r="BI544" i="13"/>
  <c r="BJ544" i="13"/>
  <c r="BK544" i="13"/>
  <c r="AL544" i="13" l="1"/>
  <c r="AC544" i="13"/>
  <c r="BL544" i="13"/>
  <c r="DB31" i="10" l="1"/>
  <c r="AL31" i="10" s="1"/>
  <c r="U543" i="13" l="1"/>
  <c r="AB543" i="13"/>
  <c r="AK543" i="13"/>
  <c r="AO543" i="13"/>
  <c r="AU543" i="13"/>
  <c r="BA543" i="13"/>
  <c r="AA543" i="13"/>
  <c r="AJ543" i="13"/>
  <c r="AT543" i="13"/>
  <c r="AZ543" i="13"/>
  <c r="Z543" i="13"/>
  <c r="AI543" i="13"/>
  <c r="AS543" i="13"/>
  <c r="AY543" i="13"/>
  <c r="Y543" i="13"/>
  <c r="AH543" i="13"/>
  <c r="AR543" i="13"/>
  <c r="AX543" i="13"/>
  <c r="X543" i="13"/>
  <c r="AG543" i="13"/>
  <c r="AQ543" i="13"/>
  <c r="AW543" i="13"/>
  <c r="W543" i="13"/>
  <c r="AF543" i="13"/>
  <c r="AP543" i="13"/>
  <c r="AV543" i="13"/>
  <c r="AM543" i="13" l="1"/>
  <c r="AE543" i="13"/>
  <c r="AN543" i="13"/>
  <c r="AD543" i="13"/>
  <c r="BB543" i="13"/>
  <c r="AL543" i="13" l="1"/>
  <c r="AC543" i="13"/>
  <c r="AI44" i="10" l="1"/>
  <c r="AJ44" i="10"/>
  <c r="AK44" i="10"/>
  <c r="AI45" i="10"/>
  <c r="AJ45" i="10"/>
  <c r="AK45" i="10"/>
  <c r="AI46" i="10"/>
  <c r="AJ46" i="10"/>
  <c r="AK46" i="10"/>
  <c r="AI47" i="10"/>
  <c r="AJ47" i="10"/>
  <c r="AK47" i="10"/>
  <c r="AI48" i="10"/>
  <c r="AJ48" i="10"/>
  <c r="AK48" i="10"/>
  <c r="AI49" i="10"/>
  <c r="AJ49" i="10"/>
  <c r="AK49" i="10"/>
  <c r="R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M44" i="10"/>
  <c r="N44" i="10"/>
  <c r="O44" i="10"/>
  <c r="P44" i="10"/>
  <c r="M45" i="10"/>
  <c r="N45" i="10"/>
  <c r="O45" i="10"/>
  <c r="P45" i="10"/>
  <c r="Q45" i="10"/>
  <c r="M46" i="10"/>
  <c r="N46" i="10"/>
  <c r="O46" i="10"/>
  <c r="P46" i="10"/>
  <c r="Q46" i="10"/>
  <c r="M47" i="10"/>
  <c r="N47" i="10"/>
  <c r="O47" i="10"/>
  <c r="P47" i="10"/>
  <c r="Q47" i="10"/>
  <c r="M48" i="10"/>
  <c r="N48" i="10"/>
  <c r="O48" i="10"/>
  <c r="P48" i="10"/>
  <c r="Q48" i="10"/>
  <c r="M49" i="10"/>
  <c r="N49" i="10"/>
  <c r="O49" i="10"/>
  <c r="P49" i="10"/>
  <c r="Q49" i="10"/>
  <c r="BC542" i="13" l="1"/>
  <c r="BD542" i="13"/>
  <c r="BE542" i="13"/>
  <c r="BF542" i="13"/>
  <c r="BG542" i="13"/>
  <c r="BH542" i="13"/>
  <c r="BC543" i="13"/>
  <c r="BD543" i="13"/>
  <c r="BE543" i="13"/>
  <c r="BF543" i="13"/>
  <c r="BG543" i="13"/>
  <c r="BH543" i="13"/>
  <c r="U542" i="13"/>
  <c r="AB542" i="13"/>
  <c r="AK542" i="13"/>
  <c r="AO542" i="13"/>
  <c r="AU542" i="13"/>
  <c r="BA542" i="13"/>
  <c r="AA542" i="13"/>
  <c r="AJ542" i="13"/>
  <c r="AT542" i="13"/>
  <c r="AZ542" i="13"/>
  <c r="Z542" i="13"/>
  <c r="AI542" i="13"/>
  <c r="AS542" i="13"/>
  <c r="AY542" i="13"/>
  <c r="Y542" i="13"/>
  <c r="AH542" i="13"/>
  <c r="AR542" i="13"/>
  <c r="AX542" i="13"/>
  <c r="X542" i="13"/>
  <c r="AG542" i="13"/>
  <c r="AQ542" i="13"/>
  <c r="AW542" i="13"/>
  <c r="W542" i="13"/>
  <c r="AF542" i="13"/>
  <c r="AP542" i="13"/>
  <c r="AV542" i="13"/>
  <c r="AM542" i="13" l="1"/>
  <c r="BJ542" i="13"/>
  <c r="AN542" i="13"/>
  <c r="AD542" i="13"/>
  <c r="BB542" i="13"/>
  <c r="AE542" i="13"/>
  <c r="BI543" i="13"/>
  <c r="BK543" i="13"/>
  <c r="BJ543" i="13"/>
  <c r="BK542" i="13"/>
  <c r="BI542" i="13"/>
  <c r="AC542" i="13" l="1"/>
  <c r="AL542" i="13"/>
  <c r="BL542" i="13"/>
  <c r="BL543" i="13"/>
  <c r="BC541" i="13" l="1"/>
  <c r="BD541" i="13"/>
  <c r="BE541" i="13"/>
  <c r="BF541" i="13"/>
  <c r="BG541" i="13"/>
  <c r="BH541" i="13"/>
  <c r="U541" i="13"/>
  <c r="AB541" i="13"/>
  <c r="AK541" i="13"/>
  <c r="AO541" i="13"/>
  <c r="AU541" i="13"/>
  <c r="BA541" i="13"/>
  <c r="AA541" i="13"/>
  <c r="AJ541" i="13"/>
  <c r="AT541" i="13"/>
  <c r="AZ541" i="13"/>
  <c r="Z541" i="13"/>
  <c r="AI541" i="13"/>
  <c r="AS541" i="13"/>
  <c r="AY541" i="13"/>
  <c r="Y541" i="13"/>
  <c r="AH541" i="13"/>
  <c r="AR541" i="13"/>
  <c r="AX541" i="13"/>
  <c r="X541" i="13"/>
  <c r="AG541" i="13"/>
  <c r="AQ541" i="13"/>
  <c r="AW541" i="13"/>
  <c r="W541" i="13"/>
  <c r="AF541" i="13"/>
  <c r="AP541" i="13"/>
  <c r="AV541" i="13"/>
  <c r="AD541" i="13" l="1"/>
  <c r="AM541" i="13"/>
  <c r="BB541" i="13"/>
  <c r="AE541" i="13"/>
  <c r="AN541" i="13"/>
  <c r="BJ541" i="13"/>
  <c r="BI541" i="13"/>
  <c r="BK541" i="13"/>
  <c r="AC541" i="13" l="1"/>
  <c r="AL541" i="13"/>
  <c r="BL541" i="13"/>
  <c r="BH540" i="13" l="1"/>
  <c r="BG540" i="13"/>
  <c r="BF540" i="13"/>
  <c r="BE540" i="13"/>
  <c r="BD540" i="13"/>
  <c r="BC540" i="13"/>
  <c r="U540" i="13"/>
  <c r="AB540" i="13"/>
  <c r="AK540" i="13"/>
  <c r="AO540" i="13"/>
  <c r="AU540" i="13"/>
  <c r="BA540" i="13"/>
  <c r="AA540" i="13"/>
  <c r="AJ540" i="13"/>
  <c r="AT540" i="13"/>
  <c r="AZ540" i="13"/>
  <c r="Z540" i="13"/>
  <c r="AI540" i="13"/>
  <c r="AS540" i="13"/>
  <c r="AY540" i="13"/>
  <c r="Y540" i="13"/>
  <c r="AH540" i="13"/>
  <c r="AR540" i="13"/>
  <c r="AX540" i="13"/>
  <c r="X540" i="13"/>
  <c r="AG540" i="13"/>
  <c r="AQ540" i="13"/>
  <c r="AW540" i="13"/>
  <c r="W540" i="13"/>
  <c r="AF540" i="13"/>
  <c r="AP540" i="13"/>
  <c r="AV540" i="13"/>
  <c r="AD540" i="13" l="1"/>
  <c r="AN540" i="13"/>
  <c r="BK540" i="13"/>
  <c r="AM540" i="13"/>
  <c r="BI540" i="13"/>
  <c r="BB540" i="13"/>
  <c r="BJ540" i="13"/>
  <c r="AE540" i="13"/>
  <c r="AC540" i="13" s="1"/>
  <c r="AL540" i="13" l="1"/>
  <c r="BL540" i="13"/>
  <c r="BC539" i="13" l="1"/>
  <c r="BD539" i="13"/>
  <c r="BE539" i="13"/>
  <c r="BF539" i="13"/>
  <c r="BG539" i="13"/>
  <c r="BH539" i="13"/>
  <c r="U539" i="13"/>
  <c r="AB539" i="13"/>
  <c r="AK539" i="13"/>
  <c r="AO539" i="13"/>
  <c r="AU539" i="13"/>
  <c r="BA539" i="13"/>
  <c r="AA539" i="13"/>
  <c r="AJ539" i="13"/>
  <c r="AT539" i="13"/>
  <c r="AZ539" i="13"/>
  <c r="Z539" i="13"/>
  <c r="AI539" i="13"/>
  <c r="AS539" i="13"/>
  <c r="AY539" i="13"/>
  <c r="Y539" i="13"/>
  <c r="AH539" i="13"/>
  <c r="AR539" i="13"/>
  <c r="AX539" i="13"/>
  <c r="X539" i="13"/>
  <c r="AG539" i="13"/>
  <c r="AQ539" i="13"/>
  <c r="AW539" i="13"/>
  <c r="W539" i="13"/>
  <c r="AF539" i="13"/>
  <c r="AP539" i="13"/>
  <c r="AV539" i="13"/>
  <c r="AD539" i="13" l="1"/>
  <c r="AM539" i="13"/>
  <c r="AN539" i="13"/>
  <c r="BB539" i="13"/>
  <c r="AE539" i="13"/>
  <c r="BJ539" i="13"/>
  <c r="BI539" i="13"/>
  <c r="BK539" i="13"/>
  <c r="AC539" i="13" l="1"/>
  <c r="AL539" i="13"/>
  <c r="BL539" i="13"/>
  <c r="BC538" i="13" l="1"/>
  <c r="BD538" i="13"/>
  <c r="BE538" i="13"/>
  <c r="BF538" i="13"/>
  <c r="BG538" i="13"/>
  <c r="BH538" i="13"/>
  <c r="U538" i="13"/>
  <c r="AB538" i="13"/>
  <c r="AK538" i="13"/>
  <c r="AO538" i="13"/>
  <c r="AU538" i="13"/>
  <c r="BA538" i="13"/>
  <c r="AA538" i="13"/>
  <c r="AJ538" i="13"/>
  <c r="AT538" i="13"/>
  <c r="AZ538" i="13"/>
  <c r="Z538" i="13"/>
  <c r="AI538" i="13"/>
  <c r="AS538" i="13"/>
  <c r="AY538" i="13"/>
  <c r="Y538" i="13"/>
  <c r="AH538" i="13"/>
  <c r="AR538" i="13"/>
  <c r="AX538" i="13"/>
  <c r="X538" i="13"/>
  <c r="AG538" i="13"/>
  <c r="AQ538" i="13"/>
  <c r="AW538" i="13"/>
  <c r="W538" i="13"/>
  <c r="AF538" i="13"/>
  <c r="AP538" i="13"/>
  <c r="AV538" i="13"/>
  <c r="AD538" i="13" l="1"/>
  <c r="BI538" i="13"/>
  <c r="BJ538" i="13"/>
  <c r="BK538" i="13"/>
  <c r="AM538" i="13"/>
  <c r="AE538" i="13"/>
  <c r="AN538" i="13"/>
  <c r="BB538" i="13"/>
  <c r="AC538" i="13" l="1"/>
  <c r="BL538" i="13"/>
  <c r="AL538" i="13"/>
  <c r="BC537" i="13" l="1"/>
  <c r="BD537" i="13"/>
  <c r="BE537" i="13"/>
  <c r="BF537" i="13"/>
  <c r="BG537" i="13"/>
  <c r="BH537" i="13"/>
  <c r="U537" i="13"/>
  <c r="AB537" i="13"/>
  <c r="AK537" i="13"/>
  <c r="AO537" i="13"/>
  <c r="AU537" i="13"/>
  <c r="BA537" i="13"/>
  <c r="AA537" i="13"/>
  <c r="AJ537" i="13"/>
  <c r="AT537" i="13"/>
  <c r="AZ537" i="13"/>
  <c r="Z537" i="13"/>
  <c r="AI537" i="13"/>
  <c r="AS537" i="13"/>
  <c r="AY537" i="13"/>
  <c r="Y537" i="13"/>
  <c r="AH537" i="13"/>
  <c r="AR537" i="13"/>
  <c r="AX537" i="13"/>
  <c r="X537" i="13"/>
  <c r="AG537" i="13"/>
  <c r="AQ537" i="13"/>
  <c r="AW537" i="13"/>
  <c r="W537" i="13"/>
  <c r="AF537" i="13"/>
  <c r="AP537" i="13"/>
  <c r="AV537" i="13"/>
  <c r="AM537" i="13" l="1"/>
  <c r="AD537" i="13"/>
  <c r="AE537" i="13"/>
  <c r="BJ537" i="13"/>
  <c r="BK537" i="13"/>
  <c r="AN537" i="13"/>
  <c r="BB537" i="13"/>
  <c r="BI537" i="13"/>
  <c r="AL537" i="13" l="1"/>
  <c r="AC537" i="13"/>
  <c r="BL537" i="13"/>
  <c r="BC536" i="13" l="1"/>
  <c r="BD536" i="13"/>
  <c r="BE536" i="13"/>
  <c r="BF536" i="13"/>
  <c r="BG536" i="13"/>
  <c r="BH536" i="13"/>
  <c r="U536" i="13"/>
  <c r="AB536" i="13"/>
  <c r="AK536" i="13"/>
  <c r="AO536" i="13"/>
  <c r="AU536" i="13"/>
  <c r="BA536" i="13"/>
  <c r="AA536" i="13"/>
  <c r="AJ536" i="13"/>
  <c r="AT536" i="13"/>
  <c r="AZ536" i="13"/>
  <c r="Z536" i="13"/>
  <c r="AI536" i="13"/>
  <c r="AS536" i="13"/>
  <c r="AY536" i="13"/>
  <c r="Y536" i="13"/>
  <c r="AH536" i="13"/>
  <c r="AR536" i="13"/>
  <c r="AX536" i="13"/>
  <c r="X536" i="13"/>
  <c r="AG536" i="13"/>
  <c r="AQ536" i="13"/>
  <c r="AW536" i="13"/>
  <c r="W536" i="13"/>
  <c r="AF536" i="13"/>
  <c r="AP536" i="13"/>
  <c r="AV536" i="13"/>
  <c r="AE536" i="13" l="1"/>
  <c r="AM536" i="13"/>
  <c r="BI536" i="13"/>
  <c r="BK536" i="13"/>
  <c r="BJ536" i="13"/>
  <c r="AN536" i="13"/>
  <c r="AD536" i="13"/>
  <c r="BB536" i="13"/>
  <c r="AC536" i="13" l="1"/>
  <c r="AL536" i="13"/>
  <c r="BL536" i="13"/>
  <c r="BC535" i="13" l="1"/>
  <c r="BD535" i="13"/>
  <c r="BE535" i="13"/>
  <c r="BF535" i="13"/>
  <c r="BG535" i="13"/>
  <c r="BH535" i="13"/>
  <c r="U535" i="13"/>
  <c r="AB535" i="13"/>
  <c r="AK535" i="13"/>
  <c r="AO535" i="13"/>
  <c r="AU535" i="13"/>
  <c r="BA535" i="13"/>
  <c r="AA535" i="13"/>
  <c r="AJ535" i="13"/>
  <c r="AT535" i="13"/>
  <c r="AZ535" i="13"/>
  <c r="Z535" i="13"/>
  <c r="AI535" i="13"/>
  <c r="AS535" i="13"/>
  <c r="AY535" i="13"/>
  <c r="Y535" i="13"/>
  <c r="AH535" i="13"/>
  <c r="AR535" i="13"/>
  <c r="AX535" i="13"/>
  <c r="X535" i="13"/>
  <c r="AG535" i="13"/>
  <c r="AQ535" i="13"/>
  <c r="AW535" i="13"/>
  <c r="W535" i="13"/>
  <c r="AF535" i="13"/>
  <c r="AP535" i="13"/>
  <c r="AV535" i="13"/>
  <c r="AM535" i="13" l="1"/>
  <c r="AE535" i="13"/>
  <c r="AN535" i="13"/>
  <c r="AD535" i="13"/>
  <c r="BB535" i="13"/>
  <c r="BK535" i="13"/>
  <c r="BI535" i="13"/>
  <c r="BJ535" i="13"/>
  <c r="AL535" i="13" l="1"/>
  <c r="AC535" i="13"/>
  <c r="BL535" i="13"/>
  <c r="BC534" i="13" l="1"/>
  <c r="BD534" i="13"/>
  <c r="BE534" i="13"/>
  <c r="BF534" i="13"/>
  <c r="BG534" i="13"/>
  <c r="BH534" i="13"/>
  <c r="U534" i="13"/>
  <c r="AB534" i="13"/>
  <c r="AK534" i="13"/>
  <c r="AO534" i="13"/>
  <c r="AU534" i="13"/>
  <c r="BA534" i="13"/>
  <c r="AA534" i="13"/>
  <c r="AJ534" i="13"/>
  <c r="AT534" i="13"/>
  <c r="AZ534" i="13"/>
  <c r="Z534" i="13"/>
  <c r="AI534" i="13"/>
  <c r="AS534" i="13"/>
  <c r="AY534" i="13"/>
  <c r="Y534" i="13"/>
  <c r="AH534" i="13"/>
  <c r="AR534" i="13"/>
  <c r="AX534" i="13"/>
  <c r="X534" i="13"/>
  <c r="AG534" i="13"/>
  <c r="AQ534" i="13"/>
  <c r="AW534" i="13"/>
  <c r="W534" i="13"/>
  <c r="AF534" i="13"/>
  <c r="AP534" i="13"/>
  <c r="AV534" i="13"/>
  <c r="AN534" i="13" l="1"/>
  <c r="AD534" i="13"/>
  <c r="AM534" i="13"/>
  <c r="BB534" i="13"/>
  <c r="AE534" i="13"/>
  <c r="BJ534" i="13"/>
  <c r="BI534" i="13"/>
  <c r="BK534" i="13"/>
  <c r="AL534" i="13" l="1"/>
  <c r="AC534" i="13"/>
  <c r="BL534" i="13"/>
  <c r="BC533" i="13" l="1"/>
  <c r="BD533" i="13"/>
  <c r="BE533" i="13"/>
  <c r="BF533" i="13"/>
  <c r="BG533" i="13"/>
  <c r="BH533" i="13"/>
  <c r="U533" i="13"/>
  <c r="AB533" i="13"/>
  <c r="AK533" i="13"/>
  <c r="AO533" i="13"/>
  <c r="AU533" i="13"/>
  <c r="BA533" i="13"/>
  <c r="AA533" i="13"/>
  <c r="AJ533" i="13"/>
  <c r="AT533" i="13"/>
  <c r="AZ533" i="13"/>
  <c r="Z533" i="13"/>
  <c r="AI533" i="13"/>
  <c r="AS533" i="13"/>
  <c r="AY533" i="13"/>
  <c r="Y533" i="13"/>
  <c r="AH533" i="13"/>
  <c r="AR533" i="13"/>
  <c r="AX533" i="13"/>
  <c r="X533" i="13"/>
  <c r="AG533" i="13"/>
  <c r="AQ533" i="13"/>
  <c r="AW533" i="13"/>
  <c r="W533" i="13"/>
  <c r="AF533" i="13"/>
  <c r="AP533" i="13"/>
  <c r="AV533" i="13"/>
  <c r="AN533" i="13" l="1"/>
  <c r="AD533" i="13"/>
  <c r="AM533" i="13"/>
  <c r="BJ533" i="13"/>
  <c r="BK533" i="13"/>
  <c r="BI533" i="13"/>
  <c r="BB533" i="13"/>
  <c r="AE533" i="13"/>
  <c r="AL533" i="13" l="1"/>
  <c r="AC533" i="13"/>
  <c r="BL533" i="13"/>
  <c r="AP433" i="13" l="1"/>
  <c r="AQ434" i="13"/>
  <c r="BC532" i="13" l="1"/>
  <c r="BD532" i="13"/>
  <c r="BE532" i="13"/>
  <c r="BF532" i="13"/>
  <c r="BG532" i="13"/>
  <c r="BH532" i="13"/>
  <c r="U532" i="13"/>
  <c r="AB532" i="13"/>
  <c r="AK532" i="13"/>
  <c r="AO532" i="13"/>
  <c r="AU532" i="13"/>
  <c r="BA532" i="13"/>
  <c r="AA532" i="13"/>
  <c r="AJ532" i="13"/>
  <c r="AT532" i="13"/>
  <c r="AZ532" i="13"/>
  <c r="Z532" i="13"/>
  <c r="AI532" i="13"/>
  <c r="AS532" i="13"/>
  <c r="AY532" i="13"/>
  <c r="Y532" i="13"/>
  <c r="AH532" i="13"/>
  <c r="AR532" i="13"/>
  <c r="AX532" i="13"/>
  <c r="X532" i="13"/>
  <c r="AG532" i="13"/>
  <c r="AQ532" i="13"/>
  <c r="AW532" i="13"/>
  <c r="W532" i="13"/>
  <c r="AF532" i="13"/>
  <c r="AP532" i="13"/>
  <c r="AV532" i="13"/>
  <c r="AN532" i="13" l="1"/>
  <c r="AD532" i="13"/>
  <c r="BB532" i="13"/>
  <c r="AM532" i="13"/>
  <c r="AL532" i="13" s="1"/>
  <c r="AE532" i="13"/>
  <c r="BJ532" i="13"/>
  <c r="BI532" i="13"/>
  <c r="BK532" i="13"/>
  <c r="AC532" i="13" l="1"/>
  <c r="BL532" i="13"/>
  <c r="BC531" i="13"/>
  <c r="BD531" i="13"/>
  <c r="BE531" i="13"/>
  <c r="BF531" i="13"/>
  <c r="BG531" i="13"/>
  <c r="BH531" i="13"/>
  <c r="U531" i="13"/>
  <c r="AB531" i="13"/>
  <c r="AK531" i="13"/>
  <c r="AO531" i="13"/>
  <c r="AU531" i="13"/>
  <c r="BA531" i="13"/>
  <c r="AA531" i="13"/>
  <c r="AJ531" i="13"/>
  <c r="AT531" i="13"/>
  <c r="AZ531" i="13"/>
  <c r="Z531" i="13"/>
  <c r="AI531" i="13"/>
  <c r="AS531" i="13"/>
  <c r="AY531" i="13"/>
  <c r="Y531" i="13"/>
  <c r="AH531" i="13"/>
  <c r="AR531" i="13"/>
  <c r="AX531" i="13"/>
  <c r="X531" i="13"/>
  <c r="AG531" i="13"/>
  <c r="AQ531" i="13"/>
  <c r="AW531" i="13"/>
  <c r="W531" i="13"/>
  <c r="AF531" i="13"/>
  <c r="AP531" i="13"/>
  <c r="AV531" i="13"/>
  <c r="AE531" i="13" l="1"/>
  <c r="AM531" i="13"/>
  <c r="BJ531" i="13"/>
  <c r="BI531" i="13"/>
  <c r="BK531" i="13"/>
  <c r="AN531" i="13"/>
  <c r="AD531" i="13"/>
  <c r="BB531" i="13"/>
  <c r="AC531" i="13" l="1"/>
  <c r="AL531" i="13"/>
  <c r="BL531" i="13"/>
  <c r="BC40" i="13" l="1"/>
  <c r="AS208" i="13"/>
  <c r="BC194" i="13"/>
  <c r="W530" i="13" l="1"/>
  <c r="X530" i="13"/>
  <c r="Y530" i="13"/>
  <c r="Z530" i="13"/>
  <c r="AA530" i="13"/>
  <c r="AB530" i="13"/>
  <c r="AF530" i="13"/>
  <c r="AG530" i="13"/>
  <c r="AH530" i="13"/>
  <c r="AI530" i="13"/>
  <c r="AJ530" i="13"/>
  <c r="AK530" i="13"/>
  <c r="AO530" i="13"/>
  <c r="AP530" i="13"/>
  <c r="AQ530" i="13"/>
  <c r="AR530" i="13"/>
  <c r="AS530" i="13"/>
  <c r="AT530" i="13"/>
  <c r="AU530" i="13"/>
  <c r="AV530" i="13"/>
  <c r="AW530" i="13"/>
  <c r="AX530" i="13"/>
  <c r="AY530" i="13"/>
  <c r="AZ530" i="13"/>
  <c r="BA530" i="13"/>
  <c r="BC530" i="13"/>
  <c r="BD530" i="13"/>
  <c r="BE530" i="13"/>
  <c r="BF530" i="13"/>
  <c r="BG530" i="13"/>
  <c r="BH530" i="13"/>
  <c r="U530" i="13"/>
  <c r="AE530" i="13" l="1"/>
  <c r="AM530" i="13"/>
  <c r="AD530" i="13"/>
  <c r="AN530" i="13"/>
  <c r="BB530" i="13"/>
  <c r="BI530" i="13"/>
  <c r="BK530" i="13"/>
  <c r="BJ530" i="13"/>
  <c r="AC530" i="13" l="1"/>
  <c r="AL530" i="13"/>
  <c r="BL530" i="13"/>
  <c r="W529" i="13" l="1"/>
  <c r="X529" i="13"/>
  <c r="Y529" i="13"/>
  <c r="Z529" i="13"/>
  <c r="AA529" i="13"/>
  <c r="AB529" i="13"/>
  <c r="AF529" i="13"/>
  <c r="AG529" i="13"/>
  <c r="AH529" i="13"/>
  <c r="AI529" i="13"/>
  <c r="AJ529" i="13"/>
  <c r="AK529" i="13"/>
  <c r="AO529" i="13"/>
  <c r="AP529" i="13"/>
  <c r="AQ529" i="13"/>
  <c r="AR529" i="13"/>
  <c r="AS529" i="13"/>
  <c r="AT529" i="13"/>
  <c r="AU529" i="13"/>
  <c r="AV529" i="13"/>
  <c r="AW529" i="13"/>
  <c r="AX529" i="13"/>
  <c r="AY529" i="13"/>
  <c r="AZ529" i="13"/>
  <c r="BA529" i="13"/>
  <c r="BC529" i="13"/>
  <c r="BD529" i="13"/>
  <c r="BE529" i="13"/>
  <c r="BF529" i="13"/>
  <c r="BG529" i="13"/>
  <c r="BH529" i="13"/>
  <c r="U529" i="13"/>
  <c r="AM529" i="13" l="1"/>
  <c r="AD529" i="13"/>
  <c r="AN529" i="13"/>
  <c r="AE529" i="13"/>
  <c r="BB529" i="13"/>
  <c r="BI529" i="13"/>
  <c r="BK529" i="13"/>
  <c r="BJ529" i="13"/>
  <c r="AL529" i="13" l="1"/>
  <c r="AC529" i="13"/>
  <c r="BL529" i="13"/>
  <c r="BS6" i="13" l="1"/>
  <c r="BS20" i="13"/>
  <c r="U239" i="13"/>
  <c r="U238" i="13"/>
  <c r="U237" i="13"/>
  <c r="U236" i="13"/>
  <c r="U235" i="13"/>
  <c r="U234" i="13"/>
  <c r="U233" i="13"/>
  <c r="U232" i="13"/>
  <c r="U231" i="13"/>
  <c r="U230" i="13"/>
  <c r="U229" i="13"/>
  <c r="U228" i="13"/>
  <c r="U227" i="13"/>
  <c r="U226" i="13"/>
  <c r="U225" i="13"/>
  <c r="U224" i="13"/>
  <c r="U223" i="13"/>
  <c r="U222" i="13"/>
  <c r="U221" i="13"/>
  <c r="U220" i="13"/>
  <c r="U219" i="13"/>
  <c r="U218" i="13"/>
  <c r="U217" i="13"/>
  <c r="U216" i="13"/>
  <c r="U215" i="13"/>
  <c r="U214" i="13"/>
  <c r="U213" i="13"/>
  <c r="U212" i="13"/>
  <c r="U211" i="13"/>
  <c r="U210" i="13"/>
  <c r="U209" i="13"/>
  <c r="U208" i="13"/>
  <c r="U207" i="13"/>
  <c r="U206" i="13"/>
  <c r="U205" i="13"/>
  <c r="U204" i="13"/>
  <c r="U203" i="13"/>
  <c r="U202" i="13"/>
  <c r="U201" i="13"/>
  <c r="U200" i="13"/>
  <c r="U199" i="13"/>
  <c r="U198" i="13"/>
  <c r="U197" i="13"/>
  <c r="U196" i="13"/>
  <c r="U195" i="13"/>
  <c r="U194" i="13"/>
  <c r="U193" i="13"/>
  <c r="U192" i="13"/>
  <c r="U191" i="13"/>
  <c r="U190" i="13"/>
  <c r="U189" i="13"/>
  <c r="U188" i="13"/>
  <c r="U187" i="13"/>
  <c r="U186" i="13"/>
  <c r="U185" i="13"/>
  <c r="U184" i="13"/>
  <c r="U183" i="13"/>
  <c r="U182" i="13"/>
  <c r="U181" i="13"/>
  <c r="U180" i="13"/>
  <c r="U179" i="13"/>
  <c r="U178" i="13"/>
  <c r="U177" i="13"/>
  <c r="U176" i="13"/>
  <c r="U175" i="13"/>
  <c r="U174" i="13"/>
  <c r="U173" i="13"/>
  <c r="U172" i="13"/>
  <c r="U171" i="13"/>
  <c r="U170" i="13"/>
  <c r="U169" i="13"/>
  <c r="U168" i="13"/>
  <c r="U167" i="13"/>
  <c r="U166" i="13"/>
  <c r="U165" i="13"/>
  <c r="U164" i="13"/>
  <c r="U163" i="13"/>
  <c r="U162" i="13"/>
  <c r="U161" i="13"/>
  <c r="U160" i="13"/>
  <c r="U159" i="13"/>
  <c r="U158" i="13"/>
  <c r="U157" i="13"/>
  <c r="U156" i="13"/>
  <c r="U155" i="13"/>
  <c r="U154" i="13"/>
  <c r="U153" i="13"/>
  <c r="U152" i="13"/>
  <c r="U151" i="13"/>
  <c r="U150" i="13"/>
  <c r="U149" i="13"/>
  <c r="U148" i="13"/>
  <c r="U147" i="13"/>
  <c r="U146" i="13"/>
  <c r="U145" i="13"/>
  <c r="U144" i="13"/>
  <c r="U143" i="13"/>
  <c r="U142" i="13"/>
  <c r="U141" i="13"/>
  <c r="U140" i="13"/>
  <c r="U139" i="13"/>
  <c r="U138" i="13"/>
  <c r="U137" i="13"/>
  <c r="U136" i="13"/>
  <c r="U135" i="13"/>
  <c r="U134" i="13"/>
  <c r="U133" i="13"/>
  <c r="U132" i="13"/>
  <c r="U131" i="13"/>
  <c r="U130" i="13"/>
  <c r="U129" i="13"/>
  <c r="U128" i="13"/>
  <c r="U127" i="13"/>
  <c r="U126" i="13"/>
  <c r="U125" i="13"/>
  <c r="U124" i="13"/>
  <c r="U123" i="13"/>
  <c r="U122" i="13"/>
  <c r="U121" i="13"/>
  <c r="U120" i="13"/>
  <c r="U119" i="13"/>
  <c r="U118" i="13"/>
  <c r="U117" i="13"/>
  <c r="U116" i="13"/>
  <c r="U115" i="13"/>
  <c r="U114" i="13"/>
  <c r="U113" i="13"/>
  <c r="U112" i="13"/>
  <c r="U111" i="13"/>
  <c r="U110" i="13"/>
  <c r="U109" i="13"/>
  <c r="U108" i="13"/>
  <c r="U107" i="13"/>
  <c r="U106" i="13"/>
  <c r="U105" i="13"/>
  <c r="U104" i="13"/>
  <c r="U103" i="13"/>
  <c r="U102" i="13"/>
  <c r="U101" i="13"/>
  <c r="U100" i="13"/>
  <c r="U99" i="13"/>
  <c r="U98" i="13"/>
  <c r="U97" i="13"/>
  <c r="U96" i="13"/>
  <c r="U95" i="13"/>
  <c r="U94" i="13"/>
  <c r="U93" i="13"/>
  <c r="U92" i="13"/>
  <c r="U91" i="13"/>
  <c r="U90" i="13"/>
  <c r="U89" i="13"/>
  <c r="U88" i="13"/>
  <c r="U87" i="13"/>
  <c r="U86" i="13"/>
  <c r="U85" i="13"/>
  <c r="U84" i="13"/>
  <c r="U83" i="13"/>
  <c r="U82" i="13"/>
  <c r="U81" i="13"/>
  <c r="U80" i="13"/>
  <c r="U79" i="13"/>
  <c r="U78" i="13"/>
  <c r="U77" i="13"/>
  <c r="U76" i="13"/>
  <c r="U75" i="13"/>
  <c r="U74" i="13"/>
  <c r="U73" i="13"/>
  <c r="U72" i="13"/>
  <c r="U71" i="13"/>
  <c r="U70" i="13"/>
  <c r="U69" i="13"/>
  <c r="U68" i="13"/>
  <c r="U67" i="13"/>
  <c r="U66" i="13"/>
  <c r="U65" i="13"/>
  <c r="U64" i="13"/>
  <c r="U63" i="13"/>
  <c r="U62" i="13"/>
  <c r="U61" i="13"/>
  <c r="U60" i="13"/>
  <c r="U59" i="13"/>
  <c r="U58" i="13"/>
  <c r="U57" i="13"/>
  <c r="U56" i="13"/>
  <c r="U55" i="13"/>
  <c r="U54" i="13"/>
  <c r="U53" i="13"/>
  <c r="U52" i="13"/>
  <c r="U51" i="13"/>
  <c r="U50" i="13"/>
  <c r="U49" i="13"/>
  <c r="U48" i="13"/>
  <c r="U47" i="13"/>
  <c r="U46" i="13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W507" i="13" l="1"/>
  <c r="X507" i="13"/>
  <c r="Y507" i="13"/>
  <c r="Z507" i="13"/>
  <c r="AA507" i="13"/>
  <c r="AB507" i="13"/>
  <c r="AF507" i="13"/>
  <c r="AG507" i="13"/>
  <c r="AH507" i="13"/>
  <c r="AI507" i="13"/>
  <c r="AJ507" i="13"/>
  <c r="AK507" i="13"/>
  <c r="AO507" i="13"/>
  <c r="AP507" i="13"/>
  <c r="AQ507" i="13"/>
  <c r="AR507" i="13"/>
  <c r="AS507" i="13"/>
  <c r="AT507" i="13"/>
  <c r="AU507" i="13"/>
  <c r="AV507" i="13"/>
  <c r="AW507" i="13"/>
  <c r="AX507" i="13"/>
  <c r="AY507" i="13"/>
  <c r="AZ507" i="13"/>
  <c r="BA507" i="13"/>
  <c r="BC507" i="13"/>
  <c r="BD507" i="13"/>
  <c r="BE507" i="13"/>
  <c r="BF507" i="13"/>
  <c r="BG507" i="13"/>
  <c r="BH507" i="13"/>
  <c r="W508" i="13"/>
  <c r="X508" i="13"/>
  <c r="Y508" i="13"/>
  <c r="Z508" i="13"/>
  <c r="AA508" i="13"/>
  <c r="AB508" i="13"/>
  <c r="AF508" i="13"/>
  <c r="AG508" i="13"/>
  <c r="AH508" i="13"/>
  <c r="AI508" i="13"/>
  <c r="AJ508" i="13"/>
  <c r="AK508" i="13"/>
  <c r="AO508" i="13"/>
  <c r="AP508" i="13"/>
  <c r="AQ508" i="13"/>
  <c r="AR508" i="13"/>
  <c r="AS508" i="13"/>
  <c r="AT508" i="13"/>
  <c r="AU508" i="13"/>
  <c r="AV508" i="13"/>
  <c r="AW508" i="13"/>
  <c r="AX508" i="13"/>
  <c r="AY508" i="13"/>
  <c r="AZ508" i="13"/>
  <c r="BA508" i="13"/>
  <c r="BC508" i="13"/>
  <c r="BD508" i="13"/>
  <c r="BE508" i="13"/>
  <c r="BF508" i="13"/>
  <c r="BG508" i="13"/>
  <c r="BH508" i="13"/>
  <c r="W509" i="13"/>
  <c r="X509" i="13"/>
  <c r="Y509" i="13"/>
  <c r="Z509" i="13"/>
  <c r="AA509" i="13"/>
  <c r="AB509" i="13"/>
  <c r="AF509" i="13"/>
  <c r="AG509" i="13"/>
  <c r="AH509" i="13"/>
  <c r="AI509" i="13"/>
  <c r="AJ509" i="13"/>
  <c r="AK509" i="13"/>
  <c r="AO509" i="13"/>
  <c r="AP509" i="13"/>
  <c r="AQ509" i="13"/>
  <c r="AR509" i="13"/>
  <c r="AS509" i="13"/>
  <c r="AT509" i="13"/>
  <c r="AU509" i="13"/>
  <c r="AV509" i="13"/>
  <c r="AW509" i="13"/>
  <c r="AX509" i="13"/>
  <c r="AY509" i="13"/>
  <c r="AZ509" i="13"/>
  <c r="BA509" i="13"/>
  <c r="BC509" i="13"/>
  <c r="BD509" i="13"/>
  <c r="BE509" i="13"/>
  <c r="BF509" i="13"/>
  <c r="BG509" i="13"/>
  <c r="BH509" i="13"/>
  <c r="W510" i="13"/>
  <c r="X510" i="13"/>
  <c r="Y510" i="13"/>
  <c r="Z510" i="13"/>
  <c r="AA510" i="13"/>
  <c r="AB510" i="13"/>
  <c r="AF510" i="13"/>
  <c r="AG510" i="13"/>
  <c r="AH510" i="13"/>
  <c r="AI510" i="13"/>
  <c r="AJ510" i="13"/>
  <c r="AK510" i="13"/>
  <c r="AO510" i="13"/>
  <c r="AP510" i="13"/>
  <c r="AQ510" i="13"/>
  <c r="AR510" i="13"/>
  <c r="AS510" i="13"/>
  <c r="AT510" i="13"/>
  <c r="AU510" i="13"/>
  <c r="AV510" i="13"/>
  <c r="AW510" i="13"/>
  <c r="AX510" i="13"/>
  <c r="AY510" i="13"/>
  <c r="AZ510" i="13"/>
  <c r="BA510" i="13"/>
  <c r="BC510" i="13"/>
  <c r="BD510" i="13"/>
  <c r="BE510" i="13"/>
  <c r="BF510" i="13"/>
  <c r="BG510" i="13"/>
  <c r="BH510" i="13"/>
  <c r="W511" i="13"/>
  <c r="X511" i="13"/>
  <c r="Y511" i="13"/>
  <c r="Z511" i="13"/>
  <c r="AA511" i="13"/>
  <c r="AB511" i="13"/>
  <c r="AF511" i="13"/>
  <c r="AG511" i="13"/>
  <c r="AH511" i="13"/>
  <c r="AI511" i="13"/>
  <c r="AJ511" i="13"/>
  <c r="AK511" i="13"/>
  <c r="AO511" i="13"/>
  <c r="AP511" i="13"/>
  <c r="AQ511" i="13"/>
  <c r="AR511" i="13"/>
  <c r="AS511" i="13"/>
  <c r="AT511" i="13"/>
  <c r="AU511" i="13"/>
  <c r="AV511" i="13"/>
  <c r="AW511" i="13"/>
  <c r="AX511" i="13"/>
  <c r="AY511" i="13"/>
  <c r="AZ511" i="13"/>
  <c r="BA511" i="13"/>
  <c r="BC511" i="13"/>
  <c r="BD511" i="13"/>
  <c r="BE511" i="13"/>
  <c r="BF511" i="13"/>
  <c r="BG511" i="13"/>
  <c r="BH511" i="13"/>
  <c r="W512" i="13"/>
  <c r="X512" i="13"/>
  <c r="Y512" i="13"/>
  <c r="Z512" i="13"/>
  <c r="AA512" i="13"/>
  <c r="AB512" i="13"/>
  <c r="AF512" i="13"/>
  <c r="AG512" i="13"/>
  <c r="AH512" i="13"/>
  <c r="AI512" i="13"/>
  <c r="AJ512" i="13"/>
  <c r="AK512" i="13"/>
  <c r="AO512" i="13"/>
  <c r="AP512" i="13"/>
  <c r="AQ512" i="13"/>
  <c r="AR512" i="13"/>
  <c r="AS512" i="13"/>
  <c r="AT512" i="13"/>
  <c r="AU512" i="13"/>
  <c r="AV512" i="13"/>
  <c r="AW512" i="13"/>
  <c r="AX512" i="13"/>
  <c r="AY512" i="13"/>
  <c r="AZ512" i="13"/>
  <c r="BA512" i="13"/>
  <c r="BC512" i="13"/>
  <c r="BD512" i="13"/>
  <c r="BE512" i="13"/>
  <c r="BF512" i="13"/>
  <c r="BG512" i="13"/>
  <c r="BH512" i="13"/>
  <c r="W513" i="13"/>
  <c r="X513" i="13"/>
  <c r="Y513" i="13"/>
  <c r="Z513" i="13"/>
  <c r="AA513" i="13"/>
  <c r="AB513" i="13"/>
  <c r="AF513" i="13"/>
  <c r="AG513" i="13"/>
  <c r="AH513" i="13"/>
  <c r="AI513" i="13"/>
  <c r="AJ513" i="13"/>
  <c r="AK513" i="13"/>
  <c r="AO513" i="13"/>
  <c r="AP513" i="13"/>
  <c r="AQ513" i="13"/>
  <c r="AR513" i="13"/>
  <c r="AS513" i="13"/>
  <c r="AT513" i="13"/>
  <c r="AU513" i="13"/>
  <c r="AV513" i="13"/>
  <c r="AW513" i="13"/>
  <c r="AX513" i="13"/>
  <c r="AY513" i="13"/>
  <c r="AZ513" i="13"/>
  <c r="BA513" i="13"/>
  <c r="BC513" i="13"/>
  <c r="BD513" i="13"/>
  <c r="BE513" i="13"/>
  <c r="BF513" i="13"/>
  <c r="BG513" i="13"/>
  <c r="BH513" i="13"/>
  <c r="W514" i="13"/>
  <c r="X514" i="13"/>
  <c r="Y514" i="13"/>
  <c r="Z514" i="13"/>
  <c r="AA514" i="13"/>
  <c r="AB514" i="13"/>
  <c r="AF514" i="13"/>
  <c r="AG514" i="13"/>
  <c r="AH514" i="13"/>
  <c r="AI514" i="13"/>
  <c r="AJ514" i="13"/>
  <c r="AK514" i="13"/>
  <c r="AO514" i="13"/>
  <c r="AP514" i="13"/>
  <c r="AQ514" i="13"/>
  <c r="AR514" i="13"/>
  <c r="AS514" i="13"/>
  <c r="AT514" i="13"/>
  <c r="AU514" i="13"/>
  <c r="AV514" i="13"/>
  <c r="AW514" i="13"/>
  <c r="AX514" i="13"/>
  <c r="AY514" i="13"/>
  <c r="AZ514" i="13"/>
  <c r="BA514" i="13"/>
  <c r="BC514" i="13"/>
  <c r="BD514" i="13"/>
  <c r="BE514" i="13"/>
  <c r="BF514" i="13"/>
  <c r="BG514" i="13"/>
  <c r="BH514" i="13"/>
  <c r="W515" i="13"/>
  <c r="X515" i="13"/>
  <c r="Y515" i="13"/>
  <c r="Z515" i="13"/>
  <c r="AA515" i="13"/>
  <c r="AB515" i="13"/>
  <c r="AF515" i="13"/>
  <c r="AG515" i="13"/>
  <c r="AH515" i="13"/>
  <c r="AI515" i="13"/>
  <c r="AJ515" i="13"/>
  <c r="AK515" i="13"/>
  <c r="AO515" i="13"/>
  <c r="AP515" i="13"/>
  <c r="AQ515" i="13"/>
  <c r="AR515" i="13"/>
  <c r="AS515" i="13"/>
  <c r="AT515" i="13"/>
  <c r="AU515" i="13"/>
  <c r="AV515" i="13"/>
  <c r="AW515" i="13"/>
  <c r="AX515" i="13"/>
  <c r="AY515" i="13"/>
  <c r="AZ515" i="13"/>
  <c r="BA515" i="13"/>
  <c r="BC515" i="13"/>
  <c r="BD515" i="13"/>
  <c r="BE515" i="13"/>
  <c r="BF515" i="13"/>
  <c r="BG515" i="13"/>
  <c r="BH515" i="13"/>
  <c r="W516" i="13"/>
  <c r="X516" i="13"/>
  <c r="Y516" i="13"/>
  <c r="Z516" i="13"/>
  <c r="AA516" i="13"/>
  <c r="AB516" i="13"/>
  <c r="AF516" i="13"/>
  <c r="AG516" i="13"/>
  <c r="AH516" i="13"/>
  <c r="AI516" i="13"/>
  <c r="AJ516" i="13"/>
  <c r="AK516" i="13"/>
  <c r="AO516" i="13"/>
  <c r="AP516" i="13"/>
  <c r="AQ516" i="13"/>
  <c r="AR516" i="13"/>
  <c r="AS516" i="13"/>
  <c r="AT516" i="13"/>
  <c r="AU516" i="13"/>
  <c r="AV516" i="13"/>
  <c r="AW516" i="13"/>
  <c r="AX516" i="13"/>
  <c r="AY516" i="13"/>
  <c r="AZ516" i="13"/>
  <c r="BA516" i="13"/>
  <c r="BC516" i="13"/>
  <c r="BD516" i="13"/>
  <c r="BE516" i="13"/>
  <c r="BF516" i="13"/>
  <c r="BG516" i="13"/>
  <c r="BH516" i="13"/>
  <c r="W517" i="13"/>
  <c r="X517" i="13"/>
  <c r="Y517" i="13"/>
  <c r="Z517" i="13"/>
  <c r="AA517" i="13"/>
  <c r="AB517" i="13"/>
  <c r="AF517" i="13"/>
  <c r="AG517" i="13"/>
  <c r="AH517" i="13"/>
  <c r="AI517" i="13"/>
  <c r="AJ517" i="13"/>
  <c r="AK517" i="13"/>
  <c r="AO517" i="13"/>
  <c r="AP517" i="13"/>
  <c r="AQ517" i="13"/>
  <c r="AR517" i="13"/>
  <c r="AS517" i="13"/>
  <c r="AT517" i="13"/>
  <c r="AU517" i="13"/>
  <c r="AV517" i="13"/>
  <c r="AW517" i="13"/>
  <c r="AX517" i="13"/>
  <c r="AY517" i="13"/>
  <c r="AZ517" i="13"/>
  <c r="BA517" i="13"/>
  <c r="BC517" i="13"/>
  <c r="BD517" i="13"/>
  <c r="BE517" i="13"/>
  <c r="BF517" i="13"/>
  <c r="BG517" i="13"/>
  <c r="BH517" i="13"/>
  <c r="W518" i="13"/>
  <c r="X518" i="13"/>
  <c r="Y518" i="13"/>
  <c r="Z518" i="13"/>
  <c r="AA518" i="13"/>
  <c r="AB518" i="13"/>
  <c r="AF518" i="13"/>
  <c r="AG518" i="13"/>
  <c r="AH518" i="13"/>
  <c r="AI518" i="13"/>
  <c r="AJ518" i="13"/>
  <c r="AK518" i="13"/>
  <c r="AO518" i="13"/>
  <c r="AP518" i="13"/>
  <c r="AQ518" i="13"/>
  <c r="AR518" i="13"/>
  <c r="AS518" i="13"/>
  <c r="AT518" i="13"/>
  <c r="AU518" i="13"/>
  <c r="AV518" i="13"/>
  <c r="AW518" i="13"/>
  <c r="AX518" i="13"/>
  <c r="AY518" i="13"/>
  <c r="AZ518" i="13"/>
  <c r="BA518" i="13"/>
  <c r="BC518" i="13"/>
  <c r="BD518" i="13"/>
  <c r="BE518" i="13"/>
  <c r="BF518" i="13"/>
  <c r="BG518" i="13"/>
  <c r="BH518" i="13"/>
  <c r="W519" i="13"/>
  <c r="X519" i="13"/>
  <c r="Y519" i="13"/>
  <c r="Z519" i="13"/>
  <c r="AA519" i="13"/>
  <c r="AB519" i="13"/>
  <c r="AF519" i="13"/>
  <c r="AG519" i="13"/>
  <c r="AH519" i="13"/>
  <c r="AI519" i="13"/>
  <c r="AJ519" i="13"/>
  <c r="AK519" i="13"/>
  <c r="AO519" i="13"/>
  <c r="AP519" i="13"/>
  <c r="AQ519" i="13"/>
  <c r="AR519" i="13"/>
  <c r="AS519" i="13"/>
  <c r="AT519" i="13"/>
  <c r="AU519" i="13"/>
  <c r="AV519" i="13"/>
  <c r="AW519" i="13"/>
  <c r="AX519" i="13"/>
  <c r="AY519" i="13"/>
  <c r="AZ519" i="13"/>
  <c r="BA519" i="13"/>
  <c r="BC519" i="13"/>
  <c r="BD519" i="13"/>
  <c r="BE519" i="13"/>
  <c r="BF519" i="13"/>
  <c r="BG519" i="13"/>
  <c r="BH519" i="13"/>
  <c r="W520" i="13"/>
  <c r="X520" i="13"/>
  <c r="Y520" i="13"/>
  <c r="Z520" i="13"/>
  <c r="AA520" i="13"/>
  <c r="AB520" i="13"/>
  <c r="AF520" i="13"/>
  <c r="AG520" i="13"/>
  <c r="AH520" i="13"/>
  <c r="AI520" i="13"/>
  <c r="AJ520" i="13"/>
  <c r="AK520" i="13"/>
  <c r="AO520" i="13"/>
  <c r="AP520" i="13"/>
  <c r="AQ520" i="13"/>
  <c r="AR520" i="13"/>
  <c r="AS520" i="13"/>
  <c r="AT520" i="13"/>
  <c r="AU520" i="13"/>
  <c r="AV520" i="13"/>
  <c r="AW520" i="13"/>
  <c r="AX520" i="13"/>
  <c r="AY520" i="13"/>
  <c r="AZ520" i="13"/>
  <c r="BA520" i="13"/>
  <c r="BC520" i="13"/>
  <c r="BD520" i="13"/>
  <c r="BE520" i="13"/>
  <c r="BF520" i="13"/>
  <c r="BG520" i="13"/>
  <c r="BH520" i="13"/>
  <c r="W521" i="13"/>
  <c r="X521" i="13"/>
  <c r="Y521" i="13"/>
  <c r="Z521" i="13"/>
  <c r="AA521" i="13"/>
  <c r="AB521" i="13"/>
  <c r="AF521" i="13"/>
  <c r="AG521" i="13"/>
  <c r="AH521" i="13"/>
  <c r="AI521" i="13"/>
  <c r="AJ521" i="13"/>
  <c r="AK521" i="13"/>
  <c r="AO521" i="13"/>
  <c r="AP521" i="13"/>
  <c r="AQ521" i="13"/>
  <c r="AR521" i="13"/>
  <c r="AS521" i="13"/>
  <c r="AT521" i="13"/>
  <c r="AU521" i="13"/>
  <c r="AV521" i="13"/>
  <c r="AW521" i="13"/>
  <c r="AX521" i="13"/>
  <c r="AY521" i="13"/>
  <c r="AZ521" i="13"/>
  <c r="BA521" i="13"/>
  <c r="BC521" i="13"/>
  <c r="BD521" i="13"/>
  <c r="BE521" i="13"/>
  <c r="BF521" i="13"/>
  <c r="BG521" i="13"/>
  <c r="BH521" i="13"/>
  <c r="W522" i="13"/>
  <c r="X522" i="13"/>
  <c r="Y522" i="13"/>
  <c r="Z522" i="13"/>
  <c r="AA522" i="13"/>
  <c r="AB522" i="13"/>
  <c r="AF522" i="13"/>
  <c r="AG522" i="13"/>
  <c r="AH522" i="13"/>
  <c r="AI522" i="13"/>
  <c r="AJ522" i="13"/>
  <c r="AK522" i="13"/>
  <c r="AO522" i="13"/>
  <c r="AP522" i="13"/>
  <c r="AQ522" i="13"/>
  <c r="AR522" i="13"/>
  <c r="AS522" i="13"/>
  <c r="AT522" i="13"/>
  <c r="AU522" i="13"/>
  <c r="AV522" i="13"/>
  <c r="AW522" i="13"/>
  <c r="AX522" i="13"/>
  <c r="AY522" i="13"/>
  <c r="AZ522" i="13"/>
  <c r="BA522" i="13"/>
  <c r="BC522" i="13"/>
  <c r="BD522" i="13"/>
  <c r="BE522" i="13"/>
  <c r="BF522" i="13"/>
  <c r="BG522" i="13"/>
  <c r="BH522" i="13"/>
  <c r="W523" i="13"/>
  <c r="X523" i="13"/>
  <c r="Y523" i="13"/>
  <c r="Z523" i="13"/>
  <c r="AA523" i="13"/>
  <c r="AB523" i="13"/>
  <c r="AF523" i="13"/>
  <c r="AG523" i="13"/>
  <c r="AH523" i="13"/>
  <c r="AI523" i="13"/>
  <c r="AJ523" i="13"/>
  <c r="AK523" i="13"/>
  <c r="AO523" i="13"/>
  <c r="AP523" i="13"/>
  <c r="AQ523" i="13"/>
  <c r="AR523" i="13"/>
  <c r="AS523" i="13"/>
  <c r="AT523" i="13"/>
  <c r="AU523" i="13"/>
  <c r="AV523" i="13"/>
  <c r="AW523" i="13"/>
  <c r="AX523" i="13"/>
  <c r="AY523" i="13"/>
  <c r="AZ523" i="13"/>
  <c r="BA523" i="13"/>
  <c r="BC523" i="13"/>
  <c r="BD523" i="13"/>
  <c r="BE523" i="13"/>
  <c r="BF523" i="13"/>
  <c r="BG523" i="13"/>
  <c r="BH523" i="13"/>
  <c r="W524" i="13"/>
  <c r="X524" i="13"/>
  <c r="Y524" i="13"/>
  <c r="Z524" i="13"/>
  <c r="AA524" i="13"/>
  <c r="AB524" i="13"/>
  <c r="AF524" i="13"/>
  <c r="AG524" i="13"/>
  <c r="AH524" i="13"/>
  <c r="AI524" i="13"/>
  <c r="AJ524" i="13"/>
  <c r="AK524" i="13"/>
  <c r="AO524" i="13"/>
  <c r="AP524" i="13"/>
  <c r="AQ524" i="13"/>
  <c r="AR524" i="13"/>
  <c r="AS524" i="13"/>
  <c r="AT524" i="13"/>
  <c r="AU524" i="13"/>
  <c r="AV524" i="13"/>
  <c r="AW524" i="13"/>
  <c r="AX524" i="13"/>
  <c r="AY524" i="13"/>
  <c r="AZ524" i="13"/>
  <c r="BA524" i="13"/>
  <c r="BC524" i="13"/>
  <c r="BD524" i="13"/>
  <c r="BE524" i="13"/>
  <c r="BF524" i="13"/>
  <c r="BG524" i="13"/>
  <c r="BH524" i="13"/>
  <c r="W525" i="13"/>
  <c r="X525" i="13"/>
  <c r="Y525" i="13"/>
  <c r="Z525" i="13"/>
  <c r="AA525" i="13"/>
  <c r="AB525" i="13"/>
  <c r="AF525" i="13"/>
  <c r="AG525" i="13"/>
  <c r="AH525" i="13"/>
  <c r="AI525" i="13"/>
  <c r="AJ525" i="13"/>
  <c r="AK525" i="13"/>
  <c r="AO525" i="13"/>
  <c r="AP525" i="13"/>
  <c r="AQ525" i="13"/>
  <c r="AR525" i="13"/>
  <c r="AS525" i="13"/>
  <c r="AT525" i="13"/>
  <c r="AU525" i="13"/>
  <c r="AV525" i="13"/>
  <c r="AW525" i="13"/>
  <c r="AX525" i="13"/>
  <c r="AY525" i="13"/>
  <c r="AZ525" i="13"/>
  <c r="BA525" i="13"/>
  <c r="BC525" i="13"/>
  <c r="BD525" i="13"/>
  <c r="BE525" i="13"/>
  <c r="BF525" i="13"/>
  <c r="BG525" i="13"/>
  <c r="BH525" i="13"/>
  <c r="W526" i="13"/>
  <c r="X526" i="13"/>
  <c r="Y526" i="13"/>
  <c r="Z526" i="13"/>
  <c r="AA526" i="13"/>
  <c r="AB526" i="13"/>
  <c r="AF526" i="13"/>
  <c r="AG526" i="13"/>
  <c r="AH526" i="13"/>
  <c r="AI526" i="13"/>
  <c r="AJ526" i="13"/>
  <c r="AK526" i="13"/>
  <c r="AO526" i="13"/>
  <c r="AP526" i="13"/>
  <c r="AQ526" i="13"/>
  <c r="AR526" i="13"/>
  <c r="AS526" i="13"/>
  <c r="AT526" i="13"/>
  <c r="AU526" i="13"/>
  <c r="AV526" i="13"/>
  <c r="AW526" i="13"/>
  <c r="AX526" i="13"/>
  <c r="AY526" i="13"/>
  <c r="AZ526" i="13"/>
  <c r="BA526" i="13"/>
  <c r="BC526" i="13"/>
  <c r="BD526" i="13"/>
  <c r="BE526" i="13"/>
  <c r="BF526" i="13"/>
  <c r="BG526" i="13"/>
  <c r="BH526" i="13"/>
  <c r="W527" i="13"/>
  <c r="X527" i="13"/>
  <c r="Y527" i="13"/>
  <c r="Z527" i="13"/>
  <c r="AA527" i="13"/>
  <c r="AB527" i="13"/>
  <c r="AF527" i="13"/>
  <c r="AG527" i="13"/>
  <c r="AH527" i="13"/>
  <c r="AI527" i="13"/>
  <c r="AJ527" i="13"/>
  <c r="AK527" i="13"/>
  <c r="AO527" i="13"/>
  <c r="AP527" i="13"/>
  <c r="AQ527" i="13"/>
  <c r="AR527" i="13"/>
  <c r="AS527" i="13"/>
  <c r="AT527" i="13"/>
  <c r="AU527" i="13"/>
  <c r="AV527" i="13"/>
  <c r="AW527" i="13"/>
  <c r="AX527" i="13"/>
  <c r="AY527" i="13"/>
  <c r="AZ527" i="13"/>
  <c r="BA527" i="13"/>
  <c r="BC527" i="13"/>
  <c r="BD527" i="13"/>
  <c r="BE527" i="13"/>
  <c r="BF527" i="13"/>
  <c r="BG527" i="13"/>
  <c r="BH527" i="13"/>
  <c r="W528" i="13"/>
  <c r="X528" i="13"/>
  <c r="Y528" i="13"/>
  <c r="Z528" i="13"/>
  <c r="AA528" i="13"/>
  <c r="AB528" i="13"/>
  <c r="AF528" i="13"/>
  <c r="AG528" i="13"/>
  <c r="AH528" i="13"/>
  <c r="AI528" i="13"/>
  <c r="AJ528" i="13"/>
  <c r="AK528" i="13"/>
  <c r="AO528" i="13"/>
  <c r="AP528" i="13"/>
  <c r="AQ528" i="13"/>
  <c r="AR528" i="13"/>
  <c r="AS528" i="13"/>
  <c r="AT528" i="13"/>
  <c r="AU528" i="13"/>
  <c r="AV528" i="13"/>
  <c r="AW528" i="13"/>
  <c r="AX528" i="13"/>
  <c r="AY528" i="13"/>
  <c r="AZ528" i="13"/>
  <c r="BA528" i="13"/>
  <c r="BC528" i="13"/>
  <c r="BD528" i="13"/>
  <c r="BE528" i="13"/>
  <c r="BF528" i="13"/>
  <c r="BG528" i="13"/>
  <c r="BH528" i="13"/>
  <c r="U528" i="13"/>
  <c r="U527" i="13"/>
  <c r="U526" i="13"/>
  <c r="U525" i="13"/>
  <c r="U524" i="13"/>
  <c r="U523" i="13"/>
  <c r="U522" i="13"/>
  <c r="U521" i="13"/>
  <c r="U520" i="13"/>
  <c r="U519" i="13"/>
  <c r="U518" i="13"/>
  <c r="U517" i="13"/>
  <c r="U516" i="13"/>
  <c r="U515" i="13"/>
  <c r="U514" i="13"/>
  <c r="U513" i="13"/>
  <c r="U512" i="13"/>
  <c r="U511" i="13"/>
  <c r="U510" i="13"/>
  <c r="U509" i="13"/>
  <c r="U508" i="13"/>
  <c r="U507" i="13"/>
  <c r="U506" i="13"/>
  <c r="AD507" i="13" l="1"/>
  <c r="AE511" i="13"/>
  <c r="AD526" i="13"/>
  <c r="BB526" i="13"/>
  <c r="AM507" i="13"/>
  <c r="AE526" i="13"/>
  <c r="AE507" i="13"/>
  <c r="AC507" i="13" s="1"/>
  <c r="BB524" i="13"/>
  <c r="AM521" i="13"/>
  <c r="AM517" i="13"/>
  <c r="AM513" i="13"/>
  <c r="AN511" i="13"/>
  <c r="AM509" i="13"/>
  <c r="AD528" i="13"/>
  <c r="AN525" i="13"/>
  <c r="AM525" i="13"/>
  <c r="BB528" i="13"/>
  <c r="AE527" i="13"/>
  <c r="AD524" i="13"/>
  <c r="AM523" i="13"/>
  <c r="AM519" i="13"/>
  <c r="AM515" i="13"/>
  <c r="AM511" i="13"/>
  <c r="BB523" i="13"/>
  <c r="AE528" i="13"/>
  <c r="AM527" i="13"/>
  <c r="BB525" i="13"/>
  <c r="AM524" i="13"/>
  <c r="BB522" i="13"/>
  <c r="BB520" i="13"/>
  <c r="BB518" i="13"/>
  <c r="BB516" i="13"/>
  <c r="BB514" i="13"/>
  <c r="BB512" i="13"/>
  <c r="BB510" i="13"/>
  <c r="BB508" i="13"/>
  <c r="AD523" i="13"/>
  <c r="AM522" i="13"/>
  <c r="BB521" i="13"/>
  <c r="AD521" i="13"/>
  <c r="AM520" i="13"/>
  <c r="BB519" i="13"/>
  <c r="AD519" i="13"/>
  <c r="AM518" i="13"/>
  <c r="BB517" i="13"/>
  <c r="AD517" i="13"/>
  <c r="AM516" i="13"/>
  <c r="BB515" i="13"/>
  <c r="AD515" i="13"/>
  <c r="AM514" i="13"/>
  <c r="BB513" i="13"/>
  <c r="AD513" i="13"/>
  <c r="AM512" i="13"/>
  <c r="BB511" i="13"/>
  <c r="AD511" i="13"/>
  <c r="AM510" i="13"/>
  <c r="BB509" i="13"/>
  <c r="AD509" i="13"/>
  <c r="AN508" i="13"/>
  <c r="BK507" i="13"/>
  <c r="BB507" i="13"/>
  <c r="AM528" i="13"/>
  <c r="AN527" i="13"/>
  <c r="AD527" i="13"/>
  <c r="AE525" i="13"/>
  <c r="AE524" i="13"/>
  <c r="AD522" i="13"/>
  <c r="AD520" i="13"/>
  <c r="AD518" i="13"/>
  <c r="AD516" i="13"/>
  <c r="AD514" i="13"/>
  <c r="AD512" i="13"/>
  <c r="AD510" i="13"/>
  <c r="AM508" i="13"/>
  <c r="AD508" i="13"/>
  <c r="BB527" i="13"/>
  <c r="AM526" i="13"/>
  <c r="AD525" i="13"/>
  <c r="AN523" i="13"/>
  <c r="AE523" i="13"/>
  <c r="AN521" i="13"/>
  <c r="AE521" i="13"/>
  <c r="AN519" i="13"/>
  <c r="AE519" i="13"/>
  <c r="AN517" i="13"/>
  <c r="AE517" i="13"/>
  <c r="AN515" i="13"/>
  <c r="AE515" i="13"/>
  <c r="AN513" i="13"/>
  <c r="AE513" i="13"/>
  <c r="AE510" i="13"/>
  <c r="AN509" i="13"/>
  <c r="AL509" i="13" s="1"/>
  <c r="AE509" i="13"/>
  <c r="AE508" i="13"/>
  <c r="AN507" i="13"/>
  <c r="BI508" i="13"/>
  <c r="BI528" i="13"/>
  <c r="BI527" i="13"/>
  <c r="BI522" i="13"/>
  <c r="BI518" i="13"/>
  <c r="BI514" i="13"/>
  <c r="BI510" i="13"/>
  <c r="BI524" i="13"/>
  <c r="BK521" i="13"/>
  <c r="BI520" i="13"/>
  <c r="BK517" i="13"/>
  <c r="BI516" i="13"/>
  <c r="BK513" i="13"/>
  <c r="BI512" i="13"/>
  <c r="BJ526" i="13"/>
  <c r="BJ508" i="13"/>
  <c r="BK509" i="13"/>
  <c r="BJ528" i="13"/>
  <c r="BK525" i="13"/>
  <c r="BK524" i="13"/>
  <c r="BI523" i="13"/>
  <c r="BJ522" i="13"/>
  <c r="BI519" i="13"/>
  <c r="BJ518" i="13"/>
  <c r="BI515" i="13"/>
  <c r="BJ514" i="13"/>
  <c r="BI511" i="13"/>
  <c r="BJ510" i="13"/>
  <c r="BK508" i="13"/>
  <c r="BK528" i="13"/>
  <c r="BJ524" i="13"/>
  <c r="BI526" i="13"/>
  <c r="BI525" i="13"/>
  <c r="BI507" i="13"/>
  <c r="BK527" i="13"/>
  <c r="BK526" i="13"/>
  <c r="BK523" i="13"/>
  <c r="BI521" i="13"/>
  <c r="BJ520" i="13"/>
  <c r="BK519" i="13"/>
  <c r="BI517" i="13"/>
  <c r="BJ516" i="13"/>
  <c r="BK515" i="13"/>
  <c r="BI513" i="13"/>
  <c r="BJ512" i="13"/>
  <c r="BK511" i="13"/>
  <c r="BI509" i="13"/>
  <c r="AL517" i="13"/>
  <c r="AN528" i="13"/>
  <c r="BJ527" i="13"/>
  <c r="AN526" i="13"/>
  <c r="BJ525" i="13"/>
  <c r="AN524" i="13"/>
  <c r="BJ523" i="13"/>
  <c r="AN522" i="13"/>
  <c r="BJ521" i="13"/>
  <c r="AN520" i="13"/>
  <c r="BJ519" i="13"/>
  <c r="AN518" i="13"/>
  <c r="BJ517" i="13"/>
  <c r="AN516" i="13"/>
  <c r="BJ515" i="13"/>
  <c r="AN514" i="13"/>
  <c r="BJ513" i="13"/>
  <c r="AN512" i="13"/>
  <c r="BJ511" i="13"/>
  <c r="AN510" i="13"/>
  <c r="BJ509" i="13"/>
  <c r="BJ507" i="13"/>
  <c r="BK522" i="13"/>
  <c r="AE522" i="13"/>
  <c r="BK520" i="13"/>
  <c r="AE520" i="13"/>
  <c r="BK518" i="13"/>
  <c r="AE518" i="13"/>
  <c r="BK516" i="13"/>
  <c r="AE516" i="13"/>
  <c r="BK514" i="13"/>
  <c r="AE514" i="13"/>
  <c r="BK512" i="13"/>
  <c r="AE512" i="13"/>
  <c r="BK510" i="13"/>
  <c r="AL523" i="13" l="1"/>
  <c r="AC516" i="13"/>
  <c r="AL528" i="13"/>
  <c r="AC518" i="13"/>
  <c r="AL512" i="13"/>
  <c r="AL516" i="13"/>
  <c r="AL520" i="13"/>
  <c r="AL524" i="13"/>
  <c r="AL526" i="13"/>
  <c r="AL521" i="13"/>
  <c r="AL510" i="13"/>
  <c r="AL518" i="13"/>
  <c r="AC528" i="13"/>
  <c r="AL511" i="13"/>
  <c r="AL519" i="13"/>
  <c r="AC520" i="13"/>
  <c r="AC512" i="13"/>
  <c r="AL514" i="13"/>
  <c r="AL522" i="13"/>
  <c r="AC511" i="13"/>
  <c r="AL507" i="13"/>
  <c r="AL515" i="13"/>
  <c r="AL508" i="13"/>
  <c r="AC514" i="13"/>
  <c r="AL513" i="13"/>
  <c r="AC522" i="13"/>
  <c r="AC527" i="13"/>
  <c r="AL525" i="13"/>
  <c r="AC526" i="13"/>
  <c r="AC525" i="13"/>
  <c r="AC524" i="13"/>
  <c r="BL527" i="13"/>
  <c r="BL508" i="13"/>
  <c r="BL510" i="13"/>
  <c r="BL518" i="13"/>
  <c r="BL519" i="13"/>
  <c r="BL513" i="13"/>
  <c r="BL507" i="13"/>
  <c r="BL515" i="13"/>
  <c r="BL523" i="13"/>
  <c r="BL512" i="13"/>
  <c r="BL516" i="13"/>
  <c r="BL514" i="13"/>
  <c r="BL522" i="13"/>
  <c r="BL511" i="13"/>
  <c r="AC508" i="13"/>
  <c r="AC513" i="13"/>
  <c r="AC521" i="13"/>
  <c r="AC519" i="13"/>
  <c r="AC510" i="13"/>
  <c r="AC509" i="13"/>
  <c r="AC517" i="13"/>
  <c r="AC515" i="13"/>
  <c r="AC523" i="13"/>
  <c r="AL527" i="13"/>
  <c r="BL517" i="13"/>
  <c r="BL521" i="13"/>
  <c r="BL525" i="13"/>
  <c r="BL528" i="13"/>
  <c r="BL526" i="13"/>
  <c r="BL524" i="13"/>
  <c r="BL520" i="13"/>
  <c r="BL509" i="13"/>
  <c r="AB506" i="13" l="1"/>
  <c r="AK506" i="13"/>
  <c r="AO506" i="13"/>
  <c r="AU506" i="13"/>
  <c r="BA506" i="13"/>
  <c r="AA506" i="13"/>
  <c r="AJ506" i="13"/>
  <c r="AT506" i="13"/>
  <c r="AZ506" i="13"/>
  <c r="Z506" i="13"/>
  <c r="AI506" i="13"/>
  <c r="AS506" i="13"/>
  <c r="AY506" i="13"/>
  <c r="Y506" i="13"/>
  <c r="AH506" i="13"/>
  <c r="AR506" i="13"/>
  <c r="AX506" i="13"/>
  <c r="X506" i="13"/>
  <c r="AG506" i="13"/>
  <c r="AQ506" i="13"/>
  <c r="AW506" i="13"/>
  <c r="W506" i="13"/>
  <c r="AF506" i="13"/>
  <c r="AP506" i="13"/>
  <c r="AV506" i="13"/>
  <c r="U505" i="13"/>
  <c r="AB505" i="13"/>
  <c r="AK505" i="13"/>
  <c r="AO505" i="13"/>
  <c r="AU505" i="13"/>
  <c r="BA505" i="13"/>
  <c r="AA505" i="13"/>
  <c r="AJ505" i="13"/>
  <c r="AT505" i="13"/>
  <c r="AZ505" i="13"/>
  <c r="Z505" i="13"/>
  <c r="AI505" i="13"/>
  <c r="AS505" i="13"/>
  <c r="AY505" i="13"/>
  <c r="Y505" i="13"/>
  <c r="AH505" i="13"/>
  <c r="AR505" i="13"/>
  <c r="AX505" i="13"/>
  <c r="X505" i="13"/>
  <c r="AG505" i="13"/>
  <c r="AQ505" i="13"/>
  <c r="AW505" i="13"/>
  <c r="W505" i="13"/>
  <c r="AF505" i="13"/>
  <c r="AP505" i="13"/>
  <c r="AV505" i="13"/>
  <c r="U504" i="13"/>
  <c r="AB504" i="13"/>
  <c r="AK504" i="13"/>
  <c r="AO504" i="13"/>
  <c r="AU504" i="13"/>
  <c r="BA504" i="13"/>
  <c r="AA504" i="13"/>
  <c r="AJ504" i="13"/>
  <c r="AT504" i="13"/>
  <c r="AZ504" i="13"/>
  <c r="Z504" i="13"/>
  <c r="AI504" i="13"/>
  <c r="AS504" i="13"/>
  <c r="AY504" i="13"/>
  <c r="Y504" i="13"/>
  <c r="AH504" i="13"/>
  <c r="AR504" i="13"/>
  <c r="AX504" i="13"/>
  <c r="X504" i="13"/>
  <c r="AG504" i="13"/>
  <c r="AQ504" i="13"/>
  <c r="AW504" i="13"/>
  <c r="W504" i="13"/>
  <c r="AF504" i="13"/>
  <c r="AP504" i="13"/>
  <c r="AV504" i="13"/>
  <c r="U503" i="13"/>
  <c r="AB503" i="13"/>
  <c r="AK503" i="13"/>
  <c r="AO503" i="13"/>
  <c r="AU503" i="13"/>
  <c r="BA503" i="13"/>
  <c r="AA503" i="13"/>
  <c r="AJ503" i="13"/>
  <c r="AT503" i="13"/>
  <c r="AZ503" i="13"/>
  <c r="Z503" i="13"/>
  <c r="AI503" i="13"/>
  <c r="AS503" i="13"/>
  <c r="AY503" i="13"/>
  <c r="Y503" i="13"/>
  <c r="AH503" i="13"/>
  <c r="AR503" i="13"/>
  <c r="AX503" i="13"/>
  <c r="X503" i="13"/>
  <c r="AG503" i="13"/>
  <c r="AQ503" i="13"/>
  <c r="AW503" i="13"/>
  <c r="W503" i="13"/>
  <c r="AF503" i="13"/>
  <c r="AP503" i="13"/>
  <c r="AV503" i="13"/>
  <c r="U502" i="13"/>
  <c r="AB502" i="13"/>
  <c r="AK502" i="13"/>
  <c r="AO502" i="13"/>
  <c r="AU502" i="13"/>
  <c r="BA502" i="13"/>
  <c r="AA502" i="13"/>
  <c r="AJ502" i="13"/>
  <c r="AT502" i="13"/>
  <c r="AZ502" i="13"/>
  <c r="Z502" i="13"/>
  <c r="AI502" i="13"/>
  <c r="AS502" i="13"/>
  <c r="AY502" i="13"/>
  <c r="Y502" i="13"/>
  <c r="AH502" i="13"/>
  <c r="AR502" i="13"/>
  <c r="AX502" i="13"/>
  <c r="X502" i="13"/>
  <c r="AG502" i="13"/>
  <c r="AQ502" i="13"/>
  <c r="AW502" i="13"/>
  <c r="W502" i="13"/>
  <c r="AF502" i="13"/>
  <c r="AP502" i="13"/>
  <c r="AV502" i="13"/>
  <c r="U501" i="13"/>
  <c r="AB501" i="13"/>
  <c r="AK501" i="13"/>
  <c r="AO501" i="13"/>
  <c r="AU501" i="13"/>
  <c r="BA501" i="13"/>
  <c r="AA501" i="13"/>
  <c r="AJ501" i="13"/>
  <c r="AT501" i="13"/>
  <c r="AZ501" i="13"/>
  <c r="Z501" i="13"/>
  <c r="AI501" i="13"/>
  <c r="AS501" i="13"/>
  <c r="AY501" i="13"/>
  <c r="Y501" i="13"/>
  <c r="AH501" i="13"/>
  <c r="AR501" i="13"/>
  <c r="AX501" i="13"/>
  <c r="X501" i="13"/>
  <c r="AG501" i="13"/>
  <c r="AQ501" i="13"/>
  <c r="AW501" i="13"/>
  <c r="W501" i="13"/>
  <c r="AF501" i="13"/>
  <c r="AP501" i="13"/>
  <c r="AV501" i="13"/>
  <c r="U500" i="13"/>
  <c r="AB500" i="13"/>
  <c r="AK500" i="13"/>
  <c r="AO500" i="13"/>
  <c r="AU500" i="13"/>
  <c r="BA500" i="13"/>
  <c r="AA500" i="13"/>
  <c r="AJ500" i="13"/>
  <c r="AT500" i="13"/>
  <c r="AZ500" i="13"/>
  <c r="Z500" i="13"/>
  <c r="AI500" i="13"/>
  <c r="AS500" i="13"/>
  <c r="AY500" i="13"/>
  <c r="Y500" i="13"/>
  <c r="AH500" i="13"/>
  <c r="AR500" i="13"/>
  <c r="AX500" i="13"/>
  <c r="X500" i="13"/>
  <c r="AG500" i="13"/>
  <c r="AQ500" i="13"/>
  <c r="AW500" i="13"/>
  <c r="W500" i="13"/>
  <c r="AF500" i="13"/>
  <c r="AP500" i="13"/>
  <c r="AV500" i="13"/>
  <c r="AN506" i="13" l="1"/>
  <c r="AM503" i="13"/>
  <c r="AM505" i="13"/>
  <c r="AD503" i="13"/>
  <c r="AM500" i="13"/>
  <c r="AM504" i="13"/>
  <c r="AM502" i="13"/>
  <c r="AE500" i="13"/>
  <c r="AD502" i="13"/>
  <c r="AN502" i="13"/>
  <c r="AN504" i="13"/>
  <c r="AM501" i="13"/>
  <c r="AD504" i="13"/>
  <c r="AE506" i="13"/>
  <c r="BB501" i="13"/>
  <c r="AN500" i="13"/>
  <c r="AD501" i="13"/>
  <c r="AD505" i="13"/>
  <c r="AE501" i="13"/>
  <c r="BB502" i="13"/>
  <c r="AE503" i="13"/>
  <c r="BB504" i="13"/>
  <c r="AE505" i="13"/>
  <c r="AM506" i="13"/>
  <c r="AD500" i="13"/>
  <c r="AN501" i="13"/>
  <c r="AN503" i="13"/>
  <c r="AN505" i="13"/>
  <c r="BB500" i="13"/>
  <c r="AE502" i="13"/>
  <c r="AE504" i="13"/>
  <c r="BB503" i="13"/>
  <c r="BB505" i="13"/>
  <c r="AD506" i="13"/>
  <c r="BB506" i="13"/>
  <c r="AL502" i="13" l="1"/>
  <c r="AC503" i="13"/>
  <c r="AL506" i="13"/>
  <c r="AC504" i="13"/>
  <c r="AC502" i="13"/>
  <c r="AL501" i="13"/>
  <c r="AL503" i="13"/>
  <c r="AL500" i="13"/>
  <c r="AL505" i="13"/>
  <c r="AC500" i="13"/>
  <c r="AC505" i="13"/>
  <c r="AL504" i="13"/>
  <c r="AC506" i="13"/>
  <c r="AC501" i="13"/>
  <c r="CP19" i="13"/>
  <c r="CP15" i="13"/>
  <c r="CP17" i="13"/>
  <c r="CP13" i="13"/>
  <c r="CP12" i="13"/>
  <c r="CP10" i="13"/>
  <c r="CP8" i="13"/>
  <c r="CP5" i="13"/>
  <c r="CP6" i="13"/>
  <c r="CP9" i="13"/>
  <c r="CP7" i="13"/>
  <c r="CP11" i="13"/>
  <c r="CP14" i="13"/>
  <c r="CP16" i="13"/>
  <c r="CP18" i="13"/>
  <c r="CP21" i="13"/>
  <c r="CP22" i="13"/>
  <c r="CP20" i="13"/>
  <c r="BC9" i="13"/>
  <c r="BD9" i="13"/>
  <c r="BE9" i="13"/>
  <c r="BF9" i="13"/>
  <c r="BG9" i="13"/>
  <c r="BH9" i="13"/>
  <c r="BC10" i="13"/>
  <c r="BD10" i="13"/>
  <c r="BE10" i="13"/>
  <c r="BF10" i="13"/>
  <c r="BG10" i="13"/>
  <c r="BH10" i="13"/>
  <c r="BC11" i="13"/>
  <c r="BD11" i="13"/>
  <c r="BE11" i="13"/>
  <c r="BF11" i="13"/>
  <c r="BG11" i="13"/>
  <c r="BH11" i="13"/>
  <c r="BC12" i="13"/>
  <c r="BD12" i="13"/>
  <c r="BE12" i="13"/>
  <c r="BF12" i="13"/>
  <c r="BG12" i="13"/>
  <c r="BH12" i="13"/>
  <c r="BC13" i="13"/>
  <c r="BD13" i="13"/>
  <c r="BE13" i="13"/>
  <c r="BF13" i="13"/>
  <c r="BG13" i="13"/>
  <c r="BH13" i="13"/>
  <c r="BC14" i="13"/>
  <c r="BD14" i="13"/>
  <c r="BE14" i="13"/>
  <c r="BF14" i="13"/>
  <c r="BG14" i="13"/>
  <c r="BH14" i="13"/>
  <c r="BC15" i="13"/>
  <c r="BD15" i="13"/>
  <c r="BE15" i="13"/>
  <c r="BF15" i="13"/>
  <c r="BG15" i="13"/>
  <c r="BH15" i="13"/>
  <c r="BC16" i="13"/>
  <c r="BD16" i="13"/>
  <c r="BE16" i="13"/>
  <c r="BF16" i="13"/>
  <c r="BG16" i="13"/>
  <c r="BH16" i="13"/>
  <c r="BC17" i="13"/>
  <c r="BD17" i="13"/>
  <c r="BE17" i="13"/>
  <c r="BF17" i="13"/>
  <c r="BG17" i="13"/>
  <c r="BH17" i="13"/>
  <c r="BC18" i="13"/>
  <c r="BD18" i="13"/>
  <c r="BE18" i="13"/>
  <c r="BF18" i="13"/>
  <c r="BG18" i="13"/>
  <c r="BH18" i="13"/>
  <c r="BC19" i="13"/>
  <c r="BD19" i="13"/>
  <c r="BE19" i="13"/>
  <c r="BF19" i="13"/>
  <c r="BG19" i="13"/>
  <c r="BH19" i="13"/>
  <c r="BC20" i="13"/>
  <c r="BD20" i="13"/>
  <c r="BE20" i="13"/>
  <c r="BF20" i="13"/>
  <c r="BG20" i="13"/>
  <c r="BH20" i="13"/>
  <c r="BC21" i="13"/>
  <c r="BD21" i="13"/>
  <c r="BE21" i="13"/>
  <c r="BF21" i="13"/>
  <c r="BG21" i="13"/>
  <c r="BH21" i="13"/>
  <c r="BC22" i="13"/>
  <c r="BD22" i="13"/>
  <c r="BE22" i="13"/>
  <c r="BF22" i="13"/>
  <c r="BG22" i="13"/>
  <c r="BH22" i="13"/>
  <c r="BC23" i="13"/>
  <c r="BD23" i="13"/>
  <c r="BE23" i="13"/>
  <c r="BF23" i="13"/>
  <c r="BG23" i="13"/>
  <c r="BH23" i="13"/>
  <c r="BC24" i="13"/>
  <c r="BD24" i="13"/>
  <c r="BE24" i="13"/>
  <c r="BF24" i="13"/>
  <c r="BG24" i="13"/>
  <c r="BH24" i="13"/>
  <c r="BC25" i="13"/>
  <c r="BD25" i="13"/>
  <c r="BE25" i="13"/>
  <c r="BF25" i="13"/>
  <c r="BG25" i="13"/>
  <c r="BH25" i="13"/>
  <c r="BC26" i="13"/>
  <c r="BD26" i="13"/>
  <c r="BE26" i="13"/>
  <c r="BF26" i="13"/>
  <c r="BG26" i="13"/>
  <c r="BH26" i="13"/>
  <c r="BC27" i="13"/>
  <c r="BD27" i="13"/>
  <c r="BE27" i="13"/>
  <c r="BF27" i="13"/>
  <c r="BG27" i="13"/>
  <c r="BH27" i="13"/>
  <c r="BC28" i="13"/>
  <c r="BD28" i="13"/>
  <c r="BE28" i="13"/>
  <c r="BF28" i="13"/>
  <c r="BG28" i="13"/>
  <c r="BH28" i="13"/>
  <c r="BC29" i="13"/>
  <c r="BD29" i="13"/>
  <c r="BE29" i="13"/>
  <c r="BF29" i="13"/>
  <c r="BG29" i="13"/>
  <c r="BH29" i="13"/>
  <c r="BC30" i="13"/>
  <c r="BD30" i="13"/>
  <c r="BE30" i="13"/>
  <c r="BF30" i="13"/>
  <c r="BG30" i="13"/>
  <c r="BH30" i="13"/>
  <c r="BC31" i="13"/>
  <c r="BD31" i="13"/>
  <c r="BE31" i="13"/>
  <c r="BF31" i="13"/>
  <c r="BG31" i="13"/>
  <c r="BH31" i="13"/>
  <c r="BC32" i="13"/>
  <c r="BD32" i="13"/>
  <c r="BE32" i="13"/>
  <c r="BF32" i="13"/>
  <c r="BG32" i="13"/>
  <c r="BH32" i="13"/>
  <c r="BC33" i="13"/>
  <c r="BD33" i="13"/>
  <c r="BE33" i="13"/>
  <c r="BF33" i="13"/>
  <c r="BG33" i="13"/>
  <c r="BH33" i="13"/>
  <c r="BC34" i="13"/>
  <c r="BD34" i="13"/>
  <c r="BE34" i="13"/>
  <c r="BF34" i="13"/>
  <c r="BG34" i="13"/>
  <c r="BH34" i="13"/>
  <c r="BC35" i="13"/>
  <c r="BD35" i="13"/>
  <c r="BE35" i="13"/>
  <c r="BF35" i="13"/>
  <c r="BG35" i="13"/>
  <c r="BH35" i="13"/>
  <c r="BC36" i="13"/>
  <c r="BD36" i="13"/>
  <c r="BE36" i="13"/>
  <c r="BF36" i="13"/>
  <c r="BG36" i="13"/>
  <c r="BH36" i="13"/>
  <c r="BC37" i="13"/>
  <c r="BD37" i="13"/>
  <c r="BE37" i="13"/>
  <c r="BF37" i="13"/>
  <c r="BG37" i="13"/>
  <c r="BH37" i="13"/>
  <c r="BC38" i="13"/>
  <c r="BD38" i="13"/>
  <c r="BE38" i="13"/>
  <c r="BF38" i="13"/>
  <c r="BG38" i="13"/>
  <c r="BH38" i="13"/>
  <c r="BC39" i="13"/>
  <c r="BD39" i="13"/>
  <c r="BE39" i="13"/>
  <c r="BF39" i="13"/>
  <c r="BG39" i="13"/>
  <c r="BH39" i="13"/>
  <c r="BD40" i="13"/>
  <c r="BE40" i="13"/>
  <c r="BF40" i="13"/>
  <c r="BG40" i="13"/>
  <c r="BH40" i="13"/>
  <c r="BC41" i="13"/>
  <c r="BD41" i="13"/>
  <c r="BE41" i="13"/>
  <c r="BF41" i="13"/>
  <c r="BG41" i="13"/>
  <c r="BH41" i="13"/>
  <c r="BC42" i="13"/>
  <c r="BD42" i="13"/>
  <c r="BE42" i="13"/>
  <c r="BF42" i="13"/>
  <c r="BG42" i="13"/>
  <c r="BH42" i="13"/>
  <c r="BC43" i="13"/>
  <c r="BD43" i="13"/>
  <c r="BE43" i="13"/>
  <c r="BF43" i="13"/>
  <c r="BG43" i="13"/>
  <c r="BH43" i="13"/>
  <c r="BC44" i="13"/>
  <c r="BD44" i="13"/>
  <c r="BE44" i="13"/>
  <c r="BF44" i="13"/>
  <c r="BG44" i="13"/>
  <c r="BH44" i="13"/>
  <c r="BC45" i="13"/>
  <c r="BD45" i="13"/>
  <c r="BE45" i="13"/>
  <c r="BF45" i="13"/>
  <c r="BG45" i="13"/>
  <c r="BH45" i="13"/>
  <c r="BC46" i="13"/>
  <c r="BD46" i="13"/>
  <c r="BE46" i="13"/>
  <c r="BF46" i="13"/>
  <c r="BG46" i="13"/>
  <c r="BH46" i="13"/>
  <c r="BC47" i="13"/>
  <c r="BD47" i="13"/>
  <c r="BE47" i="13"/>
  <c r="BF47" i="13"/>
  <c r="BG47" i="13"/>
  <c r="BH47" i="13"/>
  <c r="BC48" i="13"/>
  <c r="BD48" i="13"/>
  <c r="BE48" i="13"/>
  <c r="BF48" i="13"/>
  <c r="BG48" i="13"/>
  <c r="BH48" i="13"/>
  <c r="BC49" i="13"/>
  <c r="BD49" i="13"/>
  <c r="BE49" i="13"/>
  <c r="BF49" i="13"/>
  <c r="BG49" i="13"/>
  <c r="BH49" i="13"/>
  <c r="BC50" i="13"/>
  <c r="BD50" i="13"/>
  <c r="BE50" i="13"/>
  <c r="BF50" i="13"/>
  <c r="BG50" i="13"/>
  <c r="BH50" i="13"/>
  <c r="BC51" i="13"/>
  <c r="BD51" i="13"/>
  <c r="BE51" i="13"/>
  <c r="BF51" i="13"/>
  <c r="BG51" i="13"/>
  <c r="BH51" i="13"/>
  <c r="BC52" i="13"/>
  <c r="BD52" i="13"/>
  <c r="BE52" i="13"/>
  <c r="BF52" i="13"/>
  <c r="BG52" i="13"/>
  <c r="BH52" i="13"/>
  <c r="BC53" i="13"/>
  <c r="BD53" i="13"/>
  <c r="BE53" i="13"/>
  <c r="BF53" i="13"/>
  <c r="BG53" i="13"/>
  <c r="BH53" i="13"/>
  <c r="BC54" i="13"/>
  <c r="BD54" i="13"/>
  <c r="BE54" i="13"/>
  <c r="BF54" i="13"/>
  <c r="BG54" i="13"/>
  <c r="BH54" i="13"/>
  <c r="BC55" i="13"/>
  <c r="BD55" i="13"/>
  <c r="BE55" i="13"/>
  <c r="BF55" i="13"/>
  <c r="BG55" i="13"/>
  <c r="BH55" i="13"/>
  <c r="BC56" i="13"/>
  <c r="BD56" i="13"/>
  <c r="BE56" i="13"/>
  <c r="BF56" i="13"/>
  <c r="BG56" i="13"/>
  <c r="BH56" i="13"/>
  <c r="BC57" i="13"/>
  <c r="BD57" i="13"/>
  <c r="BE57" i="13"/>
  <c r="BF57" i="13"/>
  <c r="BG57" i="13"/>
  <c r="BH57" i="13"/>
  <c r="BC58" i="13"/>
  <c r="BD58" i="13"/>
  <c r="BE58" i="13"/>
  <c r="BF58" i="13"/>
  <c r="BG58" i="13"/>
  <c r="BH58" i="13"/>
  <c r="BC59" i="13"/>
  <c r="BD59" i="13"/>
  <c r="BE59" i="13"/>
  <c r="BF59" i="13"/>
  <c r="BG59" i="13"/>
  <c r="BH59" i="13"/>
  <c r="BC60" i="13"/>
  <c r="BD60" i="13"/>
  <c r="BE60" i="13"/>
  <c r="BF60" i="13"/>
  <c r="BG60" i="13"/>
  <c r="BH60" i="13"/>
  <c r="BC61" i="13"/>
  <c r="BD61" i="13"/>
  <c r="BE61" i="13"/>
  <c r="BF61" i="13"/>
  <c r="BG61" i="13"/>
  <c r="BH61" i="13"/>
  <c r="BC62" i="13"/>
  <c r="BD62" i="13"/>
  <c r="BE62" i="13"/>
  <c r="BF62" i="13"/>
  <c r="BG62" i="13"/>
  <c r="BH62" i="13"/>
  <c r="BC63" i="13"/>
  <c r="BD63" i="13"/>
  <c r="BE63" i="13"/>
  <c r="BF63" i="13"/>
  <c r="BG63" i="13"/>
  <c r="BH63" i="13"/>
  <c r="BC64" i="13"/>
  <c r="BD64" i="13"/>
  <c r="BE64" i="13"/>
  <c r="BF64" i="13"/>
  <c r="BG64" i="13"/>
  <c r="BH64" i="13"/>
  <c r="BC65" i="13"/>
  <c r="BD65" i="13"/>
  <c r="BE65" i="13"/>
  <c r="BF65" i="13"/>
  <c r="BG65" i="13"/>
  <c r="BH65" i="13"/>
  <c r="BC66" i="13"/>
  <c r="BD66" i="13"/>
  <c r="BE66" i="13"/>
  <c r="BF66" i="13"/>
  <c r="BG66" i="13"/>
  <c r="BH66" i="13"/>
  <c r="BC67" i="13"/>
  <c r="BD67" i="13"/>
  <c r="BE67" i="13"/>
  <c r="BF67" i="13"/>
  <c r="BG67" i="13"/>
  <c r="BH67" i="13"/>
  <c r="BC68" i="13"/>
  <c r="BD68" i="13"/>
  <c r="BE68" i="13"/>
  <c r="BF68" i="13"/>
  <c r="BG68" i="13"/>
  <c r="BH68" i="13"/>
  <c r="BC69" i="13"/>
  <c r="BD69" i="13"/>
  <c r="BE69" i="13"/>
  <c r="BF69" i="13"/>
  <c r="BG69" i="13"/>
  <c r="BH69" i="13"/>
  <c r="BC70" i="13"/>
  <c r="BD70" i="13"/>
  <c r="BE70" i="13"/>
  <c r="BF70" i="13"/>
  <c r="BG70" i="13"/>
  <c r="BH70" i="13"/>
  <c r="BC71" i="13"/>
  <c r="BD71" i="13"/>
  <c r="BE71" i="13"/>
  <c r="BF71" i="13"/>
  <c r="BG71" i="13"/>
  <c r="BH71" i="13"/>
  <c r="BC72" i="13"/>
  <c r="BD72" i="13"/>
  <c r="BE72" i="13"/>
  <c r="BF72" i="13"/>
  <c r="BG72" i="13"/>
  <c r="BH72" i="13"/>
  <c r="BC73" i="13"/>
  <c r="BD73" i="13"/>
  <c r="BE73" i="13"/>
  <c r="BF73" i="13"/>
  <c r="BG73" i="13"/>
  <c r="BH73" i="13"/>
  <c r="BC74" i="13"/>
  <c r="BD74" i="13"/>
  <c r="BE74" i="13"/>
  <c r="BF74" i="13"/>
  <c r="BG74" i="13"/>
  <c r="BH74" i="13"/>
  <c r="BC75" i="13"/>
  <c r="BD75" i="13"/>
  <c r="BE75" i="13"/>
  <c r="BF75" i="13"/>
  <c r="BG75" i="13"/>
  <c r="BH75" i="13"/>
  <c r="BC76" i="13"/>
  <c r="BD76" i="13"/>
  <c r="BE76" i="13"/>
  <c r="BF76" i="13"/>
  <c r="BG76" i="13"/>
  <c r="BH76" i="13"/>
  <c r="BC77" i="13"/>
  <c r="BD77" i="13"/>
  <c r="BE77" i="13"/>
  <c r="BF77" i="13"/>
  <c r="BG77" i="13"/>
  <c r="BH77" i="13"/>
  <c r="BC78" i="13"/>
  <c r="BD78" i="13"/>
  <c r="BE78" i="13"/>
  <c r="BF78" i="13"/>
  <c r="BG78" i="13"/>
  <c r="BH78" i="13"/>
  <c r="BC79" i="13"/>
  <c r="BD79" i="13"/>
  <c r="BE79" i="13"/>
  <c r="BF79" i="13"/>
  <c r="BG79" i="13"/>
  <c r="BH79" i="13"/>
  <c r="BC80" i="13"/>
  <c r="BD80" i="13"/>
  <c r="BE80" i="13"/>
  <c r="BF80" i="13"/>
  <c r="BG80" i="13"/>
  <c r="BH80" i="13"/>
  <c r="BC81" i="13"/>
  <c r="BD81" i="13"/>
  <c r="BE81" i="13"/>
  <c r="BF81" i="13"/>
  <c r="BG81" i="13"/>
  <c r="BH81" i="13"/>
  <c r="BC82" i="13"/>
  <c r="BD82" i="13"/>
  <c r="BE82" i="13"/>
  <c r="BF82" i="13"/>
  <c r="BG82" i="13"/>
  <c r="BH82" i="13"/>
  <c r="BC83" i="13"/>
  <c r="BD83" i="13"/>
  <c r="BE83" i="13"/>
  <c r="BF83" i="13"/>
  <c r="BG83" i="13"/>
  <c r="BH83" i="13"/>
  <c r="BC84" i="13"/>
  <c r="BD84" i="13"/>
  <c r="BE84" i="13"/>
  <c r="BF84" i="13"/>
  <c r="BG84" i="13"/>
  <c r="BH84" i="13"/>
  <c r="BC85" i="13"/>
  <c r="BD85" i="13"/>
  <c r="BE85" i="13"/>
  <c r="BF85" i="13"/>
  <c r="BG85" i="13"/>
  <c r="BH85" i="13"/>
  <c r="BC86" i="13"/>
  <c r="BD86" i="13"/>
  <c r="BE86" i="13"/>
  <c r="BF86" i="13"/>
  <c r="BG86" i="13"/>
  <c r="BH86" i="13"/>
  <c r="BC87" i="13"/>
  <c r="BD87" i="13"/>
  <c r="BE87" i="13"/>
  <c r="BF87" i="13"/>
  <c r="BG87" i="13"/>
  <c r="BH87" i="13"/>
  <c r="BC88" i="13"/>
  <c r="BD88" i="13"/>
  <c r="BE88" i="13"/>
  <c r="BF88" i="13"/>
  <c r="BG88" i="13"/>
  <c r="BH88" i="13"/>
  <c r="BC89" i="13"/>
  <c r="BD89" i="13"/>
  <c r="BE89" i="13"/>
  <c r="BF89" i="13"/>
  <c r="BG89" i="13"/>
  <c r="BH89" i="13"/>
  <c r="BC90" i="13"/>
  <c r="BD90" i="13"/>
  <c r="BE90" i="13"/>
  <c r="BF90" i="13"/>
  <c r="BG90" i="13"/>
  <c r="BH90" i="13"/>
  <c r="BC91" i="13"/>
  <c r="BD91" i="13"/>
  <c r="BE91" i="13"/>
  <c r="BF91" i="13"/>
  <c r="BG91" i="13"/>
  <c r="BH91" i="13"/>
  <c r="BC92" i="13"/>
  <c r="BD92" i="13"/>
  <c r="BE92" i="13"/>
  <c r="BF92" i="13"/>
  <c r="BG92" i="13"/>
  <c r="BH92" i="13"/>
  <c r="BC93" i="13"/>
  <c r="BD93" i="13"/>
  <c r="BE93" i="13"/>
  <c r="BF93" i="13"/>
  <c r="BG93" i="13"/>
  <c r="BH93" i="13"/>
  <c r="BC94" i="13"/>
  <c r="BD94" i="13"/>
  <c r="BE94" i="13"/>
  <c r="BF94" i="13"/>
  <c r="BG94" i="13"/>
  <c r="BH94" i="13"/>
  <c r="BC95" i="13"/>
  <c r="BD95" i="13"/>
  <c r="BE95" i="13"/>
  <c r="BF95" i="13"/>
  <c r="BG95" i="13"/>
  <c r="BH95" i="13"/>
  <c r="BC96" i="13"/>
  <c r="BD96" i="13"/>
  <c r="BE96" i="13"/>
  <c r="BF96" i="13"/>
  <c r="BG96" i="13"/>
  <c r="BH96" i="13"/>
  <c r="BC97" i="13"/>
  <c r="BD97" i="13"/>
  <c r="BE97" i="13"/>
  <c r="BF97" i="13"/>
  <c r="BG97" i="13"/>
  <c r="BH97" i="13"/>
  <c r="BC98" i="13"/>
  <c r="BD98" i="13"/>
  <c r="BE98" i="13"/>
  <c r="BF98" i="13"/>
  <c r="BG98" i="13"/>
  <c r="BH98" i="13"/>
  <c r="BC99" i="13"/>
  <c r="BD99" i="13"/>
  <c r="BE99" i="13"/>
  <c r="BF99" i="13"/>
  <c r="BG99" i="13"/>
  <c r="BH99" i="13"/>
  <c r="BC100" i="13"/>
  <c r="BD100" i="13"/>
  <c r="BE100" i="13"/>
  <c r="BF100" i="13"/>
  <c r="BG100" i="13"/>
  <c r="BH100" i="13"/>
  <c r="BC101" i="13"/>
  <c r="BD101" i="13"/>
  <c r="BE101" i="13"/>
  <c r="BF101" i="13"/>
  <c r="BG101" i="13"/>
  <c r="BH101" i="13"/>
  <c r="BC102" i="13"/>
  <c r="BD102" i="13"/>
  <c r="BE102" i="13"/>
  <c r="BF102" i="13"/>
  <c r="BG102" i="13"/>
  <c r="BH102" i="13"/>
  <c r="BC103" i="13"/>
  <c r="BD103" i="13"/>
  <c r="BE103" i="13"/>
  <c r="BF103" i="13"/>
  <c r="BG103" i="13"/>
  <c r="BH103" i="13"/>
  <c r="BC104" i="13"/>
  <c r="BD104" i="13"/>
  <c r="BE104" i="13"/>
  <c r="BF104" i="13"/>
  <c r="BG104" i="13"/>
  <c r="BH104" i="13"/>
  <c r="BC105" i="13"/>
  <c r="BD105" i="13"/>
  <c r="BE105" i="13"/>
  <c r="BF105" i="13"/>
  <c r="BG105" i="13"/>
  <c r="BH105" i="13"/>
  <c r="BC106" i="13"/>
  <c r="BD106" i="13"/>
  <c r="BE106" i="13"/>
  <c r="BF106" i="13"/>
  <c r="BG106" i="13"/>
  <c r="BH106" i="13"/>
  <c r="BC107" i="13"/>
  <c r="BD107" i="13"/>
  <c r="BE107" i="13"/>
  <c r="BF107" i="13"/>
  <c r="BG107" i="13"/>
  <c r="BH107" i="13"/>
  <c r="BC108" i="13"/>
  <c r="BD108" i="13"/>
  <c r="BE108" i="13"/>
  <c r="BF108" i="13"/>
  <c r="BG108" i="13"/>
  <c r="BH108" i="13"/>
  <c r="BC109" i="13"/>
  <c r="BD109" i="13"/>
  <c r="BE109" i="13"/>
  <c r="BF109" i="13"/>
  <c r="BG109" i="13"/>
  <c r="BH109" i="13"/>
  <c r="BC110" i="13"/>
  <c r="BD110" i="13"/>
  <c r="BE110" i="13"/>
  <c r="BF110" i="13"/>
  <c r="BG110" i="13"/>
  <c r="BH110" i="13"/>
  <c r="BC111" i="13"/>
  <c r="BD111" i="13"/>
  <c r="BE111" i="13"/>
  <c r="BF111" i="13"/>
  <c r="BG111" i="13"/>
  <c r="BH111" i="13"/>
  <c r="BC112" i="13"/>
  <c r="BD112" i="13"/>
  <c r="BE112" i="13"/>
  <c r="BF112" i="13"/>
  <c r="BG112" i="13"/>
  <c r="BH112" i="13"/>
  <c r="BC113" i="13"/>
  <c r="BD113" i="13"/>
  <c r="BE113" i="13"/>
  <c r="BF113" i="13"/>
  <c r="BG113" i="13"/>
  <c r="BH113" i="13"/>
  <c r="BC114" i="13"/>
  <c r="BD114" i="13"/>
  <c r="BE114" i="13"/>
  <c r="BF114" i="13"/>
  <c r="BG114" i="13"/>
  <c r="BH114" i="13"/>
  <c r="BC115" i="13"/>
  <c r="BD115" i="13"/>
  <c r="BE115" i="13"/>
  <c r="BF115" i="13"/>
  <c r="BG115" i="13"/>
  <c r="BH115" i="13"/>
  <c r="BC116" i="13"/>
  <c r="BD116" i="13"/>
  <c r="BE116" i="13"/>
  <c r="BF116" i="13"/>
  <c r="BG116" i="13"/>
  <c r="BH116" i="13"/>
  <c r="BC117" i="13"/>
  <c r="BD117" i="13"/>
  <c r="BE117" i="13"/>
  <c r="BF117" i="13"/>
  <c r="BG117" i="13"/>
  <c r="BH117" i="13"/>
  <c r="BC118" i="13"/>
  <c r="BD118" i="13"/>
  <c r="BE118" i="13"/>
  <c r="BF118" i="13"/>
  <c r="BG118" i="13"/>
  <c r="BH118" i="13"/>
  <c r="BC119" i="13"/>
  <c r="BD119" i="13"/>
  <c r="BE119" i="13"/>
  <c r="BF119" i="13"/>
  <c r="BG119" i="13"/>
  <c r="BH119" i="13"/>
  <c r="BC120" i="13"/>
  <c r="BD120" i="13"/>
  <c r="BE120" i="13"/>
  <c r="BF120" i="13"/>
  <c r="BG120" i="13"/>
  <c r="BH120" i="13"/>
  <c r="BC121" i="13"/>
  <c r="BD121" i="13"/>
  <c r="BE121" i="13"/>
  <c r="BF121" i="13"/>
  <c r="BG121" i="13"/>
  <c r="BH121" i="13"/>
  <c r="BC122" i="13"/>
  <c r="BD122" i="13"/>
  <c r="BE122" i="13"/>
  <c r="BF122" i="13"/>
  <c r="BG122" i="13"/>
  <c r="BH122" i="13"/>
  <c r="BC123" i="13"/>
  <c r="BD123" i="13"/>
  <c r="BE123" i="13"/>
  <c r="BF123" i="13"/>
  <c r="BG123" i="13"/>
  <c r="BH123" i="13"/>
  <c r="BC124" i="13"/>
  <c r="BD124" i="13"/>
  <c r="BE124" i="13"/>
  <c r="BF124" i="13"/>
  <c r="BG124" i="13"/>
  <c r="BH124" i="13"/>
  <c r="BC125" i="13"/>
  <c r="BD125" i="13"/>
  <c r="BE125" i="13"/>
  <c r="BF125" i="13"/>
  <c r="BG125" i="13"/>
  <c r="BH125" i="13"/>
  <c r="BC126" i="13"/>
  <c r="BD126" i="13"/>
  <c r="BE126" i="13"/>
  <c r="BF126" i="13"/>
  <c r="BG126" i="13"/>
  <c r="BH126" i="13"/>
  <c r="BC127" i="13"/>
  <c r="BD127" i="13"/>
  <c r="BE127" i="13"/>
  <c r="BF127" i="13"/>
  <c r="BG127" i="13"/>
  <c r="BH127" i="13"/>
  <c r="BC128" i="13"/>
  <c r="BD128" i="13"/>
  <c r="BE128" i="13"/>
  <c r="BF128" i="13"/>
  <c r="BG128" i="13"/>
  <c r="BH128" i="13"/>
  <c r="BC129" i="13"/>
  <c r="BD129" i="13"/>
  <c r="BE129" i="13"/>
  <c r="BF129" i="13"/>
  <c r="BG129" i="13"/>
  <c r="BH129" i="13"/>
  <c r="BC130" i="13"/>
  <c r="BD130" i="13"/>
  <c r="BE130" i="13"/>
  <c r="BF130" i="13"/>
  <c r="BG130" i="13"/>
  <c r="BH130" i="13"/>
  <c r="BC131" i="13"/>
  <c r="BD131" i="13"/>
  <c r="BE131" i="13"/>
  <c r="BF131" i="13"/>
  <c r="BG131" i="13"/>
  <c r="BH131" i="13"/>
  <c r="BC132" i="13"/>
  <c r="BD132" i="13"/>
  <c r="BE132" i="13"/>
  <c r="BF132" i="13"/>
  <c r="BG132" i="13"/>
  <c r="BH132" i="13"/>
  <c r="BC133" i="13"/>
  <c r="BD133" i="13"/>
  <c r="BE133" i="13"/>
  <c r="BF133" i="13"/>
  <c r="BG133" i="13"/>
  <c r="BH133" i="13"/>
  <c r="BC134" i="13"/>
  <c r="BD134" i="13"/>
  <c r="BE134" i="13"/>
  <c r="BF134" i="13"/>
  <c r="BG134" i="13"/>
  <c r="BH134" i="13"/>
  <c r="BC135" i="13"/>
  <c r="BD135" i="13"/>
  <c r="BE135" i="13"/>
  <c r="BF135" i="13"/>
  <c r="BG135" i="13"/>
  <c r="BH135" i="13"/>
  <c r="BC136" i="13"/>
  <c r="BD136" i="13"/>
  <c r="BE136" i="13"/>
  <c r="BF136" i="13"/>
  <c r="BG136" i="13"/>
  <c r="BH136" i="13"/>
  <c r="BC137" i="13"/>
  <c r="BD137" i="13"/>
  <c r="BE137" i="13"/>
  <c r="BF137" i="13"/>
  <c r="BG137" i="13"/>
  <c r="BH137" i="13"/>
  <c r="BC138" i="13"/>
  <c r="BD138" i="13"/>
  <c r="BE138" i="13"/>
  <c r="BF138" i="13"/>
  <c r="BG138" i="13"/>
  <c r="BH138" i="13"/>
  <c r="BC139" i="13"/>
  <c r="BD139" i="13"/>
  <c r="BE139" i="13"/>
  <c r="BF139" i="13"/>
  <c r="BG139" i="13"/>
  <c r="BH139" i="13"/>
  <c r="BC140" i="13"/>
  <c r="BD140" i="13"/>
  <c r="BE140" i="13"/>
  <c r="BF140" i="13"/>
  <c r="BG140" i="13"/>
  <c r="BH140" i="13"/>
  <c r="BC141" i="13"/>
  <c r="BD141" i="13"/>
  <c r="BE141" i="13"/>
  <c r="BF141" i="13"/>
  <c r="BG141" i="13"/>
  <c r="BH141" i="13"/>
  <c r="BC142" i="13"/>
  <c r="BD142" i="13"/>
  <c r="BE142" i="13"/>
  <c r="BF142" i="13"/>
  <c r="BG142" i="13"/>
  <c r="BH142" i="13"/>
  <c r="BC143" i="13"/>
  <c r="BD143" i="13"/>
  <c r="BE143" i="13"/>
  <c r="BF143" i="13"/>
  <c r="BG143" i="13"/>
  <c r="BH143" i="13"/>
  <c r="BC144" i="13"/>
  <c r="BD144" i="13"/>
  <c r="BE144" i="13"/>
  <c r="BF144" i="13"/>
  <c r="BG144" i="13"/>
  <c r="BH144" i="13"/>
  <c r="BC145" i="13"/>
  <c r="BD145" i="13"/>
  <c r="BE145" i="13"/>
  <c r="BF145" i="13"/>
  <c r="BG145" i="13"/>
  <c r="BH145" i="13"/>
  <c r="BC146" i="13"/>
  <c r="BD146" i="13"/>
  <c r="BE146" i="13"/>
  <c r="BF146" i="13"/>
  <c r="BG146" i="13"/>
  <c r="BH146" i="13"/>
  <c r="BC147" i="13"/>
  <c r="BD147" i="13"/>
  <c r="BE147" i="13"/>
  <c r="BF147" i="13"/>
  <c r="BG147" i="13"/>
  <c r="BH147" i="13"/>
  <c r="BC148" i="13"/>
  <c r="BD148" i="13"/>
  <c r="BE148" i="13"/>
  <c r="BF148" i="13"/>
  <c r="BG148" i="13"/>
  <c r="BH148" i="13"/>
  <c r="BC149" i="13"/>
  <c r="BD149" i="13"/>
  <c r="BE149" i="13"/>
  <c r="BF149" i="13"/>
  <c r="BG149" i="13"/>
  <c r="BH149" i="13"/>
  <c r="BC150" i="13"/>
  <c r="BD150" i="13"/>
  <c r="BE150" i="13"/>
  <c r="BF150" i="13"/>
  <c r="BG150" i="13"/>
  <c r="BH150" i="13"/>
  <c r="BC151" i="13"/>
  <c r="BD151" i="13"/>
  <c r="BE151" i="13"/>
  <c r="BF151" i="13"/>
  <c r="BG151" i="13"/>
  <c r="BH151" i="13"/>
  <c r="BC152" i="13"/>
  <c r="BD152" i="13"/>
  <c r="BE152" i="13"/>
  <c r="BF152" i="13"/>
  <c r="BG152" i="13"/>
  <c r="BH152" i="13"/>
  <c r="BC153" i="13"/>
  <c r="BD153" i="13"/>
  <c r="BE153" i="13"/>
  <c r="BF153" i="13"/>
  <c r="BG153" i="13"/>
  <c r="BH153" i="13"/>
  <c r="BC154" i="13"/>
  <c r="BD154" i="13"/>
  <c r="BE154" i="13"/>
  <c r="BF154" i="13"/>
  <c r="BG154" i="13"/>
  <c r="BH154" i="13"/>
  <c r="BC155" i="13"/>
  <c r="BD155" i="13"/>
  <c r="BE155" i="13"/>
  <c r="BF155" i="13"/>
  <c r="BG155" i="13"/>
  <c r="BH155" i="13"/>
  <c r="BC156" i="13"/>
  <c r="BD156" i="13"/>
  <c r="BE156" i="13"/>
  <c r="BF156" i="13"/>
  <c r="BG156" i="13"/>
  <c r="BH156" i="13"/>
  <c r="BC157" i="13"/>
  <c r="BD157" i="13"/>
  <c r="BE157" i="13"/>
  <c r="BF157" i="13"/>
  <c r="BG157" i="13"/>
  <c r="BH157" i="13"/>
  <c r="BC158" i="13"/>
  <c r="BD158" i="13"/>
  <c r="BE158" i="13"/>
  <c r="BF158" i="13"/>
  <c r="BG158" i="13"/>
  <c r="BH158" i="13"/>
  <c r="BC159" i="13"/>
  <c r="BD159" i="13"/>
  <c r="BE159" i="13"/>
  <c r="BF159" i="13"/>
  <c r="BG159" i="13"/>
  <c r="BH159" i="13"/>
  <c r="BC160" i="13"/>
  <c r="BD160" i="13"/>
  <c r="BE160" i="13"/>
  <c r="BF160" i="13"/>
  <c r="BG160" i="13"/>
  <c r="BH160" i="13"/>
  <c r="BC161" i="13"/>
  <c r="BD161" i="13"/>
  <c r="BE161" i="13"/>
  <c r="BF161" i="13"/>
  <c r="BG161" i="13"/>
  <c r="BH161" i="13"/>
  <c r="BC162" i="13"/>
  <c r="BD162" i="13"/>
  <c r="BE162" i="13"/>
  <c r="BF162" i="13"/>
  <c r="BG162" i="13"/>
  <c r="BH162" i="13"/>
  <c r="BC163" i="13"/>
  <c r="BD163" i="13"/>
  <c r="BE163" i="13"/>
  <c r="BF163" i="13"/>
  <c r="BG163" i="13"/>
  <c r="BH163" i="13"/>
  <c r="BC164" i="13"/>
  <c r="BD164" i="13"/>
  <c r="BE164" i="13"/>
  <c r="BF164" i="13"/>
  <c r="BG164" i="13"/>
  <c r="BH164" i="13"/>
  <c r="BC165" i="13"/>
  <c r="BD165" i="13"/>
  <c r="BE165" i="13"/>
  <c r="BF165" i="13"/>
  <c r="BG165" i="13"/>
  <c r="BH165" i="13"/>
  <c r="BC166" i="13"/>
  <c r="BD166" i="13"/>
  <c r="BE166" i="13"/>
  <c r="BF166" i="13"/>
  <c r="BG166" i="13"/>
  <c r="BH166" i="13"/>
  <c r="BC167" i="13"/>
  <c r="BD167" i="13"/>
  <c r="BE167" i="13"/>
  <c r="BF167" i="13"/>
  <c r="BG167" i="13"/>
  <c r="BH167" i="13"/>
  <c r="BC168" i="13"/>
  <c r="BD168" i="13"/>
  <c r="BE168" i="13"/>
  <c r="BF168" i="13"/>
  <c r="BG168" i="13"/>
  <c r="BH168" i="13"/>
  <c r="BC169" i="13"/>
  <c r="BD169" i="13"/>
  <c r="BE169" i="13"/>
  <c r="BF169" i="13"/>
  <c r="BG169" i="13"/>
  <c r="BH169" i="13"/>
  <c r="BC170" i="13"/>
  <c r="BD170" i="13"/>
  <c r="BE170" i="13"/>
  <c r="BF170" i="13"/>
  <c r="BG170" i="13"/>
  <c r="BH170" i="13"/>
  <c r="BC171" i="13"/>
  <c r="BD171" i="13"/>
  <c r="BE171" i="13"/>
  <c r="BF171" i="13"/>
  <c r="BG171" i="13"/>
  <c r="BH171" i="13"/>
  <c r="BC172" i="13"/>
  <c r="BD172" i="13"/>
  <c r="BE172" i="13"/>
  <c r="BF172" i="13"/>
  <c r="BG172" i="13"/>
  <c r="BH172" i="13"/>
  <c r="BC173" i="13"/>
  <c r="BD173" i="13"/>
  <c r="BE173" i="13"/>
  <c r="BF173" i="13"/>
  <c r="BG173" i="13"/>
  <c r="BH173" i="13"/>
  <c r="BC174" i="13"/>
  <c r="BD174" i="13"/>
  <c r="BE174" i="13"/>
  <c r="BF174" i="13"/>
  <c r="BG174" i="13"/>
  <c r="BH174" i="13"/>
  <c r="BC175" i="13"/>
  <c r="BD175" i="13"/>
  <c r="BE175" i="13"/>
  <c r="BF175" i="13"/>
  <c r="BG175" i="13"/>
  <c r="BH175" i="13"/>
  <c r="BC176" i="13"/>
  <c r="BD176" i="13"/>
  <c r="BE176" i="13"/>
  <c r="BF176" i="13"/>
  <c r="BG176" i="13"/>
  <c r="BH176" i="13"/>
  <c r="BC177" i="13"/>
  <c r="BD177" i="13"/>
  <c r="BE177" i="13"/>
  <c r="BF177" i="13"/>
  <c r="BG177" i="13"/>
  <c r="BH177" i="13"/>
  <c r="BC178" i="13"/>
  <c r="BD178" i="13"/>
  <c r="BE178" i="13"/>
  <c r="BF178" i="13"/>
  <c r="BG178" i="13"/>
  <c r="BH178" i="13"/>
  <c r="BC179" i="13"/>
  <c r="BD179" i="13"/>
  <c r="BE179" i="13"/>
  <c r="BF179" i="13"/>
  <c r="BG179" i="13"/>
  <c r="BH179" i="13"/>
  <c r="BC180" i="13"/>
  <c r="BD180" i="13"/>
  <c r="BE180" i="13"/>
  <c r="BF180" i="13"/>
  <c r="BG180" i="13"/>
  <c r="BH180" i="13"/>
  <c r="BC181" i="13"/>
  <c r="BD181" i="13"/>
  <c r="BE181" i="13"/>
  <c r="BF181" i="13"/>
  <c r="BG181" i="13"/>
  <c r="BH181" i="13"/>
  <c r="BC182" i="13"/>
  <c r="BD182" i="13"/>
  <c r="BE182" i="13"/>
  <c r="BF182" i="13"/>
  <c r="BG182" i="13"/>
  <c r="BH182" i="13"/>
  <c r="BC183" i="13"/>
  <c r="BD183" i="13"/>
  <c r="BE183" i="13"/>
  <c r="BF183" i="13"/>
  <c r="BG183" i="13"/>
  <c r="BH183" i="13"/>
  <c r="BC184" i="13"/>
  <c r="BD184" i="13"/>
  <c r="BE184" i="13"/>
  <c r="BF184" i="13"/>
  <c r="BG184" i="13"/>
  <c r="BH184" i="13"/>
  <c r="BC185" i="13"/>
  <c r="BD185" i="13"/>
  <c r="BE185" i="13"/>
  <c r="BF185" i="13"/>
  <c r="BG185" i="13"/>
  <c r="BH185" i="13"/>
  <c r="BC186" i="13"/>
  <c r="BD186" i="13"/>
  <c r="BE186" i="13"/>
  <c r="BF186" i="13"/>
  <c r="BG186" i="13"/>
  <c r="BH186" i="13"/>
  <c r="BC187" i="13"/>
  <c r="BD187" i="13"/>
  <c r="BE187" i="13"/>
  <c r="BF187" i="13"/>
  <c r="BG187" i="13"/>
  <c r="BH187" i="13"/>
  <c r="BC188" i="13"/>
  <c r="BD188" i="13"/>
  <c r="BE188" i="13"/>
  <c r="BF188" i="13"/>
  <c r="BG188" i="13"/>
  <c r="BH188" i="13"/>
  <c r="BC189" i="13"/>
  <c r="BD189" i="13"/>
  <c r="BE189" i="13"/>
  <c r="BF189" i="13"/>
  <c r="BG189" i="13"/>
  <c r="BH189" i="13"/>
  <c r="BC190" i="13"/>
  <c r="BD190" i="13"/>
  <c r="BE190" i="13"/>
  <c r="BF190" i="13"/>
  <c r="BG190" i="13"/>
  <c r="BH190" i="13"/>
  <c r="BC191" i="13"/>
  <c r="BD191" i="13"/>
  <c r="BE191" i="13"/>
  <c r="BF191" i="13"/>
  <c r="BG191" i="13"/>
  <c r="BH191" i="13"/>
  <c r="BC192" i="13"/>
  <c r="BD192" i="13"/>
  <c r="BE192" i="13"/>
  <c r="BF192" i="13"/>
  <c r="BG192" i="13"/>
  <c r="BH192" i="13"/>
  <c r="BC193" i="13"/>
  <c r="BD193" i="13"/>
  <c r="BE193" i="13"/>
  <c r="BF193" i="13"/>
  <c r="BG193" i="13"/>
  <c r="BH193" i="13"/>
  <c r="BD194" i="13"/>
  <c r="BE194" i="13"/>
  <c r="BF194" i="13"/>
  <c r="BG194" i="13"/>
  <c r="BH194" i="13"/>
  <c r="BC195" i="13"/>
  <c r="BD195" i="13"/>
  <c r="BE195" i="13"/>
  <c r="BF195" i="13"/>
  <c r="BG195" i="13"/>
  <c r="BH195" i="13"/>
  <c r="BC196" i="13"/>
  <c r="BD196" i="13"/>
  <c r="BE196" i="13"/>
  <c r="BF196" i="13"/>
  <c r="BG196" i="13"/>
  <c r="BH196" i="13"/>
  <c r="BC197" i="13"/>
  <c r="BD197" i="13"/>
  <c r="BE197" i="13"/>
  <c r="BF197" i="13"/>
  <c r="BG197" i="13"/>
  <c r="BH197" i="13"/>
  <c r="BC198" i="13"/>
  <c r="BD198" i="13"/>
  <c r="BE198" i="13"/>
  <c r="BF198" i="13"/>
  <c r="BG198" i="13"/>
  <c r="BH198" i="13"/>
  <c r="BC199" i="13"/>
  <c r="BD199" i="13"/>
  <c r="BE199" i="13"/>
  <c r="BF199" i="13"/>
  <c r="BG199" i="13"/>
  <c r="BH199" i="13"/>
  <c r="BC200" i="13"/>
  <c r="BD200" i="13"/>
  <c r="BE200" i="13"/>
  <c r="BF200" i="13"/>
  <c r="BG200" i="13"/>
  <c r="BH200" i="13"/>
  <c r="BC201" i="13"/>
  <c r="BD201" i="13"/>
  <c r="BE201" i="13"/>
  <c r="BF201" i="13"/>
  <c r="BG201" i="13"/>
  <c r="BH201" i="13"/>
  <c r="BC202" i="13"/>
  <c r="BD202" i="13"/>
  <c r="BE202" i="13"/>
  <c r="BF202" i="13"/>
  <c r="BG202" i="13"/>
  <c r="BH202" i="13"/>
  <c r="BC203" i="13"/>
  <c r="BD203" i="13"/>
  <c r="BE203" i="13"/>
  <c r="BF203" i="13"/>
  <c r="BG203" i="13"/>
  <c r="BH203" i="13"/>
  <c r="BC204" i="13"/>
  <c r="BD204" i="13"/>
  <c r="BE204" i="13"/>
  <c r="BF204" i="13"/>
  <c r="BG204" i="13"/>
  <c r="BH204" i="13"/>
  <c r="BC205" i="13"/>
  <c r="BD205" i="13"/>
  <c r="BE205" i="13"/>
  <c r="BF205" i="13"/>
  <c r="BG205" i="13"/>
  <c r="BH205" i="13"/>
  <c r="BC206" i="13"/>
  <c r="BD206" i="13"/>
  <c r="BE206" i="13"/>
  <c r="BF206" i="13"/>
  <c r="BG206" i="13"/>
  <c r="BH206" i="13"/>
  <c r="BC207" i="13"/>
  <c r="BD207" i="13"/>
  <c r="BE207" i="13"/>
  <c r="BF207" i="13"/>
  <c r="BG207" i="13"/>
  <c r="BH207" i="13"/>
  <c r="BC208" i="13"/>
  <c r="BD208" i="13"/>
  <c r="BE208" i="13"/>
  <c r="BF208" i="13"/>
  <c r="BG208" i="13"/>
  <c r="BH208" i="13"/>
  <c r="BC209" i="13"/>
  <c r="BD209" i="13"/>
  <c r="BE209" i="13"/>
  <c r="BF209" i="13"/>
  <c r="BG209" i="13"/>
  <c r="BH209" i="13"/>
  <c r="BC210" i="13"/>
  <c r="BD210" i="13"/>
  <c r="BE210" i="13"/>
  <c r="BF210" i="13"/>
  <c r="BG210" i="13"/>
  <c r="BH210" i="13"/>
  <c r="BC211" i="13"/>
  <c r="BD211" i="13"/>
  <c r="BE211" i="13"/>
  <c r="BF211" i="13"/>
  <c r="BG211" i="13"/>
  <c r="BH211" i="13"/>
  <c r="BC212" i="13"/>
  <c r="BD212" i="13"/>
  <c r="BE212" i="13"/>
  <c r="BF212" i="13"/>
  <c r="BG212" i="13"/>
  <c r="BH212" i="13"/>
  <c r="BC213" i="13"/>
  <c r="BD213" i="13"/>
  <c r="BE213" i="13"/>
  <c r="BF213" i="13"/>
  <c r="BG213" i="13"/>
  <c r="BH213" i="13"/>
  <c r="BC214" i="13"/>
  <c r="BD214" i="13"/>
  <c r="BE214" i="13"/>
  <c r="BF214" i="13"/>
  <c r="BG214" i="13"/>
  <c r="BH214" i="13"/>
  <c r="BC215" i="13"/>
  <c r="BD215" i="13"/>
  <c r="BE215" i="13"/>
  <c r="BF215" i="13"/>
  <c r="BG215" i="13"/>
  <c r="BH215" i="13"/>
  <c r="BC216" i="13"/>
  <c r="BD216" i="13"/>
  <c r="BE216" i="13"/>
  <c r="BF216" i="13"/>
  <c r="BG216" i="13"/>
  <c r="BH216" i="13"/>
  <c r="BC217" i="13"/>
  <c r="BD217" i="13"/>
  <c r="BE217" i="13"/>
  <c r="BF217" i="13"/>
  <c r="BG217" i="13"/>
  <c r="BH217" i="13"/>
  <c r="BC218" i="13"/>
  <c r="BD218" i="13"/>
  <c r="BE218" i="13"/>
  <c r="BF218" i="13"/>
  <c r="BG218" i="13"/>
  <c r="BH218" i="13"/>
  <c r="BC219" i="13"/>
  <c r="BD219" i="13"/>
  <c r="BE219" i="13"/>
  <c r="BF219" i="13"/>
  <c r="BG219" i="13"/>
  <c r="BH219" i="13"/>
  <c r="BC220" i="13"/>
  <c r="BD220" i="13"/>
  <c r="BE220" i="13"/>
  <c r="BF220" i="13"/>
  <c r="BG220" i="13"/>
  <c r="BH220" i="13"/>
  <c r="BC221" i="13"/>
  <c r="BD221" i="13"/>
  <c r="BE221" i="13"/>
  <c r="BF221" i="13"/>
  <c r="BG221" i="13"/>
  <c r="BH221" i="13"/>
  <c r="BC222" i="13"/>
  <c r="BD222" i="13"/>
  <c r="BE222" i="13"/>
  <c r="BF222" i="13"/>
  <c r="BG222" i="13"/>
  <c r="BH222" i="13"/>
  <c r="BC223" i="13"/>
  <c r="BD223" i="13"/>
  <c r="BE223" i="13"/>
  <c r="BF223" i="13"/>
  <c r="BG223" i="13"/>
  <c r="BH223" i="13"/>
  <c r="BC224" i="13"/>
  <c r="BD224" i="13"/>
  <c r="BE224" i="13"/>
  <c r="BF224" i="13"/>
  <c r="BG224" i="13"/>
  <c r="BH224" i="13"/>
  <c r="BC225" i="13"/>
  <c r="BD225" i="13"/>
  <c r="BE225" i="13"/>
  <c r="BF225" i="13"/>
  <c r="BG225" i="13"/>
  <c r="BH225" i="13"/>
  <c r="BC226" i="13"/>
  <c r="BD226" i="13"/>
  <c r="BE226" i="13"/>
  <c r="BF226" i="13"/>
  <c r="BG226" i="13"/>
  <c r="BH226" i="13"/>
  <c r="BC227" i="13"/>
  <c r="BD227" i="13"/>
  <c r="BE227" i="13"/>
  <c r="BF227" i="13"/>
  <c r="BG227" i="13"/>
  <c r="BH227" i="13"/>
  <c r="BC228" i="13"/>
  <c r="BD228" i="13"/>
  <c r="BE228" i="13"/>
  <c r="BF228" i="13"/>
  <c r="BG228" i="13"/>
  <c r="BH228" i="13"/>
  <c r="BC229" i="13"/>
  <c r="BD229" i="13"/>
  <c r="BE229" i="13"/>
  <c r="BF229" i="13"/>
  <c r="BG229" i="13"/>
  <c r="BH229" i="13"/>
  <c r="BC230" i="13"/>
  <c r="BD230" i="13"/>
  <c r="BE230" i="13"/>
  <c r="BF230" i="13"/>
  <c r="BG230" i="13"/>
  <c r="BH230" i="13"/>
  <c r="BC231" i="13"/>
  <c r="BD231" i="13"/>
  <c r="BE231" i="13"/>
  <c r="BF231" i="13"/>
  <c r="BG231" i="13"/>
  <c r="BH231" i="13"/>
  <c r="BC232" i="13"/>
  <c r="BD232" i="13"/>
  <c r="BE232" i="13"/>
  <c r="BF232" i="13"/>
  <c r="BG232" i="13"/>
  <c r="BH232" i="13"/>
  <c r="BC233" i="13"/>
  <c r="BD233" i="13"/>
  <c r="BE233" i="13"/>
  <c r="BF233" i="13"/>
  <c r="BG233" i="13"/>
  <c r="BH233" i="13"/>
  <c r="BC234" i="13"/>
  <c r="BD234" i="13"/>
  <c r="BE234" i="13"/>
  <c r="BF234" i="13"/>
  <c r="BG234" i="13"/>
  <c r="BH234" i="13"/>
  <c r="BC235" i="13"/>
  <c r="BD235" i="13"/>
  <c r="BE235" i="13"/>
  <c r="BF235" i="13"/>
  <c r="BG235" i="13"/>
  <c r="BH235" i="13"/>
  <c r="BC236" i="13"/>
  <c r="BD236" i="13"/>
  <c r="BE236" i="13"/>
  <c r="BF236" i="13"/>
  <c r="BG236" i="13"/>
  <c r="BH236" i="13"/>
  <c r="BC237" i="13"/>
  <c r="BD237" i="13"/>
  <c r="BE237" i="13"/>
  <c r="BF237" i="13"/>
  <c r="BG237" i="13"/>
  <c r="BH237" i="13"/>
  <c r="BC238" i="13"/>
  <c r="BD238" i="13"/>
  <c r="BE238" i="13"/>
  <c r="BF238" i="13"/>
  <c r="BG238" i="13"/>
  <c r="BH238" i="13"/>
  <c r="BC239" i="13"/>
  <c r="BD239" i="13"/>
  <c r="BE239" i="13"/>
  <c r="BF239" i="13"/>
  <c r="BG239" i="13"/>
  <c r="BH239" i="13"/>
  <c r="BC240" i="13"/>
  <c r="BD240" i="13"/>
  <c r="BE240" i="13"/>
  <c r="BF240" i="13"/>
  <c r="BG240" i="13"/>
  <c r="BH240" i="13"/>
  <c r="BC241" i="13"/>
  <c r="BD241" i="13"/>
  <c r="BE241" i="13"/>
  <c r="BF241" i="13"/>
  <c r="BG241" i="13"/>
  <c r="BH241" i="13"/>
  <c r="BC242" i="13"/>
  <c r="BD242" i="13"/>
  <c r="BE242" i="13"/>
  <c r="BF242" i="13"/>
  <c r="BG242" i="13"/>
  <c r="BH242" i="13"/>
  <c r="BC243" i="13"/>
  <c r="BD243" i="13"/>
  <c r="BE243" i="13"/>
  <c r="BF243" i="13"/>
  <c r="BG243" i="13"/>
  <c r="BH243" i="13"/>
  <c r="BC244" i="13"/>
  <c r="BD244" i="13"/>
  <c r="BE244" i="13"/>
  <c r="BF244" i="13"/>
  <c r="BG244" i="13"/>
  <c r="BH244" i="13"/>
  <c r="BC245" i="13"/>
  <c r="BD245" i="13"/>
  <c r="BE245" i="13"/>
  <c r="BF245" i="13"/>
  <c r="BG245" i="13"/>
  <c r="BH245" i="13"/>
  <c r="BC246" i="13"/>
  <c r="BD246" i="13"/>
  <c r="BE246" i="13"/>
  <c r="BF246" i="13"/>
  <c r="BG246" i="13"/>
  <c r="BH246" i="13"/>
  <c r="BC247" i="13"/>
  <c r="BD247" i="13"/>
  <c r="BE247" i="13"/>
  <c r="BF247" i="13"/>
  <c r="BG247" i="13"/>
  <c r="BH247" i="13"/>
  <c r="BC248" i="13"/>
  <c r="BD248" i="13"/>
  <c r="BE248" i="13"/>
  <c r="BF248" i="13"/>
  <c r="BG248" i="13"/>
  <c r="BH248" i="13"/>
  <c r="BC249" i="13"/>
  <c r="BD249" i="13"/>
  <c r="BE249" i="13"/>
  <c r="BF249" i="13"/>
  <c r="BG249" i="13"/>
  <c r="BH249" i="13"/>
  <c r="BC250" i="13"/>
  <c r="BD250" i="13"/>
  <c r="BE250" i="13"/>
  <c r="BF250" i="13"/>
  <c r="BG250" i="13"/>
  <c r="BH250" i="13"/>
  <c r="BC251" i="13"/>
  <c r="BD251" i="13"/>
  <c r="BE251" i="13"/>
  <c r="BF251" i="13"/>
  <c r="BG251" i="13"/>
  <c r="BH251" i="13"/>
  <c r="BC252" i="13"/>
  <c r="BD252" i="13"/>
  <c r="BE252" i="13"/>
  <c r="BF252" i="13"/>
  <c r="BG252" i="13"/>
  <c r="BH252" i="13"/>
  <c r="BC253" i="13"/>
  <c r="BD253" i="13"/>
  <c r="BE253" i="13"/>
  <c r="BF253" i="13"/>
  <c r="BG253" i="13"/>
  <c r="BH253" i="13"/>
  <c r="BC254" i="13"/>
  <c r="BD254" i="13"/>
  <c r="BE254" i="13"/>
  <c r="BF254" i="13"/>
  <c r="BG254" i="13"/>
  <c r="BH254" i="13"/>
  <c r="BC255" i="13"/>
  <c r="BD255" i="13"/>
  <c r="BE255" i="13"/>
  <c r="BF255" i="13"/>
  <c r="BG255" i="13"/>
  <c r="BH255" i="13"/>
  <c r="BC256" i="13"/>
  <c r="BD256" i="13"/>
  <c r="BE256" i="13"/>
  <c r="BF256" i="13"/>
  <c r="BG256" i="13"/>
  <c r="BH256" i="13"/>
  <c r="BC257" i="13"/>
  <c r="BD257" i="13"/>
  <c r="BE257" i="13"/>
  <c r="BF257" i="13"/>
  <c r="BG257" i="13"/>
  <c r="BH257" i="13"/>
  <c r="BC258" i="13"/>
  <c r="BD258" i="13"/>
  <c r="BE258" i="13"/>
  <c r="BF258" i="13"/>
  <c r="BG258" i="13"/>
  <c r="BH258" i="13"/>
  <c r="BC259" i="13"/>
  <c r="BD259" i="13"/>
  <c r="BE259" i="13"/>
  <c r="BF259" i="13"/>
  <c r="BG259" i="13"/>
  <c r="BH259" i="13"/>
  <c r="BC260" i="13"/>
  <c r="BD260" i="13"/>
  <c r="BE260" i="13"/>
  <c r="BF260" i="13"/>
  <c r="BG260" i="13"/>
  <c r="BH260" i="13"/>
  <c r="BC261" i="13"/>
  <c r="BD261" i="13"/>
  <c r="BE261" i="13"/>
  <c r="BF261" i="13"/>
  <c r="BG261" i="13"/>
  <c r="BH261" i="13"/>
  <c r="BC262" i="13"/>
  <c r="BD262" i="13"/>
  <c r="BE262" i="13"/>
  <c r="BF262" i="13"/>
  <c r="BG262" i="13"/>
  <c r="BH262" i="13"/>
  <c r="BC263" i="13"/>
  <c r="BD263" i="13"/>
  <c r="BE263" i="13"/>
  <c r="BF263" i="13"/>
  <c r="BG263" i="13"/>
  <c r="BH263" i="13"/>
  <c r="BC264" i="13"/>
  <c r="BD264" i="13"/>
  <c r="BE264" i="13"/>
  <c r="BF264" i="13"/>
  <c r="BG264" i="13"/>
  <c r="BH264" i="13"/>
  <c r="BC265" i="13"/>
  <c r="BD265" i="13"/>
  <c r="BE265" i="13"/>
  <c r="BF265" i="13"/>
  <c r="BG265" i="13"/>
  <c r="BH265" i="13"/>
  <c r="BC266" i="13"/>
  <c r="BD266" i="13"/>
  <c r="BE266" i="13"/>
  <c r="BF266" i="13"/>
  <c r="BG266" i="13"/>
  <c r="BH266" i="13"/>
  <c r="BC267" i="13"/>
  <c r="BD267" i="13"/>
  <c r="BE267" i="13"/>
  <c r="BF267" i="13"/>
  <c r="BG267" i="13"/>
  <c r="BH267" i="13"/>
  <c r="BC268" i="13"/>
  <c r="BD268" i="13"/>
  <c r="BE268" i="13"/>
  <c r="BF268" i="13"/>
  <c r="BG268" i="13"/>
  <c r="BH268" i="13"/>
  <c r="BC269" i="13"/>
  <c r="BD269" i="13"/>
  <c r="BE269" i="13"/>
  <c r="BF269" i="13"/>
  <c r="BG269" i="13"/>
  <c r="BH269" i="13"/>
  <c r="BC270" i="13"/>
  <c r="BD270" i="13"/>
  <c r="BE270" i="13"/>
  <c r="BF270" i="13"/>
  <c r="BG270" i="13"/>
  <c r="BH270" i="13"/>
  <c r="BC271" i="13"/>
  <c r="BD271" i="13"/>
  <c r="BE271" i="13"/>
  <c r="BF271" i="13"/>
  <c r="BG271" i="13"/>
  <c r="BH271" i="13"/>
  <c r="BC272" i="13"/>
  <c r="BD272" i="13"/>
  <c r="BE272" i="13"/>
  <c r="BF272" i="13"/>
  <c r="BG272" i="13"/>
  <c r="BH272" i="13"/>
  <c r="BC273" i="13"/>
  <c r="BD273" i="13"/>
  <c r="BE273" i="13"/>
  <c r="BF273" i="13"/>
  <c r="BG273" i="13"/>
  <c r="BH273" i="13"/>
  <c r="BC274" i="13"/>
  <c r="BD274" i="13"/>
  <c r="BE274" i="13"/>
  <c r="BF274" i="13"/>
  <c r="BG274" i="13"/>
  <c r="BH274" i="13"/>
  <c r="BC275" i="13"/>
  <c r="BD275" i="13"/>
  <c r="BE275" i="13"/>
  <c r="BF275" i="13"/>
  <c r="BG275" i="13"/>
  <c r="BH275" i="13"/>
  <c r="BC276" i="13"/>
  <c r="BD276" i="13"/>
  <c r="BE276" i="13"/>
  <c r="BF276" i="13"/>
  <c r="BG276" i="13"/>
  <c r="BH276" i="13"/>
  <c r="BC277" i="13"/>
  <c r="BD277" i="13"/>
  <c r="BE277" i="13"/>
  <c r="BF277" i="13"/>
  <c r="BG277" i="13"/>
  <c r="BH277" i="13"/>
  <c r="BC278" i="13"/>
  <c r="BD278" i="13"/>
  <c r="BE278" i="13"/>
  <c r="BF278" i="13"/>
  <c r="BG278" i="13"/>
  <c r="BH278" i="13"/>
  <c r="BC279" i="13"/>
  <c r="BD279" i="13"/>
  <c r="BE279" i="13"/>
  <c r="BF279" i="13"/>
  <c r="BG279" i="13"/>
  <c r="BH279" i="13"/>
  <c r="BC280" i="13"/>
  <c r="BD280" i="13"/>
  <c r="BE280" i="13"/>
  <c r="BF280" i="13"/>
  <c r="BG280" i="13"/>
  <c r="BH280" i="13"/>
  <c r="BC281" i="13"/>
  <c r="BD281" i="13"/>
  <c r="BE281" i="13"/>
  <c r="BF281" i="13"/>
  <c r="BG281" i="13"/>
  <c r="BH281" i="13"/>
  <c r="BC282" i="13"/>
  <c r="BD282" i="13"/>
  <c r="BE282" i="13"/>
  <c r="BF282" i="13"/>
  <c r="BG282" i="13"/>
  <c r="BH282" i="13"/>
  <c r="BC283" i="13"/>
  <c r="BD283" i="13"/>
  <c r="BE283" i="13"/>
  <c r="BF283" i="13"/>
  <c r="BG283" i="13"/>
  <c r="BH283" i="13"/>
  <c r="BC284" i="13"/>
  <c r="BD284" i="13"/>
  <c r="BE284" i="13"/>
  <c r="BF284" i="13"/>
  <c r="BG284" i="13"/>
  <c r="BH284" i="13"/>
  <c r="BC285" i="13"/>
  <c r="BD285" i="13"/>
  <c r="BE285" i="13"/>
  <c r="BF285" i="13"/>
  <c r="BG285" i="13"/>
  <c r="BH285" i="13"/>
  <c r="BC286" i="13"/>
  <c r="BD286" i="13"/>
  <c r="BE286" i="13"/>
  <c r="BF286" i="13"/>
  <c r="BG286" i="13"/>
  <c r="BH286" i="13"/>
  <c r="BC287" i="13"/>
  <c r="BD287" i="13"/>
  <c r="BE287" i="13"/>
  <c r="BF287" i="13"/>
  <c r="BG287" i="13"/>
  <c r="BH287" i="13"/>
  <c r="BC288" i="13"/>
  <c r="BD288" i="13"/>
  <c r="BE288" i="13"/>
  <c r="BF288" i="13"/>
  <c r="BG288" i="13"/>
  <c r="BH288" i="13"/>
  <c r="BC289" i="13"/>
  <c r="BD289" i="13"/>
  <c r="BE289" i="13"/>
  <c r="BF289" i="13"/>
  <c r="BG289" i="13"/>
  <c r="BH289" i="13"/>
  <c r="BC290" i="13"/>
  <c r="BD290" i="13"/>
  <c r="BE290" i="13"/>
  <c r="BF290" i="13"/>
  <c r="BG290" i="13"/>
  <c r="BH290" i="13"/>
  <c r="BC291" i="13"/>
  <c r="BD291" i="13"/>
  <c r="BE291" i="13"/>
  <c r="BF291" i="13"/>
  <c r="BG291" i="13"/>
  <c r="BH291" i="13"/>
  <c r="BC292" i="13"/>
  <c r="BD292" i="13"/>
  <c r="BE292" i="13"/>
  <c r="BF292" i="13"/>
  <c r="BG292" i="13"/>
  <c r="BH292" i="13"/>
  <c r="BC293" i="13"/>
  <c r="BD293" i="13"/>
  <c r="BE293" i="13"/>
  <c r="BF293" i="13"/>
  <c r="BG293" i="13"/>
  <c r="BH293" i="13"/>
  <c r="BC294" i="13"/>
  <c r="BD294" i="13"/>
  <c r="BE294" i="13"/>
  <c r="BF294" i="13"/>
  <c r="BG294" i="13"/>
  <c r="BH294" i="13"/>
  <c r="BC295" i="13"/>
  <c r="BD295" i="13"/>
  <c r="BE295" i="13"/>
  <c r="BF295" i="13"/>
  <c r="BG295" i="13"/>
  <c r="BH295" i="13"/>
  <c r="BC296" i="13"/>
  <c r="BD296" i="13"/>
  <c r="BE296" i="13"/>
  <c r="BF296" i="13"/>
  <c r="BG296" i="13"/>
  <c r="BH296" i="13"/>
  <c r="BC297" i="13"/>
  <c r="BD297" i="13"/>
  <c r="BE297" i="13"/>
  <c r="BF297" i="13"/>
  <c r="BG297" i="13"/>
  <c r="BH297" i="13"/>
  <c r="BC298" i="13"/>
  <c r="BD298" i="13"/>
  <c r="BE298" i="13"/>
  <c r="BF298" i="13"/>
  <c r="BG298" i="13"/>
  <c r="BH298" i="13"/>
  <c r="BC299" i="13"/>
  <c r="BD299" i="13"/>
  <c r="BE299" i="13"/>
  <c r="BF299" i="13"/>
  <c r="BG299" i="13"/>
  <c r="BH299" i="13"/>
  <c r="BC300" i="13"/>
  <c r="BD300" i="13"/>
  <c r="BE300" i="13"/>
  <c r="BF300" i="13"/>
  <c r="BG300" i="13"/>
  <c r="BH300" i="13"/>
  <c r="BC301" i="13"/>
  <c r="BD301" i="13"/>
  <c r="BE301" i="13"/>
  <c r="BF301" i="13"/>
  <c r="BG301" i="13"/>
  <c r="BH301" i="13"/>
  <c r="BC302" i="13"/>
  <c r="BD302" i="13"/>
  <c r="BE302" i="13"/>
  <c r="BF302" i="13"/>
  <c r="BG302" i="13"/>
  <c r="BH302" i="13"/>
  <c r="BC303" i="13"/>
  <c r="BD303" i="13"/>
  <c r="BE303" i="13"/>
  <c r="BF303" i="13"/>
  <c r="BG303" i="13"/>
  <c r="BH303" i="13"/>
  <c r="BC304" i="13"/>
  <c r="BD304" i="13"/>
  <c r="BE304" i="13"/>
  <c r="BF304" i="13"/>
  <c r="BG304" i="13"/>
  <c r="BH304" i="13"/>
  <c r="BC305" i="13"/>
  <c r="BD305" i="13"/>
  <c r="BE305" i="13"/>
  <c r="BF305" i="13"/>
  <c r="BG305" i="13"/>
  <c r="BH305" i="13"/>
  <c r="BC306" i="13"/>
  <c r="BD306" i="13"/>
  <c r="BE306" i="13"/>
  <c r="BF306" i="13"/>
  <c r="BG306" i="13"/>
  <c r="BH306" i="13"/>
  <c r="BC307" i="13"/>
  <c r="BD307" i="13"/>
  <c r="BE307" i="13"/>
  <c r="BF307" i="13"/>
  <c r="BG307" i="13"/>
  <c r="BH307" i="13"/>
  <c r="BC308" i="13"/>
  <c r="BD308" i="13"/>
  <c r="BE308" i="13"/>
  <c r="BF308" i="13"/>
  <c r="BG308" i="13"/>
  <c r="BH308" i="13"/>
  <c r="BC309" i="13"/>
  <c r="BD309" i="13"/>
  <c r="BE309" i="13"/>
  <c r="BF309" i="13"/>
  <c r="BG309" i="13"/>
  <c r="BH309" i="13"/>
  <c r="BC310" i="13"/>
  <c r="BD310" i="13"/>
  <c r="BE310" i="13"/>
  <c r="BF310" i="13"/>
  <c r="BG310" i="13"/>
  <c r="BH310" i="13"/>
  <c r="BC311" i="13"/>
  <c r="BD311" i="13"/>
  <c r="BE311" i="13"/>
  <c r="BF311" i="13"/>
  <c r="BG311" i="13"/>
  <c r="BH311" i="13"/>
  <c r="BC312" i="13"/>
  <c r="BD312" i="13"/>
  <c r="BE312" i="13"/>
  <c r="BF312" i="13"/>
  <c r="BG312" i="13"/>
  <c r="BH312" i="13"/>
  <c r="BC313" i="13"/>
  <c r="BD313" i="13"/>
  <c r="BE313" i="13"/>
  <c r="BF313" i="13"/>
  <c r="BG313" i="13"/>
  <c r="BH313" i="13"/>
  <c r="BC314" i="13"/>
  <c r="BD314" i="13"/>
  <c r="BE314" i="13"/>
  <c r="BF314" i="13"/>
  <c r="BG314" i="13"/>
  <c r="BH314" i="13"/>
  <c r="BC315" i="13"/>
  <c r="BD315" i="13"/>
  <c r="BE315" i="13"/>
  <c r="BF315" i="13"/>
  <c r="BG315" i="13"/>
  <c r="BH315" i="13"/>
  <c r="BC316" i="13"/>
  <c r="BD316" i="13"/>
  <c r="BE316" i="13"/>
  <c r="BF316" i="13"/>
  <c r="BG316" i="13"/>
  <c r="BH316" i="13"/>
  <c r="BC317" i="13"/>
  <c r="BD317" i="13"/>
  <c r="BE317" i="13"/>
  <c r="BF317" i="13"/>
  <c r="BG317" i="13"/>
  <c r="BH317" i="13"/>
  <c r="BC318" i="13"/>
  <c r="BD318" i="13"/>
  <c r="BE318" i="13"/>
  <c r="BF318" i="13"/>
  <c r="BG318" i="13"/>
  <c r="BH318" i="13"/>
  <c r="BC319" i="13"/>
  <c r="BD319" i="13"/>
  <c r="BE319" i="13"/>
  <c r="BF319" i="13"/>
  <c r="BG319" i="13"/>
  <c r="BH319" i="13"/>
  <c r="BC320" i="13"/>
  <c r="BD320" i="13"/>
  <c r="BE320" i="13"/>
  <c r="BF320" i="13"/>
  <c r="BG320" i="13"/>
  <c r="BH320" i="13"/>
  <c r="BC321" i="13"/>
  <c r="BD321" i="13"/>
  <c r="BE321" i="13"/>
  <c r="BF321" i="13"/>
  <c r="BG321" i="13"/>
  <c r="BH321" i="13"/>
  <c r="BC322" i="13"/>
  <c r="BD322" i="13"/>
  <c r="BE322" i="13"/>
  <c r="BF322" i="13"/>
  <c r="BG322" i="13"/>
  <c r="BH322" i="13"/>
  <c r="BC323" i="13"/>
  <c r="BD323" i="13"/>
  <c r="BE323" i="13"/>
  <c r="BF323" i="13"/>
  <c r="BG323" i="13"/>
  <c r="BH323" i="13"/>
  <c r="BC324" i="13"/>
  <c r="BD324" i="13"/>
  <c r="BE324" i="13"/>
  <c r="BF324" i="13"/>
  <c r="BG324" i="13"/>
  <c r="BH324" i="13"/>
  <c r="BC325" i="13"/>
  <c r="BD325" i="13"/>
  <c r="BE325" i="13"/>
  <c r="BF325" i="13"/>
  <c r="BG325" i="13"/>
  <c r="BH325" i="13"/>
  <c r="BC326" i="13"/>
  <c r="BD326" i="13"/>
  <c r="BE326" i="13"/>
  <c r="BF326" i="13"/>
  <c r="BG326" i="13"/>
  <c r="BH326" i="13"/>
  <c r="BC327" i="13"/>
  <c r="BD327" i="13"/>
  <c r="BE327" i="13"/>
  <c r="BF327" i="13"/>
  <c r="BG327" i="13"/>
  <c r="BH327" i="13"/>
  <c r="BC328" i="13"/>
  <c r="BD328" i="13"/>
  <c r="BE328" i="13"/>
  <c r="BF328" i="13"/>
  <c r="BG328" i="13"/>
  <c r="BH328" i="13"/>
  <c r="BC329" i="13"/>
  <c r="BD329" i="13"/>
  <c r="BE329" i="13"/>
  <c r="BF329" i="13"/>
  <c r="BG329" i="13"/>
  <c r="BH329" i="13"/>
  <c r="BC330" i="13"/>
  <c r="BD330" i="13"/>
  <c r="BE330" i="13"/>
  <c r="BF330" i="13"/>
  <c r="BG330" i="13"/>
  <c r="BH330" i="13"/>
  <c r="BC331" i="13"/>
  <c r="BD331" i="13"/>
  <c r="BE331" i="13"/>
  <c r="BF331" i="13"/>
  <c r="BG331" i="13"/>
  <c r="BH331" i="13"/>
  <c r="BC332" i="13"/>
  <c r="BD332" i="13"/>
  <c r="BE332" i="13"/>
  <c r="BF332" i="13"/>
  <c r="BG332" i="13"/>
  <c r="BH332" i="13"/>
  <c r="BC333" i="13"/>
  <c r="BD333" i="13"/>
  <c r="BE333" i="13"/>
  <c r="BF333" i="13"/>
  <c r="BG333" i="13"/>
  <c r="BH333" i="13"/>
  <c r="BC334" i="13"/>
  <c r="BD334" i="13"/>
  <c r="BE334" i="13"/>
  <c r="BF334" i="13"/>
  <c r="BG334" i="13"/>
  <c r="BH334" i="13"/>
  <c r="BC335" i="13"/>
  <c r="BD335" i="13"/>
  <c r="BE335" i="13"/>
  <c r="BF335" i="13"/>
  <c r="BG335" i="13"/>
  <c r="BH335" i="13"/>
  <c r="BC336" i="13"/>
  <c r="BD336" i="13"/>
  <c r="BE336" i="13"/>
  <c r="BF336" i="13"/>
  <c r="BG336" i="13"/>
  <c r="BH336" i="13"/>
  <c r="BC337" i="13"/>
  <c r="BD337" i="13"/>
  <c r="BE337" i="13"/>
  <c r="BF337" i="13"/>
  <c r="BG337" i="13"/>
  <c r="BH337" i="13"/>
  <c r="BC338" i="13"/>
  <c r="BD338" i="13"/>
  <c r="BE338" i="13"/>
  <c r="BF338" i="13"/>
  <c r="BG338" i="13"/>
  <c r="BH338" i="13"/>
  <c r="BC339" i="13"/>
  <c r="BD339" i="13"/>
  <c r="BE339" i="13"/>
  <c r="BF339" i="13"/>
  <c r="BG339" i="13"/>
  <c r="BH339" i="13"/>
  <c r="BC340" i="13"/>
  <c r="BD340" i="13"/>
  <c r="BE340" i="13"/>
  <c r="BF340" i="13"/>
  <c r="BG340" i="13"/>
  <c r="BH340" i="13"/>
  <c r="BC341" i="13"/>
  <c r="BD341" i="13"/>
  <c r="BE341" i="13"/>
  <c r="BF341" i="13"/>
  <c r="BG341" i="13"/>
  <c r="BH341" i="13"/>
  <c r="BC342" i="13"/>
  <c r="BD342" i="13"/>
  <c r="BE342" i="13"/>
  <c r="BF342" i="13"/>
  <c r="BG342" i="13"/>
  <c r="BH342" i="13"/>
  <c r="BC343" i="13"/>
  <c r="BD343" i="13"/>
  <c r="BE343" i="13"/>
  <c r="BF343" i="13"/>
  <c r="BG343" i="13"/>
  <c r="BH343" i="13"/>
  <c r="BC344" i="13"/>
  <c r="BD344" i="13"/>
  <c r="BE344" i="13"/>
  <c r="BF344" i="13"/>
  <c r="BG344" i="13"/>
  <c r="BH344" i="13"/>
  <c r="BC345" i="13"/>
  <c r="BD345" i="13"/>
  <c r="BE345" i="13"/>
  <c r="BF345" i="13"/>
  <c r="BG345" i="13"/>
  <c r="BH345" i="13"/>
  <c r="BC346" i="13"/>
  <c r="BD346" i="13"/>
  <c r="BE346" i="13"/>
  <c r="BF346" i="13"/>
  <c r="BG346" i="13"/>
  <c r="BH346" i="13"/>
  <c r="BC347" i="13"/>
  <c r="BD347" i="13"/>
  <c r="BE347" i="13"/>
  <c r="BF347" i="13"/>
  <c r="BG347" i="13"/>
  <c r="BH347" i="13"/>
  <c r="BC348" i="13"/>
  <c r="BD348" i="13"/>
  <c r="BE348" i="13"/>
  <c r="BF348" i="13"/>
  <c r="BG348" i="13"/>
  <c r="BH348" i="13"/>
  <c r="BC349" i="13"/>
  <c r="BD349" i="13"/>
  <c r="BE349" i="13"/>
  <c r="BF349" i="13"/>
  <c r="BG349" i="13"/>
  <c r="BH349" i="13"/>
  <c r="BC350" i="13"/>
  <c r="BD350" i="13"/>
  <c r="BE350" i="13"/>
  <c r="BF350" i="13"/>
  <c r="BG350" i="13"/>
  <c r="BH350" i="13"/>
  <c r="BC351" i="13"/>
  <c r="BD351" i="13"/>
  <c r="BE351" i="13"/>
  <c r="BF351" i="13"/>
  <c r="BG351" i="13"/>
  <c r="BH351" i="13"/>
  <c r="BC352" i="13"/>
  <c r="BD352" i="13"/>
  <c r="BE352" i="13"/>
  <c r="BF352" i="13"/>
  <c r="BG352" i="13"/>
  <c r="BH352" i="13"/>
  <c r="BC353" i="13"/>
  <c r="BD353" i="13"/>
  <c r="BE353" i="13"/>
  <c r="BF353" i="13"/>
  <c r="BG353" i="13"/>
  <c r="BH353" i="13"/>
  <c r="BC354" i="13"/>
  <c r="BD354" i="13"/>
  <c r="BE354" i="13"/>
  <c r="BF354" i="13"/>
  <c r="BG354" i="13"/>
  <c r="BH354" i="13"/>
  <c r="BC355" i="13"/>
  <c r="BD355" i="13"/>
  <c r="BE355" i="13"/>
  <c r="BF355" i="13"/>
  <c r="BG355" i="13"/>
  <c r="BH355" i="13"/>
  <c r="BC356" i="13"/>
  <c r="BD356" i="13"/>
  <c r="BE356" i="13"/>
  <c r="BF356" i="13"/>
  <c r="BG356" i="13"/>
  <c r="BH356" i="13"/>
  <c r="BC357" i="13"/>
  <c r="BD357" i="13"/>
  <c r="BE357" i="13"/>
  <c r="BF357" i="13"/>
  <c r="BG357" i="13"/>
  <c r="BH357" i="13"/>
  <c r="BC358" i="13"/>
  <c r="BD358" i="13"/>
  <c r="BE358" i="13"/>
  <c r="BF358" i="13"/>
  <c r="BG358" i="13"/>
  <c r="BH358" i="13"/>
  <c r="BC359" i="13"/>
  <c r="BD359" i="13"/>
  <c r="BE359" i="13"/>
  <c r="BF359" i="13"/>
  <c r="BG359" i="13"/>
  <c r="BH359" i="13"/>
  <c r="BC360" i="13"/>
  <c r="BD360" i="13"/>
  <c r="BE360" i="13"/>
  <c r="BF360" i="13"/>
  <c r="BG360" i="13"/>
  <c r="BH360" i="13"/>
  <c r="BC361" i="13"/>
  <c r="BD361" i="13"/>
  <c r="BE361" i="13"/>
  <c r="BF361" i="13"/>
  <c r="BG361" i="13"/>
  <c r="BH361" i="13"/>
  <c r="BC362" i="13"/>
  <c r="BD362" i="13"/>
  <c r="BE362" i="13"/>
  <c r="BF362" i="13"/>
  <c r="BG362" i="13"/>
  <c r="BH362" i="13"/>
  <c r="BC363" i="13"/>
  <c r="BD363" i="13"/>
  <c r="BE363" i="13"/>
  <c r="BF363" i="13"/>
  <c r="BG363" i="13"/>
  <c r="BH363" i="13"/>
  <c r="BC364" i="13"/>
  <c r="BD364" i="13"/>
  <c r="BE364" i="13"/>
  <c r="BF364" i="13"/>
  <c r="BG364" i="13"/>
  <c r="BH364" i="13"/>
  <c r="BC365" i="13"/>
  <c r="BD365" i="13"/>
  <c r="BE365" i="13"/>
  <c r="BF365" i="13"/>
  <c r="BG365" i="13"/>
  <c r="BH365" i="13"/>
  <c r="BC366" i="13"/>
  <c r="BD366" i="13"/>
  <c r="BE366" i="13"/>
  <c r="BF366" i="13"/>
  <c r="BG366" i="13"/>
  <c r="BH366" i="13"/>
  <c r="BC367" i="13"/>
  <c r="BD367" i="13"/>
  <c r="BE367" i="13"/>
  <c r="BF367" i="13"/>
  <c r="BG367" i="13"/>
  <c r="BH367" i="13"/>
  <c r="BC368" i="13"/>
  <c r="BD368" i="13"/>
  <c r="BE368" i="13"/>
  <c r="BF368" i="13"/>
  <c r="BG368" i="13"/>
  <c r="BH368" i="13"/>
  <c r="BC369" i="13"/>
  <c r="BD369" i="13"/>
  <c r="BE369" i="13"/>
  <c r="BF369" i="13"/>
  <c r="BG369" i="13"/>
  <c r="BH369" i="13"/>
  <c r="BC370" i="13"/>
  <c r="BD370" i="13"/>
  <c r="BE370" i="13"/>
  <c r="BF370" i="13"/>
  <c r="BG370" i="13"/>
  <c r="BH370" i="13"/>
  <c r="BC371" i="13"/>
  <c r="BD371" i="13"/>
  <c r="BE371" i="13"/>
  <c r="BF371" i="13"/>
  <c r="BG371" i="13"/>
  <c r="BH371" i="13"/>
  <c r="BC372" i="13"/>
  <c r="BD372" i="13"/>
  <c r="BE372" i="13"/>
  <c r="BF372" i="13"/>
  <c r="BG372" i="13"/>
  <c r="BH372" i="13"/>
  <c r="BC373" i="13"/>
  <c r="BD373" i="13"/>
  <c r="BE373" i="13"/>
  <c r="BF373" i="13"/>
  <c r="BG373" i="13"/>
  <c r="BH373" i="13"/>
  <c r="BC374" i="13"/>
  <c r="BD374" i="13"/>
  <c r="BE374" i="13"/>
  <c r="BF374" i="13"/>
  <c r="BG374" i="13"/>
  <c r="BH374" i="13"/>
  <c r="BC375" i="13"/>
  <c r="BD375" i="13"/>
  <c r="BE375" i="13"/>
  <c r="BF375" i="13"/>
  <c r="BG375" i="13"/>
  <c r="BH375" i="13"/>
  <c r="BC376" i="13"/>
  <c r="BD376" i="13"/>
  <c r="BE376" i="13"/>
  <c r="BF376" i="13"/>
  <c r="BG376" i="13"/>
  <c r="BH376" i="13"/>
  <c r="BC377" i="13"/>
  <c r="BD377" i="13"/>
  <c r="BE377" i="13"/>
  <c r="BF377" i="13"/>
  <c r="BG377" i="13"/>
  <c r="BH377" i="13"/>
  <c r="BC378" i="13"/>
  <c r="BD378" i="13"/>
  <c r="BE378" i="13"/>
  <c r="BF378" i="13"/>
  <c r="BG378" i="13"/>
  <c r="BH378" i="13"/>
  <c r="BC379" i="13"/>
  <c r="BD379" i="13"/>
  <c r="BE379" i="13"/>
  <c r="BF379" i="13"/>
  <c r="BG379" i="13"/>
  <c r="BH379" i="13"/>
  <c r="BC380" i="13"/>
  <c r="BD380" i="13"/>
  <c r="BE380" i="13"/>
  <c r="BF380" i="13"/>
  <c r="BG380" i="13"/>
  <c r="BH380" i="13"/>
  <c r="BC381" i="13"/>
  <c r="BD381" i="13"/>
  <c r="BE381" i="13"/>
  <c r="BF381" i="13"/>
  <c r="BG381" i="13"/>
  <c r="BH381" i="13"/>
  <c r="BC382" i="13"/>
  <c r="BD382" i="13"/>
  <c r="BE382" i="13"/>
  <c r="BF382" i="13"/>
  <c r="BG382" i="13"/>
  <c r="BH382" i="13"/>
  <c r="BC383" i="13"/>
  <c r="BD383" i="13"/>
  <c r="BE383" i="13"/>
  <c r="BF383" i="13"/>
  <c r="BG383" i="13"/>
  <c r="BH383" i="13"/>
  <c r="BC384" i="13"/>
  <c r="BD384" i="13"/>
  <c r="BE384" i="13"/>
  <c r="BF384" i="13"/>
  <c r="BG384" i="13"/>
  <c r="BH384" i="13"/>
  <c r="BC385" i="13"/>
  <c r="BD385" i="13"/>
  <c r="BE385" i="13"/>
  <c r="BF385" i="13"/>
  <c r="BG385" i="13"/>
  <c r="BH385" i="13"/>
  <c r="BC386" i="13"/>
  <c r="BD386" i="13"/>
  <c r="BE386" i="13"/>
  <c r="BF386" i="13"/>
  <c r="BG386" i="13"/>
  <c r="BH386" i="13"/>
  <c r="BC387" i="13"/>
  <c r="BD387" i="13"/>
  <c r="BE387" i="13"/>
  <c r="BF387" i="13"/>
  <c r="BG387" i="13"/>
  <c r="BH387" i="13"/>
  <c r="BC388" i="13"/>
  <c r="BD388" i="13"/>
  <c r="BE388" i="13"/>
  <c r="BF388" i="13"/>
  <c r="BG388" i="13"/>
  <c r="BH388" i="13"/>
  <c r="BC389" i="13"/>
  <c r="BD389" i="13"/>
  <c r="BE389" i="13"/>
  <c r="BF389" i="13"/>
  <c r="BG389" i="13"/>
  <c r="BH389" i="13"/>
  <c r="BC390" i="13"/>
  <c r="BD390" i="13"/>
  <c r="BE390" i="13"/>
  <c r="BF390" i="13"/>
  <c r="BG390" i="13"/>
  <c r="BH390" i="13"/>
  <c r="BC391" i="13"/>
  <c r="BD391" i="13"/>
  <c r="BE391" i="13"/>
  <c r="BF391" i="13"/>
  <c r="BG391" i="13"/>
  <c r="BH391" i="13"/>
  <c r="BC392" i="13"/>
  <c r="BD392" i="13"/>
  <c r="BE392" i="13"/>
  <c r="BF392" i="13"/>
  <c r="BG392" i="13"/>
  <c r="BH392" i="13"/>
  <c r="BC393" i="13"/>
  <c r="BD393" i="13"/>
  <c r="BE393" i="13"/>
  <c r="BF393" i="13"/>
  <c r="BG393" i="13"/>
  <c r="BH393" i="13"/>
  <c r="BC394" i="13"/>
  <c r="BD394" i="13"/>
  <c r="BE394" i="13"/>
  <c r="BF394" i="13"/>
  <c r="BG394" i="13"/>
  <c r="BH394" i="13"/>
  <c r="BC395" i="13"/>
  <c r="BD395" i="13"/>
  <c r="BE395" i="13"/>
  <c r="BF395" i="13"/>
  <c r="BG395" i="13"/>
  <c r="BH395" i="13"/>
  <c r="BC396" i="13"/>
  <c r="BD396" i="13"/>
  <c r="BE396" i="13"/>
  <c r="BF396" i="13"/>
  <c r="BG396" i="13"/>
  <c r="BH396" i="13"/>
  <c r="BC397" i="13"/>
  <c r="BD397" i="13"/>
  <c r="BE397" i="13"/>
  <c r="BF397" i="13"/>
  <c r="BG397" i="13"/>
  <c r="BH397" i="13"/>
  <c r="BC398" i="13"/>
  <c r="BD398" i="13"/>
  <c r="BE398" i="13"/>
  <c r="BF398" i="13"/>
  <c r="BG398" i="13"/>
  <c r="BH398" i="13"/>
  <c r="BC399" i="13"/>
  <c r="BD399" i="13"/>
  <c r="BE399" i="13"/>
  <c r="BF399" i="13"/>
  <c r="BG399" i="13"/>
  <c r="BH399" i="13"/>
  <c r="BC400" i="13"/>
  <c r="BD400" i="13"/>
  <c r="BE400" i="13"/>
  <c r="BF400" i="13"/>
  <c r="BG400" i="13"/>
  <c r="BH400" i="13"/>
  <c r="BC401" i="13"/>
  <c r="BD401" i="13"/>
  <c r="BE401" i="13"/>
  <c r="BF401" i="13"/>
  <c r="BG401" i="13"/>
  <c r="BH401" i="13"/>
  <c r="BC402" i="13"/>
  <c r="BD402" i="13"/>
  <c r="BE402" i="13"/>
  <c r="BF402" i="13"/>
  <c r="BG402" i="13"/>
  <c r="BH402" i="13"/>
  <c r="BC403" i="13"/>
  <c r="BD403" i="13"/>
  <c r="BE403" i="13"/>
  <c r="BF403" i="13"/>
  <c r="BG403" i="13"/>
  <c r="BH403" i="13"/>
  <c r="BC404" i="13"/>
  <c r="BD404" i="13"/>
  <c r="BE404" i="13"/>
  <c r="BF404" i="13"/>
  <c r="BG404" i="13"/>
  <c r="BH404" i="13"/>
  <c r="BC405" i="13"/>
  <c r="BD405" i="13"/>
  <c r="BE405" i="13"/>
  <c r="BF405" i="13"/>
  <c r="BG405" i="13"/>
  <c r="BH405" i="13"/>
  <c r="BC406" i="13"/>
  <c r="BD406" i="13"/>
  <c r="BE406" i="13"/>
  <c r="BF406" i="13"/>
  <c r="BG406" i="13"/>
  <c r="BH406" i="13"/>
  <c r="BC407" i="13"/>
  <c r="BD407" i="13"/>
  <c r="BE407" i="13"/>
  <c r="BF407" i="13"/>
  <c r="BG407" i="13"/>
  <c r="BH407" i="13"/>
  <c r="BC408" i="13"/>
  <c r="BD408" i="13"/>
  <c r="BE408" i="13"/>
  <c r="BF408" i="13"/>
  <c r="BG408" i="13"/>
  <c r="BH408" i="13"/>
  <c r="BC409" i="13"/>
  <c r="BD409" i="13"/>
  <c r="BE409" i="13"/>
  <c r="BF409" i="13"/>
  <c r="BG409" i="13"/>
  <c r="BH409" i="13"/>
  <c r="BC410" i="13"/>
  <c r="BD410" i="13"/>
  <c r="BE410" i="13"/>
  <c r="BF410" i="13"/>
  <c r="BG410" i="13"/>
  <c r="BH410" i="13"/>
  <c r="BC411" i="13"/>
  <c r="BD411" i="13"/>
  <c r="BE411" i="13"/>
  <c r="BF411" i="13"/>
  <c r="BG411" i="13"/>
  <c r="BH411" i="13"/>
  <c r="BC412" i="13"/>
  <c r="BD412" i="13"/>
  <c r="BE412" i="13"/>
  <c r="BF412" i="13"/>
  <c r="BG412" i="13"/>
  <c r="BH412" i="13"/>
  <c r="BC413" i="13"/>
  <c r="BD413" i="13"/>
  <c r="BE413" i="13"/>
  <c r="BF413" i="13"/>
  <c r="BG413" i="13"/>
  <c r="BH413" i="13"/>
  <c r="BC414" i="13"/>
  <c r="BD414" i="13"/>
  <c r="BE414" i="13"/>
  <c r="BF414" i="13"/>
  <c r="BG414" i="13"/>
  <c r="BH414" i="13"/>
  <c r="BC415" i="13"/>
  <c r="BD415" i="13"/>
  <c r="BE415" i="13"/>
  <c r="BF415" i="13"/>
  <c r="BG415" i="13"/>
  <c r="BH415" i="13"/>
  <c r="BC416" i="13"/>
  <c r="BD416" i="13"/>
  <c r="BE416" i="13"/>
  <c r="BF416" i="13"/>
  <c r="BG416" i="13"/>
  <c r="BH416" i="13"/>
  <c r="BC417" i="13"/>
  <c r="BD417" i="13"/>
  <c r="BE417" i="13"/>
  <c r="BF417" i="13"/>
  <c r="BG417" i="13"/>
  <c r="BH417" i="13"/>
  <c r="BC418" i="13"/>
  <c r="BD418" i="13"/>
  <c r="BE418" i="13"/>
  <c r="BF418" i="13"/>
  <c r="BG418" i="13"/>
  <c r="BH418" i="13"/>
  <c r="BC419" i="13"/>
  <c r="BD419" i="13"/>
  <c r="BE419" i="13"/>
  <c r="BF419" i="13"/>
  <c r="BG419" i="13"/>
  <c r="BH419" i="13"/>
  <c r="BC420" i="13"/>
  <c r="BD420" i="13"/>
  <c r="BE420" i="13"/>
  <c r="BF420" i="13"/>
  <c r="BG420" i="13"/>
  <c r="BH420" i="13"/>
  <c r="BC421" i="13"/>
  <c r="BD421" i="13"/>
  <c r="BE421" i="13"/>
  <c r="BF421" i="13"/>
  <c r="BG421" i="13"/>
  <c r="BH421" i="13"/>
  <c r="BC422" i="13"/>
  <c r="BD422" i="13"/>
  <c r="BE422" i="13"/>
  <c r="BF422" i="13"/>
  <c r="BG422" i="13"/>
  <c r="BH422" i="13"/>
  <c r="BC423" i="13"/>
  <c r="BD423" i="13"/>
  <c r="BE423" i="13"/>
  <c r="BF423" i="13"/>
  <c r="BG423" i="13"/>
  <c r="BH423" i="13"/>
  <c r="BC424" i="13"/>
  <c r="BD424" i="13"/>
  <c r="BE424" i="13"/>
  <c r="BF424" i="13"/>
  <c r="BG424" i="13"/>
  <c r="BH424" i="13"/>
  <c r="BC425" i="13"/>
  <c r="BD425" i="13"/>
  <c r="BE425" i="13"/>
  <c r="BF425" i="13"/>
  <c r="BG425" i="13"/>
  <c r="BH425" i="13"/>
  <c r="BC426" i="13"/>
  <c r="BD426" i="13"/>
  <c r="BE426" i="13"/>
  <c r="BF426" i="13"/>
  <c r="BG426" i="13"/>
  <c r="BH426" i="13"/>
  <c r="BC427" i="13"/>
  <c r="BD427" i="13"/>
  <c r="BE427" i="13"/>
  <c r="BF427" i="13"/>
  <c r="BG427" i="13"/>
  <c r="BH427" i="13"/>
  <c r="BC428" i="13"/>
  <c r="BD428" i="13"/>
  <c r="BE428" i="13"/>
  <c r="BF428" i="13"/>
  <c r="BG428" i="13"/>
  <c r="BH428" i="13"/>
  <c r="BC429" i="13"/>
  <c r="BD429" i="13"/>
  <c r="BE429" i="13"/>
  <c r="BF429" i="13"/>
  <c r="BG429" i="13"/>
  <c r="BH429" i="13"/>
  <c r="BC430" i="13"/>
  <c r="BD430" i="13"/>
  <c r="BE430" i="13"/>
  <c r="BF430" i="13"/>
  <c r="BG430" i="13"/>
  <c r="BH430" i="13"/>
  <c r="BC431" i="13"/>
  <c r="BD431" i="13"/>
  <c r="BE431" i="13"/>
  <c r="BF431" i="13"/>
  <c r="BG431" i="13"/>
  <c r="BH431" i="13"/>
  <c r="BC432" i="13"/>
  <c r="BD432" i="13"/>
  <c r="BE432" i="13"/>
  <c r="BF432" i="13"/>
  <c r="BG432" i="13"/>
  <c r="BH432" i="13"/>
  <c r="BC433" i="13"/>
  <c r="BD433" i="13"/>
  <c r="BE433" i="13"/>
  <c r="BF433" i="13"/>
  <c r="BG433" i="13"/>
  <c r="BH433" i="13"/>
  <c r="BC434" i="13"/>
  <c r="BD434" i="13"/>
  <c r="BE434" i="13"/>
  <c r="BF434" i="13"/>
  <c r="BG434" i="13"/>
  <c r="BH434" i="13"/>
  <c r="BC435" i="13"/>
  <c r="BD435" i="13"/>
  <c r="BE435" i="13"/>
  <c r="BF435" i="13"/>
  <c r="BG435" i="13"/>
  <c r="BH435" i="13"/>
  <c r="BC436" i="13"/>
  <c r="BD436" i="13"/>
  <c r="BE436" i="13"/>
  <c r="BF436" i="13"/>
  <c r="BG436" i="13"/>
  <c r="BH436" i="13"/>
  <c r="BC437" i="13"/>
  <c r="BD437" i="13"/>
  <c r="BE437" i="13"/>
  <c r="BF437" i="13"/>
  <c r="BG437" i="13"/>
  <c r="BH437" i="13"/>
  <c r="BC438" i="13"/>
  <c r="BD438" i="13"/>
  <c r="BE438" i="13"/>
  <c r="BF438" i="13"/>
  <c r="BG438" i="13"/>
  <c r="BH438" i="13"/>
  <c r="BC439" i="13"/>
  <c r="BD439" i="13"/>
  <c r="BE439" i="13"/>
  <c r="BF439" i="13"/>
  <c r="BG439" i="13"/>
  <c r="BH439" i="13"/>
  <c r="BC440" i="13"/>
  <c r="BD440" i="13"/>
  <c r="BE440" i="13"/>
  <c r="BF440" i="13"/>
  <c r="BG440" i="13"/>
  <c r="BH440" i="13"/>
  <c r="BC441" i="13"/>
  <c r="BD441" i="13"/>
  <c r="BE441" i="13"/>
  <c r="BF441" i="13"/>
  <c r="BG441" i="13"/>
  <c r="BH441" i="13"/>
  <c r="BC442" i="13"/>
  <c r="BD442" i="13"/>
  <c r="BE442" i="13"/>
  <c r="BF442" i="13"/>
  <c r="BG442" i="13"/>
  <c r="BH442" i="13"/>
  <c r="BC443" i="13"/>
  <c r="BD443" i="13"/>
  <c r="BE443" i="13"/>
  <c r="BF443" i="13"/>
  <c r="BG443" i="13"/>
  <c r="BH443" i="13"/>
  <c r="BC444" i="13"/>
  <c r="BD444" i="13"/>
  <c r="BE444" i="13"/>
  <c r="BF444" i="13"/>
  <c r="BG444" i="13"/>
  <c r="BH444" i="13"/>
  <c r="BC445" i="13"/>
  <c r="BD445" i="13"/>
  <c r="BE445" i="13"/>
  <c r="BF445" i="13"/>
  <c r="BG445" i="13"/>
  <c r="BH445" i="13"/>
  <c r="BC446" i="13"/>
  <c r="BD446" i="13"/>
  <c r="BE446" i="13"/>
  <c r="BF446" i="13"/>
  <c r="BG446" i="13"/>
  <c r="BH446" i="13"/>
  <c r="BC447" i="13"/>
  <c r="BD447" i="13"/>
  <c r="BE447" i="13"/>
  <c r="BF447" i="13"/>
  <c r="BG447" i="13"/>
  <c r="BH447" i="13"/>
  <c r="BC448" i="13"/>
  <c r="BD448" i="13"/>
  <c r="BE448" i="13"/>
  <c r="BF448" i="13"/>
  <c r="BG448" i="13"/>
  <c r="BH448" i="13"/>
  <c r="BC449" i="13"/>
  <c r="BD449" i="13"/>
  <c r="BE449" i="13"/>
  <c r="BF449" i="13"/>
  <c r="BG449" i="13"/>
  <c r="BH449" i="13"/>
  <c r="BC450" i="13"/>
  <c r="BD450" i="13"/>
  <c r="BE450" i="13"/>
  <c r="BF450" i="13"/>
  <c r="BG450" i="13"/>
  <c r="BH450" i="13"/>
  <c r="BC451" i="13"/>
  <c r="BD451" i="13"/>
  <c r="BE451" i="13"/>
  <c r="BF451" i="13"/>
  <c r="BG451" i="13"/>
  <c r="BH451" i="13"/>
  <c r="BC452" i="13"/>
  <c r="BD452" i="13"/>
  <c r="BE452" i="13"/>
  <c r="BF452" i="13"/>
  <c r="BG452" i="13"/>
  <c r="BH452" i="13"/>
  <c r="BC453" i="13"/>
  <c r="BD453" i="13"/>
  <c r="BE453" i="13"/>
  <c r="BF453" i="13"/>
  <c r="BG453" i="13"/>
  <c r="BH453" i="13"/>
  <c r="BC454" i="13"/>
  <c r="BD454" i="13"/>
  <c r="BE454" i="13"/>
  <c r="BF454" i="13"/>
  <c r="BG454" i="13"/>
  <c r="BH454" i="13"/>
  <c r="BC455" i="13"/>
  <c r="BD455" i="13"/>
  <c r="BE455" i="13"/>
  <c r="BF455" i="13"/>
  <c r="BG455" i="13"/>
  <c r="BH455" i="13"/>
  <c r="BC456" i="13"/>
  <c r="BD456" i="13"/>
  <c r="BE456" i="13"/>
  <c r="BF456" i="13"/>
  <c r="BG456" i="13"/>
  <c r="BH456" i="13"/>
  <c r="BC457" i="13"/>
  <c r="BD457" i="13"/>
  <c r="BE457" i="13"/>
  <c r="BF457" i="13"/>
  <c r="BG457" i="13"/>
  <c r="BH457" i="13"/>
  <c r="BC458" i="13"/>
  <c r="BD458" i="13"/>
  <c r="BE458" i="13"/>
  <c r="BF458" i="13"/>
  <c r="BG458" i="13"/>
  <c r="BH458" i="13"/>
  <c r="BC459" i="13"/>
  <c r="BD459" i="13"/>
  <c r="BE459" i="13"/>
  <c r="BF459" i="13"/>
  <c r="BG459" i="13"/>
  <c r="BH459" i="13"/>
  <c r="BC460" i="13"/>
  <c r="BD460" i="13"/>
  <c r="BE460" i="13"/>
  <c r="BF460" i="13"/>
  <c r="BG460" i="13"/>
  <c r="BH460" i="13"/>
  <c r="BC461" i="13"/>
  <c r="BD461" i="13"/>
  <c r="BE461" i="13"/>
  <c r="BF461" i="13"/>
  <c r="BG461" i="13"/>
  <c r="BH461" i="13"/>
  <c r="BC462" i="13"/>
  <c r="BD462" i="13"/>
  <c r="BE462" i="13"/>
  <c r="BF462" i="13"/>
  <c r="BG462" i="13"/>
  <c r="BH462" i="13"/>
  <c r="BC463" i="13"/>
  <c r="BD463" i="13"/>
  <c r="BE463" i="13"/>
  <c r="BF463" i="13"/>
  <c r="BG463" i="13"/>
  <c r="BH463" i="13"/>
  <c r="BC464" i="13"/>
  <c r="BD464" i="13"/>
  <c r="BE464" i="13"/>
  <c r="BF464" i="13"/>
  <c r="BG464" i="13"/>
  <c r="BH464" i="13"/>
  <c r="BC465" i="13"/>
  <c r="BD465" i="13"/>
  <c r="BE465" i="13"/>
  <c r="BF465" i="13"/>
  <c r="BG465" i="13"/>
  <c r="BH465" i="13"/>
  <c r="BC466" i="13"/>
  <c r="BD466" i="13"/>
  <c r="BE466" i="13"/>
  <c r="BF466" i="13"/>
  <c r="BG466" i="13"/>
  <c r="BH466" i="13"/>
  <c r="BC467" i="13"/>
  <c r="BD467" i="13"/>
  <c r="BE467" i="13"/>
  <c r="BF467" i="13"/>
  <c r="BG467" i="13"/>
  <c r="BH467" i="13"/>
  <c r="BC468" i="13"/>
  <c r="BD468" i="13"/>
  <c r="BE468" i="13"/>
  <c r="BF468" i="13"/>
  <c r="BG468" i="13"/>
  <c r="BH468" i="13"/>
  <c r="BC469" i="13"/>
  <c r="BD469" i="13"/>
  <c r="BE469" i="13"/>
  <c r="BF469" i="13"/>
  <c r="BG469" i="13"/>
  <c r="BH469" i="13"/>
  <c r="BC470" i="13"/>
  <c r="BD470" i="13"/>
  <c r="BE470" i="13"/>
  <c r="BF470" i="13"/>
  <c r="BG470" i="13"/>
  <c r="BH470" i="13"/>
  <c r="BC471" i="13"/>
  <c r="BD471" i="13"/>
  <c r="BE471" i="13"/>
  <c r="BF471" i="13"/>
  <c r="BG471" i="13"/>
  <c r="BH471" i="13"/>
  <c r="BC472" i="13"/>
  <c r="BD472" i="13"/>
  <c r="BE472" i="13"/>
  <c r="BF472" i="13"/>
  <c r="BG472" i="13"/>
  <c r="BH472" i="13"/>
  <c r="BC473" i="13"/>
  <c r="BD473" i="13"/>
  <c r="BE473" i="13"/>
  <c r="BF473" i="13"/>
  <c r="BG473" i="13"/>
  <c r="BH473" i="13"/>
  <c r="BC474" i="13"/>
  <c r="BD474" i="13"/>
  <c r="BE474" i="13"/>
  <c r="BF474" i="13"/>
  <c r="BG474" i="13"/>
  <c r="BH474" i="13"/>
  <c r="BC475" i="13"/>
  <c r="BD475" i="13"/>
  <c r="BE475" i="13"/>
  <c r="BF475" i="13"/>
  <c r="BG475" i="13"/>
  <c r="BH475" i="13"/>
  <c r="BC476" i="13"/>
  <c r="BD476" i="13"/>
  <c r="BE476" i="13"/>
  <c r="BF476" i="13"/>
  <c r="BG476" i="13"/>
  <c r="BH476" i="13"/>
  <c r="BC477" i="13"/>
  <c r="BD477" i="13"/>
  <c r="BE477" i="13"/>
  <c r="BF477" i="13"/>
  <c r="BG477" i="13"/>
  <c r="BH477" i="13"/>
  <c r="BC478" i="13"/>
  <c r="BD478" i="13"/>
  <c r="BE478" i="13"/>
  <c r="BF478" i="13"/>
  <c r="BG478" i="13"/>
  <c r="BH478" i="13"/>
  <c r="BC479" i="13"/>
  <c r="BD479" i="13"/>
  <c r="BE479" i="13"/>
  <c r="BF479" i="13"/>
  <c r="BG479" i="13"/>
  <c r="BH479" i="13"/>
  <c r="BC480" i="13"/>
  <c r="BD480" i="13"/>
  <c r="BE480" i="13"/>
  <c r="BF480" i="13"/>
  <c r="BG480" i="13"/>
  <c r="BH480" i="13"/>
  <c r="BC481" i="13"/>
  <c r="BD481" i="13"/>
  <c r="BE481" i="13"/>
  <c r="BF481" i="13"/>
  <c r="BG481" i="13"/>
  <c r="BH481" i="13"/>
  <c r="BC482" i="13"/>
  <c r="BD482" i="13"/>
  <c r="BE482" i="13"/>
  <c r="BF482" i="13"/>
  <c r="BG482" i="13"/>
  <c r="BH482" i="13"/>
  <c r="BC483" i="13"/>
  <c r="BD483" i="13"/>
  <c r="BE483" i="13"/>
  <c r="BF483" i="13"/>
  <c r="BG483" i="13"/>
  <c r="BH483" i="13"/>
  <c r="BC484" i="13"/>
  <c r="BD484" i="13"/>
  <c r="BE484" i="13"/>
  <c r="BF484" i="13"/>
  <c r="BG484" i="13"/>
  <c r="BH484" i="13"/>
  <c r="BC485" i="13"/>
  <c r="BD485" i="13"/>
  <c r="BE485" i="13"/>
  <c r="BF485" i="13"/>
  <c r="BG485" i="13"/>
  <c r="BH485" i="13"/>
  <c r="BC486" i="13"/>
  <c r="BD486" i="13"/>
  <c r="BE486" i="13"/>
  <c r="BF486" i="13"/>
  <c r="BG486" i="13"/>
  <c r="BH486" i="13"/>
  <c r="BC487" i="13"/>
  <c r="BD487" i="13"/>
  <c r="BE487" i="13"/>
  <c r="BF487" i="13"/>
  <c r="BG487" i="13"/>
  <c r="BH487" i="13"/>
  <c r="BC488" i="13"/>
  <c r="BD488" i="13"/>
  <c r="BE488" i="13"/>
  <c r="BF488" i="13"/>
  <c r="BG488" i="13"/>
  <c r="BH488" i="13"/>
  <c r="BC489" i="13"/>
  <c r="BD489" i="13"/>
  <c r="BE489" i="13"/>
  <c r="BF489" i="13"/>
  <c r="BG489" i="13"/>
  <c r="BH489" i="13"/>
  <c r="BC490" i="13"/>
  <c r="BD490" i="13"/>
  <c r="BE490" i="13"/>
  <c r="BF490" i="13"/>
  <c r="BG490" i="13"/>
  <c r="BH490" i="13"/>
  <c r="BC491" i="13"/>
  <c r="BD491" i="13"/>
  <c r="BE491" i="13"/>
  <c r="BF491" i="13"/>
  <c r="BG491" i="13"/>
  <c r="BH491" i="13"/>
  <c r="BC492" i="13"/>
  <c r="BD492" i="13"/>
  <c r="BE492" i="13"/>
  <c r="BF492" i="13"/>
  <c r="BG492" i="13"/>
  <c r="BH492" i="13"/>
  <c r="BC493" i="13"/>
  <c r="BD493" i="13"/>
  <c r="BE493" i="13"/>
  <c r="BF493" i="13"/>
  <c r="BG493" i="13"/>
  <c r="BH493" i="13"/>
  <c r="BC494" i="13"/>
  <c r="BD494" i="13"/>
  <c r="BE494" i="13"/>
  <c r="BF494" i="13"/>
  <c r="BG494" i="13"/>
  <c r="BH494" i="13"/>
  <c r="BC495" i="13"/>
  <c r="BD495" i="13"/>
  <c r="BE495" i="13"/>
  <c r="BF495" i="13"/>
  <c r="BG495" i="13"/>
  <c r="BH495" i="13"/>
  <c r="BC496" i="13"/>
  <c r="BD496" i="13"/>
  <c r="BE496" i="13"/>
  <c r="BF496" i="13"/>
  <c r="BG496" i="13"/>
  <c r="BH496" i="13"/>
  <c r="BC497" i="13"/>
  <c r="BD497" i="13"/>
  <c r="BE497" i="13"/>
  <c r="BF497" i="13"/>
  <c r="BG497" i="13"/>
  <c r="BH497" i="13"/>
  <c r="BC498" i="13"/>
  <c r="BD498" i="13"/>
  <c r="BE498" i="13"/>
  <c r="BF498" i="13"/>
  <c r="BG498" i="13"/>
  <c r="BH498" i="13"/>
  <c r="BC499" i="13"/>
  <c r="BD499" i="13"/>
  <c r="BE499" i="13"/>
  <c r="BF499" i="13"/>
  <c r="BG499" i="13"/>
  <c r="BH499" i="13"/>
  <c r="BC500" i="13"/>
  <c r="BD500" i="13"/>
  <c r="BE500" i="13"/>
  <c r="BF500" i="13"/>
  <c r="BG500" i="13"/>
  <c r="BH500" i="13"/>
  <c r="BC501" i="13"/>
  <c r="BD501" i="13"/>
  <c r="BE501" i="13"/>
  <c r="BF501" i="13"/>
  <c r="BG501" i="13"/>
  <c r="BH501" i="13"/>
  <c r="BC502" i="13"/>
  <c r="BD502" i="13"/>
  <c r="BE502" i="13"/>
  <c r="BF502" i="13"/>
  <c r="BG502" i="13"/>
  <c r="BH502" i="13"/>
  <c r="BC503" i="13"/>
  <c r="BD503" i="13"/>
  <c r="BE503" i="13"/>
  <c r="BF503" i="13"/>
  <c r="BG503" i="13"/>
  <c r="BH503" i="13"/>
  <c r="BC504" i="13"/>
  <c r="BD504" i="13"/>
  <c r="BE504" i="13"/>
  <c r="BF504" i="13"/>
  <c r="BG504" i="13"/>
  <c r="BH504" i="13"/>
  <c r="BC505" i="13"/>
  <c r="BD505" i="13"/>
  <c r="BE505" i="13"/>
  <c r="BF505" i="13"/>
  <c r="BG505" i="13"/>
  <c r="BH505" i="13"/>
  <c r="BC506" i="13"/>
  <c r="BD506" i="13"/>
  <c r="BE506" i="13"/>
  <c r="BF506" i="13"/>
  <c r="BG506" i="13"/>
  <c r="BH506" i="13"/>
  <c r="BC6" i="13"/>
  <c r="BD6" i="13"/>
  <c r="BE6" i="13"/>
  <c r="BF6" i="13"/>
  <c r="BG6" i="13"/>
  <c r="BH6" i="13"/>
  <c r="BC7" i="13"/>
  <c r="BD7" i="13"/>
  <c r="BE7" i="13"/>
  <c r="BF7" i="13"/>
  <c r="BG7" i="13"/>
  <c r="BH7" i="13"/>
  <c r="BC8" i="13"/>
  <c r="BD8" i="13"/>
  <c r="BE8" i="13"/>
  <c r="BF8" i="13"/>
  <c r="BG8" i="13"/>
  <c r="BH8" i="13"/>
  <c r="BH5" i="13"/>
  <c r="BG5" i="13"/>
  <c r="BF5" i="13"/>
  <c r="BE5" i="13"/>
  <c r="BD5" i="13"/>
  <c r="BC5" i="13"/>
  <c r="U499" i="13"/>
  <c r="AB499" i="13"/>
  <c r="AK499" i="13"/>
  <c r="AO499" i="13"/>
  <c r="AU499" i="13"/>
  <c r="BA499" i="13"/>
  <c r="AA499" i="13"/>
  <c r="AJ499" i="13"/>
  <c r="AT499" i="13"/>
  <c r="AZ499" i="13"/>
  <c r="Z499" i="13"/>
  <c r="AI499" i="13"/>
  <c r="AS499" i="13"/>
  <c r="AY499" i="13"/>
  <c r="Y499" i="13"/>
  <c r="AH499" i="13"/>
  <c r="AR499" i="13"/>
  <c r="AX499" i="13"/>
  <c r="X499" i="13"/>
  <c r="AG499" i="13"/>
  <c r="AQ499" i="13"/>
  <c r="AW499" i="13"/>
  <c r="W499" i="13"/>
  <c r="AF499" i="13"/>
  <c r="AP499" i="13"/>
  <c r="AV499" i="13"/>
  <c r="U498" i="13"/>
  <c r="AB498" i="13"/>
  <c r="AK498" i="13"/>
  <c r="AO498" i="13"/>
  <c r="AU498" i="13"/>
  <c r="BA498" i="13"/>
  <c r="AA498" i="13"/>
  <c r="AJ498" i="13"/>
  <c r="AT498" i="13"/>
  <c r="AZ498" i="13"/>
  <c r="Z498" i="13"/>
  <c r="AI498" i="13"/>
  <c r="AS498" i="13"/>
  <c r="AY498" i="13"/>
  <c r="Y498" i="13"/>
  <c r="AH498" i="13"/>
  <c r="AR498" i="13"/>
  <c r="AX498" i="13"/>
  <c r="X498" i="13"/>
  <c r="AG498" i="13"/>
  <c r="AQ498" i="13"/>
  <c r="AW498" i="13"/>
  <c r="W498" i="13"/>
  <c r="AF498" i="13"/>
  <c r="AP498" i="13"/>
  <c r="AV498" i="13"/>
  <c r="U497" i="13"/>
  <c r="AB497" i="13"/>
  <c r="AK497" i="13"/>
  <c r="AO497" i="13"/>
  <c r="AU497" i="13"/>
  <c r="BA497" i="13"/>
  <c r="AA497" i="13"/>
  <c r="AJ497" i="13"/>
  <c r="AT497" i="13"/>
  <c r="AZ497" i="13"/>
  <c r="Z497" i="13"/>
  <c r="AI497" i="13"/>
  <c r="AS497" i="13"/>
  <c r="AY497" i="13"/>
  <c r="Y497" i="13"/>
  <c r="AH497" i="13"/>
  <c r="AR497" i="13"/>
  <c r="AX497" i="13"/>
  <c r="X497" i="13"/>
  <c r="AG497" i="13"/>
  <c r="AQ497" i="13"/>
  <c r="AW497" i="13"/>
  <c r="W497" i="13"/>
  <c r="AF497" i="13"/>
  <c r="AP497" i="13"/>
  <c r="AV497" i="13"/>
  <c r="U496" i="13"/>
  <c r="AB496" i="13"/>
  <c r="AK496" i="13"/>
  <c r="AO496" i="13"/>
  <c r="AU496" i="13"/>
  <c r="BA496" i="13"/>
  <c r="AA496" i="13"/>
  <c r="AJ496" i="13"/>
  <c r="AT496" i="13"/>
  <c r="AZ496" i="13"/>
  <c r="Z496" i="13"/>
  <c r="AI496" i="13"/>
  <c r="AS496" i="13"/>
  <c r="AY496" i="13"/>
  <c r="Y496" i="13"/>
  <c r="AH496" i="13"/>
  <c r="AR496" i="13"/>
  <c r="AX496" i="13"/>
  <c r="X496" i="13"/>
  <c r="AG496" i="13"/>
  <c r="AQ496" i="13"/>
  <c r="AW496" i="13"/>
  <c r="W496" i="13"/>
  <c r="AF496" i="13"/>
  <c r="AP496" i="13"/>
  <c r="AV496" i="13"/>
  <c r="AM497" i="13" l="1"/>
  <c r="AM499" i="13"/>
  <c r="BB496" i="13"/>
  <c r="AD496" i="13"/>
  <c r="CP23" i="13"/>
  <c r="CQ23" i="13" s="1"/>
  <c r="BB497" i="13"/>
  <c r="AD497" i="13"/>
  <c r="AN498" i="13"/>
  <c r="BB499" i="13"/>
  <c r="AE499" i="13"/>
  <c r="AN496" i="13"/>
  <c r="AM496" i="13"/>
  <c r="AE497" i="13"/>
  <c r="AD498" i="13"/>
  <c r="AD499" i="13"/>
  <c r="AC499" i="13" s="1"/>
  <c r="CQ5" i="13"/>
  <c r="AE496" i="13"/>
  <c r="AN497" i="13"/>
  <c r="AE498" i="13"/>
  <c r="AN499" i="13"/>
  <c r="BB498" i="13"/>
  <c r="AM498" i="13"/>
  <c r="BJ5" i="13"/>
  <c r="BK5" i="13"/>
  <c r="BI5" i="13"/>
  <c r="BJ8" i="13"/>
  <c r="BI8" i="13"/>
  <c r="BK8" i="13"/>
  <c r="BI7" i="13"/>
  <c r="BK7" i="13"/>
  <c r="BJ7" i="13"/>
  <c r="BJ6" i="13"/>
  <c r="BI6" i="13"/>
  <c r="BK6" i="13"/>
  <c r="BI506" i="13"/>
  <c r="BK506" i="13"/>
  <c r="BJ506" i="13"/>
  <c r="BJ505" i="13"/>
  <c r="BI505" i="13"/>
  <c r="BK505" i="13"/>
  <c r="BI504" i="13"/>
  <c r="BK504" i="13"/>
  <c r="BJ504" i="13"/>
  <c r="BJ503" i="13"/>
  <c r="BI503" i="13"/>
  <c r="BK503" i="13"/>
  <c r="BI502" i="13"/>
  <c r="BK502" i="13"/>
  <c r="BJ502" i="13"/>
  <c r="BJ501" i="13"/>
  <c r="BI501" i="13"/>
  <c r="BK501" i="13"/>
  <c r="BI500" i="13"/>
  <c r="BK500" i="13"/>
  <c r="BJ500" i="13"/>
  <c r="BJ499" i="13"/>
  <c r="BI499" i="13"/>
  <c r="BK499" i="13"/>
  <c r="BI498" i="13"/>
  <c r="BK498" i="13"/>
  <c r="BJ498" i="13"/>
  <c r="BJ497" i="13"/>
  <c r="BI497" i="13"/>
  <c r="BK497" i="13"/>
  <c r="BI496" i="13"/>
  <c r="BK496" i="13"/>
  <c r="BJ496" i="13"/>
  <c r="BJ495" i="13"/>
  <c r="BI495" i="13"/>
  <c r="BK495" i="13"/>
  <c r="BI494" i="13"/>
  <c r="BK494" i="13"/>
  <c r="BJ494" i="13"/>
  <c r="BJ493" i="13"/>
  <c r="BI493" i="13"/>
  <c r="BK493" i="13"/>
  <c r="BI492" i="13"/>
  <c r="BK492" i="13"/>
  <c r="BJ492" i="13"/>
  <c r="BJ491" i="13"/>
  <c r="BI491" i="13"/>
  <c r="BK491" i="13"/>
  <c r="BI490" i="13"/>
  <c r="BK490" i="13"/>
  <c r="BJ490" i="13"/>
  <c r="BJ489" i="13"/>
  <c r="BI489" i="13"/>
  <c r="BK489" i="13"/>
  <c r="BI488" i="13"/>
  <c r="BK488" i="13"/>
  <c r="BJ488" i="13"/>
  <c r="BJ487" i="13"/>
  <c r="BI487" i="13"/>
  <c r="BK487" i="13"/>
  <c r="BI486" i="13"/>
  <c r="BK486" i="13"/>
  <c r="BJ486" i="13"/>
  <c r="BJ485" i="13"/>
  <c r="BI485" i="13"/>
  <c r="BK485" i="13"/>
  <c r="BI484" i="13"/>
  <c r="BK484" i="13"/>
  <c r="BJ484" i="13"/>
  <c r="BJ483" i="13"/>
  <c r="BI483" i="13"/>
  <c r="BK483" i="13"/>
  <c r="BI482" i="13"/>
  <c r="BK482" i="13"/>
  <c r="BJ482" i="13"/>
  <c r="BJ481" i="13"/>
  <c r="BI481" i="13"/>
  <c r="BK481" i="13"/>
  <c r="BI480" i="13"/>
  <c r="BK480" i="13"/>
  <c r="BJ480" i="13"/>
  <c r="BJ479" i="13"/>
  <c r="BI479" i="13"/>
  <c r="BK479" i="13"/>
  <c r="BI478" i="13"/>
  <c r="BK478" i="13"/>
  <c r="BJ478" i="13"/>
  <c r="BJ477" i="13"/>
  <c r="BI477" i="13"/>
  <c r="BK477" i="13"/>
  <c r="BI476" i="13"/>
  <c r="BK476" i="13"/>
  <c r="BJ476" i="13"/>
  <c r="BJ475" i="13"/>
  <c r="BI475" i="13"/>
  <c r="BK475" i="13"/>
  <c r="BI474" i="13"/>
  <c r="BK474" i="13"/>
  <c r="BJ474" i="13"/>
  <c r="BJ473" i="13"/>
  <c r="BI473" i="13"/>
  <c r="BK473" i="13"/>
  <c r="BI472" i="13"/>
  <c r="BK472" i="13"/>
  <c r="BJ472" i="13"/>
  <c r="BJ471" i="13"/>
  <c r="BI471" i="13"/>
  <c r="BK471" i="13"/>
  <c r="BI470" i="13"/>
  <c r="BK470" i="13"/>
  <c r="BJ470" i="13"/>
  <c r="BJ469" i="13"/>
  <c r="BI469" i="13"/>
  <c r="BK469" i="13"/>
  <c r="BI468" i="13"/>
  <c r="BK468" i="13"/>
  <c r="BJ468" i="13"/>
  <c r="BJ467" i="13"/>
  <c r="BI467" i="13"/>
  <c r="BK467" i="13"/>
  <c r="BI466" i="13"/>
  <c r="BK466" i="13"/>
  <c r="BJ466" i="13"/>
  <c r="BJ465" i="13"/>
  <c r="BI465" i="13"/>
  <c r="BK465" i="13"/>
  <c r="BI464" i="13"/>
  <c r="BK464" i="13"/>
  <c r="BJ464" i="13"/>
  <c r="BJ463" i="13"/>
  <c r="BI463" i="13"/>
  <c r="BK463" i="13"/>
  <c r="BI462" i="13"/>
  <c r="BK462" i="13"/>
  <c r="BJ462" i="13"/>
  <c r="BJ461" i="13"/>
  <c r="BI461" i="13"/>
  <c r="BK461" i="13"/>
  <c r="BI460" i="13"/>
  <c r="BK460" i="13"/>
  <c r="BJ460" i="13"/>
  <c r="BJ459" i="13"/>
  <c r="BI459" i="13"/>
  <c r="BK459" i="13"/>
  <c r="BI458" i="13"/>
  <c r="BK458" i="13"/>
  <c r="BJ458" i="13"/>
  <c r="BJ457" i="13"/>
  <c r="BI457" i="13"/>
  <c r="BK457" i="13"/>
  <c r="BI456" i="13"/>
  <c r="BK456" i="13"/>
  <c r="BJ456" i="13"/>
  <c r="BJ455" i="13"/>
  <c r="BI455" i="13"/>
  <c r="BK455" i="13"/>
  <c r="BI454" i="13"/>
  <c r="BK454" i="13"/>
  <c r="BJ454" i="13"/>
  <c r="BJ453" i="13"/>
  <c r="BI453" i="13"/>
  <c r="BK453" i="13"/>
  <c r="BI452" i="13"/>
  <c r="BK452" i="13"/>
  <c r="BJ452" i="13"/>
  <c r="BJ451" i="13"/>
  <c r="BI451" i="13"/>
  <c r="BK451" i="13"/>
  <c r="BI450" i="13"/>
  <c r="BK450" i="13"/>
  <c r="BJ450" i="13"/>
  <c r="BJ449" i="13"/>
  <c r="BI449" i="13"/>
  <c r="BK449" i="13"/>
  <c r="BI448" i="13"/>
  <c r="BK448" i="13"/>
  <c r="BJ448" i="13"/>
  <c r="BJ447" i="13"/>
  <c r="BI447" i="13"/>
  <c r="BK447" i="13"/>
  <c r="BI446" i="13"/>
  <c r="BK446" i="13"/>
  <c r="BJ446" i="13"/>
  <c r="BJ445" i="13"/>
  <c r="BI445" i="13"/>
  <c r="BK445" i="13"/>
  <c r="BI444" i="13"/>
  <c r="BK444" i="13"/>
  <c r="BJ444" i="13"/>
  <c r="BJ443" i="13"/>
  <c r="BI443" i="13"/>
  <c r="BK443" i="13"/>
  <c r="BI442" i="13"/>
  <c r="BK442" i="13"/>
  <c r="BJ442" i="13"/>
  <c r="BJ441" i="13"/>
  <c r="BI441" i="13"/>
  <c r="BK441" i="13"/>
  <c r="BI440" i="13"/>
  <c r="BK440" i="13"/>
  <c r="BJ440" i="13"/>
  <c r="BJ439" i="13"/>
  <c r="BI439" i="13"/>
  <c r="BK439" i="13"/>
  <c r="BI438" i="13"/>
  <c r="BK438" i="13"/>
  <c r="BJ438" i="13"/>
  <c r="BJ437" i="13"/>
  <c r="BI437" i="13"/>
  <c r="BK437" i="13"/>
  <c r="BI436" i="13"/>
  <c r="BK436" i="13"/>
  <c r="BJ436" i="13"/>
  <c r="BJ435" i="13"/>
  <c r="BI435" i="13"/>
  <c r="BK435" i="13"/>
  <c r="BI434" i="13"/>
  <c r="BK434" i="13"/>
  <c r="BJ434" i="13"/>
  <c r="BJ433" i="13"/>
  <c r="BI433" i="13"/>
  <c r="BK433" i="13"/>
  <c r="BI432" i="13"/>
  <c r="BK432" i="13"/>
  <c r="BJ432" i="13"/>
  <c r="BJ431" i="13"/>
  <c r="BI431" i="13"/>
  <c r="BK431" i="13"/>
  <c r="BI430" i="13"/>
  <c r="BK430" i="13"/>
  <c r="BJ430" i="13"/>
  <c r="BJ429" i="13"/>
  <c r="BI429" i="13"/>
  <c r="BK429" i="13"/>
  <c r="BI428" i="13"/>
  <c r="BK428" i="13"/>
  <c r="BJ428" i="13"/>
  <c r="BJ427" i="13"/>
  <c r="BI427" i="13"/>
  <c r="BK427" i="13"/>
  <c r="BI426" i="13"/>
  <c r="BK426" i="13"/>
  <c r="BJ426" i="13"/>
  <c r="BJ425" i="13"/>
  <c r="BI425" i="13"/>
  <c r="BK425" i="13"/>
  <c r="BI424" i="13"/>
  <c r="BK424" i="13"/>
  <c r="BJ424" i="13"/>
  <c r="BJ423" i="13"/>
  <c r="BI423" i="13"/>
  <c r="BK423" i="13"/>
  <c r="BI422" i="13"/>
  <c r="BK422" i="13"/>
  <c r="BJ422" i="13"/>
  <c r="BJ421" i="13"/>
  <c r="BI421" i="13"/>
  <c r="BK421" i="13"/>
  <c r="BI420" i="13"/>
  <c r="BK420" i="13"/>
  <c r="BJ420" i="13"/>
  <c r="BJ419" i="13"/>
  <c r="BI419" i="13"/>
  <c r="BK419" i="13"/>
  <c r="BI418" i="13"/>
  <c r="BK418" i="13"/>
  <c r="BJ418" i="13"/>
  <c r="BJ417" i="13"/>
  <c r="BI417" i="13"/>
  <c r="BK417" i="13"/>
  <c r="BI416" i="13"/>
  <c r="BK416" i="13"/>
  <c r="BJ416" i="13"/>
  <c r="BJ415" i="13"/>
  <c r="BI415" i="13"/>
  <c r="BK415" i="13"/>
  <c r="BI414" i="13"/>
  <c r="BK414" i="13"/>
  <c r="BJ414" i="13"/>
  <c r="BJ413" i="13"/>
  <c r="BI413" i="13"/>
  <c r="BK413" i="13"/>
  <c r="BI412" i="13"/>
  <c r="BK412" i="13"/>
  <c r="BJ412" i="13"/>
  <c r="BJ411" i="13"/>
  <c r="BI411" i="13"/>
  <c r="BK411" i="13"/>
  <c r="BI410" i="13"/>
  <c r="BK410" i="13"/>
  <c r="BJ410" i="13"/>
  <c r="BJ409" i="13"/>
  <c r="BI409" i="13"/>
  <c r="BK409" i="13"/>
  <c r="BI408" i="13"/>
  <c r="BK408" i="13"/>
  <c r="BJ408" i="13"/>
  <c r="BJ407" i="13"/>
  <c r="BI407" i="13"/>
  <c r="BK407" i="13"/>
  <c r="BI406" i="13"/>
  <c r="BK406" i="13"/>
  <c r="BJ406" i="13"/>
  <c r="BJ405" i="13"/>
  <c r="BI405" i="13"/>
  <c r="BK405" i="13"/>
  <c r="BI404" i="13"/>
  <c r="BK404" i="13"/>
  <c r="BJ404" i="13"/>
  <c r="BJ403" i="13"/>
  <c r="BI403" i="13"/>
  <c r="BK403" i="13"/>
  <c r="BI402" i="13"/>
  <c r="BK402" i="13"/>
  <c r="BJ402" i="13"/>
  <c r="BJ401" i="13"/>
  <c r="BI401" i="13"/>
  <c r="BK401" i="13"/>
  <c r="BI400" i="13"/>
  <c r="BK400" i="13"/>
  <c r="BJ400" i="13"/>
  <c r="BJ399" i="13"/>
  <c r="BI399" i="13"/>
  <c r="BK399" i="13"/>
  <c r="BI398" i="13"/>
  <c r="BK398" i="13"/>
  <c r="BJ398" i="13"/>
  <c r="BJ397" i="13"/>
  <c r="BI397" i="13"/>
  <c r="BK397" i="13"/>
  <c r="BI396" i="13"/>
  <c r="BK396" i="13"/>
  <c r="BJ396" i="13"/>
  <c r="BJ395" i="13"/>
  <c r="BI395" i="13"/>
  <c r="BK395" i="13"/>
  <c r="BI394" i="13"/>
  <c r="BK394" i="13"/>
  <c r="BJ394" i="13"/>
  <c r="BJ393" i="13"/>
  <c r="BI393" i="13"/>
  <c r="BK393" i="13"/>
  <c r="BI392" i="13"/>
  <c r="BK392" i="13"/>
  <c r="BJ392" i="13"/>
  <c r="BJ391" i="13"/>
  <c r="BI391" i="13"/>
  <c r="BK391" i="13"/>
  <c r="BI390" i="13"/>
  <c r="BK390" i="13"/>
  <c r="BJ390" i="13"/>
  <c r="BJ389" i="13"/>
  <c r="BI389" i="13"/>
  <c r="BK389" i="13"/>
  <c r="BI388" i="13"/>
  <c r="BK388" i="13"/>
  <c r="BJ388" i="13"/>
  <c r="BJ387" i="13"/>
  <c r="BI387" i="13"/>
  <c r="BK387" i="13"/>
  <c r="BI386" i="13"/>
  <c r="BK386" i="13"/>
  <c r="BJ386" i="13"/>
  <c r="BJ385" i="13"/>
  <c r="BI385" i="13"/>
  <c r="BK385" i="13"/>
  <c r="BI384" i="13"/>
  <c r="BK384" i="13"/>
  <c r="BJ384" i="13"/>
  <c r="BJ383" i="13"/>
  <c r="BI383" i="13"/>
  <c r="BK383" i="13"/>
  <c r="BI382" i="13"/>
  <c r="BK382" i="13"/>
  <c r="BJ382" i="13"/>
  <c r="BJ381" i="13"/>
  <c r="BI381" i="13"/>
  <c r="BK381" i="13"/>
  <c r="BI380" i="13"/>
  <c r="BK380" i="13"/>
  <c r="BJ380" i="13"/>
  <c r="BJ379" i="13"/>
  <c r="BI379" i="13"/>
  <c r="BK379" i="13"/>
  <c r="BI378" i="13"/>
  <c r="BK378" i="13"/>
  <c r="BJ378" i="13"/>
  <c r="BJ377" i="13"/>
  <c r="BI377" i="13"/>
  <c r="BK377" i="13"/>
  <c r="BI376" i="13"/>
  <c r="BK376" i="13"/>
  <c r="BJ376" i="13"/>
  <c r="BJ375" i="13"/>
  <c r="BI375" i="13"/>
  <c r="BK375" i="13"/>
  <c r="BI374" i="13"/>
  <c r="BK374" i="13"/>
  <c r="BJ374" i="13"/>
  <c r="BJ373" i="13"/>
  <c r="BI373" i="13"/>
  <c r="BK373" i="13"/>
  <c r="BI372" i="13"/>
  <c r="BK372" i="13"/>
  <c r="BJ372" i="13"/>
  <c r="BJ371" i="13"/>
  <c r="BI371" i="13"/>
  <c r="BK371" i="13"/>
  <c r="BI370" i="13"/>
  <c r="BK370" i="13"/>
  <c r="BJ370" i="13"/>
  <c r="BJ369" i="13"/>
  <c r="BI369" i="13"/>
  <c r="BK369" i="13"/>
  <c r="BI368" i="13"/>
  <c r="BK368" i="13"/>
  <c r="BJ368" i="13"/>
  <c r="BJ367" i="13"/>
  <c r="BI367" i="13"/>
  <c r="BK367" i="13"/>
  <c r="BI366" i="13"/>
  <c r="BK366" i="13"/>
  <c r="BJ366" i="13"/>
  <c r="BJ365" i="13"/>
  <c r="BI365" i="13"/>
  <c r="BK365" i="13"/>
  <c r="BI364" i="13"/>
  <c r="BK364" i="13"/>
  <c r="BJ364" i="13"/>
  <c r="BJ363" i="13"/>
  <c r="BI363" i="13"/>
  <c r="BK363" i="13"/>
  <c r="BI362" i="13"/>
  <c r="BK362" i="13"/>
  <c r="BJ362" i="13"/>
  <c r="BJ361" i="13"/>
  <c r="BI361" i="13"/>
  <c r="BK361" i="13"/>
  <c r="BI360" i="13"/>
  <c r="BK360" i="13"/>
  <c r="BJ360" i="13"/>
  <c r="BJ359" i="13"/>
  <c r="BI359" i="13"/>
  <c r="BK359" i="13"/>
  <c r="BI358" i="13"/>
  <c r="BK358" i="13"/>
  <c r="BJ358" i="13"/>
  <c r="BJ357" i="13"/>
  <c r="BI357" i="13"/>
  <c r="BK357" i="13"/>
  <c r="BI356" i="13"/>
  <c r="BK356" i="13"/>
  <c r="BJ356" i="13"/>
  <c r="BJ355" i="13"/>
  <c r="BI355" i="13"/>
  <c r="BK355" i="13"/>
  <c r="BI354" i="13"/>
  <c r="BK354" i="13"/>
  <c r="BJ354" i="13"/>
  <c r="BJ353" i="13"/>
  <c r="BI353" i="13"/>
  <c r="BK353" i="13"/>
  <c r="BI352" i="13"/>
  <c r="BK352" i="13"/>
  <c r="BJ352" i="13"/>
  <c r="BJ351" i="13"/>
  <c r="BI351" i="13"/>
  <c r="BK351" i="13"/>
  <c r="BI350" i="13"/>
  <c r="BK350" i="13"/>
  <c r="BJ350" i="13"/>
  <c r="BJ349" i="13"/>
  <c r="BI349" i="13"/>
  <c r="BK349" i="13"/>
  <c r="BI348" i="13"/>
  <c r="BK348" i="13"/>
  <c r="BJ348" i="13"/>
  <c r="BJ347" i="13"/>
  <c r="BI347" i="13"/>
  <c r="BK347" i="13"/>
  <c r="BI346" i="13"/>
  <c r="BK346" i="13"/>
  <c r="BJ346" i="13"/>
  <c r="BJ345" i="13"/>
  <c r="BI345" i="13"/>
  <c r="BK345" i="13"/>
  <c r="BI344" i="13"/>
  <c r="BK344" i="13"/>
  <c r="BJ344" i="13"/>
  <c r="BJ343" i="13"/>
  <c r="BI343" i="13"/>
  <c r="BK343" i="13"/>
  <c r="BI342" i="13"/>
  <c r="BK342" i="13"/>
  <c r="BJ342" i="13"/>
  <c r="BJ341" i="13"/>
  <c r="BI341" i="13"/>
  <c r="BK341" i="13"/>
  <c r="BI340" i="13"/>
  <c r="BK340" i="13"/>
  <c r="BJ340" i="13"/>
  <c r="BJ339" i="13"/>
  <c r="BI339" i="13"/>
  <c r="BK339" i="13"/>
  <c r="BI338" i="13"/>
  <c r="BK338" i="13"/>
  <c r="BJ338" i="13"/>
  <c r="BJ337" i="13"/>
  <c r="BI337" i="13"/>
  <c r="BK337" i="13"/>
  <c r="BI336" i="13"/>
  <c r="BK336" i="13"/>
  <c r="BJ336" i="13"/>
  <c r="BI335" i="13"/>
  <c r="BJ335" i="13"/>
  <c r="BK335" i="13"/>
  <c r="BJ334" i="13"/>
  <c r="BI334" i="13"/>
  <c r="BK334" i="13"/>
  <c r="BI333" i="13"/>
  <c r="BK333" i="13"/>
  <c r="BJ333" i="13"/>
  <c r="BJ332" i="13"/>
  <c r="BK332" i="13"/>
  <c r="BI332" i="13"/>
  <c r="BI331" i="13"/>
  <c r="BK331" i="13"/>
  <c r="BJ331" i="13"/>
  <c r="BJ330" i="13"/>
  <c r="BI330" i="13"/>
  <c r="BK330" i="13"/>
  <c r="BI329" i="13"/>
  <c r="BK329" i="13"/>
  <c r="BJ329" i="13"/>
  <c r="BJ328" i="13"/>
  <c r="BK328" i="13"/>
  <c r="BI328" i="13"/>
  <c r="BI327" i="13"/>
  <c r="BK327" i="13"/>
  <c r="BJ327" i="13"/>
  <c r="BJ326" i="13"/>
  <c r="BI326" i="13"/>
  <c r="BK326" i="13"/>
  <c r="BI325" i="13"/>
  <c r="BK325" i="13"/>
  <c r="BJ325" i="13"/>
  <c r="BJ324" i="13"/>
  <c r="BK324" i="13"/>
  <c r="BI324" i="13"/>
  <c r="BI323" i="13"/>
  <c r="BK323" i="13"/>
  <c r="BJ323" i="13"/>
  <c r="BJ322" i="13"/>
  <c r="BI322" i="13"/>
  <c r="BK322" i="13"/>
  <c r="BI321" i="13"/>
  <c r="BK321" i="13"/>
  <c r="BJ321" i="13"/>
  <c r="BJ320" i="13"/>
  <c r="BK320" i="13"/>
  <c r="BI320" i="13"/>
  <c r="BI319" i="13"/>
  <c r="BK319" i="13"/>
  <c r="BJ319" i="13"/>
  <c r="BI318" i="13"/>
  <c r="BK318" i="13"/>
  <c r="BJ318" i="13"/>
  <c r="BJ317" i="13"/>
  <c r="BI317" i="13"/>
  <c r="BK317" i="13"/>
  <c r="BI316" i="13"/>
  <c r="BK316" i="13"/>
  <c r="BJ316" i="13"/>
  <c r="BJ315" i="13"/>
  <c r="BI315" i="13"/>
  <c r="BK315" i="13"/>
  <c r="BI314" i="13"/>
  <c r="BK314" i="13"/>
  <c r="BJ314" i="13"/>
  <c r="BJ313" i="13"/>
  <c r="BI313" i="13"/>
  <c r="BK313" i="13"/>
  <c r="BI312" i="13"/>
  <c r="BK312" i="13"/>
  <c r="BJ312" i="13"/>
  <c r="BJ311" i="13"/>
  <c r="BI311" i="13"/>
  <c r="BK311" i="13"/>
  <c r="BI310" i="13"/>
  <c r="BK310" i="13"/>
  <c r="BJ310" i="13"/>
  <c r="BJ309" i="13"/>
  <c r="BI309" i="13"/>
  <c r="BK309" i="13"/>
  <c r="BI308" i="13"/>
  <c r="BK308" i="13"/>
  <c r="BJ308" i="13"/>
  <c r="BJ307" i="13"/>
  <c r="BI307" i="13"/>
  <c r="BK307" i="13"/>
  <c r="BI306" i="13"/>
  <c r="BK306" i="13"/>
  <c r="BJ306" i="13"/>
  <c r="BJ305" i="13"/>
  <c r="BI305" i="13"/>
  <c r="BK305" i="13"/>
  <c r="BI304" i="13"/>
  <c r="BK304" i="13"/>
  <c r="BJ304" i="13"/>
  <c r="BJ303" i="13"/>
  <c r="BI303" i="13"/>
  <c r="BK303" i="13"/>
  <c r="BI302" i="13"/>
  <c r="BK302" i="13"/>
  <c r="BJ302" i="13"/>
  <c r="BJ301" i="13"/>
  <c r="BI301" i="13"/>
  <c r="BK301" i="13"/>
  <c r="BI300" i="13"/>
  <c r="BK300" i="13"/>
  <c r="BJ300" i="13"/>
  <c r="BJ299" i="13"/>
  <c r="BI299" i="13"/>
  <c r="BK299" i="13"/>
  <c r="BI298" i="13"/>
  <c r="BK298" i="13"/>
  <c r="BJ298" i="13"/>
  <c r="BJ297" i="13"/>
  <c r="BI297" i="13"/>
  <c r="BK297" i="13"/>
  <c r="BI296" i="13"/>
  <c r="BK296" i="13"/>
  <c r="BJ296" i="13"/>
  <c r="BJ295" i="13"/>
  <c r="BI295" i="13"/>
  <c r="BK295" i="13"/>
  <c r="BI294" i="13"/>
  <c r="BK294" i="13"/>
  <c r="BJ294" i="13"/>
  <c r="BJ293" i="13"/>
  <c r="BI293" i="13"/>
  <c r="BK293" i="13"/>
  <c r="BI292" i="13"/>
  <c r="BK292" i="13"/>
  <c r="BJ292" i="13"/>
  <c r="BI291" i="13"/>
  <c r="BK291" i="13"/>
  <c r="BJ291" i="13"/>
  <c r="BI290" i="13"/>
  <c r="BK290" i="13"/>
  <c r="BJ290" i="13"/>
  <c r="BI289" i="13"/>
  <c r="BK289" i="13"/>
  <c r="BJ289" i="13"/>
  <c r="BI288" i="13"/>
  <c r="BK288" i="13"/>
  <c r="BJ288" i="13"/>
  <c r="BI287" i="13"/>
  <c r="BK287" i="13"/>
  <c r="BJ287" i="13"/>
  <c r="BI286" i="13"/>
  <c r="BK286" i="13"/>
  <c r="BJ286" i="13"/>
  <c r="BI285" i="13"/>
  <c r="BK285" i="13"/>
  <c r="BJ285" i="13"/>
  <c r="BI284" i="13"/>
  <c r="BK284" i="13"/>
  <c r="BJ284" i="13"/>
  <c r="BI283" i="13"/>
  <c r="BK283" i="13"/>
  <c r="BJ283" i="13"/>
  <c r="BI282" i="13"/>
  <c r="BK282" i="13"/>
  <c r="BJ282" i="13"/>
  <c r="BI281" i="13"/>
  <c r="BK281" i="13"/>
  <c r="BJ281" i="13"/>
  <c r="BI280" i="13"/>
  <c r="BK280" i="13"/>
  <c r="BJ280" i="13"/>
  <c r="BI279" i="13"/>
  <c r="BK279" i="13"/>
  <c r="BJ279" i="13"/>
  <c r="BI278" i="13"/>
  <c r="BK278" i="13"/>
  <c r="BJ278" i="13"/>
  <c r="BI277" i="13"/>
  <c r="BK277" i="13"/>
  <c r="BJ277" i="13"/>
  <c r="BI276" i="13"/>
  <c r="BK276" i="13"/>
  <c r="BJ276" i="13"/>
  <c r="BI275" i="13"/>
  <c r="BK275" i="13"/>
  <c r="BJ275" i="13"/>
  <c r="BI274" i="13"/>
  <c r="BK274" i="13"/>
  <c r="BJ274" i="13"/>
  <c r="BI273" i="13"/>
  <c r="BK273" i="13"/>
  <c r="BJ273" i="13"/>
  <c r="BI272" i="13"/>
  <c r="BK272" i="13"/>
  <c r="BJ272" i="13"/>
  <c r="BI271" i="13"/>
  <c r="BK271" i="13"/>
  <c r="BJ271" i="13"/>
  <c r="BI270" i="13"/>
  <c r="BK270" i="13"/>
  <c r="BJ270" i="13"/>
  <c r="BI269" i="13"/>
  <c r="BK269" i="13"/>
  <c r="BJ269" i="13"/>
  <c r="BI268" i="13"/>
  <c r="BK268" i="13"/>
  <c r="BJ268" i="13"/>
  <c r="BI267" i="13"/>
  <c r="BK267" i="13"/>
  <c r="BJ267" i="13"/>
  <c r="BI266" i="13"/>
  <c r="BK266" i="13"/>
  <c r="BJ266" i="13"/>
  <c r="BI265" i="13"/>
  <c r="BK265" i="13"/>
  <c r="BJ265" i="13"/>
  <c r="BI264" i="13"/>
  <c r="BK264" i="13"/>
  <c r="BJ264" i="13"/>
  <c r="BI263" i="13"/>
  <c r="BK263" i="13"/>
  <c r="BJ263" i="13"/>
  <c r="BI262" i="13"/>
  <c r="BK262" i="13"/>
  <c r="BJ262" i="13"/>
  <c r="BJ261" i="13"/>
  <c r="BI261" i="13"/>
  <c r="BK261" i="13"/>
  <c r="BI260" i="13"/>
  <c r="BK260" i="13"/>
  <c r="BJ260" i="13"/>
  <c r="BJ259" i="13"/>
  <c r="BI259" i="13"/>
  <c r="BK259" i="13"/>
  <c r="BI258" i="13"/>
  <c r="BK258" i="13"/>
  <c r="BJ258" i="13"/>
  <c r="BJ257" i="13"/>
  <c r="BI257" i="13"/>
  <c r="BK257" i="13"/>
  <c r="BI256" i="13"/>
  <c r="BK256" i="13"/>
  <c r="BJ256" i="13"/>
  <c r="BJ255" i="13"/>
  <c r="BI255" i="13"/>
  <c r="BK255" i="13"/>
  <c r="BI254" i="13"/>
  <c r="BK254" i="13"/>
  <c r="BJ254" i="13"/>
  <c r="BJ253" i="13"/>
  <c r="BI253" i="13"/>
  <c r="BK253" i="13"/>
  <c r="BI252" i="13"/>
  <c r="BK252" i="13"/>
  <c r="BJ252" i="13"/>
  <c r="BJ251" i="13"/>
  <c r="BI251" i="13"/>
  <c r="BK251" i="13"/>
  <c r="BI250" i="13"/>
  <c r="BK250" i="13"/>
  <c r="BJ250" i="13"/>
  <c r="BJ249" i="13"/>
  <c r="BI249" i="13"/>
  <c r="BK249" i="13"/>
  <c r="BI248" i="13"/>
  <c r="BK248" i="13"/>
  <c r="BJ248" i="13"/>
  <c r="BJ247" i="13"/>
  <c r="BI247" i="13"/>
  <c r="BK247" i="13"/>
  <c r="BI246" i="13"/>
  <c r="BK246" i="13"/>
  <c r="BJ246" i="13"/>
  <c r="BJ245" i="13"/>
  <c r="BI245" i="13"/>
  <c r="BK245" i="13"/>
  <c r="BI244" i="13"/>
  <c r="BK244" i="13"/>
  <c r="BJ244" i="13"/>
  <c r="BJ243" i="13"/>
  <c r="BI243" i="13"/>
  <c r="BK243" i="13"/>
  <c r="BI242" i="13"/>
  <c r="BK242" i="13"/>
  <c r="BJ242" i="13"/>
  <c r="BJ241" i="13"/>
  <c r="BI241" i="13"/>
  <c r="BK241" i="13"/>
  <c r="BI240" i="13"/>
  <c r="BK240" i="13"/>
  <c r="BJ240" i="13"/>
  <c r="BJ239" i="13"/>
  <c r="BI239" i="13"/>
  <c r="BK239" i="13"/>
  <c r="BI238" i="13"/>
  <c r="BK238" i="13"/>
  <c r="BJ238" i="13"/>
  <c r="BJ237" i="13"/>
  <c r="BI237" i="13"/>
  <c r="BK237" i="13"/>
  <c r="BI236" i="13"/>
  <c r="BK236" i="13"/>
  <c r="BJ236" i="13"/>
  <c r="BJ235" i="13"/>
  <c r="BI235" i="13"/>
  <c r="BK235" i="13"/>
  <c r="BI234" i="13"/>
  <c r="BK234" i="13"/>
  <c r="BJ234" i="13"/>
  <c r="BJ233" i="13"/>
  <c r="BI233" i="13"/>
  <c r="BK233" i="13"/>
  <c r="BI232" i="13"/>
  <c r="BK232" i="13"/>
  <c r="BJ232" i="13"/>
  <c r="BJ231" i="13"/>
  <c r="BI231" i="13"/>
  <c r="BK231" i="13"/>
  <c r="BI230" i="13"/>
  <c r="BK230" i="13"/>
  <c r="BJ230" i="13"/>
  <c r="BJ229" i="13"/>
  <c r="BI229" i="13"/>
  <c r="BK229" i="13"/>
  <c r="BI228" i="13"/>
  <c r="BK228" i="13"/>
  <c r="BJ228" i="13"/>
  <c r="BJ227" i="13"/>
  <c r="BI227" i="13"/>
  <c r="BK227" i="13"/>
  <c r="BI226" i="13"/>
  <c r="BK226" i="13"/>
  <c r="BJ226" i="13"/>
  <c r="BJ225" i="13"/>
  <c r="BI225" i="13"/>
  <c r="BK225" i="13"/>
  <c r="BI224" i="13"/>
  <c r="BK224" i="13"/>
  <c r="BJ224" i="13"/>
  <c r="BJ223" i="13"/>
  <c r="BI223" i="13"/>
  <c r="BK223" i="13"/>
  <c r="BI222" i="13"/>
  <c r="BK222" i="13"/>
  <c r="BJ222" i="13"/>
  <c r="BJ221" i="13"/>
  <c r="BI221" i="13"/>
  <c r="BK221" i="13"/>
  <c r="BI220" i="13"/>
  <c r="BK220" i="13"/>
  <c r="BJ220" i="13"/>
  <c r="BJ219" i="13"/>
  <c r="BI219" i="13"/>
  <c r="BK219" i="13"/>
  <c r="BI218" i="13"/>
  <c r="BK218" i="13"/>
  <c r="BJ218" i="13"/>
  <c r="BJ217" i="13"/>
  <c r="BI217" i="13"/>
  <c r="BK217" i="13"/>
  <c r="BI216" i="13"/>
  <c r="BK216" i="13"/>
  <c r="BJ216" i="13"/>
  <c r="BJ215" i="13"/>
  <c r="BI215" i="13"/>
  <c r="BK215" i="13"/>
  <c r="BI214" i="13"/>
  <c r="BK214" i="13"/>
  <c r="BJ214" i="13"/>
  <c r="BJ213" i="13"/>
  <c r="BI213" i="13"/>
  <c r="BK213" i="13"/>
  <c r="BI212" i="13"/>
  <c r="BK212" i="13"/>
  <c r="BJ212" i="13"/>
  <c r="BJ211" i="13"/>
  <c r="BI211" i="13"/>
  <c r="BK211" i="13"/>
  <c r="BI210" i="13"/>
  <c r="BK210" i="13"/>
  <c r="BJ210" i="13"/>
  <c r="BJ209" i="13"/>
  <c r="BI209" i="13"/>
  <c r="BK209" i="13"/>
  <c r="BI208" i="13"/>
  <c r="BK208" i="13"/>
  <c r="BJ208" i="13"/>
  <c r="BJ207" i="13"/>
  <c r="BI207" i="13"/>
  <c r="BK207" i="13"/>
  <c r="BI206" i="13"/>
  <c r="BK206" i="13"/>
  <c r="BJ206" i="13"/>
  <c r="BJ205" i="13"/>
  <c r="BI205" i="13"/>
  <c r="BK205" i="13"/>
  <c r="BI204" i="13"/>
  <c r="BK204" i="13"/>
  <c r="BJ204" i="13"/>
  <c r="BJ203" i="13"/>
  <c r="BI203" i="13"/>
  <c r="BK203" i="13"/>
  <c r="BI202" i="13"/>
  <c r="BK202" i="13"/>
  <c r="BJ202" i="13"/>
  <c r="BJ201" i="13"/>
  <c r="BI201" i="13"/>
  <c r="BK201" i="13"/>
  <c r="BI200" i="13"/>
  <c r="BK200" i="13"/>
  <c r="BJ200" i="13"/>
  <c r="BJ199" i="13"/>
  <c r="BI199" i="13"/>
  <c r="BK199" i="13"/>
  <c r="BI198" i="13"/>
  <c r="BK198" i="13"/>
  <c r="BJ198" i="13"/>
  <c r="BJ197" i="13"/>
  <c r="BI197" i="13"/>
  <c r="BK197" i="13"/>
  <c r="BI196" i="13"/>
  <c r="BK196" i="13"/>
  <c r="BJ196" i="13"/>
  <c r="BJ195" i="13"/>
  <c r="BI195" i="13"/>
  <c r="BK195" i="13"/>
  <c r="BI194" i="13"/>
  <c r="BK194" i="13"/>
  <c r="BJ194" i="13"/>
  <c r="BJ193" i="13"/>
  <c r="BI193" i="13"/>
  <c r="BK193" i="13"/>
  <c r="BI192" i="13"/>
  <c r="BK192" i="13"/>
  <c r="BJ192" i="13"/>
  <c r="BJ191" i="13"/>
  <c r="BI191" i="13"/>
  <c r="BK191" i="13"/>
  <c r="BI190" i="13"/>
  <c r="BK190" i="13"/>
  <c r="BJ190" i="13"/>
  <c r="BJ189" i="13"/>
  <c r="BI189" i="13"/>
  <c r="BK189" i="13"/>
  <c r="BI188" i="13"/>
  <c r="BK188" i="13"/>
  <c r="BJ188" i="13"/>
  <c r="BJ187" i="13"/>
  <c r="BI187" i="13"/>
  <c r="BK187" i="13"/>
  <c r="BI186" i="13"/>
  <c r="BK186" i="13"/>
  <c r="BJ186" i="13"/>
  <c r="BJ185" i="13"/>
  <c r="BI185" i="13"/>
  <c r="BK185" i="13"/>
  <c r="BI184" i="13"/>
  <c r="BK184" i="13"/>
  <c r="BJ184" i="13"/>
  <c r="BJ183" i="13"/>
  <c r="BI183" i="13"/>
  <c r="BK183" i="13"/>
  <c r="BI182" i="13"/>
  <c r="BK182" i="13"/>
  <c r="BJ182" i="13"/>
  <c r="BJ181" i="13"/>
  <c r="BI181" i="13"/>
  <c r="BK181" i="13"/>
  <c r="BI180" i="13"/>
  <c r="BK180" i="13"/>
  <c r="BJ180" i="13"/>
  <c r="BJ179" i="13"/>
  <c r="BI179" i="13"/>
  <c r="BK179" i="13"/>
  <c r="BI178" i="13"/>
  <c r="BK178" i="13"/>
  <c r="BJ178" i="13"/>
  <c r="BJ177" i="13"/>
  <c r="BI177" i="13"/>
  <c r="BK177" i="13"/>
  <c r="BI176" i="13"/>
  <c r="BK176" i="13"/>
  <c r="BJ176" i="13"/>
  <c r="BJ175" i="13"/>
  <c r="BI175" i="13"/>
  <c r="BK175" i="13"/>
  <c r="BI174" i="13"/>
  <c r="BK174" i="13"/>
  <c r="BJ174" i="13"/>
  <c r="BJ173" i="13"/>
  <c r="BI173" i="13"/>
  <c r="BK173" i="13"/>
  <c r="BI172" i="13"/>
  <c r="BK172" i="13"/>
  <c r="BJ172" i="13"/>
  <c r="BJ171" i="13"/>
  <c r="BI171" i="13"/>
  <c r="BK171" i="13"/>
  <c r="BI170" i="13"/>
  <c r="BK170" i="13"/>
  <c r="BJ170" i="13"/>
  <c r="BJ169" i="13"/>
  <c r="BI169" i="13"/>
  <c r="BK169" i="13"/>
  <c r="BI168" i="13"/>
  <c r="BK168" i="13"/>
  <c r="BJ168" i="13"/>
  <c r="BJ167" i="13"/>
  <c r="BI167" i="13"/>
  <c r="BK167" i="13"/>
  <c r="BI166" i="13"/>
  <c r="BK166" i="13"/>
  <c r="BJ166" i="13"/>
  <c r="BJ165" i="13"/>
  <c r="BK165" i="13"/>
  <c r="BI165" i="13"/>
  <c r="BI164" i="13"/>
  <c r="BK164" i="13"/>
  <c r="BJ164" i="13"/>
  <c r="BJ163" i="13"/>
  <c r="BI163" i="13"/>
  <c r="BK163" i="13"/>
  <c r="BI162" i="13"/>
  <c r="BK162" i="13"/>
  <c r="BJ162" i="13"/>
  <c r="BJ161" i="13"/>
  <c r="BK161" i="13"/>
  <c r="BI161" i="13"/>
  <c r="BI160" i="13"/>
  <c r="BK160" i="13"/>
  <c r="BJ160" i="13"/>
  <c r="BJ159" i="13"/>
  <c r="BI159" i="13"/>
  <c r="BK159" i="13"/>
  <c r="BI158" i="13"/>
  <c r="BK158" i="13"/>
  <c r="BJ158" i="13"/>
  <c r="BJ157" i="13"/>
  <c r="BK157" i="13"/>
  <c r="BI157" i="13"/>
  <c r="BI156" i="13"/>
  <c r="BK156" i="13"/>
  <c r="BJ156" i="13"/>
  <c r="BJ155" i="13"/>
  <c r="BI155" i="13"/>
  <c r="BK155" i="13"/>
  <c r="BI154" i="13"/>
  <c r="BK154" i="13"/>
  <c r="BJ154" i="13"/>
  <c r="BJ153" i="13"/>
  <c r="BK153" i="13"/>
  <c r="BI153" i="13"/>
  <c r="BI152" i="13"/>
  <c r="BK152" i="13"/>
  <c r="BJ152" i="13"/>
  <c r="BJ151" i="13"/>
  <c r="BI151" i="13"/>
  <c r="BK151" i="13"/>
  <c r="BI150" i="13"/>
  <c r="BK150" i="13"/>
  <c r="BJ150" i="13"/>
  <c r="BI149" i="13"/>
  <c r="BJ149" i="13"/>
  <c r="BK149" i="13"/>
  <c r="BJ148" i="13"/>
  <c r="BI148" i="13"/>
  <c r="BK148" i="13"/>
  <c r="BI147" i="13"/>
  <c r="BK147" i="13"/>
  <c r="BJ147" i="13"/>
  <c r="BJ146" i="13"/>
  <c r="BI146" i="13"/>
  <c r="BK146" i="13"/>
  <c r="BI145" i="13"/>
  <c r="BK145" i="13"/>
  <c r="BJ145" i="13"/>
  <c r="BJ144" i="13"/>
  <c r="BI144" i="13"/>
  <c r="BK144" i="13"/>
  <c r="BI143" i="13"/>
  <c r="BK143" i="13"/>
  <c r="BJ143" i="13"/>
  <c r="BJ142" i="13"/>
  <c r="BI142" i="13"/>
  <c r="BK142" i="13"/>
  <c r="BI141" i="13"/>
  <c r="BK141" i="13"/>
  <c r="BJ141" i="13"/>
  <c r="BJ140" i="13"/>
  <c r="BI140" i="13"/>
  <c r="BK140" i="13"/>
  <c r="BI139" i="13"/>
  <c r="BK139" i="13"/>
  <c r="BJ139" i="13"/>
  <c r="BJ138" i="13"/>
  <c r="BI138" i="13"/>
  <c r="BK138" i="13"/>
  <c r="BI137" i="13"/>
  <c r="BK137" i="13"/>
  <c r="BJ137" i="13"/>
  <c r="BJ136" i="13"/>
  <c r="BI136" i="13"/>
  <c r="BK136" i="13"/>
  <c r="BI135" i="13"/>
  <c r="BK135" i="13"/>
  <c r="BJ135" i="13"/>
  <c r="BJ134" i="13"/>
  <c r="BI134" i="13"/>
  <c r="BK134" i="13"/>
  <c r="BI133" i="13"/>
  <c r="BK133" i="13"/>
  <c r="BJ133" i="13"/>
  <c r="BJ132" i="13"/>
  <c r="BI132" i="13"/>
  <c r="BK132" i="13"/>
  <c r="BI131" i="13"/>
  <c r="BK131" i="13"/>
  <c r="BJ131" i="13"/>
  <c r="BJ130" i="13"/>
  <c r="BI130" i="13"/>
  <c r="BK130" i="13"/>
  <c r="BI129" i="13"/>
  <c r="BK129" i="13"/>
  <c r="BJ129" i="13"/>
  <c r="BJ128" i="13"/>
  <c r="BI128" i="13"/>
  <c r="BK128" i="13"/>
  <c r="BI127" i="13"/>
  <c r="BK127" i="13"/>
  <c r="BJ127" i="13"/>
  <c r="BJ126" i="13"/>
  <c r="BI126" i="13"/>
  <c r="BK126" i="13"/>
  <c r="BI125" i="13"/>
  <c r="BK125" i="13"/>
  <c r="BJ125" i="13"/>
  <c r="BJ124" i="13"/>
  <c r="BI124" i="13"/>
  <c r="BK124" i="13"/>
  <c r="BI123" i="13"/>
  <c r="BK123" i="13"/>
  <c r="BJ123" i="13"/>
  <c r="BJ122" i="13"/>
  <c r="BI122" i="13"/>
  <c r="BK122" i="13"/>
  <c r="BI121" i="13"/>
  <c r="BK121" i="13"/>
  <c r="BJ121" i="13"/>
  <c r="BJ120" i="13"/>
  <c r="BI120" i="13"/>
  <c r="BK120" i="13"/>
  <c r="BI119" i="13"/>
  <c r="BK119" i="13"/>
  <c r="BJ119" i="13"/>
  <c r="BJ118" i="13"/>
  <c r="BI118" i="13"/>
  <c r="BK118" i="13"/>
  <c r="BI117" i="13"/>
  <c r="BK117" i="13"/>
  <c r="BJ117" i="13"/>
  <c r="BJ116" i="13"/>
  <c r="BI116" i="13"/>
  <c r="BK116" i="13"/>
  <c r="BI115" i="13"/>
  <c r="BK115" i="13"/>
  <c r="BJ115" i="13"/>
  <c r="BJ114" i="13"/>
  <c r="BI114" i="13"/>
  <c r="BK114" i="13"/>
  <c r="BI113" i="13"/>
  <c r="BK113" i="13"/>
  <c r="BJ113" i="13"/>
  <c r="BJ112" i="13"/>
  <c r="BI112" i="13"/>
  <c r="BK112" i="13"/>
  <c r="BI111" i="13"/>
  <c r="BK111" i="13"/>
  <c r="BJ111" i="13"/>
  <c r="BJ110" i="13"/>
  <c r="BI110" i="13"/>
  <c r="BK110" i="13"/>
  <c r="BI109" i="13"/>
  <c r="BK109" i="13"/>
  <c r="BJ109" i="13"/>
  <c r="BJ108" i="13"/>
  <c r="BI108" i="13"/>
  <c r="BK108" i="13"/>
  <c r="BI107" i="13"/>
  <c r="BK107" i="13"/>
  <c r="BJ107" i="13"/>
  <c r="BJ106" i="13"/>
  <c r="BI106" i="13"/>
  <c r="BK106" i="13"/>
  <c r="BI105" i="13"/>
  <c r="BK105" i="13"/>
  <c r="BJ105" i="13"/>
  <c r="BJ104" i="13"/>
  <c r="BI104" i="13"/>
  <c r="BK104" i="13"/>
  <c r="BI103" i="13"/>
  <c r="BK103" i="13"/>
  <c r="BJ103" i="13"/>
  <c r="BJ102" i="13"/>
  <c r="BI102" i="13"/>
  <c r="BK102" i="13"/>
  <c r="BI101" i="13"/>
  <c r="BK101" i="13"/>
  <c r="BJ101" i="13"/>
  <c r="BJ100" i="13"/>
  <c r="BI100" i="13"/>
  <c r="BK100" i="13"/>
  <c r="BI99" i="13"/>
  <c r="BK99" i="13"/>
  <c r="BJ99" i="13"/>
  <c r="BJ98" i="13"/>
  <c r="BI98" i="13"/>
  <c r="BK98" i="13"/>
  <c r="BI97" i="13"/>
  <c r="BK97" i="13"/>
  <c r="BJ97" i="13"/>
  <c r="BJ96" i="13"/>
  <c r="BI96" i="13"/>
  <c r="BK96" i="13"/>
  <c r="BI95" i="13"/>
  <c r="BK95" i="13"/>
  <c r="BJ95" i="13"/>
  <c r="BJ94" i="13"/>
  <c r="BI94" i="13"/>
  <c r="BK94" i="13"/>
  <c r="BI93" i="13"/>
  <c r="BK93" i="13"/>
  <c r="BJ93" i="13"/>
  <c r="BJ92" i="13"/>
  <c r="BI92" i="13"/>
  <c r="BK92" i="13"/>
  <c r="BI91" i="13"/>
  <c r="BK91" i="13"/>
  <c r="BJ91" i="13"/>
  <c r="BJ90" i="13"/>
  <c r="BI90" i="13"/>
  <c r="BK90" i="13"/>
  <c r="BI89" i="13"/>
  <c r="BK89" i="13"/>
  <c r="BJ89" i="13"/>
  <c r="BJ88" i="13"/>
  <c r="BI88" i="13"/>
  <c r="BK88" i="13"/>
  <c r="BI87" i="13"/>
  <c r="BK87" i="13"/>
  <c r="BJ87" i="13"/>
  <c r="BJ86" i="13"/>
  <c r="BI86" i="13"/>
  <c r="BK86" i="13"/>
  <c r="BI85" i="13"/>
  <c r="BK85" i="13"/>
  <c r="BJ85" i="13"/>
  <c r="BJ84" i="13"/>
  <c r="BI84" i="13"/>
  <c r="BK84" i="13"/>
  <c r="BI83" i="13"/>
  <c r="BK83" i="13"/>
  <c r="BJ83" i="13"/>
  <c r="BJ82" i="13"/>
  <c r="BI82" i="13"/>
  <c r="BK82" i="13"/>
  <c r="BI81" i="13"/>
  <c r="BK81" i="13"/>
  <c r="BJ81" i="13"/>
  <c r="BJ80" i="13"/>
  <c r="BI80" i="13"/>
  <c r="BK80" i="13"/>
  <c r="BI79" i="13"/>
  <c r="BK79" i="13"/>
  <c r="BJ79" i="13"/>
  <c r="BJ78" i="13"/>
  <c r="BI78" i="13"/>
  <c r="BK78" i="13"/>
  <c r="BI77" i="13"/>
  <c r="BK77" i="13"/>
  <c r="BJ77" i="13"/>
  <c r="BJ76" i="13"/>
  <c r="BI76" i="13"/>
  <c r="BK76" i="13"/>
  <c r="BI75" i="13"/>
  <c r="BK75" i="13"/>
  <c r="BJ75" i="13"/>
  <c r="BJ74" i="13"/>
  <c r="BI74" i="13"/>
  <c r="BK74" i="13"/>
  <c r="BI73" i="13"/>
  <c r="BK73" i="13"/>
  <c r="BJ73" i="13"/>
  <c r="BJ72" i="13"/>
  <c r="BI72" i="13"/>
  <c r="BK72" i="13"/>
  <c r="BI71" i="13"/>
  <c r="BK71" i="13"/>
  <c r="BJ71" i="13"/>
  <c r="BJ70" i="13"/>
  <c r="BI70" i="13"/>
  <c r="BK70" i="13"/>
  <c r="BI69" i="13"/>
  <c r="BK69" i="13"/>
  <c r="BJ69" i="13"/>
  <c r="BJ68" i="13"/>
  <c r="BI68" i="13"/>
  <c r="BK68" i="13"/>
  <c r="BI67" i="13"/>
  <c r="BK67" i="13"/>
  <c r="BJ67" i="13"/>
  <c r="BJ66" i="13"/>
  <c r="BI66" i="13"/>
  <c r="BK66" i="13"/>
  <c r="BI65" i="13"/>
  <c r="BK65" i="13"/>
  <c r="BJ65" i="13"/>
  <c r="BJ64" i="13"/>
  <c r="BI64" i="13"/>
  <c r="BK64" i="13"/>
  <c r="BI63" i="13"/>
  <c r="BK63" i="13"/>
  <c r="BJ63" i="13"/>
  <c r="BJ62" i="13"/>
  <c r="BI62" i="13"/>
  <c r="BK62" i="13"/>
  <c r="BI61" i="13"/>
  <c r="BK61" i="13"/>
  <c r="BJ61" i="13"/>
  <c r="BJ60" i="13"/>
  <c r="BI60" i="13"/>
  <c r="BK60" i="13"/>
  <c r="BI59" i="13"/>
  <c r="BK59" i="13"/>
  <c r="BJ59" i="13"/>
  <c r="BJ58" i="13"/>
  <c r="BI58" i="13"/>
  <c r="BK58" i="13"/>
  <c r="BI57" i="13"/>
  <c r="BK57" i="13"/>
  <c r="BJ57" i="13"/>
  <c r="BJ56" i="13"/>
  <c r="BI56" i="13"/>
  <c r="BK56" i="13"/>
  <c r="BI55" i="13"/>
  <c r="BK55" i="13"/>
  <c r="BJ55" i="13"/>
  <c r="BJ54" i="13"/>
  <c r="BI54" i="13"/>
  <c r="BK54" i="13"/>
  <c r="BI53" i="13"/>
  <c r="BK53" i="13"/>
  <c r="BJ53" i="13"/>
  <c r="BJ52" i="13"/>
  <c r="BI52" i="13"/>
  <c r="BK52" i="13"/>
  <c r="BI51" i="13"/>
  <c r="BK51" i="13"/>
  <c r="BJ51" i="13"/>
  <c r="BJ50" i="13"/>
  <c r="BI50" i="13"/>
  <c r="BK50" i="13"/>
  <c r="BI49" i="13"/>
  <c r="BK49" i="13"/>
  <c r="BJ49" i="13"/>
  <c r="BJ48" i="13"/>
  <c r="BI48" i="13"/>
  <c r="BK48" i="13"/>
  <c r="BI47" i="13"/>
  <c r="BK47" i="13"/>
  <c r="BJ47" i="13"/>
  <c r="BJ46" i="13"/>
  <c r="BI46" i="13"/>
  <c r="BK46" i="13"/>
  <c r="BI45" i="13"/>
  <c r="BK45" i="13"/>
  <c r="BJ45" i="13"/>
  <c r="BJ44" i="13"/>
  <c r="BI44" i="13"/>
  <c r="BK44" i="13"/>
  <c r="BI43" i="13"/>
  <c r="BK43" i="13"/>
  <c r="BJ43" i="13"/>
  <c r="BJ42" i="13"/>
  <c r="BI42" i="13"/>
  <c r="BK42" i="13"/>
  <c r="BI41" i="13"/>
  <c r="BK41" i="13"/>
  <c r="BJ41" i="13"/>
  <c r="BJ40" i="13"/>
  <c r="BI40" i="13"/>
  <c r="BK40" i="13"/>
  <c r="BI39" i="13"/>
  <c r="BK39" i="13"/>
  <c r="BJ39" i="13"/>
  <c r="BJ38" i="13"/>
  <c r="BI38" i="13"/>
  <c r="BK38" i="13"/>
  <c r="BI37" i="13"/>
  <c r="BK37" i="13"/>
  <c r="BJ37" i="13"/>
  <c r="BJ36" i="13"/>
  <c r="BI36" i="13"/>
  <c r="BK36" i="13"/>
  <c r="BI35" i="13"/>
  <c r="BK35" i="13"/>
  <c r="BJ35" i="13"/>
  <c r="BJ34" i="13"/>
  <c r="BI34" i="13"/>
  <c r="BK34" i="13"/>
  <c r="BI33" i="13"/>
  <c r="BK33" i="13"/>
  <c r="BJ33" i="13"/>
  <c r="BJ32" i="13"/>
  <c r="BI32" i="13"/>
  <c r="BK32" i="13"/>
  <c r="BI31" i="13"/>
  <c r="BK31" i="13"/>
  <c r="BJ31" i="13"/>
  <c r="BJ30" i="13"/>
  <c r="BI30" i="13"/>
  <c r="BK30" i="13"/>
  <c r="BI29" i="13"/>
  <c r="BK29" i="13"/>
  <c r="BJ29" i="13"/>
  <c r="BJ28" i="13"/>
  <c r="BI28" i="13"/>
  <c r="BK28" i="13"/>
  <c r="BI27" i="13"/>
  <c r="BK27" i="13"/>
  <c r="BJ27" i="13"/>
  <c r="BJ26" i="13"/>
  <c r="BI26" i="13"/>
  <c r="BK26" i="13"/>
  <c r="BI25" i="13"/>
  <c r="BK25" i="13"/>
  <c r="BJ25" i="13"/>
  <c r="BJ24" i="13"/>
  <c r="BI24" i="13"/>
  <c r="BK24" i="13"/>
  <c r="BI23" i="13"/>
  <c r="BK23" i="13"/>
  <c r="BJ23" i="13"/>
  <c r="BJ22" i="13"/>
  <c r="BI22" i="13"/>
  <c r="BK22" i="13"/>
  <c r="BI21" i="13"/>
  <c r="BK21" i="13"/>
  <c r="BJ21" i="13"/>
  <c r="BJ20" i="13"/>
  <c r="BI20" i="13"/>
  <c r="BK20" i="13"/>
  <c r="BI19" i="13"/>
  <c r="BK19" i="13"/>
  <c r="BJ19" i="13"/>
  <c r="BJ18" i="13"/>
  <c r="BI18" i="13"/>
  <c r="BK18" i="13"/>
  <c r="BI17" i="13"/>
  <c r="BK17" i="13"/>
  <c r="BJ17" i="13"/>
  <c r="BJ16" i="13"/>
  <c r="BI16" i="13"/>
  <c r="BK16" i="13"/>
  <c r="BI15" i="13"/>
  <c r="BK15" i="13"/>
  <c r="BJ15" i="13"/>
  <c r="BJ14" i="13"/>
  <c r="BI14" i="13"/>
  <c r="BK14" i="13"/>
  <c r="BI13" i="13"/>
  <c r="BK13" i="13"/>
  <c r="BJ13" i="13"/>
  <c r="BJ12" i="13"/>
  <c r="BI12" i="13"/>
  <c r="BK12" i="13"/>
  <c r="BI11" i="13"/>
  <c r="BK11" i="13"/>
  <c r="BJ11" i="13"/>
  <c r="BJ10" i="13"/>
  <c r="BI10" i="13"/>
  <c r="BK10" i="13"/>
  <c r="BI9" i="13"/>
  <c r="BK9" i="13"/>
  <c r="BJ9" i="13"/>
  <c r="CQ9" i="13" l="1"/>
  <c r="AL499" i="13"/>
  <c r="AC496" i="13"/>
  <c r="CQ14" i="13"/>
  <c r="CQ7" i="13"/>
  <c r="AC497" i="13"/>
  <c r="AC498" i="13"/>
  <c r="CQ21" i="13"/>
  <c r="CQ12" i="13"/>
  <c r="CQ15" i="13"/>
  <c r="CQ17" i="13"/>
  <c r="CQ20" i="13"/>
  <c r="CQ13" i="13"/>
  <c r="CQ6" i="13"/>
  <c r="CQ10" i="13"/>
  <c r="CQ8" i="13"/>
  <c r="AL498" i="13"/>
  <c r="AL497" i="13"/>
  <c r="CQ11" i="13"/>
  <c r="CQ19" i="13"/>
  <c r="CQ22" i="13"/>
  <c r="CQ16" i="13"/>
  <c r="CQ18" i="13"/>
  <c r="BL252" i="13"/>
  <c r="AL496" i="13"/>
  <c r="BL224" i="13"/>
  <c r="BL236" i="13"/>
  <c r="BL248" i="13"/>
  <c r="BL256" i="13"/>
  <c r="BL260" i="13"/>
  <c r="BL240" i="13"/>
  <c r="BL232" i="13"/>
  <c r="BL243" i="13"/>
  <c r="BL259" i="13"/>
  <c r="BL216" i="13"/>
  <c r="BL220" i="13"/>
  <c r="BL219" i="13"/>
  <c r="BL208" i="13"/>
  <c r="BL211" i="13"/>
  <c r="BL227" i="13"/>
  <c r="BL231" i="13"/>
  <c r="BL235" i="13"/>
  <c r="BL247" i="13"/>
  <c r="BL251" i="13"/>
  <c r="BL255" i="13"/>
  <c r="BL160" i="13"/>
  <c r="BL176" i="13"/>
  <c r="BL147" i="13"/>
  <c r="BL163" i="13"/>
  <c r="BL179" i="13"/>
  <c r="BL195" i="13"/>
  <c r="BL192" i="13"/>
  <c r="BL204" i="13"/>
  <c r="BL144" i="13"/>
  <c r="BL143" i="13"/>
  <c r="BL151" i="13"/>
  <c r="BL155" i="13"/>
  <c r="BL159" i="13"/>
  <c r="BL167" i="13"/>
  <c r="BL171" i="13"/>
  <c r="BL175" i="13"/>
  <c r="BL183" i="13"/>
  <c r="BL187" i="13"/>
  <c r="BL191" i="13"/>
  <c r="BL199" i="13"/>
  <c r="BL203" i="13"/>
  <c r="BL140" i="13"/>
  <c r="BL148" i="13"/>
  <c r="BL152" i="13"/>
  <c r="BL168" i="13"/>
  <c r="BL184" i="13"/>
  <c r="BL200" i="13"/>
  <c r="BL139" i="13"/>
  <c r="BL207" i="13"/>
  <c r="BL215" i="13"/>
  <c r="BL223" i="13"/>
  <c r="BL239" i="13"/>
  <c r="BL156" i="13"/>
  <c r="BL164" i="13"/>
  <c r="BL172" i="13"/>
  <c r="BL180" i="13"/>
  <c r="BL188" i="13"/>
  <c r="BL196" i="13"/>
  <c r="BL212" i="13"/>
  <c r="BL228" i="13"/>
  <c r="BL244" i="13"/>
  <c r="BL141" i="13"/>
  <c r="BL142" i="13"/>
  <c r="BL145" i="13"/>
  <c r="BL146" i="13"/>
  <c r="BL149" i="13"/>
  <c r="BL150" i="13"/>
  <c r="BL153" i="13"/>
  <c r="BL154" i="13"/>
  <c r="BL157" i="13"/>
  <c r="BL158" i="13"/>
  <c r="BL161" i="13"/>
  <c r="BL162" i="13"/>
  <c r="BL165" i="13"/>
  <c r="BL166" i="13"/>
  <c r="BL169" i="13"/>
  <c r="BL170" i="13"/>
  <c r="BL173" i="13"/>
  <c r="BL174" i="13"/>
  <c r="BL177" i="13"/>
  <c r="BL178" i="13"/>
  <c r="BL181" i="13"/>
  <c r="BL182" i="13"/>
  <c r="BL185" i="13"/>
  <c r="BL186" i="13"/>
  <c r="BL189" i="13"/>
  <c r="BL190" i="13"/>
  <c r="BL193" i="13"/>
  <c r="BL194" i="13"/>
  <c r="BL197" i="13"/>
  <c r="BL198" i="13"/>
  <c r="BL201" i="13"/>
  <c r="BL202" i="13"/>
  <c r="BL205" i="13"/>
  <c r="BL206" i="13"/>
  <c r="BL209" i="13"/>
  <c r="BL210" i="13"/>
  <c r="BL213" i="13"/>
  <c r="BL214" i="13"/>
  <c r="BL217" i="13"/>
  <c r="BL218" i="13"/>
  <c r="BL221" i="13"/>
  <c r="BL222" i="13"/>
  <c r="BL225" i="13"/>
  <c r="BL226" i="13"/>
  <c r="BL229" i="13"/>
  <c r="BL230" i="13"/>
  <c r="BL233" i="13"/>
  <c r="BL234" i="13"/>
  <c r="BL237" i="13"/>
  <c r="BL238" i="13"/>
  <c r="BL241" i="13"/>
  <c r="BL242" i="13"/>
  <c r="BL245" i="13"/>
  <c r="BL246" i="13"/>
  <c r="BL249" i="13"/>
  <c r="BL250" i="13"/>
  <c r="BL253" i="13"/>
  <c r="BL254" i="13"/>
  <c r="BL257" i="13"/>
  <c r="BL258" i="13"/>
  <c r="BL261" i="13"/>
  <c r="BL10" i="13"/>
  <c r="BL12" i="13"/>
  <c r="BL14" i="13"/>
  <c r="BL16" i="13"/>
  <c r="BL18" i="13"/>
  <c r="BL20" i="13"/>
  <c r="BL22" i="13"/>
  <c r="BL24" i="13"/>
  <c r="BL26" i="13"/>
  <c r="BL28" i="13"/>
  <c r="BL30" i="13"/>
  <c r="BL32" i="13"/>
  <c r="BL34" i="13"/>
  <c r="BL36" i="13"/>
  <c r="BL38" i="13"/>
  <c r="BL40" i="13"/>
  <c r="BL42" i="13"/>
  <c r="BL44" i="13"/>
  <c r="BL46" i="13"/>
  <c r="BL48" i="13"/>
  <c r="BL50" i="13"/>
  <c r="BL52" i="13"/>
  <c r="BL54" i="13"/>
  <c r="BL56" i="13"/>
  <c r="BL58" i="13"/>
  <c r="BL60" i="13"/>
  <c r="BL62" i="13"/>
  <c r="BL64" i="13"/>
  <c r="BL66" i="13"/>
  <c r="BL68" i="13"/>
  <c r="BL70" i="13"/>
  <c r="BL72" i="13"/>
  <c r="BL74" i="13"/>
  <c r="BL76" i="13"/>
  <c r="BL78" i="13"/>
  <c r="BL80" i="13"/>
  <c r="BL82" i="13"/>
  <c r="BL84" i="13"/>
  <c r="BL86" i="13"/>
  <c r="BL88" i="13"/>
  <c r="BL90" i="13"/>
  <c r="BL92" i="13"/>
  <c r="BL94" i="13"/>
  <c r="BL96" i="13"/>
  <c r="BL98" i="13"/>
  <c r="BL100" i="13"/>
  <c r="BL102" i="13"/>
  <c r="BL104" i="13"/>
  <c r="BL106" i="13"/>
  <c r="BL108" i="13"/>
  <c r="BL110" i="13"/>
  <c r="BL112" i="13"/>
  <c r="BL114" i="13"/>
  <c r="BL116" i="13"/>
  <c r="BL118" i="13"/>
  <c r="BL120" i="13"/>
  <c r="BL122" i="13"/>
  <c r="BL124" i="13"/>
  <c r="BL126" i="13"/>
  <c r="BL128" i="13"/>
  <c r="BL130" i="13"/>
  <c r="BL132" i="13"/>
  <c r="BL134" i="13"/>
  <c r="BL136" i="13"/>
  <c r="BL138" i="13"/>
  <c r="BL8" i="13"/>
  <c r="BL5" i="13"/>
  <c r="BL293" i="13"/>
  <c r="BL295" i="13"/>
  <c r="BL297" i="13"/>
  <c r="BL299" i="13"/>
  <c r="BL301" i="13"/>
  <c r="BL303" i="13"/>
  <c r="BL305" i="13"/>
  <c r="BL307" i="13"/>
  <c r="BL309" i="13"/>
  <c r="BL311" i="13"/>
  <c r="BL313" i="13"/>
  <c r="BL315" i="13"/>
  <c r="BL317" i="13"/>
  <c r="BL320" i="13"/>
  <c r="BL324" i="13"/>
  <c r="BL328" i="13"/>
  <c r="BL332" i="13"/>
  <c r="BL337" i="13"/>
  <c r="BL339" i="13"/>
  <c r="BL341" i="13"/>
  <c r="BL343" i="13"/>
  <c r="BL345" i="13"/>
  <c r="BL347" i="13"/>
  <c r="BL349" i="13"/>
  <c r="BL351" i="13"/>
  <c r="BL353" i="13"/>
  <c r="BL355" i="13"/>
  <c r="BL357" i="13"/>
  <c r="BL359" i="13"/>
  <c r="BL361" i="13"/>
  <c r="BL363" i="13"/>
  <c r="BL365" i="13"/>
  <c r="BL367" i="13"/>
  <c r="BL369" i="13"/>
  <c r="BL371" i="13"/>
  <c r="BL373" i="13"/>
  <c r="BL375" i="13"/>
  <c r="BL377" i="13"/>
  <c r="BL379" i="13"/>
  <c r="BL381" i="13"/>
  <c r="BL383" i="13"/>
  <c r="BL385" i="13"/>
  <c r="BL387" i="13"/>
  <c r="BL389" i="13"/>
  <c r="BL391" i="13"/>
  <c r="BL393" i="13"/>
  <c r="BL395" i="13"/>
  <c r="BL397" i="13"/>
  <c r="BL399" i="13"/>
  <c r="BL401" i="13"/>
  <c r="BL403" i="13"/>
  <c r="BL405" i="13"/>
  <c r="BL407" i="13"/>
  <c r="BL409" i="13"/>
  <c r="BL411" i="13"/>
  <c r="BL413" i="13"/>
  <c r="BL415" i="13"/>
  <c r="BL417" i="13"/>
  <c r="BL419" i="13"/>
  <c r="BL421" i="13"/>
  <c r="BL423" i="13"/>
  <c r="BL425" i="13"/>
  <c r="BL427" i="13"/>
  <c r="BL429" i="13"/>
  <c r="BL431" i="13"/>
  <c r="BL433" i="13"/>
  <c r="BL435" i="13"/>
  <c r="BL437" i="13"/>
  <c r="BL439" i="13"/>
  <c r="BL441" i="13"/>
  <c r="BL443" i="13"/>
  <c r="BL445" i="13"/>
  <c r="BL447" i="13"/>
  <c r="BL449" i="13"/>
  <c r="BL451" i="13"/>
  <c r="BL453" i="13"/>
  <c r="BL455" i="13"/>
  <c r="BL457" i="13"/>
  <c r="BL459" i="13"/>
  <c r="BL461" i="13"/>
  <c r="BL463" i="13"/>
  <c r="BL465" i="13"/>
  <c r="BL467" i="13"/>
  <c r="BL469" i="13"/>
  <c r="BL471" i="13"/>
  <c r="BL473" i="13"/>
  <c r="BL475" i="13"/>
  <c r="BL477" i="13"/>
  <c r="BL479" i="13"/>
  <c r="BL481" i="13"/>
  <c r="BL483" i="13"/>
  <c r="BL485" i="13"/>
  <c r="BL487" i="13"/>
  <c r="BL489" i="13"/>
  <c r="BL491" i="13"/>
  <c r="BL493" i="13"/>
  <c r="BL495" i="13"/>
  <c r="BL497" i="13"/>
  <c r="BL499" i="13"/>
  <c r="BL501" i="13"/>
  <c r="BL503" i="13"/>
  <c r="BL505" i="13"/>
  <c r="BL73" i="13"/>
  <c r="BL9" i="13"/>
  <c r="BL13" i="13"/>
  <c r="BL19" i="13"/>
  <c r="BL25" i="13"/>
  <c r="BL29" i="13"/>
  <c r="BL31" i="13"/>
  <c r="BL35" i="13"/>
  <c r="BL39" i="13"/>
  <c r="BL45" i="13"/>
  <c r="BL49" i="13"/>
  <c r="BL51" i="13"/>
  <c r="BL55" i="13"/>
  <c r="BL61" i="13"/>
  <c r="BL63" i="13"/>
  <c r="BL67" i="13"/>
  <c r="BL71" i="13"/>
  <c r="BL75" i="13"/>
  <c r="BL77" i="13"/>
  <c r="BL79" i="13"/>
  <c r="BL81" i="13"/>
  <c r="BL83" i="13"/>
  <c r="BL85" i="13"/>
  <c r="BL87" i="13"/>
  <c r="BL89" i="13"/>
  <c r="BL91" i="13"/>
  <c r="BL93" i="13"/>
  <c r="BL95" i="13"/>
  <c r="BL97" i="13"/>
  <c r="BL99" i="13"/>
  <c r="BL101" i="13"/>
  <c r="BL103" i="13"/>
  <c r="BL105" i="13"/>
  <c r="BL107" i="13"/>
  <c r="BL109" i="13"/>
  <c r="BL111" i="13"/>
  <c r="BL113" i="13"/>
  <c r="BL115" i="13"/>
  <c r="BL117" i="13"/>
  <c r="BL119" i="13"/>
  <c r="BL121" i="13"/>
  <c r="BL123" i="13"/>
  <c r="BL125" i="13"/>
  <c r="BL127" i="13"/>
  <c r="BL129" i="13"/>
  <c r="BL131" i="13"/>
  <c r="BL133" i="13"/>
  <c r="BL135" i="13"/>
  <c r="BL137" i="13"/>
  <c r="BL263" i="13"/>
  <c r="BL266" i="13"/>
  <c r="BL268" i="13"/>
  <c r="BL270" i="13"/>
  <c r="BL272" i="13"/>
  <c r="BL274" i="13"/>
  <c r="BL276" i="13"/>
  <c r="BL278" i="13"/>
  <c r="BL280" i="13"/>
  <c r="BL282" i="13"/>
  <c r="BL284" i="13"/>
  <c r="BL286" i="13"/>
  <c r="BL288" i="13"/>
  <c r="BL290" i="13"/>
  <c r="BL294" i="13"/>
  <c r="BL296" i="13"/>
  <c r="BL298" i="13"/>
  <c r="BL300" i="13"/>
  <c r="BL302" i="13"/>
  <c r="BL304" i="13"/>
  <c r="BL306" i="13"/>
  <c r="BL308" i="13"/>
  <c r="BL310" i="13"/>
  <c r="BL312" i="13"/>
  <c r="BL314" i="13"/>
  <c r="BL316" i="13"/>
  <c r="BL318" i="13"/>
  <c r="BL336" i="13"/>
  <c r="BL338" i="13"/>
  <c r="BL340" i="13"/>
  <c r="BL342" i="13"/>
  <c r="BL344" i="13"/>
  <c r="BL346" i="13"/>
  <c r="BL348" i="13"/>
  <c r="BL350" i="13"/>
  <c r="BL352" i="13"/>
  <c r="BL354" i="13"/>
  <c r="BL356" i="13"/>
  <c r="BL358" i="13"/>
  <c r="BL360" i="13"/>
  <c r="BL362" i="13"/>
  <c r="BL364" i="13"/>
  <c r="BL366" i="13"/>
  <c r="BL368" i="13"/>
  <c r="BL370" i="13"/>
  <c r="BL372" i="13"/>
  <c r="BL374" i="13"/>
  <c r="BL376" i="13"/>
  <c r="BL378" i="13"/>
  <c r="BL380" i="13"/>
  <c r="BL382" i="13"/>
  <c r="BL384" i="13"/>
  <c r="BL386" i="13"/>
  <c r="BL388" i="13"/>
  <c r="BL390" i="13"/>
  <c r="BL392" i="13"/>
  <c r="BL394" i="13"/>
  <c r="BL396" i="13"/>
  <c r="BL398" i="13"/>
  <c r="BL400" i="13"/>
  <c r="BL402" i="13"/>
  <c r="BL404" i="13"/>
  <c r="BL406" i="13"/>
  <c r="BL408" i="13"/>
  <c r="BL410" i="13"/>
  <c r="BL412" i="13"/>
  <c r="BL414" i="13"/>
  <c r="BL416" i="13"/>
  <c r="BL418" i="13"/>
  <c r="BL420" i="13"/>
  <c r="BL422" i="13"/>
  <c r="BL424" i="13"/>
  <c r="BL426" i="13"/>
  <c r="BL428" i="13"/>
  <c r="BL430" i="13"/>
  <c r="BL432" i="13"/>
  <c r="BL434" i="13"/>
  <c r="BL436" i="13"/>
  <c r="BL438" i="13"/>
  <c r="BL440" i="13"/>
  <c r="BL442" i="13"/>
  <c r="BL444" i="13"/>
  <c r="BL446" i="13"/>
  <c r="BL448" i="13"/>
  <c r="BL450" i="13"/>
  <c r="BL452" i="13"/>
  <c r="BL454" i="13"/>
  <c r="BL456" i="13"/>
  <c r="BL458" i="13"/>
  <c r="BL460" i="13"/>
  <c r="BL462" i="13"/>
  <c r="BL464" i="13"/>
  <c r="BL466" i="13"/>
  <c r="BL468" i="13"/>
  <c r="BL470" i="13"/>
  <c r="BL472" i="13"/>
  <c r="BL474" i="13"/>
  <c r="BL476" i="13"/>
  <c r="BL478" i="13"/>
  <c r="BL480" i="13"/>
  <c r="BL482" i="13"/>
  <c r="BL484" i="13"/>
  <c r="BL486" i="13"/>
  <c r="BL488" i="13"/>
  <c r="BL490" i="13"/>
  <c r="BL492" i="13"/>
  <c r="BL494" i="13"/>
  <c r="BL496" i="13"/>
  <c r="BL498" i="13"/>
  <c r="BL500" i="13"/>
  <c r="BL502" i="13"/>
  <c r="BL504" i="13"/>
  <c r="BL506" i="13"/>
  <c r="BL6" i="13"/>
  <c r="BL11" i="13"/>
  <c r="BL15" i="13"/>
  <c r="BL17" i="13"/>
  <c r="BL21" i="13"/>
  <c r="BL23" i="13"/>
  <c r="BL27" i="13"/>
  <c r="BL33" i="13"/>
  <c r="BL37" i="13"/>
  <c r="BL41" i="13"/>
  <c r="BL43" i="13"/>
  <c r="BL47" i="13"/>
  <c r="BL53" i="13"/>
  <c r="BL57" i="13"/>
  <c r="BL59" i="13"/>
  <c r="BL65" i="13"/>
  <c r="BL69" i="13"/>
  <c r="BL262" i="13"/>
  <c r="BL264" i="13"/>
  <c r="BL265" i="13"/>
  <c r="BL267" i="13"/>
  <c r="BL269" i="13"/>
  <c r="BL271" i="13"/>
  <c r="BL273" i="13"/>
  <c r="BL275" i="13"/>
  <c r="BL277" i="13"/>
  <c r="BL279" i="13"/>
  <c r="BL281" i="13"/>
  <c r="BL283" i="13"/>
  <c r="BL285" i="13"/>
  <c r="BL287" i="13"/>
  <c r="BL289" i="13"/>
  <c r="BL291" i="13"/>
  <c r="BL292" i="13"/>
  <c r="BL319" i="13"/>
  <c r="BL321" i="13"/>
  <c r="BL322" i="13"/>
  <c r="BL323" i="13"/>
  <c r="BL325" i="13"/>
  <c r="BL326" i="13"/>
  <c r="BL327" i="13"/>
  <c r="BL329" i="13"/>
  <c r="BL330" i="13"/>
  <c r="BL331" i="13"/>
  <c r="BL333" i="13"/>
  <c r="BL334" i="13"/>
  <c r="BL335" i="13"/>
  <c r="BL7" i="13"/>
  <c r="U495" i="13"/>
  <c r="AB495" i="13"/>
  <c r="AK495" i="13"/>
  <c r="AO495" i="13"/>
  <c r="AU495" i="13"/>
  <c r="BA495" i="13"/>
  <c r="AA495" i="13"/>
  <c r="AJ495" i="13"/>
  <c r="AT495" i="13"/>
  <c r="AZ495" i="13"/>
  <c r="Z495" i="13"/>
  <c r="AI495" i="13"/>
  <c r="AS495" i="13"/>
  <c r="AY495" i="13"/>
  <c r="Y495" i="13"/>
  <c r="AH495" i="13"/>
  <c r="AR495" i="13"/>
  <c r="AX495" i="13"/>
  <c r="X495" i="13"/>
  <c r="AG495" i="13"/>
  <c r="AQ495" i="13"/>
  <c r="AW495" i="13"/>
  <c r="W495" i="13"/>
  <c r="AF495" i="13"/>
  <c r="AP495" i="13"/>
  <c r="AV495" i="13"/>
  <c r="BT52" i="13" l="1"/>
  <c r="BT73" i="13"/>
  <c r="AD495" i="13"/>
  <c r="AE495" i="13"/>
  <c r="AN495" i="13"/>
  <c r="BB495" i="13"/>
  <c r="AM495" i="13"/>
  <c r="BT65" i="13"/>
  <c r="BT55" i="13"/>
  <c r="BT56" i="13"/>
  <c r="BT78" i="13"/>
  <c r="BT62" i="13"/>
  <c r="BT67" i="13"/>
  <c r="BT76" i="13"/>
  <c r="BT59" i="13"/>
  <c r="BT57" i="13"/>
  <c r="BT60" i="13"/>
  <c r="BT71" i="13"/>
  <c r="BT61" i="13"/>
  <c r="BT74" i="13"/>
  <c r="BT69" i="13"/>
  <c r="BT66" i="13"/>
  <c r="BT54" i="13"/>
  <c r="BT58" i="13"/>
  <c r="BT77" i="13"/>
  <c r="BT68" i="13"/>
  <c r="BT72" i="13"/>
  <c r="BT63" i="13"/>
  <c r="BT70" i="13"/>
  <c r="BT64" i="13"/>
  <c r="BT53" i="13"/>
  <c r="BT75" i="13"/>
  <c r="AC495" i="13" l="1"/>
  <c r="AL495" i="13"/>
  <c r="BT79" i="13"/>
  <c r="BU75" i="13" s="1"/>
  <c r="U494" i="13"/>
  <c r="AB494" i="13"/>
  <c r="AK494" i="13"/>
  <c r="AO494" i="13"/>
  <c r="AU494" i="13"/>
  <c r="BA494" i="13"/>
  <c r="AA494" i="13"/>
  <c r="AJ494" i="13"/>
  <c r="AT494" i="13"/>
  <c r="AZ494" i="13"/>
  <c r="Z494" i="13"/>
  <c r="AI494" i="13"/>
  <c r="AS494" i="13"/>
  <c r="AY494" i="13"/>
  <c r="Y494" i="13"/>
  <c r="AH494" i="13"/>
  <c r="AR494" i="13"/>
  <c r="AX494" i="13"/>
  <c r="X494" i="13"/>
  <c r="AG494" i="13"/>
  <c r="AQ494" i="13"/>
  <c r="AW494" i="13"/>
  <c r="W494" i="13"/>
  <c r="AF494" i="13"/>
  <c r="AP494" i="13"/>
  <c r="AV494" i="13"/>
  <c r="AE494" i="13" l="1"/>
  <c r="AN494" i="13"/>
  <c r="BU57" i="13"/>
  <c r="BU65" i="13"/>
  <c r="BB494" i="13"/>
  <c r="BU54" i="13"/>
  <c r="BU62" i="13"/>
  <c r="BU61" i="13"/>
  <c r="BU55" i="13"/>
  <c r="BU56" i="13"/>
  <c r="BU76" i="13"/>
  <c r="BU60" i="13"/>
  <c r="BU69" i="13"/>
  <c r="BU72" i="13"/>
  <c r="BU71" i="13"/>
  <c r="BU77" i="13"/>
  <c r="BU70" i="13"/>
  <c r="BU67" i="13"/>
  <c r="BU58" i="13"/>
  <c r="BU53" i="13"/>
  <c r="BU78" i="13"/>
  <c r="BU59" i="13"/>
  <c r="BU74" i="13"/>
  <c r="BU63" i="13"/>
  <c r="BU66" i="13"/>
  <c r="BU68" i="13"/>
  <c r="BU64" i="13"/>
  <c r="BU79" i="13"/>
  <c r="BU73" i="13"/>
  <c r="BU52" i="13"/>
  <c r="AM494" i="13"/>
  <c r="AD494" i="13"/>
  <c r="CC11" i="13"/>
  <c r="CC42" i="13"/>
  <c r="CC12" i="13"/>
  <c r="CC32" i="13"/>
  <c r="CC23" i="13"/>
  <c r="CC37" i="13"/>
  <c r="CC26" i="13"/>
  <c r="CC28" i="13"/>
  <c r="CC27" i="13"/>
  <c r="CC35" i="13"/>
  <c r="CC41" i="13"/>
  <c r="CC39" i="13"/>
  <c r="CC14" i="13"/>
  <c r="CC18" i="13"/>
  <c r="CC48" i="13"/>
  <c r="CC31" i="13"/>
  <c r="CC29" i="13"/>
  <c r="CC10" i="13"/>
  <c r="CC16" i="13"/>
  <c r="CC40" i="13"/>
  <c r="CC49" i="13"/>
  <c r="CC22" i="13"/>
  <c r="CC7" i="13"/>
  <c r="CC6" i="13"/>
  <c r="CC15" i="13"/>
  <c r="CC9" i="13"/>
  <c r="CC34" i="13"/>
  <c r="CC36" i="13"/>
  <c r="CC25" i="13"/>
  <c r="CC46" i="13"/>
  <c r="CC20" i="13"/>
  <c r="CC19" i="13"/>
  <c r="CC38" i="13"/>
  <c r="CC45" i="13"/>
  <c r="CC44" i="13"/>
  <c r="CC33" i="13"/>
  <c r="CC21" i="13"/>
  <c r="CC24" i="13"/>
  <c r="CC5" i="13"/>
  <c r="CC17" i="13"/>
  <c r="CC47" i="13"/>
  <c r="CC30" i="13"/>
  <c r="CC43" i="13"/>
  <c r="CC8" i="13"/>
  <c r="CC13" i="13"/>
  <c r="CD11" i="13"/>
  <c r="CD42" i="13"/>
  <c r="CD12" i="13"/>
  <c r="CD32" i="13"/>
  <c r="CD23" i="13"/>
  <c r="CD37" i="13"/>
  <c r="CD26" i="13"/>
  <c r="CD28" i="13"/>
  <c r="CD27" i="13"/>
  <c r="CD35" i="13"/>
  <c r="CD41" i="13"/>
  <c r="CD39" i="13"/>
  <c r="CD14" i="13"/>
  <c r="CD18" i="13"/>
  <c r="CD48" i="13"/>
  <c r="CD31" i="13"/>
  <c r="CD29" i="13"/>
  <c r="CD10" i="13"/>
  <c r="CD16" i="13"/>
  <c r="CD40" i="13"/>
  <c r="CD49" i="13"/>
  <c r="CD22" i="13"/>
  <c r="CD7" i="13"/>
  <c r="CD6" i="13"/>
  <c r="CD15" i="13"/>
  <c r="CD9" i="13"/>
  <c r="CD34" i="13"/>
  <c r="CD36" i="13"/>
  <c r="CD25" i="13"/>
  <c r="CD46" i="13"/>
  <c r="CD20" i="13"/>
  <c r="CD19" i="13"/>
  <c r="CD38" i="13"/>
  <c r="CD45" i="13"/>
  <c r="CD44" i="13"/>
  <c r="CD33" i="13"/>
  <c r="CD21" i="13"/>
  <c r="CD24" i="13"/>
  <c r="CD5" i="13"/>
  <c r="CD17" i="13"/>
  <c r="CD47" i="13"/>
  <c r="CD30" i="13"/>
  <c r="CD43" i="13"/>
  <c r="CD8" i="13"/>
  <c r="CD13" i="13"/>
  <c r="AL494" i="13" l="1"/>
  <c r="AC494" i="13"/>
  <c r="BW5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A101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A102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A103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A104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A105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A106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A107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A108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A109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A110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A111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A112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A113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A114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A115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A116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A117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A118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A119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A120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A121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A122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A123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A125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A126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A127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A128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A129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A131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A132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A133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A134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A135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A137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A138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A139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A140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A141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A142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A143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A144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A145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A146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A148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A149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A150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A151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A152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A153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A154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A155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A156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A157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A158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A159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A160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A161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A162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A163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A164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A165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A166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A167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A168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A169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A170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A171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A172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A173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A174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A175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A176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A177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A178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A179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A180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A181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A182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A183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A184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A185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A186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A187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A188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A189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A190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A191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A192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A193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A194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A195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A196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A197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A198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A199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A200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A201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A202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A203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A204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A205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A207" i="13"/>
  <c r="AP208" i="13"/>
  <c r="AQ208" i="13"/>
  <c r="AR208" i="13"/>
  <c r="AT208" i="13"/>
  <c r="AU208" i="13"/>
  <c r="AV208" i="13"/>
  <c r="AW208" i="13"/>
  <c r="AX208" i="13"/>
  <c r="AY208" i="13"/>
  <c r="AZ208" i="13"/>
  <c r="BA208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A209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A210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A211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A212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A213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A214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A215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A216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A217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A218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A219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A220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A221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A222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A223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A224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A225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A226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A227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A228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A229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A230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A231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A232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A233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A234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A235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A236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A237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A238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A239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A240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A241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A242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A243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A244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A245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A246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A247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A248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A249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A250" i="13"/>
  <c r="AP251" i="13"/>
  <c r="AQ251" i="13"/>
  <c r="AR251" i="13"/>
  <c r="AS251" i="13"/>
  <c r="AT251" i="13"/>
  <c r="AU251" i="13"/>
  <c r="AV251" i="13"/>
  <c r="AW251" i="13"/>
  <c r="AX251" i="13"/>
  <c r="AY251" i="13"/>
  <c r="AZ251" i="13"/>
  <c r="BA251" i="13"/>
  <c r="AP252" i="13"/>
  <c r="AQ252" i="13"/>
  <c r="AR252" i="13"/>
  <c r="AS252" i="13"/>
  <c r="AT252" i="13"/>
  <c r="AU252" i="13"/>
  <c r="AV252" i="13"/>
  <c r="AW252" i="13"/>
  <c r="AX252" i="13"/>
  <c r="AY252" i="13"/>
  <c r="AZ252" i="13"/>
  <c r="BA252" i="13"/>
  <c r="AP253" i="13"/>
  <c r="AQ253" i="13"/>
  <c r="AR253" i="13"/>
  <c r="AS253" i="13"/>
  <c r="AT253" i="13"/>
  <c r="AU253" i="13"/>
  <c r="AV253" i="13"/>
  <c r="AW253" i="13"/>
  <c r="AX253" i="13"/>
  <c r="AY253" i="13"/>
  <c r="AZ253" i="13"/>
  <c r="BA253" i="13"/>
  <c r="AP254" i="13"/>
  <c r="AQ254" i="13"/>
  <c r="AR254" i="13"/>
  <c r="AS254" i="13"/>
  <c r="AT254" i="13"/>
  <c r="AU254" i="13"/>
  <c r="AV254" i="13"/>
  <c r="AW254" i="13"/>
  <c r="AX254" i="13"/>
  <c r="AY254" i="13"/>
  <c r="AZ254" i="13"/>
  <c r="BA254" i="13"/>
  <c r="AP255" i="13"/>
  <c r="AQ255" i="13"/>
  <c r="AR255" i="13"/>
  <c r="AS255" i="13"/>
  <c r="AT255" i="13"/>
  <c r="AU255" i="13"/>
  <c r="AV255" i="13"/>
  <c r="AW255" i="13"/>
  <c r="AX255" i="13"/>
  <c r="AY255" i="13"/>
  <c r="AZ255" i="13"/>
  <c r="BA255" i="13"/>
  <c r="AP256" i="13"/>
  <c r="AQ256" i="13"/>
  <c r="AR256" i="13"/>
  <c r="AS256" i="13"/>
  <c r="AT256" i="13"/>
  <c r="AU256" i="13"/>
  <c r="AV256" i="13"/>
  <c r="AW256" i="13"/>
  <c r="AX256" i="13"/>
  <c r="AY256" i="13"/>
  <c r="AZ256" i="13"/>
  <c r="BA256" i="13"/>
  <c r="AP257" i="13"/>
  <c r="AQ257" i="13"/>
  <c r="AR257" i="13"/>
  <c r="AS257" i="13"/>
  <c r="AT257" i="13"/>
  <c r="AU257" i="13"/>
  <c r="AV257" i="13"/>
  <c r="AW257" i="13"/>
  <c r="AX257" i="13"/>
  <c r="AY257" i="13"/>
  <c r="AZ257" i="13"/>
  <c r="BA257" i="13"/>
  <c r="AP258" i="13"/>
  <c r="AQ258" i="13"/>
  <c r="AR258" i="13"/>
  <c r="AS258" i="13"/>
  <c r="AT258" i="13"/>
  <c r="AU258" i="13"/>
  <c r="AV258" i="13"/>
  <c r="AW258" i="13"/>
  <c r="AX258" i="13"/>
  <c r="AY258" i="13"/>
  <c r="AZ258" i="13"/>
  <c r="BA258" i="13"/>
  <c r="AP259" i="13"/>
  <c r="AQ259" i="13"/>
  <c r="AR259" i="13"/>
  <c r="AS259" i="13"/>
  <c r="AT259" i="13"/>
  <c r="AU259" i="13"/>
  <c r="AV259" i="13"/>
  <c r="AW259" i="13"/>
  <c r="AX259" i="13"/>
  <c r="AY259" i="13"/>
  <c r="AZ259" i="13"/>
  <c r="BA259" i="13"/>
  <c r="AP260" i="13"/>
  <c r="AQ260" i="13"/>
  <c r="AR260" i="13"/>
  <c r="AS260" i="13"/>
  <c r="AT260" i="13"/>
  <c r="AU260" i="13"/>
  <c r="AV260" i="13"/>
  <c r="AW260" i="13"/>
  <c r="AX260" i="13"/>
  <c r="AY260" i="13"/>
  <c r="AZ260" i="13"/>
  <c r="BA260" i="13"/>
  <c r="AP261" i="13"/>
  <c r="AQ261" i="13"/>
  <c r="AR261" i="13"/>
  <c r="AS261" i="13"/>
  <c r="AT261" i="13"/>
  <c r="AU261" i="13"/>
  <c r="AV261" i="13"/>
  <c r="AW261" i="13"/>
  <c r="AX261" i="13"/>
  <c r="AY261" i="13"/>
  <c r="AZ261" i="13"/>
  <c r="BA261" i="13"/>
  <c r="AP262" i="13"/>
  <c r="AQ262" i="13"/>
  <c r="AR262" i="13"/>
  <c r="AS262" i="13"/>
  <c r="AT262" i="13"/>
  <c r="AU262" i="13"/>
  <c r="AV262" i="13"/>
  <c r="AW262" i="13"/>
  <c r="AX262" i="13"/>
  <c r="AY262" i="13"/>
  <c r="AZ262" i="13"/>
  <c r="BA262" i="13"/>
  <c r="AP263" i="13"/>
  <c r="AQ263" i="13"/>
  <c r="AR263" i="13"/>
  <c r="AS263" i="13"/>
  <c r="AT263" i="13"/>
  <c r="AU263" i="13"/>
  <c r="AV263" i="13"/>
  <c r="AW263" i="13"/>
  <c r="AX263" i="13"/>
  <c r="AY263" i="13"/>
  <c r="AZ263" i="13"/>
  <c r="BA263" i="13"/>
  <c r="AP264" i="13"/>
  <c r="AQ264" i="13"/>
  <c r="AR264" i="13"/>
  <c r="AS264" i="13"/>
  <c r="AT264" i="13"/>
  <c r="AU264" i="13"/>
  <c r="AV264" i="13"/>
  <c r="AW264" i="13"/>
  <c r="AX264" i="13"/>
  <c r="AY264" i="13"/>
  <c r="AZ264" i="13"/>
  <c r="BA264" i="13"/>
  <c r="AP265" i="13"/>
  <c r="AQ265" i="13"/>
  <c r="AR265" i="13"/>
  <c r="AS265" i="13"/>
  <c r="AT265" i="13"/>
  <c r="AU265" i="13"/>
  <c r="AV265" i="13"/>
  <c r="AW265" i="13"/>
  <c r="AX265" i="13"/>
  <c r="AY265" i="13"/>
  <c r="AZ265" i="13"/>
  <c r="BA265" i="13"/>
  <c r="AP266" i="13"/>
  <c r="AQ266" i="13"/>
  <c r="AR266" i="13"/>
  <c r="AS266" i="13"/>
  <c r="AT266" i="13"/>
  <c r="AU266" i="13"/>
  <c r="AV266" i="13"/>
  <c r="AW266" i="13"/>
  <c r="AX266" i="13"/>
  <c r="AY266" i="13"/>
  <c r="AZ266" i="13"/>
  <c r="BA266" i="13"/>
  <c r="AP267" i="13"/>
  <c r="AQ267" i="13"/>
  <c r="AR267" i="13"/>
  <c r="AS267" i="13"/>
  <c r="AT267" i="13"/>
  <c r="AU267" i="13"/>
  <c r="AV267" i="13"/>
  <c r="AW267" i="13"/>
  <c r="AX267" i="13"/>
  <c r="AY267" i="13"/>
  <c r="AZ267" i="13"/>
  <c r="BA267" i="13"/>
  <c r="AP268" i="13"/>
  <c r="AQ268" i="13"/>
  <c r="AR268" i="13"/>
  <c r="AS268" i="13"/>
  <c r="AT268" i="13"/>
  <c r="AU268" i="13"/>
  <c r="AV268" i="13"/>
  <c r="AW268" i="13"/>
  <c r="AX268" i="13"/>
  <c r="AY268" i="13"/>
  <c r="AZ268" i="13"/>
  <c r="BA268" i="13"/>
  <c r="AP269" i="13"/>
  <c r="AQ269" i="13"/>
  <c r="AR269" i="13"/>
  <c r="AS269" i="13"/>
  <c r="AT269" i="13"/>
  <c r="AU269" i="13"/>
  <c r="AV269" i="13"/>
  <c r="AW269" i="13"/>
  <c r="AX269" i="13"/>
  <c r="AY269" i="13"/>
  <c r="AZ269" i="13"/>
  <c r="BA269" i="13"/>
  <c r="AP270" i="13"/>
  <c r="AQ270" i="13"/>
  <c r="AR270" i="13"/>
  <c r="AS270" i="13"/>
  <c r="AT270" i="13"/>
  <c r="AU270" i="13"/>
  <c r="AV270" i="13"/>
  <c r="AW270" i="13"/>
  <c r="AX270" i="13"/>
  <c r="AY270" i="13"/>
  <c r="AZ270" i="13"/>
  <c r="BA270" i="13"/>
  <c r="AP271" i="13"/>
  <c r="AQ271" i="13"/>
  <c r="AR271" i="13"/>
  <c r="AS271" i="13"/>
  <c r="AT271" i="13"/>
  <c r="AU271" i="13"/>
  <c r="AV271" i="13"/>
  <c r="AW271" i="13"/>
  <c r="AX271" i="13"/>
  <c r="AY271" i="13"/>
  <c r="AZ271" i="13"/>
  <c r="BA271" i="13"/>
  <c r="AP272" i="13"/>
  <c r="AQ272" i="13"/>
  <c r="AR272" i="13"/>
  <c r="AS272" i="13"/>
  <c r="AT272" i="13"/>
  <c r="AU272" i="13"/>
  <c r="AV272" i="13"/>
  <c r="AW272" i="13"/>
  <c r="AX272" i="13"/>
  <c r="AY272" i="13"/>
  <c r="AZ272" i="13"/>
  <c r="BA272" i="13"/>
  <c r="AP273" i="13"/>
  <c r="AQ273" i="13"/>
  <c r="AR273" i="13"/>
  <c r="AS273" i="13"/>
  <c r="AT273" i="13"/>
  <c r="AU273" i="13"/>
  <c r="AV273" i="13"/>
  <c r="AW273" i="13"/>
  <c r="AX273" i="13"/>
  <c r="AY273" i="13"/>
  <c r="AZ273" i="13"/>
  <c r="BA273" i="13"/>
  <c r="AP274" i="13"/>
  <c r="AQ274" i="13"/>
  <c r="AR274" i="13"/>
  <c r="AS274" i="13"/>
  <c r="AT274" i="13"/>
  <c r="AU274" i="13"/>
  <c r="AV274" i="13"/>
  <c r="AW274" i="13"/>
  <c r="AX274" i="13"/>
  <c r="AY274" i="13"/>
  <c r="AZ274" i="13"/>
  <c r="BA274" i="13"/>
  <c r="AP275" i="13"/>
  <c r="AQ275" i="13"/>
  <c r="AR275" i="13"/>
  <c r="AS275" i="13"/>
  <c r="AT275" i="13"/>
  <c r="AU275" i="13"/>
  <c r="AV275" i="13"/>
  <c r="AW275" i="13"/>
  <c r="AX275" i="13"/>
  <c r="AY275" i="13"/>
  <c r="AZ275" i="13"/>
  <c r="BA275" i="13"/>
  <c r="AP276" i="13"/>
  <c r="AQ276" i="13"/>
  <c r="AR276" i="13"/>
  <c r="AS276" i="13"/>
  <c r="AT276" i="13"/>
  <c r="AU276" i="13"/>
  <c r="AV276" i="13"/>
  <c r="AW276" i="13"/>
  <c r="AX276" i="13"/>
  <c r="AY276" i="13"/>
  <c r="AZ276" i="13"/>
  <c r="BA276" i="13"/>
  <c r="AP277" i="13"/>
  <c r="AQ277" i="13"/>
  <c r="AR277" i="13"/>
  <c r="AS277" i="13"/>
  <c r="AT277" i="13"/>
  <c r="AU277" i="13"/>
  <c r="AV277" i="13"/>
  <c r="AW277" i="13"/>
  <c r="AX277" i="13"/>
  <c r="AY277" i="13"/>
  <c r="AZ277" i="13"/>
  <c r="BA277" i="13"/>
  <c r="AP278" i="13"/>
  <c r="AQ278" i="13"/>
  <c r="AR278" i="13"/>
  <c r="AS278" i="13"/>
  <c r="AT278" i="13"/>
  <c r="AU278" i="13"/>
  <c r="AV278" i="13"/>
  <c r="AW278" i="13"/>
  <c r="AX278" i="13"/>
  <c r="AY278" i="13"/>
  <c r="AZ278" i="13"/>
  <c r="BA278" i="13"/>
  <c r="AP279" i="13"/>
  <c r="AQ279" i="13"/>
  <c r="AR279" i="13"/>
  <c r="AS279" i="13"/>
  <c r="AT279" i="13"/>
  <c r="AU279" i="13"/>
  <c r="AV279" i="13"/>
  <c r="AW279" i="13"/>
  <c r="AX279" i="13"/>
  <c r="AY279" i="13"/>
  <c r="AZ279" i="13"/>
  <c r="BA279" i="13"/>
  <c r="AP280" i="13"/>
  <c r="AQ280" i="13"/>
  <c r="AR280" i="13"/>
  <c r="AS280" i="13"/>
  <c r="AT280" i="13"/>
  <c r="AU280" i="13"/>
  <c r="AV280" i="13"/>
  <c r="AW280" i="13"/>
  <c r="AX280" i="13"/>
  <c r="AY280" i="13"/>
  <c r="AZ280" i="13"/>
  <c r="BA280" i="13"/>
  <c r="AP281" i="13"/>
  <c r="AQ281" i="13"/>
  <c r="AR281" i="13"/>
  <c r="AS281" i="13"/>
  <c r="AT281" i="13"/>
  <c r="AU281" i="13"/>
  <c r="AV281" i="13"/>
  <c r="AW281" i="13"/>
  <c r="AX281" i="13"/>
  <c r="AY281" i="13"/>
  <c r="AZ281" i="13"/>
  <c r="BA281" i="13"/>
  <c r="AP282" i="13"/>
  <c r="AQ282" i="13"/>
  <c r="AR282" i="13"/>
  <c r="AS282" i="13"/>
  <c r="AT282" i="13"/>
  <c r="AU282" i="13"/>
  <c r="AV282" i="13"/>
  <c r="AW282" i="13"/>
  <c r="AX282" i="13"/>
  <c r="AY282" i="13"/>
  <c r="AZ282" i="13"/>
  <c r="BA282" i="13"/>
  <c r="AP283" i="13"/>
  <c r="AQ283" i="13"/>
  <c r="AR283" i="13"/>
  <c r="AS283" i="13"/>
  <c r="AT283" i="13"/>
  <c r="AU283" i="13"/>
  <c r="AV283" i="13"/>
  <c r="AW283" i="13"/>
  <c r="AX283" i="13"/>
  <c r="AY283" i="13"/>
  <c r="AZ283" i="13"/>
  <c r="BA283" i="13"/>
  <c r="AP284" i="13"/>
  <c r="AQ284" i="13"/>
  <c r="AR284" i="13"/>
  <c r="AS284" i="13"/>
  <c r="AT284" i="13"/>
  <c r="AU284" i="13"/>
  <c r="AV284" i="13"/>
  <c r="AW284" i="13"/>
  <c r="AX284" i="13"/>
  <c r="AY284" i="13"/>
  <c r="AZ284" i="13"/>
  <c r="BA284" i="13"/>
  <c r="AP285" i="13"/>
  <c r="AQ285" i="13"/>
  <c r="AR285" i="13"/>
  <c r="AS285" i="13"/>
  <c r="AT285" i="13"/>
  <c r="AU285" i="13"/>
  <c r="AV285" i="13"/>
  <c r="AW285" i="13"/>
  <c r="AX285" i="13"/>
  <c r="AY285" i="13"/>
  <c r="AZ285" i="13"/>
  <c r="BA285" i="13"/>
  <c r="AP286" i="13"/>
  <c r="AQ286" i="13"/>
  <c r="AR286" i="13"/>
  <c r="AS286" i="13"/>
  <c r="AT286" i="13"/>
  <c r="AU286" i="13"/>
  <c r="AV286" i="13"/>
  <c r="AW286" i="13"/>
  <c r="AX286" i="13"/>
  <c r="AY286" i="13"/>
  <c r="AZ286" i="13"/>
  <c r="BA286" i="13"/>
  <c r="AP287" i="13"/>
  <c r="AQ287" i="13"/>
  <c r="AR287" i="13"/>
  <c r="AS287" i="13"/>
  <c r="AT287" i="13"/>
  <c r="AU287" i="13"/>
  <c r="AV287" i="13"/>
  <c r="AW287" i="13"/>
  <c r="AX287" i="13"/>
  <c r="AY287" i="13"/>
  <c r="AZ287" i="13"/>
  <c r="BA287" i="13"/>
  <c r="AP288" i="13"/>
  <c r="AQ288" i="13"/>
  <c r="AR288" i="13"/>
  <c r="AS288" i="13"/>
  <c r="AT288" i="13"/>
  <c r="AU288" i="13"/>
  <c r="AV288" i="13"/>
  <c r="AW288" i="13"/>
  <c r="AX288" i="13"/>
  <c r="AY288" i="13"/>
  <c r="AZ288" i="13"/>
  <c r="BA288" i="13"/>
  <c r="AP289" i="13"/>
  <c r="AQ289" i="13"/>
  <c r="AR289" i="13"/>
  <c r="AS289" i="13"/>
  <c r="AT289" i="13"/>
  <c r="AU289" i="13"/>
  <c r="AV289" i="13"/>
  <c r="AW289" i="13"/>
  <c r="AX289" i="13"/>
  <c r="AY289" i="13"/>
  <c r="AZ289" i="13"/>
  <c r="BA289" i="13"/>
  <c r="AP290" i="13"/>
  <c r="AQ290" i="13"/>
  <c r="AR290" i="13"/>
  <c r="AS290" i="13"/>
  <c r="AT290" i="13"/>
  <c r="AU290" i="13"/>
  <c r="AV290" i="13"/>
  <c r="AW290" i="13"/>
  <c r="AX290" i="13"/>
  <c r="AY290" i="13"/>
  <c r="AZ290" i="13"/>
  <c r="BA290" i="13"/>
  <c r="AP291" i="13"/>
  <c r="AQ291" i="13"/>
  <c r="AR291" i="13"/>
  <c r="AS291" i="13"/>
  <c r="AT291" i="13"/>
  <c r="AU291" i="13"/>
  <c r="AV291" i="13"/>
  <c r="AW291" i="13"/>
  <c r="AX291" i="13"/>
  <c r="AY291" i="13"/>
  <c r="AZ291" i="13"/>
  <c r="BA291" i="13"/>
  <c r="AP292" i="13"/>
  <c r="AQ292" i="13"/>
  <c r="AR292" i="13"/>
  <c r="AS292" i="13"/>
  <c r="AT292" i="13"/>
  <c r="AU292" i="13"/>
  <c r="AV292" i="13"/>
  <c r="AW292" i="13"/>
  <c r="AX292" i="13"/>
  <c r="AY292" i="13"/>
  <c r="AZ292" i="13"/>
  <c r="BA292" i="13"/>
  <c r="AP293" i="13"/>
  <c r="AQ293" i="13"/>
  <c r="AR293" i="13"/>
  <c r="AS293" i="13"/>
  <c r="AT293" i="13"/>
  <c r="AU293" i="13"/>
  <c r="AV293" i="13"/>
  <c r="AW293" i="13"/>
  <c r="AX293" i="13"/>
  <c r="AY293" i="13"/>
  <c r="AZ293" i="13"/>
  <c r="BA293" i="13"/>
  <c r="AP294" i="13"/>
  <c r="AQ294" i="13"/>
  <c r="AR294" i="13"/>
  <c r="AS294" i="13"/>
  <c r="AT294" i="13"/>
  <c r="AU294" i="13"/>
  <c r="AV294" i="13"/>
  <c r="AW294" i="13"/>
  <c r="AX294" i="13"/>
  <c r="AY294" i="13"/>
  <c r="AZ294" i="13"/>
  <c r="BA294" i="13"/>
  <c r="AP295" i="13"/>
  <c r="AQ295" i="13"/>
  <c r="AR295" i="13"/>
  <c r="AS295" i="13"/>
  <c r="AT295" i="13"/>
  <c r="AU295" i="13"/>
  <c r="AV295" i="13"/>
  <c r="AW295" i="13"/>
  <c r="AX295" i="13"/>
  <c r="AY295" i="13"/>
  <c r="AZ295" i="13"/>
  <c r="BA295" i="13"/>
  <c r="AP296" i="13"/>
  <c r="AQ296" i="13"/>
  <c r="AR296" i="13"/>
  <c r="AS296" i="13"/>
  <c r="AT296" i="13"/>
  <c r="AU296" i="13"/>
  <c r="AV296" i="13"/>
  <c r="AW296" i="13"/>
  <c r="AX296" i="13"/>
  <c r="AY296" i="13"/>
  <c r="AZ296" i="13"/>
  <c r="BA296" i="13"/>
  <c r="AP297" i="13"/>
  <c r="AQ297" i="13"/>
  <c r="AR297" i="13"/>
  <c r="AS297" i="13"/>
  <c r="AT297" i="13"/>
  <c r="AU297" i="13"/>
  <c r="AV297" i="13"/>
  <c r="AW297" i="13"/>
  <c r="AX297" i="13"/>
  <c r="AY297" i="13"/>
  <c r="AZ297" i="13"/>
  <c r="BA297" i="13"/>
  <c r="AP298" i="13"/>
  <c r="AQ298" i="13"/>
  <c r="AR298" i="13"/>
  <c r="AS298" i="13"/>
  <c r="AT298" i="13"/>
  <c r="AU298" i="13"/>
  <c r="AV298" i="13"/>
  <c r="AW298" i="13"/>
  <c r="AX298" i="13"/>
  <c r="AY298" i="13"/>
  <c r="AZ298" i="13"/>
  <c r="BA298" i="13"/>
  <c r="AP299" i="13"/>
  <c r="AQ299" i="13"/>
  <c r="AR299" i="13"/>
  <c r="AS299" i="13"/>
  <c r="AT299" i="13"/>
  <c r="AU299" i="13"/>
  <c r="AV299" i="13"/>
  <c r="AW299" i="13"/>
  <c r="AX299" i="13"/>
  <c r="AY299" i="13"/>
  <c r="AZ299" i="13"/>
  <c r="BA299" i="13"/>
  <c r="AP300" i="13"/>
  <c r="AQ300" i="13"/>
  <c r="AR300" i="13"/>
  <c r="AS300" i="13"/>
  <c r="AT300" i="13"/>
  <c r="AU300" i="13"/>
  <c r="AV300" i="13"/>
  <c r="AW300" i="13"/>
  <c r="AX300" i="13"/>
  <c r="AY300" i="13"/>
  <c r="AZ300" i="13"/>
  <c r="BA300" i="13"/>
  <c r="AP301" i="13"/>
  <c r="AQ301" i="13"/>
  <c r="AR301" i="13"/>
  <c r="AS301" i="13"/>
  <c r="AT301" i="13"/>
  <c r="AU301" i="13"/>
  <c r="AV301" i="13"/>
  <c r="AW301" i="13"/>
  <c r="AX301" i="13"/>
  <c r="AY301" i="13"/>
  <c r="AZ301" i="13"/>
  <c r="BA301" i="13"/>
  <c r="AP302" i="13"/>
  <c r="AQ302" i="13"/>
  <c r="AR302" i="13"/>
  <c r="AS302" i="13"/>
  <c r="AT302" i="13"/>
  <c r="AU302" i="13"/>
  <c r="AV302" i="13"/>
  <c r="AW302" i="13"/>
  <c r="AX302" i="13"/>
  <c r="AY302" i="13"/>
  <c r="AZ302" i="13"/>
  <c r="BA302" i="13"/>
  <c r="AP303" i="13"/>
  <c r="AQ303" i="13"/>
  <c r="AR303" i="13"/>
  <c r="AS303" i="13"/>
  <c r="AT303" i="13"/>
  <c r="AU303" i="13"/>
  <c r="AV303" i="13"/>
  <c r="AW303" i="13"/>
  <c r="AX303" i="13"/>
  <c r="AY303" i="13"/>
  <c r="AZ303" i="13"/>
  <c r="BA303" i="13"/>
  <c r="AP304" i="13"/>
  <c r="AQ304" i="13"/>
  <c r="AR304" i="13"/>
  <c r="AS304" i="13"/>
  <c r="AT304" i="13"/>
  <c r="AU304" i="13"/>
  <c r="AV304" i="13"/>
  <c r="AW304" i="13"/>
  <c r="AX304" i="13"/>
  <c r="AY304" i="13"/>
  <c r="AZ304" i="13"/>
  <c r="BA304" i="13"/>
  <c r="AP305" i="13"/>
  <c r="AQ305" i="13"/>
  <c r="AR305" i="13"/>
  <c r="AS305" i="13"/>
  <c r="AT305" i="13"/>
  <c r="AU305" i="13"/>
  <c r="AV305" i="13"/>
  <c r="AW305" i="13"/>
  <c r="AX305" i="13"/>
  <c r="AY305" i="13"/>
  <c r="AZ305" i="13"/>
  <c r="BA305" i="13"/>
  <c r="AP306" i="13"/>
  <c r="AQ306" i="13"/>
  <c r="AR306" i="13"/>
  <c r="AS306" i="13"/>
  <c r="AT306" i="13"/>
  <c r="AU306" i="13"/>
  <c r="AV306" i="13"/>
  <c r="AW306" i="13"/>
  <c r="AX306" i="13"/>
  <c r="AY306" i="13"/>
  <c r="AZ306" i="13"/>
  <c r="BA306" i="13"/>
  <c r="AP307" i="13"/>
  <c r="AQ307" i="13"/>
  <c r="AR307" i="13"/>
  <c r="AS307" i="13"/>
  <c r="AT307" i="13"/>
  <c r="AU307" i="13"/>
  <c r="AV307" i="13"/>
  <c r="AW307" i="13"/>
  <c r="AX307" i="13"/>
  <c r="AY307" i="13"/>
  <c r="AZ307" i="13"/>
  <c r="BA307" i="13"/>
  <c r="AP308" i="13"/>
  <c r="AQ308" i="13"/>
  <c r="AR308" i="13"/>
  <c r="AS308" i="13"/>
  <c r="AT308" i="13"/>
  <c r="AU308" i="13"/>
  <c r="AV308" i="13"/>
  <c r="AW308" i="13"/>
  <c r="AX308" i="13"/>
  <c r="AY308" i="13"/>
  <c r="AZ308" i="13"/>
  <c r="BA308" i="13"/>
  <c r="AP309" i="13"/>
  <c r="AQ309" i="13"/>
  <c r="AR309" i="13"/>
  <c r="AS309" i="13"/>
  <c r="AT309" i="13"/>
  <c r="AU309" i="13"/>
  <c r="AV309" i="13"/>
  <c r="AW309" i="13"/>
  <c r="AX309" i="13"/>
  <c r="AY309" i="13"/>
  <c r="AZ309" i="13"/>
  <c r="BA309" i="13"/>
  <c r="AP310" i="13"/>
  <c r="AQ310" i="13"/>
  <c r="AR310" i="13"/>
  <c r="AS310" i="13"/>
  <c r="AT310" i="13"/>
  <c r="AU310" i="13"/>
  <c r="AV310" i="13"/>
  <c r="AW310" i="13"/>
  <c r="AX310" i="13"/>
  <c r="AY310" i="13"/>
  <c r="AZ310" i="13"/>
  <c r="BA310" i="13"/>
  <c r="AP311" i="13"/>
  <c r="AQ311" i="13"/>
  <c r="AR311" i="13"/>
  <c r="AS311" i="13"/>
  <c r="AT311" i="13"/>
  <c r="AU311" i="13"/>
  <c r="AV311" i="13"/>
  <c r="AW311" i="13"/>
  <c r="AX311" i="13"/>
  <c r="AY311" i="13"/>
  <c r="AZ311" i="13"/>
  <c r="BA311" i="13"/>
  <c r="AP312" i="13"/>
  <c r="AQ312" i="13"/>
  <c r="AR312" i="13"/>
  <c r="AS312" i="13"/>
  <c r="AT312" i="13"/>
  <c r="AU312" i="13"/>
  <c r="AV312" i="13"/>
  <c r="AW312" i="13"/>
  <c r="AX312" i="13"/>
  <c r="AY312" i="13"/>
  <c r="AZ312" i="13"/>
  <c r="BA312" i="13"/>
  <c r="AP313" i="13"/>
  <c r="AQ313" i="13"/>
  <c r="AR313" i="13"/>
  <c r="AS313" i="13"/>
  <c r="AT313" i="13"/>
  <c r="AU313" i="13"/>
  <c r="AV313" i="13"/>
  <c r="AW313" i="13"/>
  <c r="AX313" i="13"/>
  <c r="AY313" i="13"/>
  <c r="AZ313" i="13"/>
  <c r="BA313" i="13"/>
  <c r="AP314" i="13"/>
  <c r="AQ314" i="13"/>
  <c r="AR314" i="13"/>
  <c r="AS314" i="13"/>
  <c r="AT314" i="13"/>
  <c r="AU314" i="13"/>
  <c r="AV314" i="13"/>
  <c r="AW314" i="13"/>
  <c r="AX314" i="13"/>
  <c r="AY314" i="13"/>
  <c r="AZ314" i="13"/>
  <c r="BA314" i="13"/>
  <c r="AP315" i="13"/>
  <c r="AQ315" i="13"/>
  <c r="AR315" i="13"/>
  <c r="AS315" i="13"/>
  <c r="AT315" i="13"/>
  <c r="AU315" i="13"/>
  <c r="AV315" i="13"/>
  <c r="AW315" i="13"/>
  <c r="AX315" i="13"/>
  <c r="AY315" i="13"/>
  <c r="AZ315" i="13"/>
  <c r="BA315" i="13"/>
  <c r="AP316" i="13"/>
  <c r="AQ316" i="13"/>
  <c r="AR316" i="13"/>
  <c r="AS316" i="13"/>
  <c r="AT316" i="13"/>
  <c r="AU316" i="13"/>
  <c r="AV316" i="13"/>
  <c r="AW316" i="13"/>
  <c r="AX316" i="13"/>
  <c r="AY316" i="13"/>
  <c r="AZ316" i="13"/>
  <c r="BA316" i="13"/>
  <c r="AP317" i="13"/>
  <c r="AQ317" i="13"/>
  <c r="AR317" i="13"/>
  <c r="AS317" i="13"/>
  <c r="AT317" i="13"/>
  <c r="AU317" i="13"/>
  <c r="AV317" i="13"/>
  <c r="AW317" i="13"/>
  <c r="AX317" i="13"/>
  <c r="AY317" i="13"/>
  <c r="AZ317" i="13"/>
  <c r="BA317" i="13"/>
  <c r="AP318" i="13"/>
  <c r="AQ318" i="13"/>
  <c r="AR318" i="13"/>
  <c r="AS318" i="13"/>
  <c r="AT318" i="13"/>
  <c r="AU318" i="13"/>
  <c r="AV318" i="13"/>
  <c r="AW318" i="13"/>
  <c r="AX318" i="13"/>
  <c r="AY318" i="13"/>
  <c r="AZ318" i="13"/>
  <c r="BA318" i="13"/>
  <c r="AP319" i="13"/>
  <c r="AQ319" i="13"/>
  <c r="AR319" i="13"/>
  <c r="AS319" i="13"/>
  <c r="AT319" i="13"/>
  <c r="AU319" i="13"/>
  <c r="AV319" i="13"/>
  <c r="AW319" i="13"/>
  <c r="AX319" i="13"/>
  <c r="AY319" i="13"/>
  <c r="AZ319" i="13"/>
  <c r="BA319" i="13"/>
  <c r="AP320" i="13"/>
  <c r="AQ320" i="13"/>
  <c r="AR320" i="13"/>
  <c r="AS320" i="13"/>
  <c r="AT320" i="13"/>
  <c r="AU320" i="13"/>
  <c r="AV320" i="13"/>
  <c r="AW320" i="13"/>
  <c r="AX320" i="13"/>
  <c r="AY320" i="13"/>
  <c r="AZ320" i="13"/>
  <c r="BA320" i="13"/>
  <c r="AP321" i="13"/>
  <c r="AQ321" i="13"/>
  <c r="AR321" i="13"/>
  <c r="AS321" i="13"/>
  <c r="AT321" i="13"/>
  <c r="AU321" i="13"/>
  <c r="AV321" i="13"/>
  <c r="AW321" i="13"/>
  <c r="AX321" i="13"/>
  <c r="AY321" i="13"/>
  <c r="AZ321" i="13"/>
  <c r="BA321" i="13"/>
  <c r="AP322" i="13"/>
  <c r="AQ322" i="13"/>
  <c r="AR322" i="13"/>
  <c r="AS322" i="13"/>
  <c r="AT322" i="13"/>
  <c r="AU322" i="13"/>
  <c r="AV322" i="13"/>
  <c r="AW322" i="13"/>
  <c r="AX322" i="13"/>
  <c r="AY322" i="13"/>
  <c r="AZ322" i="13"/>
  <c r="BA322" i="13"/>
  <c r="AP323" i="13"/>
  <c r="AQ323" i="13"/>
  <c r="AR323" i="13"/>
  <c r="AS323" i="13"/>
  <c r="AT323" i="13"/>
  <c r="AU323" i="13"/>
  <c r="AV323" i="13"/>
  <c r="AW323" i="13"/>
  <c r="AX323" i="13"/>
  <c r="AY323" i="13"/>
  <c r="AZ323" i="13"/>
  <c r="BA323" i="13"/>
  <c r="AP324" i="13"/>
  <c r="AQ324" i="13"/>
  <c r="AR324" i="13"/>
  <c r="AS324" i="13"/>
  <c r="AT324" i="13"/>
  <c r="AU324" i="13"/>
  <c r="AV324" i="13"/>
  <c r="AW324" i="13"/>
  <c r="AX324" i="13"/>
  <c r="AY324" i="13"/>
  <c r="AZ324" i="13"/>
  <c r="BA324" i="13"/>
  <c r="AP325" i="13"/>
  <c r="AQ325" i="13"/>
  <c r="AR325" i="13"/>
  <c r="AS325" i="13"/>
  <c r="AT325" i="13"/>
  <c r="AU325" i="13"/>
  <c r="AV325" i="13"/>
  <c r="AW325" i="13"/>
  <c r="AX325" i="13"/>
  <c r="AY325" i="13"/>
  <c r="AZ325" i="13"/>
  <c r="BA325" i="13"/>
  <c r="AP326" i="13"/>
  <c r="AQ326" i="13"/>
  <c r="AR326" i="13"/>
  <c r="AS326" i="13"/>
  <c r="AT326" i="13"/>
  <c r="AU326" i="13"/>
  <c r="AV326" i="13"/>
  <c r="AW326" i="13"/>
  <c r="AX326" i="13"/>
  <c r="AY326" i="13"/>
  <c r="AZ326" i="13"/>
  <c r="BA326" i="13"/>
  <c r="AP327" i="13"/>
  <c r="AQ327" i="13"/>
  <c r="AR327" i="13"/>
  <c r="AS327" i="13"/>
  <c r="AT327" i="13"/>
  <c r="AU327" i="13"/>
  <c r="AV327" i="13"/>
  <c r="AW327" i="13"/>
  <c r="AX327" i="13"/>
  <c r="AY327" i="13"/>
  <c r="AZ327" i="13"/>
  <c r="BA327" i="13"/>
  <c r="AP328" i="13"/>
  <c r="AQ328" i="13"/>
  <c r="AR328" i="13"/>
  <c r="AS328" i="13"/>
  <c r="AT328" i="13"/>
  <c r="AU328" i="13"/>
  <c r="AV328" i="13"/>
  <c r="AW328" i="13"/>
  <c r="AX328" i="13"/>
  <c r="AY328" i="13"/>
  <c r="AZ328" i="13"/>
  <c r="BA328" i="13"/>
  <c r="AP329" i="13"/>
  <c r="AQ329" i="13"/>
  <c r="AR329" i="13"/>
  <c r="AS329" i="13"/>
  <c r="AT329" i="13"/>
  <c r="AU329" i="13"/>
  <c r="AV329" i="13"/>
  <c r="AW329" i="13"/>
  <c r="AX329" i="13"/>
  <c r="AY329" i="13"/>
  <c r="AZ329" i="13"/>
  <c r="BA329" i="13"/>
  <c r="AP330" i="13"/>
  <c r="AQ330" i="13"/>
  <c r="AR330" i="13"/>
  <c r="AS330" i="13"/>
  <c r="AT330" i="13"/>
  <c r="AU330" i="13"/>
  <c r="AV330" i="13"/>
  <c r="AW330" i="13"/>
  <c r="AX330" i="13"/>
  <c r="AY330" i="13"/>
  <c r="AZ330" i="13"/>
  <c r="BA330" i="13"/>
  <c r="AP331" i="13"/>
  <c r="AQ331" i="13"/>
  <c r="AR331" i="13"/>
  <c r="AS331" i="13"/>
  <c r="AT331" i="13"/>
  <c r="AU331" i="13"/>
  <c r="AV331" i="13"/>
  <c r="AW331" i="13"/>
  <c r="AX331" i="13"/>
  <c r="AY331" i="13"/>
  <c r="AZ331" i="13"/>
  <c r="BA331" i="13"/>
  <c r="AP332" i="13"/>
  <c r="AQ332" i="13"/>
  <c r="AR332" i="13"/>
  <c r="AS332" i="13"/>
  <c r="AT332" i="13"/>
  <c r="AU332" i="13"/>
  <c r="AV332" i="13"/>
  <c r="AW332" i="13"/>
  <c r="AX332" i="13"/>
  <c r="AY332" i="13"/>
  <c r="AZ332" i="13"/>
  <c r="BA332" i="13"/>
  <c r="AP333" i="13"/>
  <c r="AQ333" i="13"/>
  <c r="AR333" i="13"/>
  <c r="AS333" i="13"/>
  <c r="AT333" i="13"/>
  <c r="AU333" i="13"/>
  <c r="AV333" i="13"/>
  <c r="AW333" i="13"/>
  <c r="AX333" i="13"/>
  <c r="AY333" i="13"/>
  <c r="AZ333" i="13"/>
  <c r="BA333" i="13"/>
  <c r="AP334" i="13"/>
  <c r="AQ334" i="13"/>
  <c r="AR334" i="13"/>
  <c r="AS334" i="13"/>
  <c r="AT334" i="13"/>
  <c r="AU334" i="13"/>
  <c r="AV334" i="13"/>
  <c r="AW334" i="13"/>
  <c r="AX334" i="13"/>
  <c r="AY334" i="13"/>
  <c r="AZ334" i="13"/>
  <c r="BA334" i="13"/>
  <c r="AP335" i="13"/>
  <c r="AQ335" i="13"/>
  <c r="AR335" i="13"/>
  <c r="AS335" i="13"/>
  <c r="AT335" i="13"/>
  <c r="AU335" i="13"/>
  <c r="AV335" i="13"/>
  <c r="AW335" i="13"/>
  <c r="AX335" i="13"/>
  <c r="AY335" i="13"/>
  <c r="AZ335" i="13"/>
  <c r="BA335" i="13"/>
  <c r="AP336" i="13"/>
  <c r="AQ336" i="13"/>
  <c r="AR336" i="13"/>
  <c r="AS336" i="13"/>
  <c r="AT336" i="13"/>
  <c r="AU336" i="13"/>
  <c r="AV336" i="13"/>
  <c r="AW336" i="13"/>
  <c r="AX336" i="13"/>
  <c r="AY336" i="13"/>
  <c r="AZ336" i="13"/>
  <c r="BA336" i="13"/>
  <c r="AP337" i="13"/>
  <c r="AQ337" i="13"/>
  <c r="AR337" i="13"/>
  <c r="AS337" i="13"/>
  <c r="AT337" i="13"/>
  <c r="AU337" i="13"/>
  <c r="AV337" i="13"/>
  <c r="AW337" i="13"/>
  <c r="AX337" i="13"/>
  <c r="AY337" i="13"/>
  <c r="AZ337" i="13"/>
  <c r="BA337" i="13"/>
  <c r="AP338" i="13"/>
  <c r="AQ338" i="13"/>
  <c r="AR338" i="13"/>
  <c r="AS338" i="13"/>
  <c r="AT338" i="13"/>
  <c r="AU338" i="13"/>
  <c r="AV338" i="13"/>
  <c r="AW338" i="13"/>
  <c r="AX338" i="13"/>
  <c r="AY338" i="13"/>
  <c r="AZ338" i="13"/>
  <c r="BA338" i="13"/>
  <c r="AP339" i="13"/>
  <c r="AQ339" i="13"/>
  <c r="AR339" i="13"/>
  <c r="AS339" i="13"/>
  <c r="AT339" i="13"/>
  <c r="AU339" i="13"/>
  <c r="AV339" i="13"/>
  <c r="AW339" i="13"/>
  <c r="AX339" i="13"/>
  <c r="AY339" i="13"/>
  <c r="AZ339" i="13"/>
  <c r="BA339" i="13"/>
  <c r="AP340" i="13"/>
  <c r="AQ340" i="13"/>
  <c r="AR340" i="13"/>
  <c r="AS340" i="13"/>
  <c r="AT340" i="13"/>
  <c r="AU340" i="13"/>
  <c r="AV340" i="13"/>
  <c r="AW340" i="13"/>
  <c r="AX340" i="13"/>
  <c r="AY340" i="13"/>
  <c r="AZ340" i="13"/>
  <c r="BA340" i="13"/>
  <c r="AP341" i="13"/>
  <c r="AQ341" i="13"/>
  <c r="AR341" i="13"/>
  <c r="AS341" i="13"/>
  <c r="AT341" i="13"/>
  <c r="AU341" i="13"/>
  <c r="AV341" i="13"/>
  <c r="AW341" i="13"/>
  <c r="AX341" i="13"/>
  <c r="AY341" i="13"/>
  <c r="AZ341" i="13"/>
  <c r="BA341" i="13"/>
  <c r="AP342" i="13"/>
  <c r="AQ342" i="13"/>
  <c r="AR342" i="13"/>
  <c r="AS342" i="13"/>
  <c r="AT342" i="13"/>
  <c r="AU342" i="13"/>
  <c r="AV342" i="13"/>
  <c r="AW342" i="13"/>
  <c r="AX342" i="13"/>
  <c r="AY342" i="13"/>
  <c r="AZ342" i="13"/>
  <c r="BA342" i="13"/>
  <c r="AP343" i="13"/>
  <c r="AQ343" i="13"/>
  <c r="AR343" i="13"/>
  <c r="AS343" i="13"/>
  <c r="AT343" i="13"/>
  <c r="AU343" i="13"/>
  <c r="AV343" i="13"/>
  <c r="AW343" i="13"/>
  <c r="AX343" i="13"/>
  <c r="AY343" i="13"/>
  <c r="AZ343" i="13"/>
  <c r="BA343" i="13"/>
  <c r="AP344" i="13"/>
  <c r="AQ344" i="13"/>
  <c r="AR344" i="13"/>
  <c r="AS344" i="13"/>
  <c r="AT344" i="13"/>
  <c r="AU344" i="13"/>
  <c r="AV344" i="13"/>
  <c r="AW344" i="13"/>
  <c r="AX344" i="13"/>
  <c r="AY344" i="13"/>
  <c r="AZ344" i="13"/>
  <c r="BA344" i="13"/>
  <c r="AP345" i="13"/>
  <c r="AQ345" i="13"/>
  <c r="AR345" i="13"/>
  <c r="AS345" i="13"/>
  <c r="AT345" i="13"/>
  <c r="AU345" i="13"/>
  <c r="AV345" i="13"/>
  <c r="AW345" i="13"/>
  <c r="AX345" i="13"/>
  <c r="AY345" i="13"/>
  <c r="AZ345" i="13"/>
  <c r="BA345" i="13"/>
  <c r="AP346" i="13"/>
  <c r="AQ346" i="13"/>
  <c r="AR346" i="13"/>
  <c r="AS346" i="13"/>
  <c r="AT346" i="13"/>
  <c r="AU346" i="13"/>
  <c r="AV346" i="13"/>
  <c r="AW346" i="13"/>
  <c r="AX346" i="13"/>
  <c r="AY346" i="13"/>
  <c r="AZ346" i="13"/>
  <c r="BA346" i="13"/>
  <c r="AP347" i="13"/>
  <c r="AQ347" i="13"/>
  <c r="AR347" i="13"/>
  <c r="AS347" i="13"/>
  <c r="AT347" i="13"/>
  <c r="AU347" i="13"/>
  <c r="AV347" i="13"/>
  <c r="AW347" i="13"/>
  <c r="AX347" i="13"/>
  <c r="AY347" i="13"/>
  <c r="AZ347" i="13"/>
  <c r="BA347" i="13"/>
  <c r="AP348" i="13"/>
  <c r="AQ348" i="13"/>
  <c r="AR348" i="13"/>
  <c r="AS348" i="13"/>
  <c r="AT348" i="13"/>
  <c r="AU348" i="13"/>
  <c r="AV348" i="13"/>
  <c r="AW348" i="13"/>
  <c r="AX348" i="13"/>
  <c r="AY348" i="13"/>
  <c r="AZ348" i="13"/>
  <c r="BA348" i="13"/>
  <c r="AP349" i="13"/>
  <c r="AQ349" i="13"/>
  <c r="AR349" i="13"/>
  <c r="AS349" i="13"/>
  <c r="AT349" i="13"/>
  <c r="AU349" i="13"/>
  <c r="AV349" i="13"/>
  <c r="AW349" i="13"/>
  <c r="AX349" i="13"/>
  <c r="AY349" i="13"/>
  <c r="AZ349" i="13"/>
  <c r="BA349" i="13"/>
  <c r="AP350" i="13"/>
  <c r="AQ350" i="13"/>
  <c r="AR350" i="13"/>
  <c r="AS350" i="13"/>
  <c r="AT350" i="13"/>
  <c r="AU350" i="13"/>
  <c r="AV350" i="13"/>
  <c r="AW350" i="13"/>
  <c r="AX350" i="13"/>
  <c r="AY350" i="13"/>
  <c r="AZ350" i="13"/>
  <c r="BA350" i="13"/>
  <c r="AP351" i="13"/>
  <c r="AQ351" i="13"/>
  <c r="AR351" i="13"/>
  <c r="AS351" i="13"/>
  <c r="AT351" i="13"/>
  <c r="AU351" i="13"/>
  <c r="AV351" i="13"/>
  <c r="AW351" i="13"/>
  <c r="AX351" i="13"/>
  <c r="AY351" i="13"/>
  <c r="AZ351" i="13"/>
  <c r="BA351" i="13"/>
  <c r="AP352" i="13"/>
  <c r="AQ352" i="13"/>
  <c r="AR352" i="13"/>
  <c r="AS352" i="13"/>
  <c r="AT352" i="13"/>
  <c r="AU352" i="13"/>
  <c r="AV352" i="13"/>
  <c r="AW352" i="13"/>
  <c r="AX352" i="13"/>
  <c r="AY352" i="13"/>
  <c r="AZ352" i="13"/>
  <c r="BA352" i="13"/>
  <c r="AP353" i="13"/>
  <c r="AQ353" i="13"/>
  <c r="AR353" i="13"/>
  <c r="AS353" i="13"/>
  <c r="AT353" i="13"/>
  <c r="AU353" i="13"/>
  <c r="AV353" i="13"/>
  <c r="AW353" i="13"/>
  <c r="AX353" i="13"/>
  <c r="AY353" i="13"/>
  <c r="AZ353" i="13"/>
  <c r="BA353" i="13"/>
  <c r="AP354" i="13"/>
  <c r="AQ354" i="13"/>
  <c r="AR354" i="13"/>
  <c r="AS354" i="13"/>
  <c r="AT354" i="13"/>
  <c r="AU354" i="13"/>
  <c r="AV354" i="13"/>
  <c r="AW354" i="13"/>
  <c r="AX354" i="13"/>
  <c r="AY354" i="13"/>
  <c r="AZ354" i="13"/>
  <c r="BA354" i="13"/>
  <c r="AP355" i="13"/>
  <c r="AQ355" i="13"/>
  <c r="AR355" i="13"/>
  <c r="AS355" i="13"/>
  <c r="AT355" i="13"/>
  <c r="AU355" i="13"/>
  <c r="AV355" i="13"/>
  <c r="AW355" i="13"/>
  <c r="AX355" i="13"/>
  <c r="AY355" i="13"/>
  <c r="AZ355" i="13"/>
  <c r="BA355" i="13"/>
  <c r="AP356" i="13"/>
  <c r="AQ356" i="13"/>
  <c r="AR356" i="13"/>
  <c r="AS356" i="13"/>
  <c r="AT356" i="13"/>
  <c r="AU356" i="13"/>
  <c r="AV356" i="13"/>
  <c r="AW356" i="13"/>
  <c r="AX356" i="13"/>
  <c r="AY356" i="13"/>
  <c r="AZ356" i="13"/>
  <c r="BA356" i="13"/>
  <c r="AP357" i="13"/>
  <c r="AQ357" i="13"/>
  <c r="AR357" i="13"/>
  <c r="AS357" i="13"/>
  <c r="AT357" i="13"/>
  <c r="AU357" i="13"/>
  <c r="AV357" i="13"/>
  <c r="AW357" i="13"/>
  <c r="AX357" i="13"/>
  <c r="AY357" i="13"/>
  <c r="AZ357" i="13"/>
  <c r="BA357" i="13"/>
  <c r="AP358" i="13"/>
  <c r="AQ358" i="13"/>
  <c r="AR358" i="13"/>
  <c r="AS358" i="13"/>
  <c r="AT358" i="13"/>
  <c r="AU358" i="13"/>
  <c r="AV358" i="13"/>
  <c r="AW358" i="13"/>
  <c r="AX358" i="13"/>
  <c r="AY358" i="13"/>
  <c r="AZ358" i="13"/>
  <c r="BA358" i="13"/>
  <c r="AP359" i="13"/>
  <c r="AQ359" i="13"/>
  <c r="AR359" i="13"/>
  <c r="AS359" i="13"/>
  <c r="AT359" i="13"/>
  <c r="AU359" i="13"/>
  <c r="AV359" i="13"/>
  <c r="AW359" i="13"/>
  <c r="AX359" i="13"/>
  <c r="AY359" i="13"/>
  <c r="AZ359" i="13"/>
  <c r="BA359" i="13"/>
  <c r="AP360" i="13"/>
  <c r="AQ360" i="13"/>
  <c r="AR360" i="13"/>
  <c r="AS360" i="13"/>
  <c r="AT360" i="13"/>
  <c r="AU360" i="13"/>
  <c r="AV360" i="13"/>
  <c r="AW360" i="13"/>
  <c r="AX360" i="13"/>
  <c r="AY360" i="13"/>
  <c r="AZ360" i="13"/>
  <c r="BA360" i="13"/>
  <c r="AP361" i="13"/>
  <c r="AQ361" i="13"/>
  <c r="AR361" i="13"/>
  <c r="AS361" i="13"/>
  <c r="AT361" i="13"/>
  <c r="AU361" i="13"/>
  <c r="AV361" i="13"/>
  <c r="AW361" i="13"/>
  <c r="AX361" i="13"/>
  <c r="AY361" i="13"/>
  <c r="AZ361" i="13"/>
  <c r="BA361" i="13"/>
  <c r="AP362" i="13"/>
  <c r="AQ362" i="13"/>
  <c r="AR362" i="13"/>
  <c r="AS362" i="13"/>
  <c r="AT362" i="13"/>
  <c r="AU362" i="13"/>
  <c r="AV362" i="13"/>
  <c r="AW362" i="13"/>
  <c r="AX362" i="13"/>
  <c r="AY362" i="13"/>
  <c r="AZ362" i="13"/>
  <c r="BA362" i="13"/>
  <c r="AP363" i="13"/>
  <c r="AQ363" i="13"/>
  <c r="AR363" i="13"/>
  <c r="AS363" i="13"/>
  <c r="AT363" i="13"/>
  <c r="AU363" i="13"/>
  <c r="AV363" i="13"/>
  <c r="AW363" i="13"/>
  <c r="AX363" i="13"/>
  <c r="AY363" i="13"/>
  <c r="AZ363" i="13"/>
  <c r="BA363" i="13"/>
  <c r="AP364" i="13"/>
  <c r="AQ364" i="13"/>
  <c r="AR364" i="13"/>
  <c r="AS364" i="13"/>
  <c r="AT364" i="13"/>
  <c r="AU364" i="13"/>
  <c r="AV364" i="13"/>
  <c r="AW364" i="13"/>
  <c r="AX364" i="13"/>
  <c r="AY364" i="13"/>
  <c r="AZ364" i="13"/>
  <c r="BA364" i="13"/>
  <c r="AP365" i="13"/>
  <c r="AQ365" i="13"/>
  <c r="AR365" i="13"/>
  <c r="AS365" i="13"/>
  <c r="AT365" i="13"/>
  <c r="AU365" i="13"/>
  <c r="AV365" i="13"/>
  <c r="AW365" i="13"/>
  <c r="AX365" i="13"/>
  <c r="AY365" i="13"/>
  <c r="AZ365" i="13"/>
  <c r="BA365" i="13"/>
  <c r="AP366" i="13"/>
  <c r="AQ366" i="13"/>
  <c r="AR366" i="13"/>
  <c r="AS366" i="13"/>
  <c r="AT366" i="13"/>
  <c r="AU366" i="13"/>
  <c r="AV366" i="13"/>
  <c r="AW366" i="13"/>
  <c r="AX366" i="13"/>
  <c r="AY366" i="13"/>
  <c r="AZ366" i="13"/>
  <c r="BA366" i="13"/>
  <c r="AP367" i="13"/>
  <c r="AQ367" i="13"/>
  <c r="AR367" i="13"/>
  <c r="AS367" i="13"/>
  <c r="AT367" i="13"/>
  <c r="AU367" i="13"/>
  <c r="AV367" i="13"/>
  <c r="AW367" i="13"/>
  <c r="AX367" i="13"/>
  <c r="AY367" i="13"/>
  <c r="AZ367" i="13"/>
  <c r="BA367" i="13"/>
  <c r="AP368" i="13"/>
  <c r="AQ368" i="13"/>
  <c r="AR368" i="13"/>
  <c r="AS368" i="13"/>
  <c r="AT368" i="13"/>
  <c r="AU368" i="13"/>
  <c r="AV368" i="13"/>
  <c r="AW368" i="13"/>
  <c r="AX368" i="13"/>
  <c r="AY368" i="13"/>
  <c r="AZ368" i="13"/>
  <c r="BA368" i="13"/>
  <c r="AP369" i="13"/>
  <c r="AQ369" i="13"/>
  <c r="AR369" i="13"/>
  <c r="AS369" i="13"/>
  <c r="AT369" i="13"/>
  <c r="AU369" i="13"/>
  <c r="AV369" i="13"/>
  <c r="AW369" i="13"/>
  <c r="AX369" i="13"/>
  <c r="AY369" i="13"/>
  <c r="AZ369" i="13"/>
  <c r="BA369" i="13"/>
  <c r="AP370" i="13"/>
  <c r="AQ370" i="13"/>
  <c r="AR370" i="13"/>
  <c r="AS370" i="13"/>
  <c r="AT370" i="13"/>
  <c r="AU370" i="13"/>
  <c r="AV370" i="13"/>
  <c r="AW370" i="13"/>
  <c r="AX370" i="13"/>
  <c r="AY370" i="13"/>
  <c r="AZ370" i="13"/>
  <c r="BA370" i="13"/>
  <c r="AP371" i="13"/>
  <c r="AQ371" i="13"/>
  <c r="AR371" i="13"/>
  <c r="AS371" i="13"/>
  <c r="AT371" i="13"/>
  <c r="AU371" i="13"/>
  <c r="AV371" i="13"/>
  <c r="AW371" i="13"/>
  <c r="AX371" i="13"/>
  <c r="AY371" i="13"/>
  <c r="AZ371" i="13"/>
  <c r="BA371" i="13"/>
  <c r="AP372" i="13"/>
  <c r="AQ372" i="13"/>
  <c r="AR372" i="13"/>
  <c r="AS372" i="13"/>
  <c r="AT372" i="13"/>
  <c r="AU372" i="13"/>
  <c r="AV372" i="13"/>
  <c r="AW372" i="13"/>
  <c r="AX372" i="13"/>
  <c r="AY372" i="13"/>
  <c r="AZ372" i="13"/>
  <c r="BA372" i="13"/>
  <c r="AP373" i="13"/>
  <c r="AQ373" i="13"/>
  <c r="AR373" i="13"/>
  <c r="AS373" i="13"/>
  <c r="AT373" i="13"/>
  <c r="AU373" i="13"/>
  <c r="AV373" i="13"/>
  <c r="AW373" i="13"/>
  <c r="AX373" i="13"/>
  <c r="AY373" i="13"/>
  <c r="AZ373" i="13"/>
  <c r="BA373" i="13"/>
  <c r="AP374" i="13"/>
  <c r="AQ374" i="13"/>
  <c r="AR374" i="13"/>
  <c r="AS374" i="13"/>
  <c r="AT374" i="13"/>
  <c r="AU374" i="13"/>
  <c r="AV374" i="13"/>
  <c r="AW374" i="13"/>
  <c r="AX374" i="13"/>
  <c r="AY374" i="13"/>
  <c r="AZ374" i="13"/>
  <c r="BA374" i="13"/>
  <c r="AP375" i="13"/>
  <c r="AQ375" i="13"/>
  <c r="AR375" i="13"/>
  <c r="AS375" i="13"/>
  <c r="AT375" i="13"/>
  <c r="AU375" i="13"/>
  <c r="AV375" i="13"/>
  <c r="AW375" i="13"/>
  <c r="AX375" i="13"/>
  <c r="AY375" i="13"/>
  <c r="AZ375" i="13"/>
  <c r="BA375" i="13"/>
  <c r="AP376" i="13"/>
  <c r="AQ376" i="13"/>
  <c r="AR376" i="13"/>
  <c r="AS376" i="13"/>
  <c r="AT376" i="13"/>
  <c r="AU376" i="13"/>
  <c r="AV376" i="13"/>
  <c r="AW376" i="13"/>
  <c r="AX376" i="13"/>
  <c r="AY376" i="13"/>
  <c r="AZ376" i="13"/>
  <c r="BA376" i="13"/>
  <c r="AP377" i="13"/>
  <c r="AQ377" i="13"/>
  <c r="AR377" i="13"/>
  <c r="AS377" i="13"/>
  <c r="AT377" i="13"/>
  <c r="AU377" i="13"/>
  <c r="AV377" i="13"/>
  <c r="AW377" i="13"/>
  <c r="AX377" i="13"/>
  <c r="AY377" i="13"/>
  <c r="AZ377" i="13"/>
  <c r="BA377" i="13"/>
  <c r="AP378" i="13"/>
  <c r="AQ378" i="13"/>
  <c r="AR378" i="13"/>
  <c r="AS378" i="13"/>
  <c r="AT378" i="13"/>
  <c r="AU378" i="13"/>
  <c r="AV378" i="13"/>
  <c r="AW378" i="13"/>
  <c r="AX378" i="13"/>
  <c r="AY378" i="13"/>
  <c r="AZ378" i="13"/>
  <c r="BA378" i="13"/>
  <c r="AP379" i="13"/>
  <c r="AQ379" i="13"/>
  <c r="AR379" i="13"/>
  <c r="AS379" i="13"/>
  <c r="AT379" i="13"/>
  <c r="AU379" i="13"/>
  <c r="AV379" i="13"/>
  <c r="AW379" i="13"/>
  <c r="AX379" i="13"/>
  <c r="AY379" i="13"/>
  <c r="AZ379" i="13"/>
  <c r="BA379" i="13"/>
  <c r="AP380" i="13"/>
  <c r="AQ380" i="13"/>
  <c r="AR380" i="13"/>
  <c r="AS380" i="13"/>
  <c r="AT380" i="13"/>
  <c r="AU380" i="13"/>
  <c r="AV380" i="13"/>
  <c r="AW380" i="13"/>
  <c r="AX380" i="13"/>
  <c r="AY380" i="13"/>
  <c r="AZ380" i="13"/>
  <c r="BA380" i="13"/>
  <c r="AP381" i="13"/>
  <c r="AQ381" i="13"/>
  <c r="AR381" i="13"/>
  <c r="AS381" i="13"/>
  <c r="AT381" i="13"/>
  <c r="AU381" i="13"/>
  <c r="AV381" i="13"/>
  <c r="AW381" i="13"/>
  <c r="AX381" i="13"/>
  <c r="AY381" i="13"/>
  <c r="AZ381" i="13"/>
  <c r="BA381" i="13"/>
  <c r="AP382" i="13"/>
  <c r="AQ382" i="13"/>
  <c r="AR382" i="13"/>
  <c r="AS382" i="13"/>
  <c r="AT382" i="13"/>
  <c r="AU382" i="13"/>
  <c r="AV382" i="13"/>
  <c r="AW382" i="13"/>
  <c r="AX382" i="13"/>
  <c r="AY382" i="13"/>
  <c r="AZ382" i="13"/>
  <c r="BA382" i="13"/>
  <c r="AP383" i="13"/>
  <c r="AQ383" i="13"/>
  <c r="AR383" i="13"/>
  <c r="AS383" i="13"/>
  <c r="AT383" i="13"/>
  <c r="AU383" i="13"/>
  <c r="AV383" i="13"/>
  <c r="AW383" i="13"/>
  <c r="AX383" i="13"/>
  <c r="AY383" i="13"/>
  <c r="AZ383" i="13"/>
  <c r="BA383" i="13"/>
  <c r="AP384" i="13"/>
  <c r="AQ384" i="13"/>
  <c r="AR384" i="13"/>
  <c r="AS384" i="13"/>
  <c r="AT384" i="13"/>
  <c r="AU384" i="13"/>
  <c r="AV384" i="13"/>
  <c r="AW384" i="13"/>
  <c r="AX384" i="13"/>
  <c r="AY384" i="13"/>
  <c r="AZ384" i="13"/>
  <c r="BA384" i="13"/>
  <c r="AP385" i="13"/>
  <c r="AQ385" i="13"/>
  <c r="AR385" i="13"/>
  <c r="AS385" i="13"/>
  <c r="AT385" i="13"/>
  <c r="AU385" i="13"/>
  <c r="AV385" i="13"/>
  <c r="AW385" i="13"/>
  <c r="AX385" i="13"/>
  <c r="AY385" i="13"/>
  <c r="AZ385" i="13"/>
  <c r="BA385" i="13"/>
  <c r="AP386" i="13"/>
  <c r="AQ386" i="13"/>
  <c r="AR386" i="13"/>
  <c r="AS386" i="13"/>
  <c r="AT386" i="13"/>
  <c r="AU386" i="13"/>
  <c r="AV386" i="13"/>
  <c r="AW386" i="13"/>
  <c r="AX386" i="13"/>
  <c r="AY386" i="13"/>
  <c r="AZ386" i="13"/>
  <c r="BA386" i="13"/>
  <c r="AP387" i="13"/>
  <c r="AQ387" i="13"/>
  <c r="AR387" i="13"/>
  <c r="AS387" i="13"/>
  <c r="AT387" i="13"/>
  <c r="AU387" i="13"/>
  <c r="AV387" i="13"/>
  <c r="AW387" i="13"/>
  <c r="AX387" i="13"/>
  <c r="AY387" i="13"/>
  <c r="AZ387" i="13"/>
  <c r="BA387" i="13"/>
  <c r="AP388" i="13"/>
  <c r="AQ388" i="13"/>
  <c r="AR388" i="13"/>
  <c r="AS388" i="13"/>
  <c r="AT388" i="13"/>
  <c r="AU388" i="13"/>
  <c r="AV388" i="13"/>
  <c r="AW388" i="13"/>
  <c r="AX388" i="13"/>
  <c r="AY388" i="13"/>
  <c r="AZ388" i="13"/>
  <c r="BA388" i="13"/>
  <c r="AP389" i="13"/>
  <c r="AQ389" i="13"/>
  <c r="AR389" i="13"/>
  <c r="AS389" i="13"/>
  <c r="AT389" i="13"/>
  <c r="AU389" i="13"/>
  <c r="AV389" i="13"/>
  <c r="AW389" i="13"/>
  <c r="AX389" i="13"/>
  <c r="AY389" i="13"/>
  <c r="AZ389" i="13"/>
  <c r="BA389" i="13"/>
  <c r="AP390" i="13"/>
  <c r="AQ390" i="13"/>
  <c r="AR390" i="13"/>
  <c r="AS390" i="13"/>
  <c r="AT390" i="13"/>
  <c r="AU390" i="13"/>
  <c r="AV390" i="13"/>
  <c r="AW390" i="13"/>
  <c r="AX390" i="13"/>
  <c r="AY390" i="13"/>
  <c r="AZ390" i="13"/>
  <c r="BA390" i="13"/>
  <c r="AP391" i="13"/>
  <c r="AQ391" i="13"/>
  <c r="AR391" i="13"/>
  <c r="AS391" i="13"/>
  <c r="AT391" i="13"/>
  <c r="AU391" i="13"/>
  <c r="AV391" i="13"/>
  <c r="AW391" i="13"/>
  <c r="AX391" i="13"/>
  <c r="AY391" i="13"/>
  <c r="AZ391" i="13"/>
  <c r="BA391" i="13"/>
  <c r="AP392" i="13"/>
  <c r="AQ392" i="13"/>
  <c r="AR392" i="13"/>
  <c r="AS392" i="13"/>
  <c r="AT392" i="13"/>
  <c r="AU392" i="13"/>
  <c r="AV392" i="13"/>
  <c r="AW392" i="13"/>
  <c r="AX392" i="13"/>
  <c r="AY392" i="13"/>
  <c r="AZ392" i="13"/>
  <c r="BA392" i="13"/>
  <c r="AP393" i="13"/>
  <c r="AQ393" i="13"/>
  <c r="AR393" i="13"/>
  <c r="AS393" i="13"/>
  <c r="AT393" i="13"/>
  <c r="AU393" i="13"/>
  <c r="AV393" i="13"/>
  <c r="AW393" i="13"/>
  <c r="AX393" i="13"/>
  <c r="AY393" i="13"/>
  <c r="AZ393" i="13"/>
  <c r="BA393" i="13"/>
  <c r="AP394" i="13"/>
  <c r="AQ394" i="13"/>
  <c r="AR394" i="13"/>
  <c r="AS394" i="13"/>
  <c r="AT394" i="13"/>
  <c r="AU394" i="13"/>
  <c r="AV394" i="13"/>
  <c r="AW394" i="13"/>
  <c r="AX394" i="13"/>
  <c r="AY394" i="13"/>
  <c r="AZ394" i="13"/>
  <c r="BA394" i="13"/>
  <c r="AP395" i="13"/>
  <c r="AQ395" i="13"/>
  <c r="AR395" i="13"/>
  <c r="AS395" i="13"/>
  <c r="AT395" i="13"/>
  <c r="AU395" i="13"/>
  <c r="AV395" i="13"/>
  <c r="AW395" i="13"/>
  <c r="AX395" i="13"/>
  <c r="AY395" i="13"/>
  <c r="AZ395" i="13"/>
  <c r="BA395" i="13"/>
  <c r="AP396" i="13"/>
  <c r="AQ396" i="13"/>
  <c r="AR396" i="13"/>
  <c r="AS396" i="13"/>
  <c r="AT396" i="13"/>
  <c r="AU396" i="13"/>
  <c r="AV396" i="13"/>
  <c r="AW396" i="13"/>
  <c r="AX396" i="13"/>
  <c r="AY396" i="13"/>
  <c r="AZ396" i="13"/>
  <c r="BA396" i="13"/>
  <c r="AP397" i="13"/>
  <c r="AQ397" i="13"/>
  <c r="AR397" i="13"/>
  <c r="AS397" i="13"/>
  <c r="AT397" i="13"/>
  <c r="AU397" i="13"/>
  <c r="AV397" i="13"/>
  <c r="AW397" i="13"/>
  <c r="AX397" i="13"/>
  <c r="AY397" i="13"/>
  <c r="AZ397" i="13"/>
  <c r="BA397" i="13"/>
  <c r="AP398" i="13"/>
  <c r="AQ398" i="13"/>
  <c r="AR398" i="13"/>
  <c r="AS398" i="13"/>
  <c r="AT398" i="13"/>
  <c r="AU398" i="13"/>
  <c r="AV398" i="13"/>
  <c r="AW398" i="13"/>
  <c r="AX398" i="13"/>
  <c r="AY398" i="13"/>
  <c r="AZ398" i="13"/>
  <c r="BA398" i="13"/>
  <c r="AP399" i="13"/>
  <c r="AQ399" i="13"/>
  <c r="AR399" i="13"/>
  <c r="AS399" i="13"/>
  <c r="AT399" i="13"/>
  <c r="AU399" i="13"/>
  <c r="AV399" i="13"/>
  <c r="AW399" i="13"/>
  <c r="AX399" i="13"/>
  <c r="AY399" i="13"/>
  <c r="AZ399" i="13"/>
  <c r="BA399" i="13"/>
  <c r="AP400" i="13"/>
  <c r="AQ400" i="13"/>
  <c r="AR400" i="13"/>
  <c r="AS400" i="13"/>
  <c r="AT400" i="13"/>
  <c r="AU400" i="13"/>
  <c r="AV400" i="13"/>
  <c r="AW400" i="13"/>
  <c r="AX400" i="13"/>
  <c r="AY400" i="13"/>
  <c r="AZ400" i="13"/>
  <c r="BA400" i="13"/>
  <c r="AP401" i="13"/>
  <c r="AQ401" i="13"/>
  <c r="AR401" i="13"/>
  <c r="AS401" i="13"/>
  <c r="AT401" i="13"/>
  <c r="AU401" i="13"/>
  <c r="AV401" i="13"/>
  <c r="AW401" i="13"/>
  <c r="AX401" i="13"/>
  <c r="AY401" i="13"/>
  <c r="AZ401" i="13"/>
  <c r="BA401" i="13"/>
  <c r="AP402" i="13"/>
  <c r="AQ402" i="13"/>
  <c r="AR402" i="13"/>
  <c r="AS402" i="13"/>
  <c r="AT402" i="13"/>
  <c r="AU402" i="13"/>
  <c r="AV402" i="13"/>
  <c r="AW402" i="13"/>
  <c r="AX402" i="13"/>
  <c r="AY402" i="13"/>
  <c r="AZ402" i="13"/>
  <c r="BA402" i="13"/>
  <c r="AP403" i="13"/>
  <c r="AQ403" i="13"/>
  <c r="AR403" i="13"/>
  <c r="AS403" i="13"/>
  <c r="AT403" i="13"/>
  <c r="AU403" i="13"/>
  <c r="AV403" i="13"/>
  <c r="AW403" i="13"/>
  <c r="AX403" i="13"/>
  <c r="AY403" i="13"/>
  <c r="AZ403" i="13"/>
  <c r="BA403" i="13"/>
  <c r="AP404" i="13"/>
  <c r="AQ404" i="13"/>
  <c r="AR404" i="13"/>
  <c r="AS404" i="13"/>
  <c r="AT404" i="13"/>
  <c r="AU404" i="13"/>
  <c r="AV404" i="13"/>
  <c r="AW404" i="13"/>
  <c r="AX404" i="13"/>
  <c r="AY404" i="13"/>
  <c r="AZ404" i="13"/>
  <c r="BA404" i="13"/>
  <c r="AP405" i="13"/>
  <c r="AQ405" i="13"/>
  <c r="AR405" i="13"/>
  <c r="AS405" i="13"/>
  <c r="AT405" i="13"/>
  <c r="AU405" i="13"/>
  <c r="AV405" i="13"/>
  <c r="AW405" i="13"/>
  <c r="AX405" i="13"/>
  <c r="AY405" i="13"/>
  <c r="AZ405" i="13"/>
  <c r="BA405" i="13"/>
  <c r="AP406" i="13"/>
  <c r="AQ406" i="13"/>
  <c r="AR406" i="13"/>
  <c r="AS406" i="13"/>
  <c r="AT406" i="13"/>
  <c r="AU406" i="13"/>
  <c r="AV406" i="13"/>
  <c r="AW406" i="13"/>
  <c r="AX406" i="13"/>
  <c r="AY406" i="13"/>
  <c r="AZ406" i="13"/>
  <c r="BA406" i="13"/>
  <c r="AP407" i="13"/>
  <c r="AQ407" i="13"/>
  <c r="AR407" i="13"/>
  <c r="AS407" i="13"/>
  <c r="AT407" i="13"/>
  <c r="AU407" i="13"/>
  <c r="AV407" i="13"/>
  <c r="AW407" i="13"/>
  <c r="AX407" i="13"/>
  <c r="AY407" i="13"/>
  <c r="AZ407" i="13"/>
  <c r="BA407" i="13"/>
  <c r="AP408" i="13"/>
  <c r="AQ408" i="13"/>
  <c r="AR408" i="13"/>
  <c r="AS408" i="13"/>
  <c r="AT408" i="13"/>
  <c r="AU408" i="13"/>
  <c r="AV408" i="13"/>
  <c r="AW408" i="13"/>
  <c r="AX408" i="13"/>
  <c r="AY408" i="13"/>
  <c r="AZ408" i="13"/>
  <c r="BA408" i="13"/>
  <c r="AP409" i="13"/>
  <c r="AQ409" i="13"/>
  <c r="AR409" i="13"/>
  <c r="AS409" i="13"/>
  <c r="AT409" i="13"/>
  <c r="AU409" i="13"/>
  <c r="AV409" i="13"/>
  <c r="AW409" i="13"/>
  <c r="AX409" i="13"/>
  <c r="AY409" i="13"/>
  <c r="AZ409" i="13"/>
  <c r="BA409" i="13"/>
  <c r="AP410" i="13"/>
  <c r="AQ410" i="13"/>
  <c r="AR410" i="13"/>
  <c r="AS410" i="13"/>
  <c r="AT410" i="13"/>
  <c r="AU410" i="13"/>
  <c r="AV410" i="13"/>
  <c r="AW410" i="13"/>
  <c r="AX410" i="13"/>
  <c r="AY410" i="13"/>
  <c r="AZ410" i="13"/>
  <c r="BA410" i="13"/>
  <c r="AP411" i="13"/>
  <c r="AQ411" i="13"/>
  <c r="AR411" i="13"/>
  <c r="AS411" i="13"/>
  <c r="AT411" i="13"/>
  <c r="AU411" i="13"/>
  <c r="AV411" i="13"/>
  <c r="AW411" i="13"/>
  <c r="AX411" i="13"/>
  <c r="AY411" i="13"/>
  <c r="AZ411" i="13"/>
  <c r="BA411" i="13"/>
  <c r="AP412" i="13"/>
  <c r="AQ412" i="13"/>
  <c r="AR412" i="13"/>
  <c r="AS412" i="13"/>
  <c r="AT412" i="13"/>
  <c r="AU412" i="13"/>
  <c r="AV412" i="13"/>
  <c r="AW412" i="13"/>
  <c r="AX412" i="13"/>
  <c r="AY412" i="13"/>
  <c r="AZ412" i="13"/>
  <c r="BA412" i="13"/>
  <c r="AP413" i="13"/>
  <c r="AQ413" i="13"/>
  <c r="AR413" i="13"/>
  <c r="AS413" i="13"/>
  <c r="AT413" i="13"/>
  <c r="AU413" i="13"/>
  <c r="AV413" i="13"/>
  <c r="AW413" i="13"/>
  <c r="AX413" i="13"/>
  <c r="AY413" i="13"/>
  <c r="AZ413" i="13"/>
  <c r="BA413" i="13"/>
  <c r="AP414" i="13"/>
  <c r="AQ414" i="13"/>
  <c r="AR414" i="13"/>
  <c r="AS414" i="13"/>
  <c r="AT414" i="13"/>
  <c r="AU414" i="13"/>
  <c r="AV414" i="13"/>
  <c r="AW414" i="13"/>
  <c r="AX414" i="13"/>
  <c r="AY414" i="13"/>
  <c r="AZ414" i="13"/>
  <c r="BA414" i="13"/>
  <c r="AP415" i="13"/>
  <c r="AQ415" i="13"/>
  <c r="AR415" i="13"/>
  <c r="AS415" i="13"/>
  <c r="AT415" i="13"/>
  <c r="AU415" i="13"/>
  <c r="AV415" i="13"/>
  <c r="AW415" i="13"/>
  <c r="AX415" i="13"/>
  <c r="AY415" i="13"/>
  <c r="AZ415" i="13"/>
  <c r="BA415" i="13"/>
  <c r="AP416" i="13"/>
  <c r="AQ416" i="13"/>
  <c r="AR416" i="13"/>
  <c r="AS416" i="13"/>
  <c r="AT416" i="13"/>
  <c r="AU416" i="13"/>
  <c r="AV416" i="13"/>
  <c r="AW416" i="13"/>
  <c r="AX416" i="13"/>
  <c r="AY416" i="13"/>
  <c r="AZ416" i="13"/>
  <c r="BA416" i="13"/>
  <c r="AP417" i="13"/>
  <c r="AQ417" i="13"/>
  <c r="AR417" i="13"/>
  <c r="AS417" i="13"/>
  <c r="AT417" i="13"/>
  <c r="AU417" i="13"/>
  <c r="AV417" i="13"/>
  <c r="AW417" i="13"/>
  <c r="AX417" i="13"/>
  <c r="AY417" i="13"/>
  <c r="AZ417" i="13"/>
  <c r="BA417" i="13"/>
  <c r="AP418" i="13"/>
  <c r="AQ418" i="13"/>
  <c r="AR418" i="13"/>
  <c r="AS418" i="13"/>
  <c r="AT418" i="13"/>
  <c r="AU418" i="13"/>
  <c r="AV418" i="13"/>
  <c r="AW418" i="13"/>
  <c r="AX418" i="13"/>
  <c r="AY418" i="13"/>
  <c r="AZ418" i="13"/>
  <c r="BA418" i="13"/>
  <c r="AP419" i="13"/>
  <c r="AQ419" i="13"/>
  <c r="AR419" i="13"/>
  <c r="AS419" i="13"/>
  <c r="AT419" i="13"/>
  <c r="AU419" i="13"/>
  <c r="AV419" i="13"/>
  <c r="AW419" i="13"/>
  <c r="AX419" i="13"/>
  <c r="AY419" i="13"/>
  <c r="AZ419" i="13"/>
  <c r="BA419" i="13"/>
  <c r="AP420" i="13"/>
  <c r="AQ420" i="13"/>
  <c r="AR420" i="13"/>
  <c r="AS420" i="13"/>
  <c r="AT420" i="13"/>
  <c r="AU420" i="13"/>
  <c r="AV420" i="13"/>
  <c r="AW420" i="13"/>
  <c r="AX420" i="13"/>
  <c r="AY420" i="13"/>
  <c r="AZ420" i="13"/>
  <c r="BA420" i="13"/>
  <c r="AP421" i="13"/>
  <c r="AQ421" i="13"/>
  <c r="AR421" i="13"/>
  <c r="AS421" i="13"/>
  <c r="AT421" i="13"/>
  <c r="AU421" i="13"/>
  <c r="AV421" i="13"/>
  <c r="AW421" i="13"/>
  <c r="AX421" i="13"/>
  <c r="AY421" i="13"/>
  <c r="AZ421" i="13"/>
  <c r="BA421" i="13"/>
  <c r="AP422" i="13"/>
  <c r="AQ422" i="13"/>
  <c r="AR422" i="13"/>
  <c r="AS422" i="13"/>
  <c r="AT422" i="13"/>
  <c r="AU422" i="13"/>
  <c r="AV422" i="13"/>
  <c r="AW422" i="13"/>
  <c r="AX422" i="13"/>
  <c r="AY422" i="13"/>
  <c r="AZ422" i="13"/>
  <c r="BA422" i="13"/>
  <c r="AP423" i="13"/>
  <c r="AQ423" i="13"/>
  <c r="AR423" i="13"/>
  <c r="AS423" i="13"/>
  <c r="AT423" i="13"/>
  <c r="AU423" i="13"/>
  <c r="AV423" i="13"/>
  <c r="AW423" i="13"/>
  <c r="AX423" i="13"/>
  <c r="AY423" i="13"/>
  <c r="AZ423" i="13"/>
  <c r="BA423" i="13"/>
  <c r="AP424" i="13"/>
  <c r="AQ424" i="13"/>
  <c r="AR424" i="13"/>
  <c r="AS424" i="13"/>
  <c r="AT424" i="13"/>
  <c r="AU424" i="13"/>
  <c r="AV424" i="13"/>
  <c r="AW424" i="13"/>
  <c r="AX424" i="13"/>
  <c r="AY424" i="13"/>
  <c r="AZ424" i="13"/>
  <c r="BA424" i="13"/>
  <c r="AP425" i="13"/>
  <c r="AQ425" i="13"/>
  <c r="AR425" i="13"/>
  <c r="AS425" i="13"/>
  <c r="AT425" i="13"/>
  <c r="AU425" i="13"/>
  <c r="AV425" i="13"/>
  <c r="AW425" i="13"/>
  <c r="AX425" i="13"/>
  <c r="AY425" i="13"/>
  <c r="AZ425" i="13"/>
  <c r="BA425" i="13"/>
  <c r="AP426" i="13"/>
  <c r="AQ426" i="13"/>
  <c r="AR426" i="13"/>
  <c r="AS426" i="13"/>
  <c r="AT426" i="13"/>
  <c r="AU426" i="13"/>
  <c r="AV426" i="13"/>
  <c r="AW426" i="13"/>
  <c r="AX426" i="13"/>
  <c r="AY426" i="13"/>
  <c r="AZ426" i="13"/>
  <c r="BA426" i="13"/>
  <c r="AP427" i="13"/>
  <c r="AQ427" i="13"/>
  <c r="AR427" i="13"/>
  <c r="AS427" i="13"/>
  <c r="AT427" i="13"/>
  <c r="AU427" i="13"/>
  <c r="AV427" i="13"/>
  <c r="AW427" i="13"/>
  <c r="AX427" i="13"/>
  <c r="AY427" i="13"/>
  <c r="AZ427" i="13"/>
  <c r="BA427" i="13"/>
  <c r="AP428" i="13"/>
  <c r="AQ428" i="13"/>
  <c r="AR428" i="13"/>
  <c r="AS428" i="13"/>
  <c r="AT428" i="13"/>
  <c r="AU428" i="13"/>
  <c r="AV428" i="13"/>
  <c r="AW428" i="13"/>
  <c r="AX428" i="13"/>
  <c r="AY428" i="13"/>
  <c r="AZ428" i="13"/>
  <c r="BA428" i="13"/>
  <c r="AP429" i="13"/>
  <c r="AQ429" i="13"/>
  <c r="AR429" i="13"/>
  <c r="AS429" i="13"/>
  <c r="AT429" i="13"/>
  <c r="AU429" i="13"/>
  <c r="AV429" i="13"/>
  <c r="AW429" i="13"/>
  <c r="AX429" i="13"/>
  <c r="AY429" i="13"/>
  <c r="AZ429" i="13"/>
  <c r="BA429" i="13"/>
  <c r="AP430" i="13"/>
  <c r="AQ430" i="13"/>
  <c r="AR430" i="13"/>
  <c r="AS430" i="13"/>
  <c r="AT430" i="13"/>
  <c r="AU430" i="13"/>
  <c r="AV430" i="13"/>
  <c r="AW430" i="13"/>
  <c r="AX430" i="13"/>
  <c r="AY430" i="13"/>
  <c r="AZ430" i="13"/>
  <c r="BA430" i="13"/>
  <c r="AP431" i="13"/>
  <c r="AQ431" i="13"/>
  <c r="AR431" i="13"/>
  <c r="AS431" i="13"/>
  <c r="AT431" i="13"/>
  <c r="AU431" i="13"/>
  <c r="AV431" i="13"/>
  <c r="AW431" i="13"/>
  <c r="AX431" i="13"/>
  <c r="AY431" i="13"/>
  <c r="AZ431" i="13"/>
  <c r="BA431" i="13"/>
  <c r="AP432" i="13"/>
  <c r="AQ432" i="13"/>
  <c r="AR432" i="13"/>
  <c r="AS432" i="13"/>
  <c r="AT432" i="13"/>
  <c r="AU432" i="13"/>
  <c r="AV432" i="13"/>
  <c r="AW432" i="13"/>
  <c r="AX432" i="13"/>
  <c r="AY432" i="13"/>
  <c r="AZ432" i="13"/>
  <c r="BA432" i="13"/>
  <c r="AQ433" i="13"/>
  <c r="AR433" i="13"/>
  <c r="AS433" i="13"/>
  <c r="AT433" i="13"/>
  <c r="AU433" i="13"/>
  <c r="AV433" i="13"/>
  <c r="AW433" i="13"/>
  <c r="AX433" i="13"/>
  <c r="AY433" i="13"/>
  <c r="AZ433" i="13"/>
  <c r="BA433" i="13"/>
  <c r="AP434" i="13"/>
  <c r="AR434" i="13"/>
  <c r="AS434" i="13"/>
  <c r="AT434" i="13"/>
  <c r="AU434" i="13"/>
  <c r="AV434" i="13"/>
  <c r="AW434" i="13"/>
  <c r="AX434" i="13"/>
  <c r="AY434" i="13"/>
  <c r="AZ434" i="13"/>
  <c r="BA434" i="13"/>
  <c r="AP435" i="13"/>
  <c r="AQ435" i="13"/>
  <c r="AR435" i="13"/>
  <c r="AS435" i="13"/>
  <c r="AT435" i="13"/>
  <c r="AU435" i="13"/>
  <c r="AV435" i="13"/>
  <c r="AW435" i="13"/>
  <c r="AX435" i="13"/>
  <c r="AY435" i="13"/>
  <c r="AZ435" i="13"/>
  <c r="BA435" i="13"/>
  <c r="AP436" i="13"/>
  <c r="AQ436" i="13"/>
  <c r="AR436" i="13"/>
  <c r="AS436" i="13"/>
  <c r="AT436" i="13"/>
  <c r="AU436" i="13"/>
  <c r="AV436" i="13"/>
  <c r="AW436" i="13"/>
  <c r="AX436" i="13"/>
  <c r="AY436" i="13"/>
  <c r="AZ436" i="13"/>
  <c r="BA436" i="13"/>
  <c r="AP437" i="13"/>
  <c r="AQ437" i="13"/>
  <c r="AR437" i="13"/>
  <c r="AS437" i="13"/>
  <c r="AT437" i="13"/>
  <c r="AU437" i="13"/>
  <c r="AV437" i="13"/>
  <c r="AW437" i="13"/>
  <c r="AX437" i="13"/>
  <c r="AY437" i="13"/>
  <c r="AZ437" i="13"/>
  <c r="BA437" i="13"/>
  <c r="AP438" i="13"/>
  <c r="AQ438" i="13"/>
  <c r="AR438" i="13"/>
  <c r="AS438" i="13"/>
  <c r="AT438" i="13"/>
  <c r="AU438" i="13"/>
  <c r="AV438" i="13"/>
  <c r="AW438" i="13"/>
  <c r="AX438" i="13"/>
  <c r="AY438" i="13"/>
  <c r="AZ438" i="13"/>
  <c r="BA438" i="13"/>
  <c r="AP439" i="13"/>
  <c r="AQ439" i="13"/>
  <c r="AR439" i="13"/>
  <c r="AS439" i="13"/>
  <c r="AT439" i="13"/>
  <c r="AU439" i="13"/>
  <c r="AV439" i="13"/>
  <c r="AW439" i="13"/>
  <c r="AX439" i="13"/>
  <c r="AY439" i="13"/>
  <c r="AZ439" i="13"/>
  <c r="BA439" i="13"/>
  <c r="AP440" i="13"/>
  <c r="AQ440" i="13"/>
  <c r="AR440" i="13"/>
  <c r="AS440" i="13"/>
  <c r="AT440" i="13"/>
  <c r="AU440" i="13"/>
  <c r="AV440" i="13"/>
  <c r="AW440" i="13"/>
  <c r="AX440" i="13"/>
  <c r="AY440" i="13"/>
  <c r="AZ440" i="13"/>
  <c r="BA440" i="13"/>
  <c r="AP441" i="13"/>
  <c r="AQ441" i="13"/>
  <c r="AR441" i="13"/>
  <c r="AS441" i="13"/>
  <c r="AT441" i="13"/>
  <c r="AU441" i="13"/>
  <c r="AV441" i="13"/>
  <c r="AW441" i="13"/>
  <c r="AX441" i="13"/>
  <c r="AY441" i="13"/>
  <c r="AZ441" i="13"/>
  <c r="BA441" i="13"/>
  <c r="AP442" i="13"/>
  <c r="AQ442" i="13"/>
  <c r="AR442" i="13"/>
  <c r="AS442" i="13"/>
  <c r="AT442" i="13"/>
  <c r="AU442" i="13"/>
  <c r="AV442" i="13"/>
  <c r="AW442" i="13"/>
  <c r="AX442" i="13"/>
  <c r="AY442" i="13"/>
  <c r="AZ442" i="13"/>
  <c r="BA442" i="13"/>
  <c r="AP443" i="13"/>
  <c r="AQ443" i="13"/>
  <c r="AR443" i="13"/>
  <c r="AS443" i="13"/>
  <c r="AT443" i="13"/>
  <c r="AU443" i="13"/>
  <c r="AV443" i="13"/>
  <c r="AW443" i="13"/>
  <c r="AX443" i="13"/>
  <c r="AY443" i="13"/>
  <c r="AZ443" i="13"/>
  <c r="BA443" i="13"/>
  <c r="AP444" i="13"/>
  <c r="AQ444" i="13"/>
  <c r="AR444" i="13"/>
  <c r="AS444" i="13"/>
  <c r="AT444" i="13"/>
  <c r="AU444" i="13"/>
  <c r="AV444" i="13"/>
  <c r="AW444" i="13"/>
  <c r="AX444" i="13"/>
  <c r="AY444" i="13"/>
  <c r="AZ444" i="13"/>
  <c r="BA444" i="13"/>
  <c r="AP445" i="13"/>
  <c r="AQ445" i="13"/>
  <c r="AR445" i="13"/>
  <c r="AS445" i="13"/>
  <c r="AT445" i="13"/>
  <c r="AU445" i="13"/>
  <c r="AV445" i="13"/>
  <c r="AW445" i="13"/>
  <c r="AX445" i="13"/>
  <c r="AY445" i="13"/>
  <c r="AZ445" i="13"/>
  <c r="BA445" i="13"/>
  <c r="AP446" i="13"/>
  <c r="AQ446" i="13"/>
  <c r="AR446" i="13"/>
  <c r="AS446" i="13"/>
  <c r="AT446" i="13"/>
  <c r="AU446" i="13"/>
  <c r="AV446" i="13"/>
  <c r="AW446" i="13"/>
  <c r="AX446" i="13"/>
  <c r="AY446" i="13"/>
  <c r="AZ446" i="13"/>
  <c r="BA446" i="13"/>
  <c r="AP447" i="13"/>
  <c r="AQ447" i="13"/>
  <c r="AR447" i="13"/>
  <c r="AS447" i="13"/>
  <c r="AT447" i="13"/>
  <c r="AU447" i="13"/>
  <c r="AV447" i="13"/>
  <c r="AW447" i="13"/>
  <c r="AX447" i="13"/>
  <c r="AY447" i="13"/>
  <c r="AZ447" i="13"/>
  <c r="BA447" i="13"/>
  <c r="AP448" i="13"/>
  <c r="AQ448" i="13"/>
  <c r="AR448" i="13"/>
  <c r="AS448" i="13"/>
  <c r="AT448" i="13"/>
  <c r="AU448" i="13"/>
  <c r="AV448" i="13"/>
  <c r="AW448" i="13"/>
  <c r="AX448" i="13"/>
  <c r="AY448" i="13"/>
  <c r="AZ448" i="13"/>
  <c r="BA448" i="13"/>
  <c r="AP449" i="13"/>
  <c r="AQ449" i="13"/>
  <c r="AR449" i="13"/>
  <c r="AS449" i="13"/>
  <c r="AT449" i="13"/>
  <c r="AU449" i="13"/>
  <c r="AV449" i="13"/>
  <c r="AW449" i="13"/>
  <c r="AX449" i="13"/>
  <c r="AY449" i="13"/>
  <c r="AZ449" i="13"/>
  <c r="BA449" i="13"/>
  <c r="AP450" i="13"/>
  <c r="AQ450" i="13"/>
  <c r="AR450" i="13"/>
  <c r="AS450" i="13"/>
  <c r="AT450" i="13"/>
  <c r="AU450" i="13"/>
  <c r="AV450" i="13"/>
  <c r="AW450" i="13"/>
  <c r="AX450" i="13"/>
  <c r="AY450" i="13"/>
  <c r="AZ450" i="13"/>
  <c r="BA450" i="13"/>
  <c r="AP451" i="13"/>
  <c r="AQ451" i="13"/>
  <c r="AR451" i="13"/>
  <c r="AS451" i="13"/>
  <c r="AT451" i="13"/>
  <c r="AU451" i="13"/>
  <c r="AV451" i="13"/>
  <c r="AW451" i="13"/>
  <c r="AX451" i="13"/>
  <c r="AY451" i="13"/>
  <c r="AZ451" i="13"/>
  <c r="BA451" i="13"/>
  <c r="AP452" i="13"/>
  <c r="AQ452" i="13"/>
  <c r="AR452" i="13"/>
  <c r="AS452" i="13"/>
  <c r="AT452" i="13"/>
  <c r="AU452" i="13"/>
  <c r="AV452" i="13"/>
  <c r="AW452" i="13"/>
  <c r="AX452" i="13"/>
  <c r="AY452" i="13"/>
  <c r="AZ452" i="13"/>
  <c r="BA452" i="13"/>
  <c r="AP453" i="13"/>
  <c r="AQ453" i="13"/>
  <c r="AR453" i="13"/>
  <c r="AS453" i="13"/>
  <c r="AT453" i="13"/>
  <c r="AU453" i="13"/>
  <c r="AV453" i="13"/>
  <c r="AW453" i="13"/>
  <c r="AX453" i="13"/>
  <c r="AY453" i="13"/>
  <c r="AZ453" i="13"/>
  <c r="BA453" i="13"/>
  <c r="AP454" i="13"/>
  <c r="AQ454" i="13"/>
  <c r="AR454" i="13"/>
  <c r="AS454" i="13"/>
  <c r="AT454" i="13"/>
  <c r="AU454" i="13"/>
  <c r="AV454" i="13"/>
  <c r="AW454" i="13"/>
  <c r="AX454" i="13"/>
  <c r="AY454" i="13"/>
  <c r="AZ454" i="13"/>
  <c r="BA454" i="13"/>
  <c r="AP455" i="13"/>
  <c r="AQ455" i="13"/>
  <c r="AR455" i="13"/>
  <c r="AS455" i="13"/>
  <c r="AT455" i="13"/>
  <c r="AU455" i="13"/>
  <c r="AV455" i="13"/>
  <c r="AW455" i="13"/>
  <c r="AX455" i="13"/>
  <c r="AY455" i="13"/>
  <c r="AZ455" i="13"/>
  <c r="BA455" i="13"/>
  <c r="AP456" i="13"/>
  <c r="AQ456" i="13"/>
  <c r="AR456" i="13"/>
  <c r="AS456" i="13"/>
  <c r="AT456" i="13"/>
  <c r="AU456" i="13"/>
  <c r="AV456" i="13"/>
  <c r="AW456" i="13"/>
  <c r="AX456" i="13"/>
  <c r="AY456" i="13"/>
  <c r="AZ456" i="13"/>
  <c r="BA456" i="13"/>
  <c r="AP457" i="13"/>
  <c r="AQ457" i="13"/>
  <c r="AR457" i="13"/>
  <c r="AS457" i="13"/>
  <c r="AT457" i="13"/>
  <c r="AU457" i="13"/>
  <c r="AV457" i="13"/>
  <c r="AW457" i="13"/>
  <c r="AX457" i="13"/>
  <c r="AY457" i="13"/>
  <c r="AZ457" i="13"/>
  <c r="BA457" i="13"/>
  <c r="AP458" i="13"/>
  <c r="AQ458" i="13"/>
  <c r="AR458" i="13"/>
  <c r="AS458" i="13"/>
  <c r="AT458" i="13"/>
  <c r="AU458" i="13"/>
  <c r="AV458" i="13"/>
  <c r="AW458" i="13"/>
  <c r="AX458" i="13"/>
  <c r="AY458" i="13"/>
  <c r="AZ458" i="13"/>
  <c r="BA458" i="13"/>
  <c r="AP459" i="13"/>
  <c r="AQ459" i="13"/>
  <c r="AR459" i="13"/>
  <c r="AS459" i="13"/>
  <c r="AT459" i="13"/>
  <c r="AU459" i="13"/>
  <c r="AV459" i="13"/>
  <c r="AW459" i="13"/>
  <c r="AX459" i="13"/>
  <c r="AY459" i="13"/>
  <c r="AZ459" i="13"/>
  <c r="BA459" i="13"/>
  <c r="AP460" i="13"/>
  <c r="AQ460" i="13"/>
  <c r="AR460" i="13"/>
  <c r="AS460" i="13"/>
  <c r="AT460" i="13"/>
  <c r="AU460" i="13"/>
  <c r="AV460" i="13"/>
  <c r="AW460" i="13"/>
  <c r="AX460" i="13"/>
  <c r="AY460" i="13"/>
  <c r="AZ460" i="13"/>
  <c r="BA460" i="13"/>
  <c r="AP461" i="13"/>
  <c r="AQ461" i="13"/>
  <c r="AR461" i="13"/>
  <c r="AS461" i="13"/>
  <c r="AT461" i="13"/>
  <c r="AU461" i="13"/>
  <c r="AV461" i="13"/>
  <c r="AW461" i="13"/>
  <c r="AX461" i="13"/>
  <c r="AY461" i="13"/>
  <c r="AZ461" i="13"/>
  <c r="BA461" i="13"/>
  <c r="AP462" i="13"/>
  <c r="AQ462" i="13"/>
  <c r="AR462" i="13"/>
  <c r="AS462" i="13"/>
  <c r="AT462" i="13"/>
  <c r="AU462" i="13"/>
  <c r="AV462" i="13"/>
  <c r="AW462" i="13"/>
  <c r="AX462" i="13"/>
  <c r="AY462" i="13"/>
  <c r="AZ462" i="13"/>
  <c r="BA462" i="13"/>
  <c r="AP463" i="13"/>
  <c r="AQ463" i="13"/>
  <c r="AR463" i="13"/>
  <c r="AS463" i="13"/>
  <c r="AT463" i="13"/>
  <c r="AU463" i="13"/>
  <c r="AV463" i="13"/>
  <c r="AW463" i="13"/>
  <c r="AX463" i="13"/>
  <c r="AY463" i="13"/>
  <c r="AZ463" i="13"/>
  <c r="BA463" i="13"/>
  <c r="AP464" i="13"/>
  <c r="AQ464" i="13"/>
  <c r="AR464" i="13"/>
  <c r="AS464" i="13"/>
  <c r="AT464" i="13"/>
  <c r="AU464" i="13"/>
  <c r="AV464" i="13"/>
  <c r="AW464" i="13"/>
  <c r="AX464" i="13"/>
  <c r="AY464" i="13"/>
  <c r="AZ464" i="13"/>
  <c r="BA464" i="13"/>
  <c r="AP465" i="13"/>
  <c r="AQ465" i="13"/>
  <c r="AR465" i="13"/>
  <c r="AS465" i="13"/>
  <c r="AT465" i="13"/>
  <c r="AU465" i="13"/>
  <c r="AV465" i="13"/>
  <c r="AW465" i="13"/>
  <c r="AX465" i="13"/>
  <c r="AY465" i="13"/>
  <c r="AZ465" i="13"/>
  <c r="BA465" i="13"/>
  <c r="AP466" i="13"/>
  <c r="AQ466" i="13"/>
  <c r="AR466" i="13"/>
  <c r="AS466" i="13"/>
  <c r="AT466" i="13"/>
  <c r="AU466" i="13"/>
  <c r="AV466" i="13"/>
  <c r="AW466" i="13"/>
  <c r="AX466" i="13"/>
  <c r="AY466" i="13"/>
  <c r="AZ466" i="13"/>
  <c r="BA466" i="13"/>
  <c r="AP467" i="13"/>
  <c r="AQ467" i="13"/>
  <c r="AR467" i="13"/>
  <c r="AS467" i="13"/>
  <c r="AT467" i="13"/>
  <c r="AU467" i="13"/>
  <c r="AV467" i="13"/>
  <c r="AW467" i="13"/>
  <c r="AX467" i="13"/>
  <c r="AY467" i="13"/>
  <c r="AZ467" i="13"/>
  <c r="BA467" i="13"/>
  <c r="AP468" i="13"/>
  <c r="AQ468" i="13"/>
  <c r="AR468" i="13"/>
  <c r="AS468" i="13"/>
  <c r="AT468" i="13"/>
  <c r="AU468" i="13"/>
  <c r="AV468" i="13"/>
  <c r="AW468" i="13"/>
  <c r="AX468" i="13"/>
  <c r="AY468" i="13"/>
  <c r="AZ468" i="13"/>
  <c r="BA468" i="13"/>
  <c r="AP469" i="13"/>
  <c r="AQ469" i="13"/>
  <c r="AR469" i="13"/>
  <c r="AS469" i="13"/>
  <c r="AT469" i="13"/>
  <c r="AU469" i="13"/>
  <c r="AV469" i="13"/>
  <c r="AW469" i="13"/>
  <c r="AX469" i="13"/>
  <c r="AY469" i="13"/>
  <c r="AZ469" i="13"/>
  <c r="BA469" i="13"/>
  <c r="AP470" i="13"/>
  <c r="AQ470" i="13"/>
  <c r="AR470" i="13"/>
  <c r="AS470" i="13"/>
  <c r="AT470" i="13"/>
  <c r="AU470" i="13"/>
  <c r="AV470" i="13"/>
  <c r="AW470" i="13"/>
  <c r="AX470" i="13"/>
  <c r="AY470" i="13"/>
  <c r="AZ470" i="13"/>
  <c r="BA470" i="13"/>
  <c r="AP471" i="13"/>
  <c r="AQ471" i="13"/>
  <c r="AR471" i="13"/>
  <c r="AS471" i="13"/>
  <c r="AT471" i="13"/>
  <c r="AU471" i="13"/>
  <c r="AV471" i="13"/>
  <c r="AW471" i="13"/>
  <c r="AX471" i="13"/>
  <c r="AY471" i="13"/>
  <c r="AZ471" i="13"/>
  <c r="BA471" i="13"/>
  <c r="AP472" i="13"/>
  <c r="AQ472" i="13"/>
  <c r="AR472" i="13"/>
  <c r="AS472" i="13"/>
  <c r="AT472" i="13"/>
  <c r="AU472" i="13"/>
  <c r="AV472" i="13"/>
  <c r="AW472" i="13"/>
  <c r="AX472" i="13"/>
  <c r="AY472" i="13"/>
  <c r="AZ472" i="13"/>
  <c r="BA472" i="13"/>
  <c r="AP473" i="13"/>
  <c r="AQ473" i="13"/>
  <c r="AR473" i="13"/>
  <c r="AS473" i="13"/>
  <c r="AT473" i="13"/>
  <c r="AU473" i="13"/>
  <c r="AV473" i="13"/>
  <c r="AW473" i="13"/>
  <c r="AX473" i="13"/>
  <c r="AY473" i="13"/>
  <c r="AZ473" i="13"/>
  <c r="BA473" i="13"/>
  <c r="AP474" i="13"/>
  <c r="AQ474" i="13"/>
  <c r="AR474" i="13"/>
  <c r="AS474" i="13"/>
  <c r="AT474" i="13"/>
  <c r="AU474" i="13"/>
  <c r="AV474" i="13"/>
  <c r="AW474" i="13"/>
  <c r="AX474" i="13"/>
  <c r="AY474" i="13"/>
  <c r="AZ474" i="13"/>
  <c r="BA474" i="13"/>
  <c r="AP475" i="13"/>
  <c r="AQ475" i="13"/>
  <c r="AR475" i="13"/>
  <c r="AS475" i="13"/>
  <c r="AT475" i="13"/>
  <c r="AU475" i="13"/>
  <c r="AV475" i="13"/>
  <c r="AW475" i="13"/>
  <c r="AX475" i="13"/>
  <c r="AY475" i="13"/>
  <c r="AZ475" i="13"/>
  <c r="BA475" i="13"/>
  <c r="AP476" i="13"/>
  <c r="AQ476" i="13"/>
  <c r="AR476" i="13"/>
  <c r="AS476" i="13"/>
  <c r="AT476" i="13"/>
  <c r="AU476" i="13"/>
  <c r="AV476" i="13"/>
  <c r="AW476" i="13"/>
  <c r="AX476" i="13"/>
  <c r="AY476" i="13"/>
  <c r="AZ476" i="13"/>
  <c r="BA476" i="13"/>
  <c r="AP477" i="13"/>
  <c r="AQ477" i="13"/>
  <c r="AR477" i="13"/>
  <c r="AS477" i="13"/>
  <c r="AT477" i="13"/>
  <c r="AU477" i="13"/>
  <c r="AV477" i="13"/>
  <c r="AW477" i="13"/>
  <c r="AX477" i="13"/>
  <c r="AY477" i="13"/>
  <c r="AZ477" i="13"/>
  <c r="BA477" i="13"/>
  <c r="AP478" i="13"/>
  <c r="AQ478" i="13"/>
  <c r="AR478" i="13"/>
  <c r="AS478" i="13"/>
  <c r="AT478" i="13"/>
  <c r="AU478" i="13"/>
  <c r="AV478" i="13"/>
  <c r="AW478" i="13"/>
  <c r="AX478" i="13"/>
  <c r="AY478" i="13"/>
  <c r="AZ478" i="13"/>
  <c r="BA478" i="13"/>
  <c r="AP479" i="13"/>
  <c r="AQ479" i="13"/>
  <c r="AR479" i="13"/>
  <c r="AS479" i="13"/>
  <c r="AT479" i="13"/>
  <c r="AU479" i="13"/>
  <c r="AV479" i="13"/>
  <c r="AW479" i="13"/>
  <c r="AX479" i="13"/>
  <c r="AY479" i="13"/>
  <c r="AZ479" i="13"/>
  <c r="BA479" i="13"/>
  <c r="AP480" i="13"/>
  <c r="AQ480" i="13"/>
  <c r="AR480" i="13"/>
  <c r="AS480" i="13"/>
  <c r="AT480" i="13"/>
  <c r="AU480" i="13"/>
  <c r="AV480" i="13"/>
  <c r="AW480" i="13"/>
  <c r="AX480" i="13"/>
  <c r="AY480" i="13"/>
  <c r="AZ480" i="13"/>
  <c r="BA480" i="13"/>
  <c r="AP481" i="13"/>
  <c r="AQ481" i="13"/>
  <c r="AR481" i="13"/>
  <c r="AS481" i="13"/>
  <c r="AT481" i="13"/>
  <c r="AU481" i="13"/>
  <c r="AV481" i="13"/>
  <c r="AW481" i="13"/>
  <c r="AX481" i="13"/>
  <c r="AY481" i="13"/>
  <c r="AZ481" i="13"/>
  <c r="BA481" i="13"/>
  <c r="AP482" i="13"/>
  <c r="AQ482" i="13"/>
  <c r="AR482" i="13"/>
  <c r="AS482" i="13"/>
  <c r="AT482" i="13"/>
  <c r="AU482" i="13"/>
  <c r="AV482" i="13"/>
  <c r="AW482" i="13"/>
  <c r="AX482" i="13"/>
  <c r="AY482" i="13"/>
  <c r="AZ482" i="13"/>
  <c r="BA482" i="13"/>
  <c r="AP483" i="13"/>
  <c r="AQ483" i="13"/>
  <c r="AR483" i="13"/>
  <c r="AS483" i="13"/>
  <c r="AT483" i="13"/>
  <c r="AU483" i="13"/>
  <c r="AV483" i="13"/>
  <c r="AW483" i="13"/>
  <c r="AX483" i="13"/>
  <c r="AY483" i="13"/>
  <c r="AZ483" i="13"/>
  <c r="BA483" i="13"/>
  <c r="AP484" i="13"/>
  <c r="AQ484" i="13"/>
  <c r="AR484" i="13"/>
  <c r="AS484" i="13"/>
  <c r="AT484" i="13"/>
  <c r="AU484" i="13"/>
  <c r="AV484" i="13"/>
  <c r="AW484" i="13"/>
  <c r="AX484" i="13"/>
  <c r="AY484" i="13"/>
  <c r="AZ484" i="13"/>
  <c r="BA484" i="13"/>
  <c r="AP485" i="13"/>
  <c r="AQ485" i="13"/>
  <c r="AR485" i="13"/>
  <c r="AS485" i="13"/>
  <c r="AT485" i="13"/>
  <c r="AU485" i="13"/>
  <c r="AV485" i="13"/>
  <c r="AW485" i="13"/>
  <c r="AX485" i="13"/>
  <c r="AY485" i="13"/>
  <c r="AZ485" i="13"/>
  <c r="BA485" i="13"/>
  <c r="AP486" i="13"/>
  <c r="AQ486" i="13"/>
  <c r="AR486" i="13"/>
  <c r="AS486" i="13"/>
  <c r="AT486" i="13"/>
  <c r="AU486" i="13"/>
  <c r="AV486" i="13"/>
  <c r="AW486" i="13"/>
  <c r="AX486" i="13"/>
  <c r="AY486" i="13"/>
  <c r="AZ486" i="13"/>
  <c r="BA486" i="13"/>
  <c r="AP487" i="13"/>
  <c r="AQ487" i="13"/>
  <c r="AR487" i="13"/>
  <c r="AS487" i="13"/>
  <c r="AT487" i="13"/>
  <c r="AU487" i="13"/>
  <c r="AV487" i="13"/>
  <c r="AW487" i="13"/>
  <c r="AX487" i="13"/>
  <c r="AY487" i="13"/>
  <c r="AZ487" i="13"/>
  <c r="BA487" i="13"/>
  <c r="AP488" i="13"/>
  <c r="AQ488" i="13"/>
  <c r="AR488" i="13"/>
  <c r="AS488" i="13"/>
  <c r="AT488" i="13"/>
  <c r="AU488" i="13"/>
  <c r="AV488" i="13"/>
  <c r="AW488" i="13"/>
  <c r="AX488" i="13"/>
  <c r="AY488" i="13"/>
  <c r="AZ488" i="13"/>
  <c r="BA488" i="13"/>
  <c r="AP489" i="13"/>
  <c r="AQ489" i="13"/>
  <c r="AR489" i="13"/>
  <c r="AS489" i="13"/>
  <c r="AT489" i="13"/>
  <c r="AU489" i="13"/>
  <c r="AV489" i="13"/>
  <c r="AW489" i="13"/>
  <c r="AX489" i="13"/>
  <c r="AY489" i="13"/>
  <c r="AZ489" i="13"/>
  <c r="BA489" i="13"/>
  <c r="AP490" i="13"/>
  <c r="AQ490" i="13"/>
  <c r="AR490" i="13"/>
  <c r="AS490" i="13"/>
  <c r="AT490" i="13"/>
  <c r="AU490" i="13"/>
  <c r="AV490" i="13"/>
  <c r="AW490" i="13"/>
  <c r="AX490" i="13"/>
  <c r="AY490" i="13"/>
  <c r="AZ490" i="13"/>
  <c r="BA490" i="13"/>
  <c r="AP491" i="13"/>
  <c r="AQ491" i="13"/>
  <c r="AR491" i="13"/>
  <c r="AS491" i="13"/>
  <c r="AT491" i="13"/>
  <c r="AU491" i="13"/>
  <c r="AV491" i="13"/>
  <c r="AW491" i="13"/>
  <c r="AX491" i="13"/>
  <c r="AY491" i="13"/>
  <c r="AZ491" i="13"/>
  <c r="BA491" i="13"/>
  <c r="AP492" i="13"/>
  <c r="AQ492" i="13"/>
  <c r="AR492" i="13"/>
  <c r="AS492" i="13"/>
  <c r="AT492" i="13"/>
  <c r="AU492" i="13"/>
  <c r="AV492" i="13"/>
  <c r="AW492" i="13"/>
  <c r="AX492" i="13"/>
  <c r="AY492" i="13"/>
  <c r="AZ492" i="13"/>
  <c r="BA492" i="13"/>
  <c r="AP493" i="13"/>
  <c r="AQ493" i="13"/>
  <c r="AR493" i="13"/>
  <c r="AS493" i="13"/>
  <c r="AT493" i="13"/>
  <c r="AU493" i="13"/>
  <c r="AV493" i="13"/>
  <c r="AW493" i="13"/>
  <c r="AX493" i="13"/>
  <c r="AY493" i="13"/>
  <c r="AZ493" i="13"/>
  <c r="BA493" i="13"/>
  <c r="AW5" i="13"/>
  <c r="AX5" i="13"/>
  <c r="AY5" i="13"/>
  <c r="AZ5" i="13"/>
  <c r="BA5" i="13"/>
  <c r="AV5" i="13"/>
  <c r="AQ5" i="13"/>
  <c r="AR5" i="13"/>
  <c r="AS5" i="13"/>
  <c r="AT5" i="13"/>
  <c r="AU5" i="13"/>
  <c r="AP5" i="13"/>
  <c r="AO6" i="13"/>
  <c r="AO7" i="13"/>
  <c r="AO8" i="13"/>
  <c r="AO9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O39" i="13"/>
  <c r="AO40" i="13"/>
  <c r="AO41" i="13"/>
  <c r="AO42" i="13"/>
  <c r="AO43" i="13"/>
  <c r="AO44" i="13"/>
  <c r="AO45" i="13"/>
  <c r="AO46" i="13"/>
  <c r="AO47" i="13"/>
  <c r="AO48" i="13"/>
  <c r="AO49" i="13"/>
  <c r="AO50" i="13"/>
  <c r="AO51" i="13"/>
  <c r="AO52" i="13"/>
  <c r="AO53" i="13"/>
  <c r="AO54" i="13"/>
  <c r="AO55" i="13"/>
  <c r="AO56" i="13"/>
  <c r="AO57" i="13"/>
  <c r="AO58" i="13"/>
  <c r="AO59" i="13"/>
  <c r="AO60" i="13"/>
  <c r="AO61" i="13"/>
  <c r="AO62" i="13"/>
  <c r="AO63" i="13"/>
  <c r="AO64" i="13"/>
  <c r="AO65" i="13"/>
  <c r="AO66" i="13"/>
  <c r="AO67" i="13"/>
  <c r="AO68" i="13"/>
  <c r="AO69" i="13"/>
  <c r="AO70" i="13"/>
  <c r="AO71" i="13"/>
  <c r="AO72" i="13"/>
  <c r="AO73" i="13"/>
  <c r="AO74" i="13"/>
  <c r="AO75" i="13"/>
  <c r="AO76" i="13"/>
  <c r="AO77" i="13"/>
  <c r="AO78" i="13"/>
  <c r="AO79" i="13"/>
  <c r="AO80" i="13"/>
  <c r="AO81" i="13"/>
  <c r="AO82" i="13"/>
  <c r="AO83" i="13"/>
  <c r="AO84" i="13"/>
  <c r="AO85" i="13"/>
  <c r="AO86" i="13"/>
  <c r="AO87" i="13"/>
  <c r="AO88" i="13"/>
  <c r="AO89" i="13"/>
  <c r="AO90" i="13"/>
  <c r="AO91" i="13"/>
  <c r="AO92" i="13"/>
  <c r="AO93" i="13"/>
  <c r="AO94" i="13"/>
  <c r="AO95" i="13"/>
  <c r="AO96" i="13"/>
  <c r="AO97" i="13"/>
  <c r="AO98" i="13"/>
  <c r="AO99" i="13"/>
  <c r="AO100" i="13"/>
  <c r="AO101" i="13"/>
  <c r="AO102" i="13"/>
  <c r="AO103" i="13"/>
  <c r="AO104" i="13"/>
  <c r="AO105" i="13"/>
  <c r="AO106" i="13"/>
  <c r="AO107" i="13"/>
  <c r="AO108" i="13"/>
  <c r="AO109" i="13"/>
  <c r="AO110" i="13"/>
  <c r="AO111" i="13"/>
  <c r="AO112" i="13"/>
  <c r="AO113" i="13"/>
  <c r="AO114" i="13"/>
  <c r="AO115" i="13"/>
  <c r="AO116" i="13"/>
  <c r="AO117" i="13"/>
  <c r="AO118" i="13"/>
  <c r="AO119" i="13"/>
  <c r="AO120" i="13"/>
  <c r="AO121" i="13"/>
  <c r="AO122" i="13"/>
  <c r="AO123" i="13"/>
  <c r="AO124" i="13"/>
  <c r="AO125" i="13"/>
  <c r="AO126" i="13"/>
  <c r="AO127" i="13"/>
  <c r="AO128" i="13"/>
  <c r="AO129" i="13"/>
  <c r="AO130" i="13"/>
  <c r="AO131" i="13"/>
  <c r="AO132" i="13"/>
  <c r="AO133" i="13"/>
  <c r="AO134" i="13"/>
  <c r="AO135" i="13"/>
  <c r="AO136" i="13"/>
  <c r="AO137" i="13"/>
  <c r="AO138" i="13"/>
  <c r="AO139" i="13"/>
  <c r="AO140" i="13"/>
  <c r="AO141" i="13"/>
  <c r="AO142" i="13"/>
  <c r="AO143" i="13"/>
  <c r="AO144" i="13"/>
  <c r="AO145" i="13"/>
  <c r="AO146" i="13"/>
  <c r="AO147" i="13"/>
  <c r="AO148" i="13"/>
  <c r="AO149" i="13"/>
  <c r="AO150" i="13"/>
  <c r="AO151" i="13"/>
  <c r="AO152" i="13"/>
  <c r="AO153" i="13"/>
  <c r="AO154" i="13"/>
  <c r="AO155" i="13"/>
  <c r="AO156" i="13"/>
  <c r="AO157" i="13"/>
  <c r="AO158" i="13"/>
  <c r="AO159" i="13"/>
  <c r="AO160" i="13"/>
  <c r="AO161" i="13"/>
  <c r="AO162" i="13"/>
  <c r="AO163" i="13"/>
  <c r="AO164" i="13"/>
  <c r="AO165" i="13"/>
  <c r="AO166" i="13"/>
  <c r="AO167" i="13"/>
  <c r="AO168" i="13"/>
  <c r="AO169" i="13"/>
  <c r="AO170" i="13"/>
  <c r="AO171" i="13"/>
  <c r="AO172" i="13"/>
  <c r="AO173" i="13"/>
  <c r="AO174" i="13"/>
  <c r="AO175" i="13"/>
  <c r="AO176" i="13"/>
  <c r="AO177" i="13"/>
  <c r="AO178" i="13"/>
  <c r="AO179" i="13"/>
  <c r="AO180" i="13"/>
  <c r="AO181" i="13"/>
  <c r="AO182" i="13"/>
  <c r="AO183" i="13"/>
  <c r="AO184" i="13"/>
  <c r="AO185" i="13"/>
  <c r="AO186" i="13"/>
  <c r="AO187" i="13"/>
  <c r="AO188" i="13"/>
  <c r="AO189" i="13"/>
  <c r="AO190" i="13"/>
  <c r="AO191" i="13"/>
  <c r="AO192" i="13"/>
  <c r="AO193" i="13"/>
  <c r="AO194" i="13"/>
  <c r="AO195" i="13"/>
  <c r="AO196" i="13"/>
  <c r="AO197" i="13"/>
  <c r="AO198" i="13"/>
  <c r="AO199" i="13"/>
  <c r="AO200" i="13"/>
  <c r="AO201" i="13"/>
  <c r="AO202" i="13"/>
  <c r="AO203" i="13"/>
  <c r="AO204" i="13"/>
  <c r="AO205" i="13"/>
  <c r="AO206" i="13"/>
  <c r="AO207" i="13"/>
  <c r="AO208" i="13"/>
  <c r="AO209" i="13"/>
  <c r="AO210" i="13"/>
  <c r="AO211" i="13"/>
  <c r="AO212" i="13"/>
  <c r="AO213" i="13"/>
  <c r="AO214" i="13"/>
  <c r="AO215" i="13"/>
  <c r="AO216" i="13"/>
  <c r="AO217" i="13"/>
  <c r="AO218" i="13"/>
  <c r="AO219" i="13"/>
  <c r="AO220" i="13"/>
  <c r="AO221" i="13"/>
  <c r="AO222" i="13"/>
  <c r="AO223" i="13"/>
  <c r="AO224" i="13"/>
  <c r="AO225" i="13"/>
  <c r="AO226" i="13"/>
  <c r="AO227" i="13"/>
  <c r="AO228" i="13"/>
  <c r="AO229" i="13"/>
  <c r="AO230" i="13"/>
  <c r="AO231" i="13"/>
  <c r="AO232" i="13"/>
  <c r="AO233" i="13"/>
  <c r="AO234" i="13"/>
  <c r="AO235" i="13"/>
  <c r="AO236" i="13"/>
  <c r="AO237" i="13"/>
  <c r="AO238" i="13"/>
  <c r="AO239" i="13"/>
  <c r="AO240" i="13"/>
  <c r="AO241" i="13"/>
  <c r="AO242" i="13"/>
  <c r="AO243" i="13"/>
  <c r="AO244" i="13"/>
  <c r="AO245" i="13"/>
  <c r="AO246" i="13"/>
  <c r="AO247" i="13"/>
  <c r="AO248" i="13"/>
  <c r="AO249" i="13"/>
  <c r="AO250" i="13"/>
  <c r="AO251" i="13"/>
  <c r="AO252" i="13"/>
  <c r="AO253" i="13"/>
  <c r="AO254" i="13"/>
  <c r="AO255" i="13"/>
  <c r="AO256" i="13"/>
  <c r="AO257" i="13"/>
  <c r="AO258" i="13"/>
  <c r="AO259" i="13"/>
  <c r="AO260" i="13"/>
  <c r="AO261" i="13"/>
  <c r="AO262" i="13"/>
  <c r="AO263" i="13"/>
  <c r="AO264" i="13"/>
  <c r="AO265" i="13"/>
  <c r="AO266" i="13"/>
  <c r="AO267" i="13"/>
  <c r="AO268" i="13"/>
  <c r="AO269" i="13"/>
  <c r="AO270" i="13"/>
  <c r="AO271" i="13"/>
  <c r="AO272" i="13"/>
  <c r="AO273" i="13"/>
  <c r="AO274" i="13"/>
  <c r="AO275" i="13"/>
  <c r="AO276" i="13"/>
  <c r="AO277" i="13"/>
  <c r="AO278" i="13"/>
  <c r="AO279" i="13"/>
  <c r="AO280" i="13"/>
  <c r="AO281" i="13"/>
  <c r="AO282" i="13"/>
  <c r="AO283" i="13"/>
  <c r="AO284" i="13"/>
  <c r="AO285" i="13"/>
  <c r="AO286" i="13"/>
  <c r="AO287" i="13"/>
  <c r="AO288" i="13"/>
  <c r="AO289" i="13"/>
  <c r="AO290" i="13"/>
  <c r="AO291" i="13"/>
  <c r="AO292" i="13"/>
  <c r="AO293" i="13"/>
  <c r="AO294" i="13"/>
  <c r="AO295" i="13"/>
  <c r="AO296" i="13"/>
  <c r="AO297" i="13"/>
  <c r="AO298" i="13"/>
  <c r="AO299" i="13"/>
  <c r="AO300" i="13"/>
  <c r="AO301" i="13"/>
  <c r="AO302" i="13"/>
  <c r="AO303" i="13"/>
  <c r="AO304" i="13"/>
  <c r="AO305" i="13"/>
  <c r="AO306" i="13"/>
  <c r="AO307" i="13"/>
  <c r="AO308" i="13"/>
  <c r="AO309" i="13"/>
  <c r="AO310" i="13"/>
  <c r="AO311" i="13"/>
  <c r="AO312" i="13"/>
  <c r="AO313" i="13"/>
  <c r="AO314" i="13"/>
  <c r="AO315" i="13"/>
  <c r="AO316" i="13"/>
  <c r="AO317" i="13"/>
  <c r="AO318" i="13"/>
  <c r="AO319" i="13"/>
  <c r="AO320" i="13"/>
  <c r="AO321" i="13"/>
  <c r="AO322" i="13"/>
  <c r="AO323" i="13"/>
  <c r="AO324" i="13"/>
  <c r="AO325" i="13"/>
  <c r="AO326" i="13"/>
  <c r="AO327" i="13"/>
  <c r="AO328" i="13"/>
  <c r="AO329" i="13"/>
  <c r="AO330" i="13"/>
  <c r="AO331" i="13"/>
  <c r="AO332" i="13"/>
  <c r="AO333" i="13"/>
  <c r="AO334" i="13"/>
  <c r="AO335" i="13"/>
  <c r="AO336" i="13"/>
  <c r="AO337" i="13"/>
  <c r="AO338" i="13"/>
  <c r="AO339" i="13"/>
  <c r="AO340" i="13"/>
  <c r="AO341" i="13"/>
  <c r="AO342" i="13"/>
  <c r="AO343" i="13"/>
  <c r="AO344" i="13"/>
  <c r="AO345" i="13"/>
  <c r="AO346" i="13"/>
  <c r="AO347" i="13"/>
  <c r="AO348" i="13"/>
  <c r="AO349" i="13"/>
  <c r="AO350" i="13"/>
  <c r="AO351" i="13"/>
  <c r="AO352" i="13"/>
  <c r="AO353" i="13"/>
  <c r="AO354" i="13"/>
  <c r="AO355" i="13"/>
  <c r="AO356" i="13"/>
  <c r="AO357" i="13"/>
  <c r="AO358" i="13"/>
  <c r="AO359" i="13"/>
  <c r="AO360" i="13"/>
  <c r="AO361" i="13"/>
  <c r="AO362" i="13"/>
  <c r="AO363" i="13"/>
  <c r="AO364" i="13"/>
  <c r="AO365" i="13"/>
  <c r="AO366" i="13"/>
  <c r="AO367" i="13"/>
  <c r="AO368" i="13"/>
  <c r="AO369" i="13"/>
  <c r="AO370" i="13"/>
  <c r="AO371" i="13"/>
  <c r="AO372" i="13"/>
  <c r="AO373" i="13"/>
  <c r="AO374" i="13"/>
  <c r="AO375" i="13"/>
  <c r="AO376" i="13"/>
  <c r="AO377" i="13"/>
  <c r="AO378" i="13"/>
  <c r="AO379" i="13"/>
  <c r="AO380" i="13"/>
  <c r="AO381" i="13"/>
  <c r="AO382" i="13"/>
  <c r="AO383" i="13"/>
  <c r="AO384" i="13"/>
  <c r="AO385" i="13"/>
  <c r="AO386" i="13"/>
  <c r="AO387" i="13"/>
  <c r="AO388" i="13"/>
  <c r="AO389" i="13"/>
  <c r="AO390" i="13"/>
  <c r="AO391" i="13"/>
  <c r="AO392" i="13"/>
  <c r="AO393" i="13"/>
  <c r="AO394" i="13"/>
  <c r="AO395" i="13"/>
  <c r="AO396" i="13"/>
  <c r="AO397" i="13"/>
  <c r="AO398" i="13"/>
  <c r="AO399" i="13"/>
  <c r="AO400" i="13"/>
  <c r="AO401" i="13"/>
  <c r="AO402" i="13"/>
  <c r="AO403" i="13"/>
  <c r="AO404" i="13"/>
  <c r="AO405" i="13"/>
  <c r="AO406" i="13"/>
  <c r="AO407" i="13"/>
  <c r="AO408" i="13"/>
  <c r="AO409" i="13"/>
  <c r="AO410" i="13"/>
  <c r="AO411" i="13"/>
  <c r="AO412" i="13"/>
  <c r="AO413" i="13"/>
  <c r="AO414" i="13"/>
  <c r="AO415" i="13"/>
  <c r="AO416" i="13"/>
  <c r="AO417" i="13"/>
  <c r="AO418" i="13"/>
  <c r="AO419" i="13"/>
  <c r="AO420" i="13"/>
  <c r="AO421" i="13"/>
  <c r="AO422" i="13"/>
  <c r="AO423" i="13"/>
  <c r="AO424" i="13"/>
  <c r="AO425" i="13"/>
  <c r="AO426" i="13"/>
  <c r="AO427" i="13"/>
  <c r="AO428" i="13"/>
  <c r="AO429" i="13"/>
  <c r="AO430" i="13"/>
  <c r="AO431" i="13"/>
  <c r="AO432" i="13"/>
  <c r="AO433" i="13"/>
  <c r="AO434" i="13"/>
  <c r="AO435" i="13"/>
  <c r="AO436" i="13"/>
  <c r="AO437" i="13"/>
  <c r="AO438" i="13"/>
  <c r="AO439" i="13"/>
  <c r="AO440" i="13"/>
  <c r="AO441" i="13"/>
  <c r="AO442" i="13"/>
  <c r="AO443" i="13"/>
  <c r="AO444" i="13"/>
  <c r="AO445" i="13"/>
  <c r="AO446" i="13"/>
  <c r="AO447" i="13"/>
  <c r="AO448" i="13"/>
  <c r="AO449" i="13"/>
  <c r="AO450" i="13"/>
  <c r="AO451" i="13"/>
  <c r="AO452" i="13"/>
  <c r="AO453" i="13"/>
  <c r="AO454" i="13"/>
  <c r="AO455" i="13"/>
  <c r="AO456" i="13"/>
  <c r="AO457" i="13"/>
  <c r="AO458" i="13"/>
  <c r="AO459" i="13"/>
  <c r="AO460" i="13"/>
  <c r="AO461" i="13"/>
  <c r="AO462" i="13"/>
  <c r="AO463" i="13"/>
  <c r="AO464" i="13"/>
  <c r="AO465" i="13"/>
  <c r="AO466" i="13"/>
  <c r="AO467" i="13"/>
  <c r="AO468" i="13"/>
  <c r="AO469" i="13"/>
  <c r="AO470" i="13"/>
  <c r="AO471" i="13"/>
  <c r="AO472" i="13"/>
  <c r="AO473" i="13"/>
  <c r="AO474" i="13"/>
  <c r="AO475" i="13"/>
  <c r="AO476" i="13"/>
  <c r="AO477" i="13"/>
  <c r="AO478" i="13"/>
  <c r="AO479" i="13"/>
  <c r="AO480" i="13"/>
  <c r="AO481" i="13"/>
  <c r="AO482" i="13"/>
  <c r="AO483" i="13"/>
  <c r="AO484" i="13"/>
  <c r="AO485" i="13"/>
  <c r="AO486" i="13"/>
  <c r="AO487" i="13"/>
  <c r="AO488" i="13"/>
  <c r="AO489" i="13"/>
  <c r="AO490" i="13"/>
  <c r="AO491" i="13"/>
  <c r="AO492" i="13"/>
  <c r="AO493" i="13"/>
  <c r="AO5" i="13"/>
  <c r="AF6" i="13"/>
  <c r="AG6" i="13"/>
  <c r="AH6" i="13"/>
  <c r="AI6" i="13"/>
  <c r="AJ6" i="13"/>
  <c r="AK6" i="13"/>
  <c r="AF7" i="13"/>
  <c r="AG7" i="13"/>
  <c r="AH7" i="13"/>
  <c r="AI7" i="13"/>
  <c r="AJ7" i="13"/>
  <c r="AK7" i="13"/>
  <c r="AF8" i="13"/>
  <c r="AG8" i="13"/>
  <c r="AH8" i="13"/>
  <c r="AI8" i="13"/>
  <c r="AJ8" i="13"/>
  <c r="AK8" i="13"/>
  <c r="AF9" i="13"/>
  <c r="AG9" i="13"/>
  <c r="AH9" i="13"/>
  <c r="AI9" i="13"/>
  <c r="AJ9" i="13"/>
  <c r="AK9" i="13"/>
  <c r="AF10" i="13"/>
  <c r="AG10" i="13"/>
  <c r="AH10" i="13"/>
  <c r="AI10" i="13"/>
  <c r="AJ10" i="13"/>
  <c r="AK10" i="13"/>
  <c r="AF11" i="13"/>
  <c r="AG11" i="13"/>
  <c r="AH11" i="13"/>
  <c r="AI11" i="13"/>
  <c r="AJ11" i="13"/>
  <c r="AK11" i="13"/>
  <c r="AF12" i="13"/>
  <c r="AG12" i="13"/>
  <c r="AH12" i="13"/>
  <c r="AI12" i="13"/>
  <c r="AJ12" i="13"/>
  <c r="AK12" i="13"/>
  <c r="AF13" i="13"/>
  <c r="AG13" i="13"/>
  <c r="AH13" i="13"/>
  <c r="AI13" i="13"/>
  <c r="AJ13" i="13"/>
  <c r="AK13" i="13"/>
  <c r="AF14" i="13"/>
  <c r="AG14" i="13"/>
  <c r="AH14" i="13"/>
  <c r="AI14" i="13"/>
  <c r="AJ14" i="13"/>
  <c r="AK14" i="13"/>
  <c r="AF15" i="13"/>
  <c r="AG15" i="13"/>
  <c r="AH15" i="13"/>
  <c r="AI15" i="13"/>
  <c r="AJ15" i="13"/>
  <c r="AK15" i="13"/>
  <c r="AF16" i="13"/>
  <c r="AG16" i="13"/>
  <c r="AH16" i="13"/>
  <c r="AI16" i="13"/>
  <c r="AJ16" i="13"/>
  <c r="AK16" i="13"/>
  <c r="AF17" i="13"/>
  <c r="AG17" i="13"/>
  <c r="AH17" i="13"/>
  <c r="AI17" i="13"/>
  <c r="AJ17" i="13"/>
  <c r="AK17" i="13"/>
  <c r="AF18" i="13"/>
  <c r="AG18" i="13"/>
  <c r="AH18" i="13"/>
  <c r="AI18" i="13"/>
  <c r="AJ18" i="13"/>
  <c r="AK18" i="13"/>
  <c r="AF19" i="13"/>
  <c r="AG19" i="13"/>
  <c r="AH19" i="13"/>
  <c r="AI19" i="13"/>
  <c r="AJ19" i="13"/>
  <c r="AK19" i="13"/>
  <c r="AF20" i="13"/>
  <c r="AG20" i="13"/>
  <c r="AH20" i="13"/>
  <c r="AI20" i="13"/>
  <c r="AJ20" i="13"/>
  <c r="AK20" i="13"/>
  <c r="AF21" i="13"/>
  <c r="AG21" i="13"/>
  <c r="AH21" i="13"/>
  <c r="AI21" i="13"/>
  <c r="AJ21" i="13"/>
  <c r="AK21" i="13"/>
  <c r="AF22" i="13"/>
  <c r="AG22" i="13"/>
  <c r="AH22" i="13"/>
  <c r="AI22" i="13"/>
  <c r="AJ22" i="13"/>
  <c r="AK22" i="13"/>
  <c r="AF23" i="13"/>
  <c r="AG23" i="13"/>
  <c r="AH23" i="13"/>
  <c r="AI23" i="13"/>
  <c r="AJ23" i="13"/>
  <c r="AK23" i="13"/>
  <c r="AF24" i="13"/>
  <c r="AG24" i="13"/>
  <c r="AH24" i="13"/>
  <c r="AI24" i="13"/>
  <c r="AJ24" i="13"/>
  <c r="AK24" i="13"/>
  <c r="AF25" i="13"/>
  <c r="AG25" i="13"/>
  <c r="AH25" i="13"/>
  <c r="AI25" i="13"/>
  <c r="AJ25" i="13"/>
  <c r="AK25" i="13"/>
  <c r="AF26" i="13"/>
  <c r="AG26" i="13"/>
  <c r="AH26" i="13"/>
  <c r="AI26" i="13"/>
  <c r="AJ26" i="13"/>
  <c r="AK26" i="13"/>
  <c r="AF27" i="13"/>
  <c r="AG27" i="13"/>
  <c r="AH27" i="13"/>
  <c r="AI27" i="13"/>
  <c r="AJ27" i="13"/>
  <c r="AK27" i="13"/>
  <c r="AF28" i="13"/>
  <c r="AG28" i="13"/>
  <c r="AH28" i="13"/>
  <c r="AI28" i="13"/>
  <c r="AJ28" i="13"/>
  <c r="AK28" i="13"/>
  <c r="AF29" i="13"/>
  <c r="AG29" i="13"/>
  <c r="AH29" i="13"/>
  <c r="AI29" i="13"/>
  <c r="AJ29" i="13"/>
  <c r="AK29" i="13"/>
  <c r="AF30" i="13"/>
  <c r="AG30" i="13"/>
  <c r="AH30" i="13"/>
  <c r="AI30" i="13"/>
  <c r="AJ30" i="13"/>
  <c r="AK30" i="13"/>
  <c r="AF31" i="13"/>
  <c r="AG31" i="13"/>
  <c r="AH31" i="13"/>
  <c r="AI31" i="13"/>
  <c r="AJ31" i="13"/>
  <c r="AK31" i="13"/>
  <c r="AF32" i="13"/>
  <c r="AG32" i="13"/>
  <c r="AH32" i="13"/>
  <c r="AI32" i="13"/>
  <c r="AJ32" i="13"/>
  <c r="AK32" i="13"/>
  <c r="AF33" i="13"/>
  <c r="AG33" i="13"/>
  <c r="AH33" i="13"/>
  <c r="AI33" i="13"/>
  <c r="AJ33" i="13"/>
  <c r="AK33" i="13"/>
  <c r="AF34" i="13"/>
  <c r="AG34" i="13"/>
  <c r="AH34" i="13"/>
  <c r="AI34" i="13"/>
  <c r="AJ34" i="13"/>
  <c r="AK34" i="13"/>
  <c r="AF35" i="13"/>
  <c r="AG35" i="13"/>
  <c r="AH35" i="13"/>
  <c r="AI35" i="13"/>
  <c r="AJ35" i="13"/>
  <c r="AK35" i="13"/>
  <c r="AF36" i="13"/>
  <c r="AG36" i="13"/>
  <c r="AH36" i="13"/>
  <c r="AI36" i="13"/>
  <c r="AJ36" i="13"/>
  <c r="AK36" i="13"/>
  <c r="AF37" i="13"/>
  <c r="AG37" i="13"/>
  <c r="AH37" i="13"/>
  <c r="AI37" i="13"/>
  <c r="AJ37" i="13"/>
  <c r="AK37" i="13"/>
  <c r="AF38" i="13"/>
  <c r="AG38" i="13"/>
  <c r="AH38" i="13"/>
  <c r="AI38" i="13"/>
  <c r="AJ38" i="13"/>
  <c r="AK38" i="13"/>
  <c r="AF39" i="13"/>
  <c r="AG39" i="13"/>
  <c r="AH39" i="13"/>
  <c r="AI39" i="13"/>
  <c r="AJ39" i="13"/>
  <c r="AK39" i="13"/>
  <c r="AF40" i="13"/>
  <c r="AG40" i="13"/>
  <c r="AH40" i="13"/>
  <c r="AI40" i="13"/>
  <c r="AJ40" i="13"/>
  <c r="AK40" i="13"/>
  <c r="AF41" i="13"/>
  <c r="AG41" i="13"/>
  <c r="AH41" i="13"/>
  <c r="AI41" i="13"/>
  <c r="AJ41" i="13"/>
  <c r="AK41" i="13"/>
  <c r="AF42" i="13"/>
  <c r="AG42" i="13"/>
  <c r="AH42" i="13"/>
  <c r="AI42" i="13"/>
  <c r="AJ42" i="13"/>
  <c r="AK42" i="13"/>
  <c r="AF43" i="13"/>
  <c r="AG43" i="13"/>
  <c r="AH43" i="13"/>
  <c r="AI43" i="13"/>
  <c r="AJ43" i="13"/>
  <c r="AK43" i="13"/>
  <c r="AF44" i="13"/>
  <c r="AG44" i="13"/>
  <c r="AH44" i="13"/>
  <c r="AI44" i="13"/>
  <c r="AJ44" i="13"/>
  <c r="AK44" i="13"/>
  <c r="AF45" i="13"/>
  <c r="AG45" i="13"/>
  <c r="AH45" i="13"/>
  <c r="AI45" i="13"/>
  <c r="AJ45" i="13"/>
  <c r="AK45" i="13"/>
  <c r="AF46" i="13"/>
  <c r="AG46" i="13"/>
  <c r="AH46" i="13"/>
  <c r="AI46" i="13"/>
  <c r="AJ46" i="13"/>
  <c r="AK46" i="13"/>
  <c r="AF47" i="13"/>
  <c r="AG47" i="13"/>
  <c r="AH47" i="13"/>
  <c r="AI47" i="13"/>
  <c r="AJ47" i="13"/>
  <c r="AK47" i="13"/>
  <c r="AF48" i="13"/>
  <c r="AG48" i="13"/>
  <c r="AH48" i="13"/>
  <c r="AI48" i="13"/>
  <c r="AJ48" i="13"/>
  <c r="AK48" i="13"/>
  <c r="AF49" i="13"/>
  <c r="AG49" i="13"/>
  <c r="AH49" i="13"/>
  <c r="AI49" i="13"/>
  <c r="AJ49" i="13"/>
  <c r="AK49" i="13"/>
  <c r="AF50" i="13"/>
  <c r="AG50" i="13"/>
  <c r="AH50" i="13"/>
  <c r="AI50" i="13"/>
  <c r="AJ50" i="13"/>
  <c r="AK50" i="13"/>
  <c r="AF51" i="13"/>
  <c r="AG51" i="13"/>
  <c r="AH51" i="13"/>
  <c r="AI51" i="13"/>
  <c r="AJ51" i="13"/>
  <c r="AK51" i="13"/>
  <c r="AF52" i="13"/>
  <c r="AG52" i="13"/>
  <c r="AH52" i="13"/>
  <c r="AI52" i="13"/>
  <c r="AJ52" i="13"/>
  <c r="AK52" i="13"/>
  <c r="AF53" i="13"/>
  <c r="AG53" i="13"/>
  <c r="AH53" i="13"/>
  <c r="AI53" i="13"/>
  <c r="AJ53" i="13"/>
  <c r="AK53" i="13"/>
  <c r="AF54" i="13"/>
  <c r="AG54" i="13"/>
  <c r="AH54" i="13"/>
  <c r="AI54" i="13"/>
  <c r="AJ54" i="13"/>
  <c r="AK54" i="13"/>
  <c r="AF55" i="13"/>
  <c r="AG55" i="13"/>
  <c r="AH55" i="13"/>
  <c r="AI55" i="13"/>
  <c r="AJ55" i="13"/>
  <c r="AK55" i="13"/>
  <c r="AF56" i="13"/>
  <c r="AG56" i="13"/>
  <c r="AH56" i="13"/>
  <c r="AI56" i="13"/>
  <c r="AJ56" i="13"/>
  <c r="AK56" i="13"/>
  <c r="AF57" i="13"/>
  <c r="AG57" i="13"/>
  <c r="AH57" i="13"/>
  <c r="AI57" i="13"/>
  <c r="AJ57" i="13"/>
  <c r="AK57" i="13"/>
  <c r="AF58" i="13"/>
  <c r="AG58" i="13"/>
  <c r="AH58" i="13"/>
  <c r="AI58" i="13"/>
  <c r="AJ58" i="13"/>
  <c r="AK58" i="13"/>
  <c r="AF59" i="13"/>
  <c r="AG59" i="13"/>
  <c r="AH59" i="13"/>
  <c r="AI59" i="13"/>
  <c r="AJ59" i="13"/>
  <c r="AK59" i="13"/>
  <c r="AF60" i="13"/>
  <c r="AG60" i="13"/>
  <c r="AH60" i="13"/>
  <c r="AI60" i="13"/>
  <c r="AJ60" i="13"/>
  <c r="AK60" i="13"/>
  <c r="AF61" i="13"/>
  <c r="AG61" i="13"/>
  <c r="AH61" i="13"/>
  <c r="AI61" i="13"/>
  <c r="AJ61" i="13"/>
  <c r="AK61" i="13"/>
  <c r="AF62" i="13"/>
  <c r="AG62" i="13"/>
  <c r="AH62" i="13"/>
  <c r="AI62" i="13"/>
  <c r="AJ62" i="13"/>
  <c r="AK62" i="13"/>
  <c r="AF63" i="13"/>
  <c r="AG63" i="13"/>
  <c r="AH63" i="13"/>
  <c r="AI63" i="13"/>
  <c r="AJ63" i="13"/>
  <c r="AK63" i="13"/>
  <c r="AF64" i="13"/>
  <c r="AG64" i="13"/>
  <c r="AH64" i="13"/>
  <c r="AI64" i="13"/>
  <c r="AJ64" i="13"/>
  <c r="AK64" i="13"/>
  <c r="AF65" i="13"/>
  <c r="AG65" i="13"/>
  <c r="AH65" i="13"/>
  <c r="AI65" i="13"/>
  <c r="AJ65" i="13"/>
  <c r="AK65" i="13"/>
  <c r="AF66" i="13"/>
  <c r="AG66" i="13"/>
  <c r="AH66" i="13"/>
  <c r="AI66" i="13"/>
  <c r="AJ66" i="13"/>
  <c r="AK66" i="13"/>
  <c r="AF67" i="13"/>
  <c r="AG67" i="13"/>
  <c r="AH67" i="13"/>
  <c r="AI67" i="13"/>
  <c r="AJ67" i="13"/>
  <c r="AK67" i="13"/>
  <c r="AF68" i="13"/>
  <c r="AG68" i="13"/>
  <c r="AH68" i="13"/>
  <c r="AI68" i="13"/>
  <c r="AJ68" i="13"/>
  <c r="AK68" i="13"/>
  <c r="AF69" i="13"/>
  <c r="AG69" i="13"/>
  <c r="AH69" i="13"/>
  <c r="AI69" i="13"/>
  <c r="AJ69" i="13"/>
  <c r="AK69" i="13"/>
  <c r="AF70" i="13"/>
  <c r="AG70" i="13"/>
  <c r="AH70" i="13"/>
  <c r="AI70" i="13"/>
  <c r="AJ70" i="13"/>
  <c r="AK70" i="13"/>
  <c r="AF71" i="13"/>
  <c r="AG71" i="13"/>
  <c r="AH71" i="13"/>
  <c r="AI71" i="13"/>
  <c r="AJ71" i="13"/>
  <c r="AK71" i="13"/>
  <c r="AF72" i="13"/>
  <c r="AG72" i="13"/>
  <c r="AH72" i="13"/>
  <c r="AI72" i="13"/>
  <c r="AJ72" i="13"/>
  <c r="AK72" i="13"/>
  <c r="AF73" i="13"/>
  <c r="AG73" i="13"/>
  <c r="AH73" i="13"/>
  <c r="AI73" i="13"/>
  <c r="AJ73" i="13"/>
  <c r="AK73" i="13"/>
  <c r="AF74" i="13"/>
  <c r="AG74" i="13"/>
  <c r="AH74" i="13"/>
  <c r="AI74" i="13"/>
  <c r="AJ74" i="13"/>
  <c r="AK74" i="13"/>
  <c r="AF75" i="13"/>
  <c r="AG75" i="13"/>
  <c r="AH75" i="13"/>
  <c r="AI75" i="13"/>
  <c r="AJ75" i="13"/>
  <c r="AK75" i="13"/>
  <c r="AF76" i="13"/>
  <c r="AG76" i="13"/>
  <c r="AH76" i="13"/>
  <c r="AI76" i="13"/>
  <c r="AJ76" i="13"/>
  <c r="AK76" i="13"/>
  <c r="AF77" i="13"/>
  <c r="AG77" i="13"/>
  <c r="AH77" i="13"/>
  <c r="AI77" i="13"/>
  <c r="AJ77" i="13"/>
  <c r="AK77" i="13"/>
  <c r="AF78" i="13"/>
  <c r="AG78" i="13"/>
  <c r="AH78" i="13"/>
  <c r="AI78" i="13"/>
  <c r="AJ78" i="13"/>
  <c r="AK78" i="13"/>
  <c r="AF79" i="13"/>
  <c r="AG79" i="13"/>
  <c r="AH79" i="13"/>
  <c r="AI79" i="13"/>
  <c r="AJ79" i="13"/>
  <c r="AK79" i="13"/>
  <c r="AF80" i="13"/>
  <c r="AG80" i="13"/>
  <c r="AH80" i="13"/>
  <c r="AI80" i="13"/>
  <c r="AJ80" i="13"/>
  <c r="AK80" i="13"/>
  <c r="AF81" i="13"/>
  <c r="AG81" i="13"/>
  <c r="AH81" i="13"/>
  <c r="AI81" i="13"/>
  <c r="AJ81" i="13"/>
  <c r="AK81" i="13"/>
  <c r="AF82" i="13"/>
  <c r="AG82" i="13"/>
  <c r="AH82" i="13"/>
  <c r="AI82" i="13"/>
  <c r="AJ82" i="13"/>
  <c r="AK82" i="13"/>
  <c r="AF83" i="13"/>
  <c r="AG83" i="13"/>
  <c r="AH83" i="13"/>
  <c r="AI83" i="13"/>
  <c r="AJ83" i="13"/>
  <c r="AK83" i="13"/>
  <c r="AF84" i="13"/>
  <c r="AG84" i="13"/>
  <c r="AH84" i="13"/>
  <c r="AI84" i="13"/>
  <c r="AJ84" i="13"/>
  <c r="AK84" i="13"/>
  <c r="AF85" i="13"/>
  <c r="AG85" i="13"/>
  <c r="AH85" i="13"/>
  <c r="AI85" i="13"/>
  <c r="AJ85" i="13"/>
  <c r="AK85" i="13"/>
  <c r="AF86" i="13"/>
  <c r="AG86" i="13"/>
  <c r="AH86" i="13"/>
  <c r="AI86" i="13"/>
  <c r="AJ86" i="13"/>
  <c r="AK86" i="13"/>
  <c r="AF87" i="13"/>
  <c r="AG87" i="13"/>
  <c r="AH87" i="13"/>
  <c r="AI87" i="13"/>
  <c r="AJ87" i="13"/>
  <c r="AK87" i="13"/>
  <c r="AF88" i="13"/>
  <c r="AG88" i="13"/>
  <c r="AH88" i="13"/>
  <c r="AI88" i="13"/>
  <c r="AJ88" i="13"/>
  <c r="AK88" i="13"/>
  <c r="AF89" i="13"/>
  <c r="AG89" i="13"/>
  <c r="AH89" i="13"/>
  <c r="AI89" i="13"/>
  <c r="AJ89" i="13"/>
  <c r="AK89" i="13"/>
  <c r="AF90" i="13"/>
  <c r="AG90" i="13"/>
  <c r="AH90" i="13"/>
  <c r="AI90" i="13"/>
  <c r="AJ90" i="13"/>
  <c r="AK90" i="13"/>
  <c r="AF91" i="13"/>
  <c r="AG91" i="13"/>
  <c r="AH91" i="13"/>
  <c r="AI91" i="13"/>
  <c r="AJ91" i="13"/>
  <c r="AK91" i="13"/>
  <c r="AF92" i="13"/>
  <c r="AG92" i="13"/>
  <c r="AH92" i="13"/>
  <c r="AI92" i="13"/>
  <c r="AJ92" i="13"/>
  <c r="AK92" i="13"/>
  <c r="AF93" i="13"/>
  <c r="AG93" i="13"/>
  <c r="AH93" i="13"/>
  <c r="AI93" i="13"/>
  <c r="AJ93" i="13"/>
  <c r="AK93" i="13"/>
  <c r="AF94" i="13"/>
  <c r="AG94" i="13"/>
  <c r="AH94" i="13"/>
  <c r="AI94" i="13"/>
  <c r="AJ94" i="13"/>
  <c r="AK94" i="13"/>
  <c r="AF95" i="13"/>
  <c r="AG95" i="13"/>
  <c r="AH95" i="13"/>
  <c r="AI95" i="13"/>
  <c r="AJ95" i="13"/>
  <c r="AK95" i="13"/>
  <c r="AF96" i="13"/>
  <c r="AG96" i="13"/>
  <c r="AH96" i="13"/>
  <c r="AI96" i="13"/>
  <c r="AJ96" i="13"/>
  <c r="AK96" i="13"/>
  <c r="AF97" i="13"/>
  <c r="AG97" i="13"/>
  <c r="AH97" i="13"/>
  <c r="AI97" i="13"/>
  <c r="AJ97" i="13"/>
  <c r="AK97" i="13"/>
  <c r="AF98" i="13"/>
  <c r="AG98" i="13"/>
  <c r="AH98" i="13"/>
  <c r="AI98" i="13"/>
  <c r="AJ98" i="13"/>
  <c r="AK98" i="13"/>
  <c r="AF99" i="13"/>
  <c r="AG99" i="13"/>
  <c r="AH99" i="13"/>
  <c r="AI99" i="13"/>
  <c r="AJ99" i="13"/>
  <c r="AK99" i="13"/>
  <c r="AF100" i="13"/>
  <c r="AG100" i="13"/>
  <c r="AH100" i="13"/>
  <c r="AI100" i="13"/>
  <c r="AJ100" i="13"/>
  <c r="AK100" i="13"/>
  <c r="AF101" i="13"/>
  <c r="AG101" i="13"/>
  <c r="AH101" i="13"/>
  <c r="AI101" i="13"/>
  <c r="AJ101" i="13"/>
  <c r="AK101" i="13"/>
  <c r="AF102" i="13"/>
  <c r="AG102" i="13"/>
  <c r="AH102" i="13"/>
  <c r="AI102" i="13"/>
  <c r="AJ102" i="13"/>
  <c r="AK102" i="13"/>
  <c r="AF103" i="13"/>
  <c r="AG103" i="13"/>
  <c r="AH103" i="13"/>
  <c r="AI103" i="13"/>
  <c r="AJ103" i="13"/>
  <c r="AK103" i="13"/>
  <c r="AF104" i="13"/>
  <c r="AG104" i="13"/>
  <c r="AH104" i="13"/>
  <c r="AI104" i="13"/>
  <c r="AJ104" i="13"/>
  <c r="AK104" i="13"/>
  <c r="AF105" i="13"/>
  <c r="AG105" i="13"/>
  <c r="AH105" i="13"/>
  <c r="AI105" i="13"/>
  <c r="AJ105" i="13"/>
  <c r="AK105" i="13"/>
  <c r="AF106" i="13"/>
  <c r="AG106" i="13"/>
  <c r="AH106" i="13"/>
  <c r="AI106" i="13"/>
  <c r="AJ106" i="13"/>
  <c r="AK106" i="13"/>
  <c r="AF107" i="13"/>
  <c r="AG107" i="13"/>
  <c r="AH107" i="13"/>
  <c r="AI107" i="13"/>
  <c r="AJ107" i="13"/>
  <c r="AK107" i="13"/>
  <c r="AF108" i="13"/>
  <c r="AG108" i="13"/>
  <c r="AH108" i="13"/>
  <c r="AI108" i="13"/>
  <c r="AJ108" i="13"/>
  <c r="AK108" i="13"/>
  <c r="AF109" i="13"/>
  <c r="AG109" i="13"/>
  <c r="AH109" i="13"/>
  <c r="AI109" i="13"/>
  <c r="AJ109" i="13"/>
  <c r="AK109" i="13"/>
  <c r="AF110" i="13"/>
  <c r="AG110" i="13"/>
  <c r="AH110" i="13"/>
  <c r="AI110" i="13"/>
  <c r="AJ110" i="13"/>
  <c r="AK110" i="13"/>
  <c r="AF111" i="13"/>
  <c r="AG111" i="13"/>
  <c r="AH111" i="13"/>
  <c r="AI111" i="13"/>
  <c r="AJ111" i="13"/>
  <c r="AK111" i="13"/>
  <c r="AF112" i="13"/>
  <c r="AG112" i="13"/>
  <c r="AH112" i="13"/>
  <c r="AI112" i="13"/>
  <c r="AJ112" i="13"/>
  <c r="AK112" i="13"/>
  <c r="AF113" i="13"/>
  <c r="AG113" i="13"/>
  <c r="AH113" i="13"/>
  <c r="AI113" i="13"/>
  <c r="AJ113" i="13"/>
  <c r="AK113" i="13"/>
  <c r="AF114" i="13"/>
  <c r="AG114" i="13"/>
  <c r="AH114" i="13"/>
  <c r="AI114" i="13"/>
  <c r="AJ114" i="13"/>
  <c r="AK114" i="13"/>
  <c r="AF115" i="13"/>
  <c r="AG115" i="13"/>
  <c r="AH115" i="13"/>
  <c r="AI115" i="13"/>
  <c r="AJ115" i="13"/>
  <c r="AK115" i="13"/>
  <c r="AF116" i="13"/>
  <c r="AG116" i="13"/>
  <c r="AH116" i="13"/>
  <c r="AI116" i="13"/>
  <c r="AJ116" i="13"/>
  <c r="AK116" i="13"/>
  <c r="AF117" i="13"/>
  <c r="AG117" i="13"/>
  <c r="AH117" i="13"/>
  <c r="AI117" i="13"/>
  <c r="AJ117" i="13"/>
  <c r="AK117" i="13"/>
  <c r="AF118" i="13"/>
  <c r="AG118" i="13"/>
  <c r="AH118" i="13"/>
  <c r="AI118" i="13"/>
  <c r="AJ118" i="13"/>
  <c r="AK118" i="13"/>
  <c r="AF119" i="13"/>
  <c r="AG119" i="13"/>
  <c r="AH119" i="13"/>
  <c r="AI119" i="13"/>
  <c r="AJ119" i="13"/>
  <c r="AK119" i="13"/>
  <c r="AF120" i="13"/>
  <c r="AG120" i="13"/>
  <c r="AH120" i="13"/>
  <c r="AI120" i="13"/>
  <c r="AJ120" i="13"/>
  <c r="AK120" i="13"/>
  <c r="AF121" i="13"/>
  <c r="AG121" i="13"/>
  <c r="AH121" i="13"/>
  <c r="AI121" i="13"/>
  <c r="AJ121" i="13"/>
  <c r="AK121" i="13"/>
  <c r="AF122" i="13"/>
  <c r="AG122" i="13"/>
  <c r="AH122" i="13"/>
  <c r="AI122" i="13"/>
  <c r="AJ122" i="13"/>
  <c r="AK122" i="13"/>
  <c r="AF123" i="13"/>
  <c r="AG123" i="13"/>
  <c r="AH123" i="13"/>
  <c r="AI123" i="13"/>
  <c r="AJ123" i="13"/>
  <c r="AK123" i="13"/>
  <c r="AF124" i="13"/>
  <c r="AG124" i="13"/>
  <c r="AH124" i="13"/>
  <c r="AI124" i="13"/>
  <c r="AJ124" i="13"/>
  <c r="AK124" i="13"/>
  <c r="AF125" i="13"/>
  <c r="AG125" i="13"/>
  <c r="AH125" i="13"/>
  <c r="AI125" i="13"/>
  <c r="AJ125" i="13"/>
  <c r="AK125" i="13"/>
  <c r="AF126" i="13"/>
  <c r="AG126" i="13"/>
  <c r="AH126" i="13"/>
  <c r="AI126" i="13"/>
  <c r="AJ126" i="13"/>
  <c r="AK126" i="13"/>
  <c r="AF127" i="13"/>
  <c r="AG127" i="13"/>
  <c r="AH127" i="13"/>
  <c r="AI127" i="13"/>
  <c r="AJ127" i="13"/>
  <c r="AK127" i="13"/>
  <c r="AF128" i="13"/>
  <c r="AG128" i="13"/>
  <c r="AH128" i="13"/>
  <c r="AI128" i="13"/>
  <c r="AJ128" i="13"/>
  <c r="AK128" i="13"/>
  <c r="AF129" i="13"/>
  <c r="AG129" i="13"/>
  <c r="AH129" i="13"/>
  <c r="AI129" i="13"/>
  <c r="AJ129" i="13"/>
  <c r="AK129" i="13"/>
  <c r="AF130" i="13"/>
  <c r="AG130" i="13"/>
  <c r="AH130" i="13"/>
  <c r="AI130" i="13"/>
  <c r="AJ130" i="13"/>
  <c r="AK130" i="13"/>
  <c r="AF131" i="13"/>
  <c r="AG131" i="13"/>
  <c r="AH131" i="13"/>
  <c r="AI131" i="13"/>
  <c r="AJ131" i="13"/>
  <c r="AK131" i="13"/>
  <c r="AF132" i="13"/>
  <c r="AG132" i="13"/>
  <c r="AH132" i="13"/>
  <c r="AI132" i="13"/>
  <c r="AJ132" i="13"/>
  <c r="AK132" i="13"/>
  <c r="AF133" i="13"/>
  <c r="AG133" i="13"/>
  <c r="AH133" i="13"/>
  <c r="AI133" i="13"/>
  <c r="AJ133" i="13"/>
  <c r="AK133" i="13"/>
  <c r="AF134" i="13"/>
  <c r="AG134" i="13"/>
  <c r="AH134" i="13"/>
  <c r="AI134" i="13"/>
  <c r="AJ134" i="13"/>
  <c r="AK134" i="13"/>
  <c r="AF135" i="13"/>
  <c r="AG135" i="13"/>
  <c r="AH135" i="13"/>
  <c r="AI135" i="13"/>
  <c r="AJ135" i="13"/>
  <c r="AK135" i="13"/>
  <c r="AF136" i="13"/>
  <c r="AG136" i="13"/>
  <c r="AH136" i="13"/>
  <c r="AI136" i="13"/>
  <c r="AJ136" i="13"/>
  <c r="AK136" i="13"/>
  <c r="AF137" i="13"/>
  <c r="AG137" i="13"/>
  <c r="AH137" i="13"/>
  <c r="AI137" i="13"/>
  <c r="AJ137" i="13"/>
  <c r="AK137" i="13"/>
  <c r="AF138" i="13"/>
  <c r="AG138" i="13"/>
  <c r="AH138" i="13"/>
  <c r="AI138" i="13"/>
  <c r="AJ138" i="13"/>
  <c r="AK138" i="13"/>
  <c r="AF139" i="13"/>
  <c r="AG139" i="13"/>
  <c r="AH139" i="13"/>
  <c r="AI139" i="13"/>
  <c r="AJ139" i="13"/>
  <c r="AK139" i="13"/>
  <c r="AF140" i="13"/>
  <c r="AG140" i="13"/>
  <c r="AH140" i="13"/>
  <c r="AI140" i="13"/>
  <c r="AJ140" i="13"/>
  <c r="AK140" i="13"/>
  <c r="AF141" i="13"/>
  <c r="AG141" i="13"/>
  <c r="AH141" i="13"/>
  <c r="AI141" i="13"/>
  <c r="AJ141" i="13"/>
  <c r="AK141" i="13"/>
  <c r="AF142" i="13"/>
  <c r="AG142" i="13"/>
  <c r="AH142" i="13"/>
  <c r="AI142" i="13"/>
  <c r="AJ142" i="13"/>
  <c r="AK142" i="13"/>
  <c r="AF143" i="13"/>
  <c r="AG143" i="13"/>
  <c r="AH143" i="13"/>
  <c r="AI143" i="13"/>
  <c r="AJ143" i="13"/>
  <c r="AK143" i="13"/>
  <c r="AF144" i="13"/>
  <c r="AG144" i="13"/>
  <c r="AH144" i="13"/>
  <c r="AI144" i="13"/>
  <c r="AJ144" i="13"/>
  <c r="AK144" i="13"/>
  <c r="AF145" i="13"/>
  <c r="AG145" i="13"/>
  <c r="AH145" i="13"/>
  <c r="AI145" i="13"/>
  <c r="AJ145" i="13"/>
  <c r="AK145" i="13"/>
  <c r="AF146" i="13"/>
  <c r="AG146" i="13"/>
  <c r="AH146" i="13"/>
  <c r="AI146" i="13"/>
  <c r="AJ146" i="13"/>
  <c r="AK146" i="13"/>
  <c r="AF147" i="13"/>
  <c r="AG147" i="13"/>
  <c r="AH147" i="13"/>
  <c r="AI147" i="13"/>
  <c r="AJ147" i="13"/>
  <c r="AK147" i="13"/>
  <c r="AF148" i="13"/>
  <c r="AG148" i="13"/>
  <c r="AH148" i="13"/>
  <c r="AI148" i="13"/>
  <c r="AJ148" i="13"/>
  <c r="AK148" i="13"/>
  <c r="AF149" i="13"/>
  <c r="AG149" i="13"/>
  <c r="AH149" i="13"/>
  <c r="AI149" i="13"/>
  <c r="AJ149" i="13"/>
  <c r="AK149" i="13"/>
  <c r="AF150" i="13"/>
  <c r="AG150" i="13"/>
  <c r="AH150" i="13"/>
  <c r="AI150" i="13"/>
  <c r="AJ150" i="13"/>
  <c r="AK150" i="13"/>
  <c r="AF151" i="13"/>
  <c r="AG151" i="13"/>
  <c r="AH151" i="13"/>
  <c r="AI151" i="13"/>
  <c r="AJ151" i="13"/>
  <c r="AK151" i="13"/>
  <c r="AF152" i="13"/>
  <c r="AG152" i="13"/>
  <c r="AH152" i="13"/>
  <c r="AI152" i="13"/>
  <c r="AJ152" i="13"/>
  <c r="AK152" i="13"/>
  <c r="AF153" i="13"/>
  <c r="AG153" i="13"/>
  <c r="AH153" i="13"/>
  <c r="AI153" i="13"/>
  <c r="AJ153" i="13"/>
  <c r="AK153" i="13"/>
  <c r="AF154" i="13"/>
  <c r="AG154" i="13"/>
  <c r="AH154" i="13"/>
  <c r="AI154" i="13"/>
  <c r="AJ154" i="13"/>
  <c r="AK154" i="13"/>
  <c r="AF155" i="13"/>
  <c r="AG155" i="13"/>
  <c r="AH155" i="13"/>
  <c r="AI155" i="13"/>
  <c r="AJ155" i="13"/>
  <c r="AK155" i="13"/>
  <c r="AF156" i="13"/>
  <c r="AG156" i="13"/>
  <c r="AH156" i="13"/>
  <c r="AI156" i="13"/>
  <c r="AJ156" i="13"/>
  <c r="AK156" i="13"/>
  <c r="AF157" i="13"/>
  <c r="AG157" i="13"/>
  <c r="AH157" i="13"/>
  <c r="AI157" i="13"/>
  <c r="AJ157" i="13"/>
  <c r="AK157" i="13"/>
  <c r="AF158" i="13"/>
  <c r="AG158" i="13"/>
  <c r="AH158" i="13"/>
  <c r="AI158" i="13"/>
  <c r="AJ158" i="13"/>
  <c r="AK158" i="13"/>
  <c r="AF159" i="13"/>
  <c r="AG159" i="13"/>
  <c r="AH159" i="13"/>
  <c r="AI159" i="13"/>
  <c r="AJ159" i="13"/>
  <c r="AK159" i="13"/>
  <c r="AF160" i="13"/>
  <c r="AG160" i="13"/>
  <c r="AH160" i="13"/>
  <c r="AI160" i="13"/>
  <c r="AJ160" i="13"/>
  <c r="AK160" i="13"/>
  <c r="AF161" i="13"/>
  <c r="AG161" i="13"/>
  <c r="AH161" i="13"/>
  <c r="AI161" i="13"/>
  <c r="AJ161" i="13"/>
  <c r="AK161" i="13"/>
  <c r="AF162" i="13"/>
  <c r="AG162" i="13"/>
  <c r="AH162" i="13"/>
  <c r="AI162" i="13"/>
  <c r="AJ162" i="13"/>
  <c r="AK162" i="13"/>
  <c r="AF163" i="13"/>
  <c r="AG163" i="13"/>
  <c r="AH163" i="13"/>
  <c r="AI163" i="13"/>
  <c r="AJ163" i="13"/>
  <c r="AK163" i="13"/>
  <c r="AF164" i="13"/>
  <c r="AG164" i="13"/>
  <c r="AH164" i="13"/>
  <c r="AI164" i="13"/>
  <c r="AJ164" i="13"/>
  <c r="AK164" i="13"/>
  <c r="AF165" i="13"/>
  <c r="AG165" i="13"/>
  <c r="AH165" i="13"/>
  <c r="AI165" i="13"/>
  <c r="AJ165" i="13"/>
  <c r="AK165" i="13"/>
  <c r="AF166" i="13"/>
  <c r="AG166" i="13"/>
  <c r="AH166" i="13"/>
  <c r="AI166" i="13"/>
  <c r="AJ166" i="13"/>
  <c r="AK166" i="13"/>
  <c r="AF167" i="13"/>
  <c r="AG167" i="13"/>
  <c r="AH167" i="13"/>
  <c r="AI167" i="13"/>
  <c r="AJ167" i="13"/>
  <c r="AK167" i="13"/>
  <c r="AF168" i="13"/>
  <c r="AG168" i="13"/>
  <c r="AH168" i="13"/>
  <c r="AI168" i="13"/>
  <c r="AJ168" i="13"/>
  <c r="AK168" i="13"/>
  <c r="AF169" i="13"/>
  <c r="AG169" i="13"/>
  <c r="AH169" i="13"/>
  <c r="AI169" i="13"/>
  <c r="AJ169" i="13"/>
  <c r="AK169" i="13"/>
  <c r="AF170" i="13"/>
  <c r="AG170" i="13"/>
  <c r="AH170" i="13"/>
  <c r="AI170" i="13"/>
  <c r="AJ170" i="13"/>
  <c r="AK170" i="13"/>
  <c r="AF171" i="13"/>
  <c r="AG171" i="13"/>
  <c r="AH171" i="13"/>
  <c r="AI171" i="13"/>
  <c r="AJ171" i="13"/>
  <c r="AK171" i="13"/>
  <c r="AF172" i="13"/>
  <c r="AG172" i="13"/>
  <c r="AH172" i="13"/>
  <c r="AI172" i="13"/>
  <c r="AJ172" i="13"/>
  <c r="AK172" i="13"/>
  <c r="AF173" i="13"/>
  <c r="AG173" i="13"/>
  <c r="AH173" i="13"/>
  <c r="AI173" i="13"/>
  <c r="AJ173" i="13"/>
  <c r="AK173" i="13"/>
  <c r="AF174" i="13"/>
  <c r="AG174" i="13"/>
  <c r="AH174" i="13"/>
  <c r="AI174" i="13"/>
  <c r="AJ174" i="13"/>
  <c r="AK174" i="13"/>
  <c r="AF175" i="13"/>
  <c r="AG175" i="13"/>
  <c r="AH175" i="13"/>
  <c r="AI175" i="13"/>
  <c r="AJ175" i="13"/>
  <c r="AK175" i="13"/>
  <c r="AF176" i="13"/>
  <c r="AG176" i="13"/>
  <c r="AH176" i="13"/>
  <c r="AI176" i="13"/>
  <c r="AJ176" i="13"/>
  <c r="AK176" i="13"/>
  <c r="AF177" i="13"/>
  <c r="AG177" i="13"/>
  <c r="AH177" i="13"/>
  <c r="AI177" i="13"/>
  <c r="AJ177" i="13"/>
  <c r="AK177" i="13"/>
  <c r="AF178" i="13"/>
  <c r="AG178" i="13"/>
  <c r="AH178" i="13"/>
  <c r="AI178" i="13"/>
  <c r="AJ178" i="13"/>
  <c r="AK178" i="13"/>
  <c r="AF179" i="13"/>
  <c r="AG179" i="13"/>
  <c r="AH179" i="13"/>
  <c r="AI179" i="13"/>
  <c r="AJ179" i="13"/>
  <c r="AK179" i="13"/>
  <c r="AF180" i="13"/>
  <c r="AG180" i="13"/>
  <c r="AH180" i="13"/>
  <c r="AI180" i="13"/>
  <c r="AJ180" i="13"/>
  <c r="AK180" i="13"/>
  <c r="AF181" i="13"/>
  <c r="AG181" i="13"/>
  <c r="AH181" i="13"/>
  <c r="AI181" i="13"/>
  <c r="AJ181" i="13"/>
  <c r="AK181" i="13"/>
  <c r="AF182" i="13"/>
  <c r="AG182" i="13"/>
  <c r="AH182" i="13"/>
  <c r="AI182" i="13"/>
  <c r="AJ182" i="13"/>
  <c r="AK182" i="13"/>
  <c r="AF183" i="13"/>
  <c r="AG183" i="13"/>
  <c r="AH183" i="13"/>
  <c r="AI183" i="13"/>
  <c r="AJ183" i="13"/>
  <c r="AK183" i="13"/>
  <c r="AF184" i="13"/>
  <c r="AG184" i="13"/>
  <c r="AH184" i="13"/>
  <c r="AI184" i="13"/>
  <c r="AJ184" i="13"/>
  <c r="AK184" i="13"/>
  <c r="AF185" i="13"/>
  <c r="AG185" i="13"/>
  <c r="AH185" i="13"/>
  <c r="AI185" i="13"/>
  <c r="AJ185" i="13"/>
  <c r="AK185" i="13"/>
  <c r="AF186" i="13"/>
  <c r="AG186" i="13"/>
  <c r="AH186" i="13"/>
  <c r="AI186" i="13"/>
  <c r="AJ186" i="13"/>
  <c r="AK186" i="13"/>
  <c r="AF187" i="13"/>
  <c r="AG187" i="13"/>
  <c r="AH187" i="13"/>
  <c r="AI187" i="13"/>
  <c r="AJ187" i="13"/>
  <c r="AK187" i="13"/>
  <c r="AF188" i="13"/>
  <c r="AG188" i="13"/>
  <c r="AH188" i="13"/>
  <c r="AI188" i="13"/>
  <c r="AJ188" i="13"/>
  <c r="AK188" i="13"/>
  <c r="AF189" i="13"/>
  <c r="AG189" i="13"/>
  <c r="AH189" i="13"/>
  <c r="AI189" i="13"/>
  <c r="AJ189" i="13"/>
  <c r="AK189" i="13"/>
  <c r="AF190" i="13"/>
  <c r="AG190" i="13"/>
  <c r="AH190" i="13"/>
  <c r="AI190" i="13"/>
  <c r="AJ190" i="13"/>
  <c r="AK190" i="13"/>
  <c r="AF191" i="13"/>
  <c r="AG191" i="13"/>
  <c r="AH191" i="13"/>
  <c r="AI191" i="13"/>
  <c r="AJ191" i="13"/>
  <c r="AK191" i="13"/>
  <c r="AF192" i="13"/>
  <c r="AG192" i="13"/>
  <c r="AH192" i="13"/>
  <c r="AI192" i="13"/>
  <c r="AJ192" i="13"/>
  <c r="AK192" i="13"/>
  <c r="AF193" i="13"/>
  <c r="AG193" i="13"/>
  <c r="AH193" i="13"/>
  <c r="AI193" i="13"/>
  <c r="AJ193" i="13"/>
  <c r="AK193" i="13"/>
  <c r="AF194" i="13"/>
  <c r="AG194" i="13"/>
  <c r="AH194" i="13"/>
  <c r="AI194" i="13"/>
  <c r="AJ194" i="13"/>
  <c r="AK194" i="13"/>
  <c r="AF195" i="13"/>
  <c r="AG195" i="13"/>
  <c r="AH195" i="13"/>
  <c r="AI195" i="13"/>
  <c r="AJ195" i="13"/>
  <c r="AK195" i="13"/>
  <c r="AF196" i="13"/>
  <c r="AG196" i="13"/>
  <c r="AH196" i="13"/>
  <c r="AI196" i="13"/>
  <c r="AJ196" i="13"/>
  <c r="AK196" i="13"/>
  <c r="AF197" i="13"/>
  <c r="AG197" i="13"/>
  <c r="AH197" i="13"/>
  <c r="AI197" i="13"/>
  <c r="AJ197" i="13"/>
  <c r="AK197" i="13"/>
  <c r="AF198" i="13"/>
  <c r="AG198" i="13"/>
  <c r="AH198" i="13"/>
  <c r="AI198" i="13"/>
  <c r="AJ198" i="13"/>
  <c r="AK198" i="13"/>
  <c r="AF199" i="13"/>
  <c r="AG199" i="13"/>
  <c r="AH199" i="13"/>
  <c r="AI199" i="13"/>
  <c r="AJ199" i="13"/>
  <c r="AK199" i="13"/>
  <c r="AF200" i="13"/>
  <c r="AG200" i="13"/>
  <c r="AH200" i="13"/>
  <c r="AI200" i="13"/>
  <c r="AJ200" i="13"/>
  <c r="AK200" i="13"/>
  <c r="AF201" i="13"/>
  <c r="AG201" i="13"/>
  <c r="AH201" i="13"/>
  <c r="AI201" i="13"/>
  <c r="AJ201" i="13"/>
  <c r="AK201" i="13"/>
  <c r="AF202" i="13"/>
  <c r="AG202" i="13"/>
  <c r="AH202" i="13"/>
  <c r="AI202" i="13"/>
  <c r="AJ202" i="13"/>
  <c r="AK202" i="13"/>
  <c r="AF203" i="13"/>
  <c r="AG203" i="13"/>
  <c r="AH203" i="13"/>
  <c r="AI203" i="13"/>
  <c r="AJ203" i="13"/>
  <c r="AK203" i="13"/>
  <c r="AF204" i="13"/>
  <c r="AG204" i="13"/>
  <c r="AH204" i="13"/>
  <c r="AI204" i="13"/>
  <c r="AJ204" i="13"/>
  <c r="AK204" i="13"/>
  <c r="AF205" i="13"/>
  <c r="AG205" i="13"/>
  <c r="AH205" i="13"/>
  <c r="AI205" i="13"/>
  <c r="AJ205" i="13"/>
  <c r="AK205" i="13"/>
  <c r="AF206" i="13"/>
  <c r="AG206" i="13"/>
  <c r="AH206" i="13"/>
  <c r="AI206" i="13"/>
  <c r="AJ206" i="13"/>
  <c r="AK206" i="13"/>
  <c r="AF207" i="13"/>
  <c r="AG207" i="13"/>
  <c r="AH207" i="13"/>
  <c r="AI207" i="13"/>
  <c r="AJ207" i="13"/>
  <c r="AK207" i="13"/>
  <c r="AF208" i="13"/>
  <c r="AG208" i="13"/>
  <c r="AH208" i="13"/>
  <c r="AI208" i="13"/>
  <c r="AJ208" i="13"/>
  <c r="AK208" i="13"/>
  <c r="AF209" i="13"/>
  <c r="AG209" i="13"/>
  <c r="AH209" i="13"/>
  <c r="AI209" i="13"/>
  <c r="AJ209" i="13"/>
  <c r="AK209" i="13"/>
  <c r="AF210" i="13"/>
  <c r="AG210" i="13"/>
  <c r="AH210" i="13"/>
  <c r="AI210" i="13"/>
  <c r="AJ210" i="13"/>
  <c r="AK210" i="13"/>
  <c r="AF211" i="13"/>
  <c r="AG211" i="13"/>
  <c r="AH211" i="13"/>
  <c r="AI211" i="13"/>
  <c r="AJ211" i="13"/>
  <c r="AK211" i="13"/>
  <c r="AF212" i="13"/>
  <c r="AG212" i="13"/>
  <c r="AH212" i="13"/>
  <c r="AI212" i="13"/>
  <c r="AJ212" i="13"/>
  <c r="AK212" i="13"/>
  <c r="AF213" i="13"/>
  <c r="AG213" i="13"/>
  <c r="AH213" i="13"/>
  <c r="AI213" i="13"/>
  <c r="AJ213" i="13"/>
  <c r="AK213" i="13"/>
  <c r="AF214" i="13"/>
  <c r="AG214" i="13"/>
  <c r="AH214" i="13"/>
  <c r="AI214" i="13"/>
  <c r="AJ214" i="13"/>
  <c r="AK214" i="13"/>
  <c r="AF215" i="13"/>
  <c r="AG215" i="13"/>
  <c r="AH215" i="13"/>
  <c r="AI215" i="13"/>
  <c r="AJ215" i="13"/>
  <c r="AK215" i="13"/>
  <c r="AF216" i="13"/>
  <c r="AG216" i="13"/>
  <c r="AH216" i="13"/>
  <c r="AI216" i="13"/>
  <c r="AJ216" i="13"/>
  <c r="AK216" i="13"/>
  <c r="AF217" i="13"/>
  <c r="AG217" i="13"/>
  <c r="AH217" i="13"/>
  <c r="AI217" i="13"/>
  <c r="AJ217" i="13"/>
  <c r="AK217" i="13"/>
  <c r="AF218" i="13"/>
  <c r="AG218" i="13"/>
  <c r="AH218" i="13"/>
  <c r="AI218" i="13"/>
  <c r="AJ218" i="13"/>
  <c r="AK218" i="13"/>
  <c r="AF219" i="13"/>
  <c r="AG219" i="13"/>
  <c r="AH219" i="13"/>
  <c r="AI219" i="13"/>
  <c r="AJ219" i="13"/>
  <c r="AK219" i="13"/>
  <c r="AF220" i="13"/>
  <c r="AG220" i="13"/>
  <c r="AH220" i="13"/>
  <c r="AI220" i="13"/>
  <c r="AJ220" i="13"/>
  <c r="AK220" i="13"/>
  <c r="AF221" i="13"/>
  <c r="AG221" i="13"/>
  <c r="AH221" i="13"/>
  <c r="AI221" i="13"/>
  <c r="AJ221" i="13"/>
  <c r="AK221" i="13"/>
  <c r="AF222" i="13"/>
  <c r="AG222" i="13"/>
  <c r="AH222" i="13"/>
  <c r="AI222" i="13"/>
  <c r="AJ222" i="13"/>
  <c r="AK222" i="13"/>
  <c r="AF223" i="13"/>
  <c r="AG223" i="13"/>
  <c r="AH223" i="13"/>
  <c r="AI223" i="13"/>
  <c r="AJ223" i="13"/>
  <c r="AK223" i="13"/>
  <c r="AF224" i="13"/>
  <c r="AG224" i="13"/>
  <c r="AH224" i="13"/>
  <c r="AI224" i="13"/>
  <c r="AJ224" i="13"/>
  <c r="AK224" i="13"/>
  <c r="AF225" i="13"/>
  <c r="AG225" i="13"/>
  <c r="AH225" i="13"/>
  <c r="AI225" i="13"/>
  <c r="AJ225" i="13"/>
  <c r="AK225" i="13"/>
  <c r="AF226" i="13"/>
  <c r="AG226" i="13"/>
  <c r="AH226" i="13"/>
  <c r="AI226" i="13"/>
  <c r="AJ226" i="13"/>
  <c r="AK226" i="13"/>
  <c r="AF227" i="13"/>
  <c r="AG227" i="13"/>
  <c r="AH227" i="13"/>
  <c r="AI227" i="13"/>
  <c r="AJ227" i="13"/>
  <c r="AK227" i="13"/>
  <c r="AF228" i="13"/>
  <c r="AG228" i="13"/>
  <c r="AH228" i="13"/>
  <c r="AI228" i="13"/>
  <c r="AJ228" i="13"/>
  <c r="AK228" i="13"/>
  <c r="AF229" i="13"/>
  <c r="AG229" i="13"/>
  <c r="AH229" i="13"/>
  <c r="AI229" i="13"/>
  <c r="AJ229" i="13"/>
  <c r="AK229" i="13"/>
  <c r="AF230" i="13"/>
  <c r="AG230" i="13"/>
  <c r="AH230" i="13"/>
  <c r="AI230" i="13"/>
  <c r="AJ230" i="13"/>
  <c r="AK230" i="13"/>
  <c r="AF231" i="13"/>
  <c r="AG231" i="13"/>
  <c r="AH231" i="13"/>
  <c r="AI231" i="13"/>
  <c r="AJ231" i="13"/>
  <c r="AK231" i="13"/>
  <c r="AF232" i="13"/>
  <c r="AG232" i="13"/>
  <c r="AH232" i="13"/>
  <c r="AI232" i="13"/>
  <c r="AJ232" i="13"/>
  <c r="AK232" i="13"/>
  <c r="AF233" i="13"/>
  <c r="AG233" i="13"/>
  <c r="AH233" i="13"/>
  <c r="AI233" i="13"/>
  <c r="AJ233" i="13"/>
  <c r="AK233" i="13"/>
  <c r="AF234" i="13"/>
  <c r="AG234" i="13"/>
  <c r="AH234" i="13"/>
  <c r="AI234" i="13"/>
  <c r="AJ234" i="13"/>
  <c r="AK234" i="13"/>
  <c r="AF235" i="13"/>
  <c r="AG235" i="13"/>
  <c r="AH235" i="13"/>
  <c r="AI235" i="13"/>
  <c r="AJ235" i="13"/>
  <c r="AK235" i="13"/>
  <c r="AF236" i="13"/>
  <c r="AG236" i="13"/>
  <c r="AH236" i="13"/>
  <c r="AI236" i="13"/>
  <c r="AJ236" i="13"/>
  <c r="AK236" i="13"/>
  <c r="AF237" i="13"/>
  <c r="AG237" i="13"/>
  <c r="AH237" i="13"/>
  <c r="AI237" i="13"/>
  <c r="AJ237" i="13"/>
  <c r="AK237" i="13"/>
  <c r="AF238" i="13"/>
  <c r="AG238" i="13"/>
  <c r="AH238" i="13"/>
  <c r="AI238" i="13"/>
  <c r="AJ238" i="13"/>
  <c r="AK238" i="13"/>
  <c r="AF239" i="13"/>
  <c r="AG239" i="13"/>
  <c r="AH239" i="13"/>
  <c r="AI239" i="13"/>
  <c r="AJ239" i="13"/>
  <c r="AK239" i="13"/>
  <c r="AF240" i="13"/>
  <c r="AG240" i="13"/>
  <c r="AH240" i="13"/>
  <c r="AI240" i="13"/>
  <c r="AJ240" i="13"/>
  <c r="AK240" i="13"/>
  <c r="AF241" i="13"/>
  <c r="AG241" i="13"/>
  <c r="AH241" i="13"/>
  <c r="AI241" i="13"/>
  <c r="AJ241" i="13"/>
  <c r="AK241" i="13"/>
  <c r="AF242" i="13"/>
  <c r="AG242" i="13"/>
  <c r="AH242" i="13"/>
  <c r="AI242" i="13"/>
  <c r="AJ242" i="13"/>
  <c r="AK242" i="13"/>
  <c r="AF243" i="13"/>
  <c r="AG243" i="13"/>
  <c r="AH243" i="13"/>
  <c r="AI243" i="13"/>
  <c r="AJ243" i="13"/>
  <c r="AK243" i="13"/>
  <c r="AF244" i="13"/>
  <c r="AG244" i="13"/>
  <c r="AH244" i="13"/>
  <c r="AI244" i="13"/>
  <c r="AJ244" i="13"/>
  <c r="AK244" i="13"/>
  <c r="AF245" i="13"/>
  <c r="AG245" i="13"/>
  <c r="AH245" i="13"/>
  <c r="AI245" i="13"/>
  <c r="AJ245" i="13"/>
  <c r="AK245" i="13"/>
  <c r="AF246" i="13"/>
  <c r="AG246" i="13"/>
  <c r="AH246" i="13"/>
  <c r="AI246" i="13"/>
  <c r="AJ246" i="13"/>
  <c r="AK246" i="13"/>
  <c r="AF247" i="13"/>
  <c r="AG247" i="13"/>
  <c r="AH247" i="13"/>
  <c r="AI247" i="13"/>
  <c r="AJ247" i="13"/>
  <c r="AK247" i="13"/>
  <c r="AF248" i="13"/>
  <c r="AG248" i="13"/>
  <c r="AH248" i="13"/>
  <c r="AI248" i="13"/>
  <c r="AJ248" i="13"/>
  <c r="AK248" i="13"/>
  <c r="AF249" i="13"/>
  <c r="AG249" i="13"/>
  <c r="AH249" i="13"/>
  <c r="AI249" i="13"/>
  <c r="AJ249" i="13"/>
  <c r="AK249" i="13"/>
  <c r="AF250" i="13"/>
  <c r="AG250" i="13"/>
  <c r="AH250" i="13"/>
  <c r="AI250" i="13"/>
  <c r="AJ250" i="13"/>
  <c r="AK250" i="13"/>
  <c r="AF251" i="13"/>
  <c r="AG251" i="13"/>
  <c r="AH251" i="13"/>
  <c r="AI251" i="13"/>
  <c r="AJ251" i="13"/>
  <c r="AK251" i="13"/>
  <c r="AF252" i="13"/>
  <c r="AG252" i="13"/>
  <c r="AH252" i="13"/>
  <c r="AI252" i="13"/>
  <c r="AJ252" i="13"/>
  <c r="AK252" i="13"/>
  <c r="AF253" i="13"/>
  <c r="AG253" i="13"/>
  <c r="AH253" i="13"/>
  <c r="AI253" i="13"/>
  <c r="AJ253" i="13"/>
  <c r="AK253" i="13"/>
  <c r="AF254" i="13"/>
  <c r="AG254" i="13"/>
  <c r="AH254" i="13"/>
  <c r="AI254" i="13"/>
  <c r="AJ254" i="13"/>
  <c r="AK254" i="13"/>
  <c r="AF255" i="13"/>
  <c r="AG255" i="13"/>
  <c r="AH255" i="13"/>
  <c r="AI255" i="13"/>
  <c r="AJ255" i="13"/>
  <c r="AK255" i="13"/>
  <c r="AF256" i="13"/>
  <c r="AG256" i="13"/>
  <c r="AH256" i="13"/>
  <c r="AI256" i="13"/>
  <c r="AJ256" i="13"/>
  <c r="AK256" i="13"/>
  <c r="AF257" i="13"/>
  <c r="AG257" i="13"/>
  <c r="AH257" i="13"/>
  <c r="AI257" i="13"/>
  <c r="AJ257" i="13"/>
  <c r="AK257" i="13"/>
  <c r="AF258" i="13"/>
  <c r="AG258" i="13"/>
  <c r="AH258" i="13"/>
  <c r="AI258" i="13"/>
  <c r="AJ258" i="13"/>
  <c r="AK258" i="13"/>
  <c r="AF259" i="13"/>
  <c r="AG259" i="13"/>
  <c r="AH259" i="13"/>
  <c r="AI259" i="13"/>
  <c r="AJ259" i="13"/>
  <c r="AK259" i="13"/>
  <c r="AF260" i="13"/>
  <c r="AG260" i="13"/>
  <c r="AH260" i="13"/>
  <c r="AI260" i="13"/>
  <c r="AJ260" i="13"/>
  <c r="AK260" i="13"/>
  <c r="AF261" i="13"/>
  <c r="AG261" i="13"/>
  <c r="AH261" i="13"/>
  <c r="AI261" i="13"/>
  <c r="AJ261" i="13"/>
  <c r="AK261" i="13"/>
  <c r="AF262" i="13"/>
  <c r="AG262" i="13"/>
  <c r="AH262" i="13"/>
  <c r="AI262" i="13"/>
  <c r="AJ262" i="13"/>
  <c r="AK262" i="13"/>
  <c r="AF263" i="13"/>
  <c r="AG263" i="13"/>
  <c r="AH263" i="13"/>
  <c r="AI263" i="13"/>
  <c r="AJ263" i="13"/>
  <c r="AK263" i="13"/>
  <c r="AF264" i="13"/>
  <c r="AG264" i="13"/>
  <c r="AH264" i="13"/>
  <c r="AI264" i="13"/>
  <c r="AJ264" i="13"/>
  <c r="AK264" i="13"/>
  <c r="AF265" i="13"/>
  <c r="AG265" i="13"/>
  <c r="AH265" i="13"/>
  <c r="AI265" i="13"/>
  <c r="AJ265" i="13"/>
  <c r="AK265" i="13"/>
  <c r="AF266" i="13"/>
  <c r="AG266" i="13"/>
  <c r="AH266" i="13"/>
  <c r="AI266" i="13"/>
  <c r="AJ266" i="13"/>
  <c r="AK266" i="13"/>
  <c r="AF267" i="13"/>
  <c r="AG267" i="13"/>
  <c r="AH267" i="13"/>
  <c r="AI267" i="13"/>
  <c r="AJ267" i="13"/>
  <c r="AK267" i="13"/>
  <c r="AF268" i="13"/>
  <c r="AG268" i="13"/>
  <c r="AH268" i="13"/>
  <c r="AI268" i="13"/>
  <c r="AJ268" i="13"/>
  <c r="AK268" i="13"/>
  <c r="AF269" i="13"/>
  <c r="AG269" i="13"/>
  <c r="AH269" i="13"/>
  <c r="AI269" i="13"/>
  <c r="AJ269" i="13"/>
  <c r="AK269" i="13"/>
  <c r="AF270" i="13"/>
  <c r="AG270" i="13"/>
  <c r="AH270" i="13"/>
  <c r="AI270" i="13"/>
  <c r="AJ270" i="13"/>
  <c r="AK270" i="13"/>
  <c r="AF271" i="13"/>
  <c r="AG271" i="13"/>
  <c r="AH271" i="13"/>
  <c r="AI271" i="13"/>
  <c r="AJ271" i="13"/>
  <c r="AK271" i="13"/>
  <c r="AF272" i="13"/>
  <c r="AG272" i="13"/>
  <c r="AH272" i="13"/>
  <c r="AI272" i="13"/>
  <c r="AJ272" i="13"/>
  <c r="AK272" i="13"/>
  <c r="AF273" i="13"/>
  <c r="AG273" i="13"/>
  <c r="AH273" i="13"/>
  <c r="AI273" i="13"/>
  <c r="AJ273" i="13"/>
  <c r="AK273" i="13"/>
  <c r="AF274" i="13"/>
  <c r="AG274" i="13"/>
  <c r="AH274" i="13"/>
  <c r="AI274" i="13"/>
  <c r="AJ274" i="13"/>
  <c r="AK274" i="13"/>
  <c r="AF275" i="13"/>
  <c r="AG275" i="13"/>
  <c r="AH275" i="13"/>
  <c r="AI275" i="13"/>
  <c r="AJ275" i="13"/>
  <c r="AK275" i="13"/>
  <c r="AF276" i="13"/>
  <c r="AG276" i="13"/>
  <c r="AH276" i="13"/>
  <c r="AI276" i="13"/>
  <c r="AJ276" i="13"/>
  <c r="AK276" i="13"/>
  <c r="AF277" i="13"/>
  <c r="AG277" i="13"/>
  <c r="AH277" i="13"/>
  <c r="AI277" i="13"/>
  <c r="AJ277" i="13"/>
  <c r="AK277" i="13"/>
  <c r="AF278" i="13"/>
  <c r="AG278" i="13"/>
  <c r="AH278" i="13"/>
  <c r="AI278" i="13"/>
  <c r="AJ278" i="13"/>
  <c r="AK278" i="13"/>
  <c r="AF279" i="13"/>
  <c r="AG279" i="13"/>
  <c r="AH279" i="13"/>
  <c r="AI279" i="13"/>
  <c r="AJ279" i="13"/>
  <c r="AK279" i="13"/>
  <c r="AF280" i="13"/>
  <c r="AG280" i="13"/>
  <c r="AH280" i="13"/>
  <c r="AI280" i="13"/>
  <c r="AJ280" i="13"/>
  <c r="AK280" i="13"/>
  <c r="AF281" i="13"/>
  <c r="AG281" i="13"/>
  <c r="AH281" i="13"/>
  <c r="AI281" i="13"/>
  <c r="AJ281" i="13"/>
  <c r="AK281" i="13"/>
  <c r="AF282" i="13"/>
  <c r="AG282" i="13"/>
  <c r="AH282" i="13"/>
  <c r="AI282" i="13"/>
  <c r="AJ282" i="13"/>
  <c r="AK282" i="13"/>
  <c r="AF283" i="13"/>
  <c r="AG283" i="13"/>
  <c r="AH283" i="13"/>
  <c r="AI283" i="13"/>
  <c r="AJ283" i="13"/>
  <c r="AK283" i="13"/>
  <c r="AF284" i="13"/>
  <c r="AG284" i="13"/>
  <c r="AH284" i="13"/>
  <c r="AI284" i="13"/>
  <c r="AJ284" i="13"/>
  <c r="AK284" i="13"/>
  <c r="AF285" i="13"/>
  <c r="AG285" i="13"/>
  <c r="AH285" i="13"/>
  <c r="AI285" i="13"/>
  <c r="AJ285" i="13"/>
  <c r="AK285" i="13"/>
  <c r="AF286" i="13"/>
  <c r="AG286" i="13"/>
  <c r="AH286" i="13"/>
  <c r="AI286" i="13"/>
  <c r="AJ286" i="13"/>
  <c r="AK286" i="13"/>
  <c r="AF287" i="13"/>
  <c r="AG287" i="13"/>
  <c r="AH287" i="13"/>
  <c r="AI287" i="13"/>
  <c r="AJ287" i="13"/>
  <c r="AK287" i="13"/>
  <c r="AF288" i="13"/>
  <c r="AG288" i="13"/>
  <c r="AH288" i="13"/>
  <c r="AI288" i="13"/>
  <c r="AJ288" i="13"/>
  <c r="AK288" i="13"/>
  <c r="AF289" i="13"/>
  <c r="AG289" i="13"/>
  <c r="AH289" i="13"/>
  <c r="AI289" i="13"/>
  <c r="AJ289" i="13"/>
  <c r="AK289" i="13"/>
  <c r="AF290" i="13"/>
  <c r="AG290" i="13"/>
  <c r="AH290" i="13"/>
  <c r="AI290" i="13"/>
  <c r="AJ290" i="13"/>
  <c r="AK290" i="13"/>
  <c r="AF291" i="13"/>
  <c r="AG291" i="13"/>
  <c r="AH291" i="13"/>
  <c r="AI291" i="13"/>
  <c r="AJ291" i="13"/>
  <c r="AK291" i="13"/>
  <c r="AF292" i="13"/>
  <c r="AG292" i="13"/>
  <c r="AH292" i="13"/>
  <c r="AI292" i="13"/>
  <c r="AJ292" i="13"/>
  <c r="AK292" i="13"/>
  <c r="AF293" i="13"/>
  <c r="AG293" i="13"/>
  <c r="AH293" i="13"/>
  <c r="AI293" i="13"/>
  <c r="AJ293" i="13"/>
  <c r="AK293" i="13"/>
  <c r="AF294" i="13"/>
  <c r="AG294" i="13"/>
  <c r="AH294" i="13"/>
  <c r="AI294" i="13"/>
  <c r="AJ294" i="13"/>
  <c r="AK294" i="13"/>
  <c r="AF295" i="13"/>
  <c r="AG295" i="13"/>
  <c r="AH295" i="13"/>
  <c r="AI295" i="13"/>
  <c r="AJ295" i="13"/>
  <c r="AK295" i="13"/>
  <c r="AF296" i="13"/>
  <c r="AG296" i="13"/>
  <c r="AH296" i="13"/>
  <c r="AI296" i="13"/>
  <c r="AJ296" i="13"/>
  <c r="AK296" i="13"/>
  <c r="AF297" i="13"/>
  <c r="AG297" i="13"/>
  <c r="AH297" i="13"/>
  <c r="AI297" i="13"/>
  <c r="AJ297" i="13"/>
  <c r="AK297" i="13"/>
  <c r="AF298" i="13"/>
  <c r="AG298" i="13"/>
  <c r="AH298" i="13"/>
  <c r="AI298" i="13"/>
  <c r="AJ298" i="13"/>
  <c r="AK298" i="13"/>
  <c r="AF299" i="13"/>
  <c r="AG299" i="13"/>
  <c r="AH299" i="13"/>
  <c r="AI299" i="13"/>
  <c r="AJ299" i="13"/>
  <c r="AK299" i="13"/>
  <c r="AF300" i="13"/>
  <c r="AG300" i="13"/>
  <c r="AH300" i="13"/>
  <c r="AI300" i="13"/>
  <c r="AJ300" i="13"/>
  <c r="AK300" i="13"/>
  <c r="AF301" i="13"/>
  <c r="AG301" i="13"/>
  <c r="AH301" i="13"/>
  <c r="AI301" i="13"/>
  <c r="AJ301" i="13"/>
  <c r="AK301" i="13"/>
  <c r="AF302" i="13"/>
  <c r="AG302" i="13"/>
  <c r="AH302" i="13"/>
  <c r="AI302" i="13"/>
  <c r="AJ302" i="13"/>
  <c r="AK302" i="13"/>
  <c r="AF303" i="13"/>
  <c r="AG303" i="13"/>
  <c r="AH303" i="13"/>
  <c r="AI303" i="13"/>
  <c r="AJ303" i="13"/>
  <c r="AK303" i="13"/>
  <c r="AF304" i="13"/>
  <c r="AG304" i="13"/>
  <c r="AH304" i="13"/>
  <c r="AI304" i="13"/>
  <c r="AJ304" i="13"/>
  <c r="AK304" i="13"/>
  <c r="AF305" i="13"/>
  <c r="AG305" i="13"/>
  <c r="AH305" i="13"/>
  <c r="AI305" i="13"/>
  <c r="AJ305" i="13"/>
  <c r="AK305" i="13"/>
  <c r="AF306" i="13"/>
  <c r="AG306" i="13"/>
  <c r="AH306" i="13"/>
  <c r="AI306" i="13"/>
  <c r="AJ306" i="13"/>
  <c r="AK306" i="13"/>
  <c r="AF307" i="13"/>
  <c r="AG307" i="13"/>
  <c r="AH307" i="13"/>
  <c r="AI307" i="13"/>
  <c r="AJ307" i="13"/>
  <c r="AK307" i="13"/>
  <c r="AF308" i="13"/>
  <c r="AG308" i="13"/>
  <c r="AH308" i="13"/>
  <c r="AI308" i="13"/>
  <c r="AJ308" i="13"/>
  <c r="AK308" i="13"/>
  <c r="AF309" i="13"/>
  <c r="AG309" i="13"/>
  <c r="AH309" i="13"/>
  <c r="AI309" i="13"/>
  <c r="AJ309" i="13"/>
  <c r="AK309" i="13"/>
  <c r="AF310" i="13"/>
  <c r="AG310" i="13"/>
  <c r="AH310" i="13"/>
  <c r="AI310" i="13"/>
  <c r="AJ310" i="13"/>
  <c r="AK310" i="13"/>
  <c r="AF311" i="13"/>
  <c r="AG311" i="13"/>
  <c r="AH311" i="13"/>
  <c r="AI311" i="13"/>
  <c r="AJ311" i="13"/>
  <c r="AK311" i="13"/>
  <c r="AF312" i="13"/>
  <c r="AG312" i="13"/>
  <c r="AH312" i="13"/>
  <c r="AI312" i="13"/>
  <c r="AJ312" i="13"/>
  <c r="AK312" i="13"/>
  <c r="AF313" i="13"/>
  <c r="AG313" i="13"/>
  <c r="AH313" i="13"/>
  <c r="AI313" i="13"/>
  <c r="AJ313" i="13"/>
  <c r="AK313" i="13"/>
  <c r="AF314" i="13"/>
  <c r="AG314" i="13"/>
  <c r="AH314" i="13"/>
  <c r="AI314" i="13"/>
  <c r="AJ314" i="13"/>
  <c r="AK314" i="13"/>
  <c r="AF315" i="13"/>
  <c r="AG315" i="13"/>
  <c r="AH315" i="13"/>
  <c r="AI315" i="13"/>
  <c r="AJ315" i="13"/>
  <c r="AK315" i="13"/>
  <c r="AF316" i="13"/>
  <c r="AG316" i="13"/>
  <c r="AH316" i="13"/>
  <c r="AI316" i="13"/>
  <c r="AJ316" i="13"/>
  <c r="AK316" i="13"/>
  <c r="AF317" i="13"/>
  <c r="AG317" i="13"/>
  <c r="AH317" i="13"/>
  <c r="AI317" i="13"/>
  <c r="AJ317" i="13"/>
  <c r="AK317" i="13"/>
  <c r="AF318" i="13"/>
  <c r="AG318" i="13"/>
  <c r="AH318" i="13"/>
  <c r="AI318" i="13"/>
  <c r="AJ318" i="13"/>
  <c r="AK318" i="13"/>
  <c r="AF319" i="13"/>
  <c r="AG319" i="13"/>
  <c r="AH319" i="13"/>
  <c r="AI319" i="13"/>
  <c r="AJ319" i="13"/>
  <c r="AK319" i="13"/>
  <c r="AF320" i="13"/>
  <c r="AG320" i="13"/>
  <c r="AH320" i="13"/>
  <c r="AI320" i="13"/>
  <c r="AJ320" i="13"/>
  <c r="AK320" i="13"/>
  <c r="AF321" i="13"/>
  <c r="AG321" i="13"/>
  <c r="AH321" i="13"/>
  <c r="AI321" i="13"/>
  <c r="AJ321" i="13"/>
  <c r="AK321" i="13"/>
  <c r="AF322" i="13"/>
  <c r="AG322" i="13"/>
  <c r="AH322" i="13"/>
  <c r="AI322" i="13"/>
  <c r="AJ322" i="13"/>
  <c r="AK322" i="13"/>
  <c r="AF323" i="13"/>
  <c r="AG323" i="13"/>
  <c r="AH323" i="13"/>
  <c r="AI323" i="13"/>
  <c r="AJ323" i="13"/>
  <c r="AK323" i="13"/>
  <c r="AF324" i="13"/>
  <c r="AG324" i="13"/>
  <c r="AH324" i="13"/>
  <c r="AI324" i="13"/>
  <c r="AJ324" i="13"/>
  <c r="AK324" i="13"/>
  <c r="AF325" i="13"/>
  <c r="AG325" i="13"/>
  <c r="AH325" i="13"/>
  <c r="AI325" i="13"/>
  <c r="AJ325" i="13"/>
  <c r="AK325" i="13"/>
  <c r="AF326" i="13"/>
  <c r="AG326" i="13"/>
  <c r="AH326" i="13"/>
  <c r="AI326" i="13"/>
  <c r="AJ326" i="13"/>
  <c r="AK326" i="13"/>
  <c r="AF327" i="13"/>
  <c r="AG327" i="13"/>
  <c r="AH327" i="13"/>
  <c r="AI327" i="13"/>
  <c r="AJ327" i="13"/>
  <c r="AK327" i="13"/>
  <c r="AF328" i="13"/>
  <c r="AG328" i="13"/>
  <c r="AH328" i="13"/>
  <c r="AI328" i="13"/>
  <c r="AJ328" i="13"/>
  <c r="AK328" i="13"/>
  <c r="AF329" i="13"/>
  <c r="AG329" i="13"/>
  <c r="AH329" i="13"/>
  <c r="AI329" i="13"/>
  <c r="AJ329" i="13"/>
  <c r="AK329" i="13"/>
  <c r="AF330" i="13"/>
  <c r="AG330" i="13"/>
  <c r="AH330" i="13"/>
  <c r="AI330" i="13"/>
  <c r="AJ330" i="13"/>
  <c r="AK330" i="13"/>
  <c r="AF331" i="13"/>
  <c r="AG331" i="13"/>
  <c r="AH331" i="13"/>
  <c r="AI331" i="13"/>
  <c r="AJ331" i="13"/>
  <c r="AK331" i="13"/>
  <c r="AF332" i="13"/>
  <c r="AG332" i="13"/>
  <c r="AH332" i="13"/>
  <c r="AI332" i="13"/>
  <c r="AJ332" i="13"/>
  <c r="AK332" i="13"/>
  <c r="AF333" i="13"/>
  <c r="AG333" i="13"/>
  <c r="AH333" i="13"/>
  <c r="AI333" i="13"/>
  <c r="AJ333" i="13"/>
  <c r="AK333" i="13"/>
  <c r="AF334" i="13"/>
  <c r="AG334" i="13"/>
  <c r="AH334" i="13"/>
  <c r="AI334" i="13"/>
  <c r="AJ334" i="13"/>
  <c r="AK334" i="13"/>
  <c r="AF335" i="13"/>
  <c r="AG335" i="13"/>
  <c r="AH335" i="13"/>
  <c r="AI335" i="13"/>
  <c r="AJ335" i="13"/>
  <c r="AK335" i="13"/>
  <c r="AF336" i="13"/>
  <c r="AG336" i="13"/>
  <c r="AH336" i="13"/>
  <c r="AI336" i="13"/>
  <c r="AJ336" i="13"/>
  <c r="AK336" i="13"/>
  <c r="AF337" i="13"/>
  <c r="AG337" i="13"/>
  <c r="AH337" i="13"/>
  <c r="AI337" i="13"/>
  <c r="AJ337" i="13"/>
  <c r="AK337" i="13"/>
  <c r="AF338" i="13"/>
  <c r="AG338" i="13"/>
  <c r="AH338" i="13"/>
  <c r="AI338" i="13"/>
  <c r="AJ338" i="13"/>
  <c r="AK338" i="13"/>
  <c r="AF339" i="13"/>
  <c r="AG339" i="13"/>
  <c r="AH339" i="13"/>
  <c r="AI339" i="13"/>
  <c r="AJ339" i="13"/>
  <c r="AK339" i="13"/>
  <c r="AF340" i="13"/>
  <c r="AG340" i="13"/>
  <c r="AH340" i="13"/>
  <c r="AI340" i="13"/>
  <c r="AJ340" i="13"/>
  <c r="AK340" i="13"/>
  <c r="AF341" i="13"/>
  <c r="AG341" i="13"/>
  <c r="AH341" i="13"/>
  <c r="AI341" i="13"/>
  <c r="AJ341" i="13"/>
  <c r="AK341" i="13"/>
  <c r="AF342" i="13"/>
  <c r="AG342" i="13"/>
  <c r="AH342" i="13"/>
  <c r="AI342" i="13"/>
  <c r="AJ342" i="13"/>
  <c r="AK342" i="13"/>
  <c r="AF343" i="13"/>
  <c r="AG343" i="13"/>
  <c r="AH343" i="13"/>
  <c r="AI343" i="13"/>
  <c r="AJ343" i="13"/>
  <c r="AK343" i="13"/>
  <c r="AF344" i="13"/>
  <c r="AG344" i="13"/>
  <c r="AH344" i="13"/>
  <c r="AI344" i="13"/>
  <c r="AJ344" i="13"/>
  <c r="AK344" i="13"/>
  <c r="AF345" i="13"/>
  <c r="AG345" i="13"/>
  <c r="AH345" i="13"/>
  <c r="AI345" i="13"/>
  <c r="AJ345" i="13"/>
  <c r="AK345" i="13"/>
  <c r="AF346" i="13"/>
  <c r="AG346" i="13"/>
  <c r="AH346" i="13"/>
  <c r="AI346" i="13"/>
  <c r="AJ346" i="13"/>
  <c r="AK346" i="13"/>
  <c r="AF347" i="13"/>
  <c r="AG347" i="13"/>
  <c r="AH347" i="13"/>
  <c r="AI347" i="13"/>
  <c r="AJ347" i="13"/>
  <c r="AK347" i="13"/>
  <c r="AF348" i="13"/>
  <c r="AG348" i="13"/>
  <c r="AH348" i="13"/>
  <c r="AI348" i="13"/>
  <c r="AJ348" i="13"/>
  <c r="AK348" i="13"/>
  <c r="AF349" i="13"/>
  <c r="AG349" i="13"/>
  <c r="AH349" i="13"/>
  <c r="AI349" i="13"/>
  <c r="AJ349" i="13"/>
  <c r="AK349" i="13"/>
  <c r="AF350" i="13"/>
  <c r="AG350" i="13"/>
  <c r="AH350" i="13"/>
  <c r="AI350" i="13"/>
  <c r="AJ350" i="13"/>
  <c r="AK350" i="13"/>
  <c r="AF351" i="13"/>
  <c r="AG351" i="13"/>
  <c r="AH351" i="13"/>
  <c r="AI351" i="13"/>
  <c r="AJ351" i="13"/>
  <c r="AK351" i="13"/>
  <c r="AF352" i="13"/>
  <c r="AG352" i="13"/>
  <c r="AH352" i="13"/>
  <c r="AI352" i="13"/>
  <c r="AJ352" i="13"/>
  <c r="AK352" i="13"/>
  <c r="AF353" i="13"/>
  <c r="AG353" i="13"/>
  <c r="AH353" i="13"/>
  <c r="AI353" i="13"/>
  <c r="AJ353" i="13"/>
  <c r="AK353" i="13"/>
  <c r="AF354" i="13"/>
  <c r="AG354" i="13"/>
  <c r="AH354" i="13"/>
  <c r="AI354" i="13"/>
  <c r="AJ354" i="13"/>
  <c r="AK354" i="13"/>
  <c r="AF355" i="13"/>
  <c r="AG355" i="13"/>
  <c r="AH355" i="13"/>
  <c r="AI355" i="13"/>
  <c r="AJ355" i="13"/>
  <c r="AK355" i="13"/>
  <c r="AF356" i="13"/>
  <c r="AG356" i="13"/>
  <c r="AH356" i="13"/>
  <c r="AI356" i="13"/>
  <c r="AJ356" i="13"/>
  <c r="AK356" i="13"/>
  <c r="AF357" i="13"/>
  <c r="AG357" i="13"/>
  <c r="AH357" i="13"/>
  <c r="AI357" i="13"/>
  <c r="AJ357" i="13"/>
  <c r="AK357" i="13"/>
  <c r="AF358" i="13"/>
  <c r="AG358" i="13"/>
  <c r="AH358" i="13"/>
  <c r="AI358" i="13"/>
  <c r="AJ358" i="13"/>
  <c r="AK358" i="13"/>
  <c r="AF359" i="13"/>
  <c r="AG359" i="13"/>
  <c r="AH359" i="13"/>
  <c r="AI359" i="13"/>
  <c r="AJ359" i="13"/>
  <c r="AK359" i="13"/>
  <c r="AF360" i="13"/>
  <c r="AG360" i="13"/>
  <c r="AH360" i="13"/>
  <c r="AI360" i="13"/>
  <c r="AJ360" i="13"/>
  <c r="AK360" i="13"/>
  <c r="AF361" i="13"/>
  <c r="AG361" i="13"/>
  <c r="AH361" i="13"/>
  <c r="AI361" i="13"/>
  <c r="AJ361" i="13"/>
  <c r="AK361" i="13"/>
  <c r="AF362" i="13"/>
  <c r="AG362" i="13"/>
  <c r="AH362" i="13"/>
  <c r="AI362" i="13"/>
  <c r="AJ362" i="13"/>
  <c r="AK362" i="13"/>
  <c r="AF363" i="13"/>
  <c r="AG363" i="13"/>
  <c r="AH363" i="13"/>
  <c r="AI363" i="13"/>
  <c r="AJ363" i="13"/>
  <c r="AK363" i="13"/>
  <c r="AF364" i="13"/>
  <c r="AG364" i="13"/>
  <c r="AH364" i="13"/>
  <c r="AI364" i="13"/>
  <c r="AJ364" i="13"/>
  <c r="AK364" i="13"/>
  <c r="AF365" i="13"/>
  <c r="AG365" i="13"/>
  <c r="AH365" i="13"/>
  <c r="AI365" i="13"/>
  <c r="AJ365" i="13"/>
  <c r="AK365" i="13"/>
  <c r="AF366" i="13"/>
  <c r="AG366" i="13"/>
  <c r="AH366" i="13"/>
  <c r="AI366" i="13"/>
  <c r="AJ366" i="13"/>
  <c r="AK366" i="13"/>
  <c r="AF367" i="13"/>
  <c r="AG367" i="13"/>
  <c r="AH367" i="13"/>
  <c r="AI367" i="13"/>
  <c r="AJ367" i="13"/>
  <c r="AK367" i="13"/>
  <c r="AF368" i="13"/>
  <c r="AG368" i="13"/>
  <c r="AH368" i="13"/>
  <c r="AI368" i="13"/>
  <c r="AJ368" i="13"/>
  <c r="AK368" i="13"/>
  <c r="AF369" i="13"/>
  <c r="AG369" i="13"/>
  <c r="AH369" i="13"/>
  <c r="AI369" i="13"/>
  <c r="AJ369" i="13"/>
  <c r="AK369" i="13"/>
  <c r="AF370" i="13"/>
  <c r="AG370" i="13"/>
  <c r="AH370" i="13"/>
  <c r="AI370" i="13"/>
  <c r="AJ370" i="13"/>
  <c r="AK370" i="13"/>
  <c r="AF371" i="13"/>
  <c r="AG371" i="13"/>
  <c r="AH371" i="13"/>
  <c r="AI371" i="13"/>
  <c r="AJ371" i="13"/>
  <c r="AK371" i="13"/>
  <c r="AF372" i="13"/>
  <c r="AG372" i="13"/>
  <c r="AH372" i="13"/>
  <c r="AI372" i="13"/>
  <c r="AJ372" i="13"/>
  <c r="AK372" i="13"/>
  <c r="AF373" i="13"/>
  <c r="AG373" i="13"/>
  <c r="AH373" i="13"/>
  <c r="AI373" i="13"/>
  <c r="AJ373" i="13"/>
  <c r="AK373" i="13"/>
  <c r="AF374" i="13"/>
  <c r="AG374" i="13"/>
  <c r="AH374" i="13"/>
  <c r="AI374" i="13"/>
  <c r="AJ374" i="13"/>
  <c r="AK374" i="13"/>
  <c r="AF375" i="13"/>
  <c r="AG375" i="13"/>
  <c r="AH375" i="13"/>
  <c r="AI375" i="13"/>
  <c r="AJ375" i="13"/>
  <c r="AK375" i="13"/>
  <c r="AF376" i="13"/>
  <c r="AG376" i="13"/>
  <c r="AH376" i="13"/>
  <c r="AI376" i="13"/>
  <c r="AJ376" i="13"/>
  <c r="AK376" i="13"/>
  <c r="AF377" i="13"/>
  <c r="AG377" i="13"/>
  <c r="AH377" i="13"/>
  <c r="AI377" i="13"/>
  <c r="AJ377" i="13"/>
  <c r="AK377" i="13"/>
  <c r="AF378" i="13"/>
  <c r="AG378" i="13"/>
  <c r="AH378" i="13"/>
  <c r="AI378" i="13"/>
  <c r="AJ378" i="13"/>
  <c r="AK378" i="13"/>
  <c r="AF379" i="13"/>
  <c r="AG379" i="13"/>
  <c r="AH379" i="13"/>
  <c r="AI379" i="13"/>
  <c r="AJ379" i="13"/>
  <c r="AK379" i="13"/>
  <c r="AF380" i="13"/>
  <c r="AG380" i="13"/>
  <c r="AH380" i="13"/>
  <c r="AI380" i="13"/>
  <c r="AJ380" i="13"/>
  <c r="AK380" i="13"/>
  <c r="AF381" i="13"/>
  <c r="AG381" i="13"/>
  <c r="AH381" i="13"/>
  <c r="AI381" i="13"/>
  <c r="AJ381" i="13"/>
  <c r="AK381" i="13"/>
  <c r="AF382" i="13"/>
  <c r="AG382" i="13"/>
  <c r="AH382" i="13"/>
  <c r="AI382" i="13"/>
  <c r="AJ382" i="13"/>
  <c r="AK382" i="13"/>
  <c r="AF383" i="13"/>
  <c r="AG383" i="13"/>
  <c r="AH383" i="13"/>
  <c r="AI383" i="13"/>
  <c r="AJ383" i="13"/>
  <c r="AK383" i="13"/>
  <c r="AF384" i="13"/>
  <c r="AG384" i="13"/>
  <c r="AH384" i="13"/>
  <c r="AI384" i="13"/>
  <c r="AJ384" i="13"/>
  <c r="AK384" i="13"/>
  <c r="AF385" i="13"/>
  <c r="AG385" i="13"/>
  <c r="AH385" i="13"/>
  <c r="AI385" i="13"/>
  <c r="AJ385" i="13"/>
  <c r="AK385" i="13"/>
  <c r="AF386" i="13"/>
  <c r="AG386" i="13"/>
  <c r="AH386" i="13"/>
  <c r="AI386" i="13"/>
  <c r="AJ386" i="13"/>
  <c r="AK386" i="13"/>
  <c r="AF387" i="13"/>
  <c r="AG387" i="13"/>
  <c r="AH387" i="13"/>
  <c r="AI387" i="13"/>
  <c r="AJ387" i="13"/>
  <c r="AK387" i="13"/>
  <c r="AF388" i="13"/>
  <c r="AG388" i="13"/>
  <c r="AH388" i="13"/>
  <c r="AI388" i="13"/>
  <c r="AJ388" i="13"/>
  <c r="AK388" i="13"/>
  <c r="AF389" i="13"/>
  <c r="AG389" i="13"/>
  <c r="AH389" i="13"/>
  <c r="AI389" i="13"/>
  <c r="AJ389" i="13"/>
  <c r="AK389" i="13"/>
  <c r="AF390" i="13"/>
  <c r="AG390" i="13"/>
  <c r="AH390" i="13"/>
  <c r="AI390" i="13"/>
  <c r="AJ390" i="13"/>
  <c r="AK390" i="13"/>
  <c r="AF391" i="13"/>
  <c r="AG391" i="13"/>
  <c r="AH391" i="13"/>
  <c r="AI391" i="13"/>
  <c r="AJ391" i="13"/>
  <c r="AK391" i="13"/>
  <c r="AF392" i="13"/>
  <c r="AG392" i="13"/>
  <c r="AH392" i="13"/>
  <c r="AI392" i="13"/>
  <c r="AJ392" i="13"/>
  <c r="AK392" i="13"/>
  <c r="AF393" i="13"/>
  <c r="AG393" i="13"/>
  <c r="AH393" i="13"/>
  <c r="AI393" i="13"/>
  <c r="AJ393" i="13"/>
  <c r="AK393" i="13"/>
  <c r="AF394" i="13"/>
  <c r="AG394" i="13"/>
  <c r="AH394" i="13"/>
  <c r="AI394" i="13"/>
  <c r="AJ394" i="13"/>
  <c r="AK394" i="13"/>
  <c r="AF395" i="13"/>
  <c r="AG395" i="13"/>
  <c r="AH395" i="13"/>
  <c r="AI395" i="13"/>
  <c r="AJ395" i="13"/>
  <c r="AK395" i="13"/>
  <c r="AF396" i="13"/>
  <c r="AG396" i="13"/>
  <c r="AH396" i="13"/>
  <c r="AI396" i="13"/>
  <c r="AJ396" i="13"/>
  <c r="AK396" i="13"/>
  <c r="AF397" i="13"/>
  <c r="AG397" i="13"/>
  <c r="AH397" i="13"/>
  <c r="AI397" i="13"/>
  <c r="AJ397" i="13"/>
  <c r="AK397" i="13"/>
  <c r="AF398" i="13"/>
  <c r="AG398" i="13"/>
  <c r="AH398" i="13"/>
  <c r="AI398" i="13"/>
  <c r="AJ398" i="13"/>
  <c r="AK398" i="13"/>
  <c r="AF399" i="13"/>
  <c r="AG399" i="13"/>
  <c r="AH399" i="13"/>
  <c r="AI399" i="13"/>
  <c r="AJ399" i="13"/>
  <c r="AK399" i="13"/>
  <c r="AF400" i="13"/>
  <c r="AG400" i="13"/>
  <c r="AH400" i="13"/>
  <c r="AI400" i="13"/>
  <c r="AJ400" i="13"/>
  <c r="AK400" i="13"/>
  <c r="AF401" i="13"/>
  <c r="AG401" i="13"/>
  <c r="AH401" i="13"/>
  <c r="AI401" i="13"/>
  <c r="AJ401" i="13"/>
  <c r="AK401" i="13"/>
  <c r="AF402" i="13"/>
  <c r="AG402" i="13"/>
  <c r="AH402" i="13"/>
  <c r="AI402" i="13"/>
  <c r="AJ402" i="13"/>
  <c r="AK402" i="13"/>
  <c r="AF403" i="13"/>
  <c r="AG403" i="13"/>
  <c r="AH403" i="13"/>
  <c r="AI403" i="13"/>
  <c r="AJ403" i="13"/>
  <c r="AK403" i="13"/>
  <c r="AF404" i="13"/>
  <c r="AG404" i="13"/>
  <c r="AH404" i="13"/>
  <c r="AI404" i="13"/>
  <c r="AJ404" i="13"/>
  <c r="AK404" i="13"/>
  <c r="AF405" i="13"/>
  <c r="AG405" i="13"/>
  <c r="AH405" i="13"/>
  <c r="AI405" i="13"/>
  <c r="AJ405" i="13"/>
  <c r="AK405" i="13"/>
  <c r="AF406" i="13"/>
  <c r="AG406" i="13"/>
  <c r="AH406" i="13"/>
  <c r="AI406" i="13"/>
  <c r="AJ406" i="13"/>
  <c r="AK406" i="13"/>
  <c r="AF407" i="13"/>
  <c r="AG407" i="13"/>
  <c r="AH407" i="13"/>
  <c r="AI407" i="13"/>
  <c r="AJ407" i="13"/>
  <c r="AK407" i="13"/>
  <c r="AF408" i="13"/>
  <c r="AG408" i="13"/>
  <c r="AH408" i="13"/>
  <c r="AI408" i="13"/>
  <c r="AJ408" i="13"/>
  <c r="AK408" i="13"/>
  <c r="AF409" i="13"/>
  <c r="AG409" i="13"/>
  <c r="AH409" i="13"/>
  <c r="AI409" i="13"/>
  <c r="AJ409" i="13"/>
  <c r="AK409" i="13"/>
  <c r="AF410" i="13"/>
  <c r="AG410" i="13"/>
  <c r="AH410" i="13"/>
  <c r="AI410" i="13"/>
  <c r="AJ410" i="13"/>
  <c r="AK410" i="13"/>
  <c r="AF411" i="13"/>
  <c r="AG411" i="13"/>
  <c r="AH411" i="13"/>
  <c r="AI411" i="13"/>
  <c r="AJ411" i="13"/>
  <c r="AK411" i="13"/>
  <c r="AF412" i="13"/>
  <c r="AG412" i="13"/>
  <c r="AH412" i="13"/>
  <c r="AI412" i="13"/>
  <c r="AJ412" i="13"/>
  <c r="AK412" i="13"/>
  <c r="AF413" i="13"/>
  <c r="AG413" i="13"/>
  <c r="AH413" i="13"/>
  <c r="AI413" i="13"/>
  <c r="AJ413" i="13"/>
  <c r="AK413" i="13"/>
  <c r="AF414" i="13"/>
  <c r="AG414" i="13"/>
  <c r="AH414" i="13"/>
  <c r="AI414" i="13"/>
  <c r="AJ414" i="13"/>
  <c r="AK414" i="13"/>
  <c r="AF415" i="13"/>
  <c r="AG415" i="13"/>
  <c r="AH415" i="13"/>
  <c r="AI415" i="13"/>
  <c r="AJ415" i="13"/>
  <c r="AK415" i="13"/>
  <c r="AF416" i="13"/>
  <c r="AG416" i="13"/>
  <c r="AH416" i="13"/>
  <c r="AI416" i="13"/>
  <c r="AJ416" i="13"/>
  <c r="AK416" i="13"/>
  <c r="AF417" i="13"/>
  <c r="AG417" i="13"/>
  <c r="AH417" i="13"/>
  <c r="AI417" i="13"/>
  <c r="AJ417" i="13"/>
  <c r="AK417" i="13"/>
  <c r="AF418" i="13"/>
  <c r="AG418" i="13"/>
  <c r="AH418" i="13"/>
  <c r="AI418" i="13"/>
  <c r="AJ418" i="13"/>
  <c r="AK418" i="13"/>
  <c r="AF419" i="13"/>
  <c r="AG419" i="13"/>
  <c r="AH419" i="13"/>
  <c r="AI419" i="13"/>
  <c r="AJ419" i="13"/>
  <c r="AK419" i="13"/>
  <c r="AF420" i="13"/>
  <c r="AG420" i="13"/>
  <c r="AH420" i="13"/>
  <c r="AI420" i="13"/>
  <c r="AJ420" i="13"/>
  <c r="AK420" i="13"/>
  <c r="AF421" i="13"/>
  <c r="AG421" i="13"/>
  <c r="AH421" i="13"/>
  <c r="AI421" i="13"/>
  <c r="AJ421" i="13"/>
  <c r="AK421" i="13"/>
  <c r="AF422" i="13"/>
  <c r="AG422" i="13"/>
  <c r="AH422" i="13"/>
  <c r="AI422" i="13"/>
  <c r="AJ422" i="13"/>
  <c r="AK422" i="13"/>
  <c r="AF423" i="13"/>
  <c r="AG423" i="13"/>
  <c r="AH423" i="13"/>
  <c r="AI423" i="13"/>
  <c r="AJ423" i="13"/>
  <c r="AK423" i="13"/>
  <c r="AF424" i="13"/>
  <c r="AG424" i="13"/>
  <c r="AH424" i="13"/>
  <c r="AI424" i="13"/>
  <c r="AJ424" i="13"/>
  <c r="AK424" i="13"/>
  <c r="AF425" i="13"/>
  <c r="AG425" i="13"/>
  <c r="AH425" i="13"/>
  <c r="AI425" i="13"/>
  <c r="AJ425" i="13"/>
  <c r="AK425" i="13"/>
  <c r="AF426" i="13"/>
  <c r="AG426" i="13"/>
  <c r="AH426" i="13"/>
  <c r="AI426" i="13"/>
  <c r="AJ426" i="13"/>
  <c r="AK426" i="13"/>
  <c r="AF427" i="13"/>
  <c r="AG427" i="13"/>
  <c r="AH427" i="13"/>
  <c r="AI427" i="13"/>
  <c r="AJ427" i="13"/>
  <c r="AK427" i="13"/>
  <c r="AF428" i="13"/>
  <c r="AG428" i="13"/>
  <c r="AH428" i="13"/>
  <c r="AI428" i="13"/>
  <c r="AJ428" i="13"/>
  <c r="AK428" i="13"/>
  <c r="AF429" i="13"/>
  <c r="AG429" i="13"/>
  <c r="AH429" i="13"/>
  <c r="AI429" i="13"/>
  <c r="AJ429" i="13"/>
  <c r="AK429" i="13"/>
  <c r="AF430" i="13"/>
  <c r="AG430" i="13"/>
  <c r="AH430" i="13"/>
  <c r="AI430" i="13"/>
  <c r="AJ430" i="13"/>
  <c r="AK430" i="13"/>
  <c r="AF431" i="13"/>
  <c r="AG431" i="13"/>
  <c r="AH431" i="13"/>
  <c r="AI431" i="13"/>
  <c r="AJ431" i="13"/>
  <c r="AK431" i="13"/>
  <c r="AF432" i="13"/>
  <c r="AG432" i="13"/>
  <c r="AH432" i="13"/>
  <c r="AI432" i="13"/>
  <c r="AJ432" i="13"/>
  <c r="AK432" i="13"/>
  <c r="AF433" i="13"/>
  <c r="AG433" i="13"/>
  <c r="AH433" i="13"/>
  <c r="AI433" i="13"/>
  <c r="AJ433" i="13"/>
  <c r="AK433" i="13"/>
  <c r="AF434" i="13"/>
  <c r="AG434" i="13"/>
  <c r="AH434" i="13"/>
  <c r="AI434" i="13"/>
  <c r="AJ434" i="13"/>
  <c r="AK434" i="13"/>
  <c r="AF435" i="13"/>
  <c r="AG435" i="13"/>
  <c r="AH435" i="13"/>
  <c r="AI435" i="13"/>
  <c r="AJ435" i="13"/>
  <c r="AK435" i="13"/>
  <c r="AF436" i="13"/>
  <c r="AG436" i="13"/>
  <c r="AH436" i="13"/>
  <c r="AI436" i="13"/>
  <c r="AJ436" i="13"/>
  <c r="AK436" i="13"/>
  <c r="AF437" i="13"/>
  <c r="AG437" i="13"/>
  <c r="AH437" i="13"/>
  <c r="AI437" i="13"/>
  <c r="AJ437" i="13"/>
  <c r="AK437" i="13"/>
  <c r="AF438" i="13"/>
  <c r="AG438" i="13"/>
  <c r="AH438" i="13"/>
  <c r="AI438" i="13"/>
  <c r="AJ438" i="13"/>
  <c r="AK438" i="13"/>
  <c r="AF439" i="13"/>
  <c r="AG439" i="13"/>
  <c r="AH439" i="13"/>
  <c r="AI439" i="13"/>
  <c r="AJ439" i="13"/>
  <c r="AK439" i="13"/>
  <c r="AF440" i="13"/>
  <c r="AG440" i="13"/>
  <c r="AH440" i="13"/>
  <c r="AI440" i="13"/>
  <c r="AJ440" i="13"/>
  <c r="AK440" i="13"/>
  <c r="AF441" i="13"/>
  <c r="AG441" i="13"/>
  <c r="AH441" i="13"/>
  <c r="AI441" i="13"/>
  <c r="AJ441" i="13"/>
  <c r="AK441" i="13"/>
  <c r="AF442" i="13"/>
  <c r="AG442" i="13"/>
  <c r="AH442" i="13"/>
  <c r="AI442" i="13"/>
  <c r="AJ442" i="13"/>
  <c r="AK442" i="13"/>
  <c r="AF443" i="13"/>
  <c r="AG443" i="13"/>
  <c r="AH443" i="13"/>
  <c r="AI443" i="13"/>
  <c r="AJ443" i="13"/>
  <c r="AK443" i="13"/>
  <c r="AF444" i="13"/>
  <c r="AG444" i="13"/>
  <c r="AH444" i="13"/>
  <c r="AI444" i="13"/>
  <c r="AJ444" i="13"/>
  <c r="AK444" i="13"/>
  <c r="AF445" i="13"/>
  <c r="AG445" i="13"/>
  <c r="AH445" i="13"/>
  <c r="AI445" i="13"/>
  <c r="AJ445" i="13"/>
  <c r="AK445" i="13"/>
  <c r="AF446" i="13"/>
  <c r="AG446" i="13"/>
  <c r="AH446" i="13"/>
  <c r="AI446" i="13"/>
  <c r="AJ446" i="13"/>
  <c r="AK446" i="13"/>
  <c r="AF447" i="13"/>
  <c r="AG447" i="13"/>
  <c r="AH447" i="13"/>
  <c r="AI447" i="13"/>
  <c r="AJ447" i="13"/>
  <c r="AK447" i="13"/>
  <c r="AF448" i="13"/>
  <c r="AG448" i="13"/>
  <c r="AH448" i="13"/>
  <c r="AI448" i="13"/>
  <c r="AJ448" i="13"/>
  <c r="AK448" i="13"/>
  <c r="AF449" i="13"/>
  <c r="AG449" i="13"/>
  <c r="AH449" i="13"/>
  <c r="AI449" i="13"/>
  <c r="AJ449" i="13"/>
  <c r="AK449" i="13"/>
  <c r="AF450" i="13"/>
  <c r="AG450" i="13"/>
  <c r="AH450" i="13"/>
  <c r="AI450" i="13"/>
  <c r="AJ450" i="13"/>
  <c r="AK450" i="13"/>
  <c r="AF451" i="13"/>
  <c r="AG451" i="13"/>
  <c r="AH451" i="13"/>
  <c r="AI451" i="13"/>
  <c r="AJ451" i="13"/>
  <c r="AK451" i="13"/>
  <c r="AF452" i="13"/>
  <c r="AG452" i="13"/>
  <c r="AH452" i="13"/>
  <c r="AI452" i="13"/>
  <c r="AJ452" i="13"/>
  <c r="AK452" i="13"/>
  <c r="AF453" i="13"/>
  <c r="AG453" i="13"/>
  <c r="AH453" i="13"/>
  <c r="AI453" i="13"/>
  <c r="AJ453" i="13"/>
  <c r="AK453" i="13"/>
  <c r="AF454" i="13"/>
  <c r="AG454" i="13"/>
  <c r="AH454" i="13"/>
  <c r="AI454" i="13"/>
  <c r="AJ454" i="13"/>
  <c r="AK454" i="13"/>
  <c r="AF455" i="13"/>
  <c r="AG455" i="13"/>
  <c r="AH455" i="13"/>
  <c r="AI455" i="13"/>
  <c r="AJ455" i="13"/>
  <c r="AK455" i="13"/>
  <c r="AF456" i="13"/>
  <c r="AG456" i="13"/>
  <c r="AH456" i="13"/>
  <c r="AI456" i="13"/>
  <c r="AJ456" i="13"/>
  <c r="AK456" i="13"/>
  <c r="AF457" i="13"/>
  <c r="AG457" i="13"/>
  <c r="AH457" i="13"/>
  <c r="AI457" i="13"/>
  <c r="AJ457" i="13"/>
  <c r="AK457" i="13"/>
  <c r="AF458" i="13"/>
  <c r="AG458" i="13"/>
  <c r="AH458" i="13"/>
  <c r="AI458" i="13"/>
  <c r="AJ458" i="13"/>
  <c r="AK458" i="13"/>
  <c r="AF459" i="13"/>
  <c r="AG459" i="13"/>
  <c r="AH459" i="13"/>
  <c r="AI459" i="13"/>
  <c r="AJ459" i="13"/>
  <c r="AK459" i="13"/>
  <c r="AF460" i="13"/>
  <c r="AG460" i="13"/>
  <c r="AH460" i="13"/>
  <c r="AI460" i="13"/>
  <c r="AJ460" i="13"/>
  <c r="AK460" i="13"/>
  <c r="AF461" i="13"/>
  <c r="AG461" i="13"/>
  <c r="AH461" i="13"/>
  <c r="AI461" i="13"/>
  <c r="AJ461" i="13"/>
  <c r="AK461" i="13"/>
  <c r="AF462" i="13"/>
  <c r="AG462" i="13"/>
  <c r="AH462" i="13"/>
  <c r="AI462" i="13"/>
  <c r="AJ462" i="13"/>
  <c r="AK462" i="13"/>
  <c r="AF463" i="13"/>
  <c r="AG463" i="13"/>
  <c r="AH463" i="13"/>
  <c r="AI463" i="13"/>
  <c r="AJ463" i="13"/>
  <c r="AK463" i="13"/>
  <c r="AF464" i="13"/>
  <c r="AG464" i="13"/>
  <c r="AH464" i="13"/>
  <c r="AI464" i="13"/>
  <c r="AJ464" i="13"/>
  <c r="AK464" i="13"/>
  <c r="AF465" i="13"/>
  <c r="AG465" i="13"/>
  <c r="AH465" i="13"/>
  <c r="AI465" i="13"/>
  <c r="AJ465" i="13"/>
  <c r="AK465" i="13"/>
  <c r="AF466" i="13"/>
  <c r="AG466" i="13"/>
  <c r="AH466" i="13"/>
  <c r="AI466" i="13"/>
  <c r="AJ466" i="13"/>
  <c r="AK466" i="13"/>
  <c r="AF467" i="13"/>
  <c r="AG467" i="13"/>
  <c r="AH467" i="13"/>
  <c r="AI467" i="13"/>
  <c r="AJ467" i="13"/>
  <c r="AK467" i="13"/>
  <c r="AF468" i="13"/>
  <c r="AG468" i="13"/>
  <c r="AH468" i="13"/>
  <c r="AI468" i="13"/>
  <c r="AJ468" i="13"/>
  <c r="AK468" i="13"/>
  <c r="AF469" i="13"/>
  <c r="AG469" i="13"/>
  <c r="AH469" i="13"/>
  <c r="AI469" i="13"/>
  <c r="AJ469" i="13"/>
  <c r="AK469" i="13"/>
  <c r="AF470" i="13"/>
  <c r="AG470" i="13"/>
  <c r="AH470" i="13"/>
  <c r="AI470" i="13"/>
  <c r="AJ470" i="13"/>
  <c r="AK470" i="13"/>
  <c r="AF471" i="13"/>
  <c r="AG471" i="13"/>
  <c r="AH471" i="13"/>
  <c r="AI471" i="13"/>
  <c r="AJ471" i="13"/>
  <c r="AK471" i="13"/>
  <c r="AF472" i="13"/>
  <c r="AG472" i="13"/>
  <c r="AH472" i="13"/>
  <c r="AI472" i="13"/>
  <c r="AJ472" i="13"/>
  <c r="AK472" i="13"/>
  <c r="AF473" i="13"/>
  <c r="AG473" i="13"/>
  <c r="AH473" i="13"/>
  <c r="AI473" i="13"/>
  <c r="AJ473" i="13"/>
  <c r="AK473" i="13"/>
  <c r="AF474" i="13"/>
  <c r="AG474" i="13"/>
  <c r="AH474" i="13"/>
  <c r="AI474" i="13"/>
  <c r="AJ474" i="13"/>
  <c r="AK474" i="13"/>
  <c r="AF475" i="13"/>
  <c r="AG475" i="13"/>
  <c r="AH475" i="13"/>
  <c r="AI475" i="13"/>
  <c r="AJ475" i="13"/>
  <c r="AK475" i="13"/>
  <c r="AF476" i="13"/>
  <c r="AG476" i="13"/>
  <c r="AH476" i="13"/>
  <c r="AI476" i="13"/>
  <c r="AJ476" i="13"/>
  <c r="AK476" i="13"/>
  <c r="AF477" i="13"/>
  <c r="AG477" i="13"/>
  <c r="AH477" i="13"/>
  <c r="AI477" i="13"/>
  <c r="AJ477" i="13"/>
  <c r="AK477" i="13"/>
  <c r="AF478" i="13"/>
  <c r="AG478" i="13"/>
  <c r="AH478" i="13"/>
  <c r="AI478" i="13"/>
  <c r="AJ478" i="13"/>
  <c r="AK478" i="13"/>
  <c r="AF479" i="13"/>
  <c r="AG479" i="13"/>
  <c r="AH479" i="13"/>
  <c r="AI479" i="13"/>
  <c r="AJ479" i="13"/>
  <c r="AK479" i="13"/>
  <c r="AF480" i="13"/>
  <c r="AG480" i="13"/>
  <c r="AH480" i="13"/>
  <c r="AI480" i="13"/>
  <c r="AJ480" i="13"/>
  <c r="AK480" i="13"/>
  <c r="AF481" i="13"/>
  <c r="AG481" i="13"/>
  <c r="AH481" i="13"/>
  <c r="AI481" i="13"/>
  <c r="AJ481" i="13"/>
  <c r="AK481" i="13"/>
  <c r="AF482" i="13"/>
  <c r="AG482" i="13"/>
  <c r="AH482" i="13"/>
  <c r="AI482" i="13"/>
  <c r="AJ482" i="13"/>
  <c r="AK482" i="13"/>
  <c r="AF483" i="13"/>
  <c r="AG483" i="13"/>
  <c r="AH483" i="13"/>
  <c r="AI483" i="13"/>
  <c r="AJ483" i="13"/>
  <c r="AK483" i="13"/>
  <c r="AF484" i="13"/>
  <c r="AG484" i="13"/>
  <c r="AH484" i="13"/>
  <c r="AI484" i="13"/>
  <c r="AJ484" i="13"/>
  <c r="AK484" i="13"/>
  <c r="AF485" i="13"/>
  <c r="AG485" i="13"/>
  <c r="AH485" i="13"/>
  <c r="AI485" i="13"/>
  <c r="AJ485" i="13"/>
  <c r="AK485" i="13"/>
  <c r="AF486" i="13"/>
  <c r="AG486" i="13"/>
  <c r="AH486" i="13"/>
  <c r="AI486" i="13"/>
  <c r="AJ486" i="13"/>
  <c r="AK486" i="13"/>
  <c r="AF487" i="13"/>
  <c r="AG487" i="13"/>
  <c r="AH487" i="13"/>
  <c r="AI487" i="13"/>
  <c r="AJ487" i="13"/>
  <c r="AK487" i="13"/>
  <c r="AF488" i="13"/>
  <c r="AG488" i="13"/>
  <c r="AH488" i="13"/>
  <c r="AI488" i="13"/>
  <c r="AJ488" i="13"/>
  <c r="AK488" i="13"/>
  <c r="AF489" i="13"/>
  <c r="AG489" i="13"/>
  <c r="AH489" i="13"/>
  <c r="AI489" i="13"/>
  <c r="AJ489" i="13"/>
  <c r="AK489" i="13"/>
  <c r="AF490" i="13"/>
  <c r="AG490" i="13"/>
  <c r="AH490" i="13"/>
  <c r="AI490" i="13"/>
  <c r="AJ490" i="13"/>
  <c r="AK490" i="13"/>
  <c r="AF491" i="13"/>
  <c r="AG491" i="13"/>
  <c r="AH491" i="13"/>
  <c r="AI491" i="13"/>
  <c r="AJ491" i="13"/>
  <c r="AK491" i="13"/>
  <c r="AF492" i="13"/>
  <c r="AG492" i="13"/>
  <c r="AH492" i="13"/>
  <c r="AI492" i="13"/>
  <c r="AJ492" i="13"/>
  <c r="AK492" i="13"/>
  <c r="AF493" i="13"/>
  <c r="AG493" i="13"/>
  <c r="AH493" i="13"/>
  <c r="AI493" i="13"/>
  <c r="AJ493" i="13"/>
  <c r="AK493" i="13"/>
  <c r="AG5" i="13"/>
  <c r="AH5" i="13"/>
  <c r="AI5" i="13"/>
  <c r="AJ5" i="13"/>
  <c r="AK5" i="13"/>
  <c r="AF5" i="13"/>
  <c r="W5" i="13"/>
  <c r="X5" i="13"/>
  <c r="Y5" i="13"/>
  <c r="Z5" i="13"/>
  <c r="AA5" i="13"/>
  <c r="AB5" i="13"/>
  <c r="W6" i="13"/>
  <c r="X6" i="13"/>
  <c r="Y6" i="13"/>
  <c r="Z6" i="13"/>
  <c r="AA6" i="13"/>
  <c r="AB6" i="13"/>
  <c r="W34" i="13"/>
  <c r="X34" i="13"/>
  <c r="Y34" i="13"/>
  <c r="Z7" i="13"/>
  <c r="AA7" i="13"/>
  <c r="AB7" i="13"/>
  <c r="W19" i="13"/>
  <c r="X19" i="13"/>
  <c r="Y19" i="13"/>
  <c r="Z8" i="13"/>
  <c r="AA8" i="13"/>
  <c r="AB8" i="13"/>
  <c r="W23" i="13"/>
  <c r="X23" i="13"/>
  <c r="Y23" i="13"/>
  <c r="Z9" i="13"/>
  <c r="AA9" i="13"/>
  <c r="AB9" i="13"/>
  <c r="W33" i="13"/>
  <c r="X33" i="13"/>
  <c r="Y33" i="13"/>
  <c r="Z10" i="13"/>
  <c r="AA10" i="13"/>
  <c r="AB10" i="13"/>
  <c r="W39" i="13"/>
  <c r="X39" i="13"/>
  <c r="Y39" i="13"/>
  <c r="Z11" i="13"/>
  <c r="AA11" i="13"/>
  <c r="AB11" i="13"/>
  <c r="W18" i="13"/>
  <c r="X18" i="13"/>
  <c r="Y18" i="13"/>
  <c r="Z12" i="13"/>
  <c r="AA12" i="13"/>
  <c r="AB12" i="13"/>
  <c r="W13" i="13"/>
  <c r="X13" i="13"/>
  <c r="Y13" i="13"/>
  <c r="Z13" i="13"/>
  <c r="AA13" i="13"/>
  <c r="AB13" i="13"/>
  <c r="W25" i="13"/>
  <c r="X25" i="13"/>
  <c r="Y25" i="13"/>
  <c r="Z14" i="13"/>
  <c r="AA14" i="13"/>
  <c r="AB14" i="13"/>
  <c r="W30" i="13"/>
  <c r="X30" i="13"/>
  <c r="Y30" i="13"/>
  <c r="Z15" i="13"/>
  <c r="AA15" i="13"/>
  <c r="AB15" i="13"/>
  <c r="W16" i="13"/>
  <c r="X16" i="13"/>
  <c r="Y16" i="13"/>
  <c r="Z16" i="13"/>
  <c r="AA16" i="13"/>
  <c r="AB16" i="13"/>
  <c r="W42" i="13"/>
  <c r="X42" i="13"/>
  <c r="Y42" i="13"/>
  <c r="Z17" i="13"/>
  <c r="AA17" i="13"/>
  <c r="AB17" i="13"/>
  <c r="W15" i="13"/>
  <c r="X15" i="13"/>
  <c r="Y15" i="13"/>
  <c r="Z18" i="13"/>
  <c r="AA18" i="13"/>
  <c r="AB18" i="13"/>
  <c r="W10" i="13"/>
  <c r="X10" i="13"/>
  <c r="Y10" i="13"/>
  <c r="Z19" i="13"/>
  <c r="AA19" i="13"/>
  <c r="AB19" i="13"/>
  <c r="W7" i="13"/>
  <c r="X7" i="13"/>
  <c r="Y7" i="13"/>
  <c r="Z20" i="13"/>
  <c r="AA20" i="13"/>
  <c r="AB20" i="13"/>
  <c r="W35" i="13"/>
  <c r="X35" i="13"/>
  <c r="Y35" i="13"/>
  <c r="Z21" i="13"/>
  <c r="AA21" i="13"/>
  <c r="AB21" i="13"/>
  <c r="W14" i="13"/>
  <c r="X14" i="13"/>
  <c r="Y14" i="13"/>
  <c r="Z22" i="13"/>
  <c r="AA22" i="13"/>
  <c r="AB22" i="13"/>
  <c r="W27" i="13"/>
  <c r="X27" i="13"/>
  <c r="Y27" i="13"/>
  <c r="Z23" i="13"/>
  <c r="AA23" i="13"/>
  <c r="AB23" i="13"/>
  <c r="W40" i="13"/>
  <c r="X40" i="13"/>
  <c r="Y40" i="13"/>
  <c r="Z24" i="13"/>
  <c r="AA24" i="13"/>
  <c r="AB24" i="13"/>
  <c r="W36" i="13"/>
  <c r="X36" i="13"/>
  <c r="Y36" i="13"/>
  <c r="Z25" i="13"/>
  <c r="AA25" i="13"/>
  <c r="AB25" i="13"/>
  <c r="W26" i="13"/>
  <c r="X26" i="13"/>
  <c r="Y26" i="13"/>
  <c r="Z26" i="13"/>
  <c r="AA26" i="13"/>
  <c r="AB26" i="13"/>
  <c r="W31" i="13"/>
  <c r="X31" i="13"/>
  <c r="Y31" i="13"/>
  <c r="Z27" i="13"/>
  <c r="AA27" i="13"/>
  <c r="AB27" i="13"/>
  <c r="W41" i="13"/>
  <c r="X41" i="13"/>
  <c r="Y41" i="13"/>
  <c r="Z28" i="13"/>
  <c r="AA28" i="13"/>
  <c r="AB28" i="13"/>
  <c r="W47" i="13"/>
  <c r="X47" i="13"/>
  <c r="Y47" i="13"/>
  <c r="Z29" i="13"/>
  <c r="AA29" i="13"/>
  <c r="AB29" i="13"/>
  <c r="W20" i="13"/>
  <c r="X20" i="13"/>
  <c r="Y20" i="13"/>
  <c r="Z30" i="13"/>
  <c r="AA30" i="13"/>
  <c r="AB30" i="13"/>
  <c r="W37" i="13"/>
  <c r="X37" i="13"/>
  <c r="Y37" i="13"/>
  <c r="Z31" i="13"/>
  <c r="AA31" i="13"/>
  <c r="AB31" i="13"/>
  <c r="W32" i="13"/>
  <c r="X32" i="13"/>
  <c r="Y32" i="13"/>
  <c r="Z32" i="13"/>
  <c r="AA32" i="13"/>
  <c r="AB32" i="13"/>
  <c r="W12" i="13"/>
  <c r="X12" i="13"/>
  <c r="Y12" i="13"/>
  <c r="Z33" i="13"/>
  <c r="AA33" i="13"/>
  <c r="AB33" i="13"/>
  <c r="W8" i="13"/>
  <c r="X8" i="13"/>
  <c r="Y8" i="13"/>
  <c r="Z34" i="13"/>
  <c r="AA34" i="13"/>
  <c r="AB34" i="13"/>
  <c r="W21" i="13"/>
  <c r="X21" i="13"/>
  <c r="Y21" i="13"/>
  <c r="Z35" i="13"/>
  <c r="AA35" i="13"/>
  <c r="AB35" i="13"/>
  <c r="W11" i="13"/>
  <c r="X11" i="13"/>
  <c r="Y11" i="13"/>
  <c r="Z36" i="13"/>
  <c r="AA36" i="13"/>
  <c r="AB36" i="13"/>
  <c r="W17" i="13"/>
  <c r="X17" i="13"/>
  <c r="Y17" i="13"/>
  <c r="Z37" i="13"/>
  <c r="AA37" i="13"/>
  <c r="AB37" i="13"/>
  <c r="W46" i="13"/>
  <c r="X46" i="13"/>
  <c r="Y46" i="13"/>
  <c r="Z38" i="13"/>
  <c r="AA38" i="13"/>
  <c r="AB38" i="13"/>
  <c r="W44" i="13"/>
  <c r="X44" i="13"/>
  <c r="Y44" i="13"/>
  <c r="Z39" i="13"/>
  <c r="AA39" i="13"/>
  <c r="AB39" i="13"/>
  <c r="W24" i="13"/>
  <c r="X24" i="13"/>
  <c r="Y24" i="13"/>
  <c r="Z40" i="13"/>
  <c r="AA40" i="13"/>
  <c r="AB40" i="13"/>
  <c r="W28" i="13"/>
  <c r="X28" i="13"/>
  <c r="Y28" i="13"/>
  <c r="Z41" i="13"/>
  <c r="AA41" i="13"/>
  <c r="AB41" i="13"/>
  <c r="W22" i="13"/>
  <c r="X22" i="13"/>
  <c r="Y22" i="13"/>
  <c r="Z42" i="13"/>
  <c r="AA42" i="13"/>
  <c r="AB42" i="13"/>
  <c r="W43" i="13"/>
  <c r="X43" i="13"/>
  <c r="Y43" i="13"/>
  <c r="Z43" i="13"/>
  <c r="AA43" i="13"/>
  <c r="AB43" i="13"/>
  <c r="W9" i="13"/>
  <c r="X9" i="13"/>
  <c r="Y9" i="13"/>
  <c r="Z44" i="13"/>
  <c r="AA44" i="13"/>
  <c r="AB44" i="13"/>
  <c r="W48" i="13"/>
  <c r="X48" i="13"/>
  <c r="Y48" i="13"/>
  <c r="Z45" i="13"/>
  <c r="AA45" i="13"/>
  <c r="AB45" i="13"/>
  <c r="W38" i="13"/>
  <c r="X38" i="13"/>
  <c r="Y38" i="13"/>
  <c r="Z46" i="13"/>
  <c r="AA46" i="13"/>
  <c r="AB46" i="13"/>
  <c r="W29" i="13"/>
  <c r="X29" i="13"/>
  <c r="Y29" i="13"/>
  <c r="Z47" i="13"/>
  <c r="AA47" i="13"/>
  <c r="AB47" i="13"/>
  <c r="W45" i="13"/>
  <c r="X45" i="13"/>
  <c r="Y45" i="13"/>
  <c r="Z48" i="13"/>
  <c r="AA48" i="13"/>
  <c r="AB48" i="13"/>
  <c r="W49" i="13"/>
  <c r="X49" i="13"/>
  <c r="Y49" i="13"/>
  <c r="Z49" i="13"/>
  <c r="AA49" i="13"/>
  <c r="AB49" i="13"/>
  <c r="W50" i="13"/>
  <c r="X50" i="13"/>
  <c r="Y50" i="13"/>
  <c r="Z50" i="13"/>
  <c r="AA50" i="13"/>
  <c r="AB50" i="13"/>
  <c r="W51" i="13"/>
  <c r="X51" i="13"/>
  <c r="Y51" i="13"/>
  <c r="Z51" i="13"/>
  <c r="AA51" i="13"/>
  <c r="AB51" i="13"/>
  <c r="W52" i="13"/>
  <c r="X52" i="13"/>
  <c r="Y52" i="13"/>
  <c r="Z52" i="13"/>
  <c r="AA52" i="13"/>
  <c r="AB52" i="13"/>
  <c r="U493" i="13"/>
  <c r="AB493" i="13"/>
  <c r="AA493" i="13"/>
  <c r="Z493" i="13"/>
  <c r="Y493" i="13"/>
  <c r="X493" i="13"/>
  <c r="W493" i="13"/>
  <c r="U492" i="13"/>
  <c r="AB492" i="13"/>
  <c r="AA492" i="13"/>
  <c r="Z492" i="13"/>
  <c r="Y492" i="13"/>
  <c r="X492" i="13"/>
  <c r="W492" i="13"/>
  <c r="D2" i="10"/>
  <c r="U491" i="13"/>
  <c r="AB491" i="13"/>
  <c r="AA491" i="13"/>
  <c r="Z491" i="13"/>
  <c r="Y491" i="13"/>
  <c r="X491" i="13"/>
  <c r="W491" i="13"/>
  <c r="AN463" i="13" l="1"/>
  <c r="CH5" i="13"/>
  <c r="AM364" i="13"/>
  <c r="AM332" i="13"/>
  <c r="AM300" i="13"/>
  <c r="AN413" i="13"/>
  <c r="AN16" i="13"/>
  <c r="AN234" i="13"/>
  <c r="AM48" i="13"/>
  <c r="AM32" i="13"/>
  <c r="AN24" i="13"/>
  <c r="AD35" i="13"/>
  <c r="AM380" i="13"/>
  <c r="AM372" i="13"/>
  <c r="AN431" i="13"/>
  <c r="AN423" i="13"/>
  <c r="AN419" i="13"/>
  <c r="AM268" i="13"/>
  <c r="AM252" i="13"/>
  <c r="AM244" i="13"/>
  <c r="AM240" i="13"/>
  <c r="AN395" i="13"/>
  <c r="AM172" i="13"/>
  <c r="AM108" i="13"/>
  <c r="AN479" i="13"/>
  <c r="AM140" i="13"/>
  <c r="AM124" i="13"/>
  <c r="AN471" i="13"/>
  <c r="AM316" i="13"/>
  <c r="AM308" i="13"/>
  <c r="AM116" i="13"/>
  <c r="AN447" i="13"/>
  <c r="AN439" i="13"/>
  <c r="AN433" i="13"/>
  <c r="AM284" i="13"/>
  <c r="AM276" i="13"/>
  <c r="AM272" i="13"/>
  <c r="AM76" i="13"/>
  <c r="AM60" i="13"/>
  <c r="AM52" i="13"/>
  <c r="AL52" i="13" s="1"/>
  <c r="AN405" i="13"/>
  <c r="AN401" i="13"/>
  <c r="AM348" i="13"/>
  <c r="AM340" i="13"/>
  <c r="AN202" i="13"/>
  <c r="AM188" i="13"/>
  <c r="AM180" i="13"/>
  <c r="AN20" i="13"/>
  <c r="AN487" i="13"/>
  <c r="AN455" i="13"/>
  <c r="AN427" i="13"/>
  <c r="AN409" i="13"/>
  <c r="AN387" i="13"/>
  <c r="AM356" i="13"/>
  <c r="AM324" i="13"/>
  <c r="AM292" i="13"/>
  <c r="AM260" i="13"/>
  <c r="AM256" i="13"/>
  <c r="AN218" i="13"/>
  <c r="AN210" i="13"/>
  <c r="AM156" i="13"/>
  <c r="AM148" i="13"/>
  <c r="AM92" i="13"/>
  <c r="AM84" i="13"/>
  <c r="AM40" i="13"/>
  <c r="AM36" i="13"/>
  <c r="AN8" i="13"/>
  <c r="AD51" i="13"/>
  <c r="AC51" i="13" s="1"/>
  <c r="AD47" i="13"/>
  <c r="AN483" i="13"/>
  <c r="AN467" i="13"/>
  <c r="AN451" i="13"/>
  <c r="AN435" i="13"/>
  <c r="AN425" i="13"/>
  <c r="AN415" i="13"/>
  <c r="AN407" i="13"/>
  <c r="AN399" i="13"/>
  <c r="AN383" i="13"/>
  <c r="AM368" i="13"/>
  <c r="AM352" i="13"/>
  <c r="AM336" i="13"/>
  <c r="AM320" i="13"/>
  <c r="AM304" i="13"/>
  <c r="AM288" i="13"/>
  <c r="AN491" i="13"/>
  <c r="AN475" i="13"/>
  <c r="AN459" i="13"/>
  <c r="AN443" i="13"/>
  <c r="AN429" i="13"/>
  <c r="AN421" i="13"/>
  <c r="AN411" i="13"/>
  <c r="AN403" i="13"/>
  <c r="AN391" i="13"/>
  <c r="AM376" i="13"/>
  <c r="AM360" i="13"/>
  <c r="AM344" i="13"/>
  <c r="AM328" i="13"/>
  <c r="AM312" i="13"/>
  <c r="AM296" i="13"/>
  <c r="AM280" i="13"/>
  <c r="AM264" i="13"/>
  <c r="AM248" i="13"/>
  <c r="AN226" i="13"/>
  <c r="AN194" i="13"/>
  <c r="AM164" i="13"/>
  <c r="AM132" i="13"/>
  <c r="AM100" i="13"/>
  <c r="AM68" i="13"/>
  <c r="AM44" i="13"/>
  <c r="AM28" i="13"/>
  <c r="AN12" i="13"/>
  <c r="CH7" i="13"/>
  <c r="CH8" i="13"/>
  <c r="CH14" i="13"/>
  <c r="CH16" i="13"/>
  <c r="CH18" i="13"/>
  <c r="CH11" i="13"/>
  <c r="CH17" i="13"/>
  <c r="CH20" i="13"/>
  <c r="CH23" i="13"/>
  <c r="CH21" i="13"/>
  <c r="CH25" i="13"/>
  <c r="CH28" i="13"/>
  <c r="CH30" i="13"/>
  <c r="CH32" i="13"/>
  <c r="CH34" i="13"/>
  <c r="CH36" i="13"/>
  <c r="CH6" i="13"/>
  <c r="CH9" i="13"/>
  <c r="CH10" i="13"/>
  <c r="CH12" i="13"/>
  <c r="CH15" i="13"/>
  <c r="CH13" i="13"/>
  <c r="CH19" i="13"/>
  <c r="CH22" i="13"/>
  <c r="CH24" i="13"/>
  <c r="CH26" i="13"/>
  <c r="CH27" i="13"/>
  <c r="CH29" i="13"/>
  <c r="CH31" i="13"/>
  <c r="CH33" i="13"/>
  <c r="CH35" i="13"/>
  <c r="CH37" i="13"/>
  <c r="AN493" i="13"/>
  <c r="AN485" i="13"/>
  <c r="AN477" i="13"/>
  <c r="AN469" i="13"/>
  <c r="AN461" i="13"/>
  <c r="AN453" i="13"/>
  <c r="AN445" i="13"/>
  <c r="AN437" i="13"/>
  <c r="AN417" i="13"/>
  <c r="AM152" i="13"/>
  <c r="AM136" i="13"/>
  <c r="AM120" i="13"/>
  <c r="AM104" i="13"/>
  <c r="AM88" i="13"/>
  <c r="AM72" i="13"/>
  <c r="AM56" i="13"/>
  <c r="AM46" i="13"/>
  <c r="AM38" i="13"/>
  <c r="AM30" i="13"/>
  <c r="AN22" i="13"/>
  <c r="AN14" i="13"/>
  <c r="AN6" i="13"/>
  <c r="AN489" i="13"/>
  <c r="AN481" i="13"/>
  <c r="AN473" i="13"/>
  <c r="AN465" i="13"/>
  <c r="AN457" i="13"/>
  <c r="AN449" i="13"/>
  <c r="AN441" i="13"/>
  <c r="AM144" i="13"/>
  <c r="AM128" i="13"/>
  <c r="AM112" i="13"/>
  <c r="AM96" i="13"/>
  <c r="AM80" i="13"/>
  <c r="AM64" i="13"/>
  <c r="AM50" i="13"/>
  <c r="AM42" i="13"/>
  <c r="AM34" i="13"/>
  <c r="AM26" i="13"/>
  <c r="AN18" i="13"/>
  <c r="AN10" i="13"/>
  <c r="AN492" i="13"/>
  <c r="AM491" i="13"/>
  <c r="AN488" i="13"/>
  <c r="AM487" i="13"/>
  <c r="AL487" i="13" s="1"/>
  <c r="AN484" i="13"/>
  <c r="AM483" i="13"/>
  <c r="AL483" i="13" s="1"/>
  <c r="AN480" i="13"/>
  <c r="AM479" i="13"/>
  <c r="AL479" i="13" s="1"/>
  <c r="AN476" i="13"/>
  <c r="AM475" i="13"/>
  <c r="AL475" i="13" s="1"/>
  <c r="AN472" i="13"/>
  <c r="AM471" i="13"/>
  <c r="AN468" i="13"/>
  <c r="AM467" i="13"/>
  <c r="AN464" i="13"/>
  <c r="AM463" i="13"/>
  <c r="AN460" i="13"/>
  <c r="AM459" i="13"/>
  <c r="AN456" i="13"/>
  <c r="AM455" i="13"/>
  <c r="AN452" i="13"/>
  <c r="AM451" i="13"/>
  <c r="AN448" i="13"/>
  <c r="AM447" i="13"/>
  <c r="AN444" i="13"/>
  <c r="AM443" i="13"/>
  <c r="AN440" i="13"/>
  <c r="AM439" i="13"/>
  <c r="AL439" i="13" s="1"/>
  <c r="AN436" i="13"/>
  <c r="AM435" i="13"/>
  <c r="AL435" i="13" s="1"/>
  <c r="AN432" i="13"/>
  <c r="AM431" i="13"/>
  <c r="AL431" i="13" s="1"/>
  <c r="AN428" i="13"/>
  <c r="AM427" i="13"/>
  <c r="AL427" i="13" s="1"/>
  <c r="AN424" i="13"/>
  <c r="AM423" i="13"/>
  <c r="AN420" i="13"/>
  <c r="AM419" i="13"/>
  <c r="AL419" i="13" s="1"/>
  <c r="AN416" i="13"/>
  <c r="AM415" i="13"/>
  <c r="AN412" i="13"/>
  <c r="AM411" i="13"/>
  <c r="AN408" i="13"/>
  <c r="AM407" i="13"/>
  <c r="AL407" i="13" s="1"/>
  <c r="AN404" i="13"/>
  <c r="AM403" i="13"/>
  <c r="AN400" i="13"/>
  <c r="AM399" i="13"/>
  <c r="AN393" i="13"/>
  <c r="AN392" i="13"/>
  <c r="AM391" i="13"/>
  <c r="AL391" i="13" s="1"/>
  <c r="AN385" i="13"/>
  <c r="AM378" i="13"/>
  <c r="AM370" i="13"/>
  <c r="AM362" i="13"/>
  <c r="AM354" i="13"/>
  <c r="AM346" i="13"/>
  <c r="AM338" i="13"/>
  <c r="AM330" i="13"/>
  <c r="AM322" i="13"/>
  <c r="AM314" i="13"/>
  <c r="AM306" i="13"/>
  <c r="AM298" i="13"/>
  <c r="AM290" i="13"/>
  <c r="AM282" i="13"/>
  <c r="AN281" i="13"/>
  <c r="AM274" i="13"/>
  <c r="AM266" i="13"/>
  <c r="AM258" i="13"/>
  <c r="AM250" i="13"/>
  <c r="AM242" i="13"/>
  <c r="AN230" i="13"/>
  <c r="AN214" i="13"/>
  <c r="AN198" i="13"/>
  <c r="AM184" i="13"/>
  <c r="AM168" i="13"/>
  <c r="AE52" i="13"/>
  <c r="AE493" i="13"/>
  <c r="AE50" i="13"/>
  <c r="AE48" i="13"/>
  <c r="AD6" i="13"/>
  <c r="AD5" i="13"/>
  <c r="AM5" i="13"/>
  <c r="AM493" i="13"/>
  <c r="AL493" i="13" s="1"/>
  <c r="AN490" i="13"/>
  <c r="AM489" i="13"/>
  <c r="AL489" i="13" s="1"/>
  <c r="AN486" i="13"/>
  <c r="AM485" i="13"/>
  <c r="AN482" i="13"/>
  <c r="AM481" i="13"/>
  <c r="AN478" i="13"/>
  <c r="AM477" i="13"/>
  <c r="AN474" i="13"/>
  <c r="AM473" i="13"/>
  <c r="AN470" i="13"/>
  <c r="AM469" i="13"/>
  <c r="AN466" i="13"/>
  <c r="AM465" i="13"/>
  <c r="AN462" i="13"/>
  <c r="AM461" i="13"/>
  <c r="AL461" i="13" s="1"/>
  <c r="AN458" i="13"/>
  <c r="AM457" i="13"/>
  <c r="AL457" i="13" s="1"/>
  <c r="AN442" i="13"/>
  <c r="AM441" i="13"/>
  <c r="AL441" i="13" s="1"/>
  <c r="AN438" i="13"/>
  <c r="AM437" i="13"/>
  <c r="AN434" i="13"/>
  <c r="AM433" i="13"/>
  <c r="AN430" i="13"/>
  <c r="AM429" i="13"/>
  <c r="AN426" i="13"/>
  <c r="AM425" i="13"/>
  <c r="AL425" i="13" s="1"/>
  <c r="AN422" i="13"/>
  <c r="AM421" i="13"/>
  <c r="AL421" i="13" s="1"/>
  <c r="AN418" i="13"/>
  <c r="AM417" i="13"/>
  <c r="AL417" i="13" s="1"/>
  <c r="AN414" i="13"/>
  <c r="AM413" i="13"/>
  <c r="AN410" i="13"/>
  <c r="AM409" i="13"/>
  <c r="AN406" i="13"/>
  <c r="AM405" i="13"/>
  <c r="AN402" i="13"/>
  <c r="AN397" i="13"/>
  <c r="AN396" i="13"/>
  <c r="AM395" i="13"/>
  <c r="AN389" i="13"/>
  <c r="AM382" i="13"/>
  <c r="AM374" i="13"/>
  <c r="AM366" i="13"/>
  <c r="AM358" i="13"/>
  <c r="AM350" i="13"/>
  <c r="AM342" i="13"/>
  <c r="AM334" i="13"/>
  <c r="AM326" i="13"/>
  <c r="AM318" i="13"/>
  <c r="AM310" i="13"/>
  <c r="AM302" i="13"/>
  <c r="AM294" i="13"/>
  <c r="AM286" i="13"/>
  <c r="AM278" i="13"/>
  <c r="AN277" i="13"/>
  <c r="AM270" i="13"/>
  <c r="AM262" i="13"/>
  <c r="AM254" i="13"/>
  <c r="AM246" i="13"/>
  <c r="AM238" i="13"/>
  <c r="AN222" i="13"/>
  <c r="AN206" i="13"/>
  <c r="AN190" i="13"/>
  <c r="AM176" i="13"/>
  <c r="AM160" i="13"/>
  <c r="AM401" i="13"/>
  <c r="AN398" i="13"/>
  <c r="AM397" i="13"/>
  <c r="AN394" i="13"/>
  <c r="AL394" i="13" s="1"/>
  <c r="AM393" i="13"/>
  <c r="AL393" i="13" s="1"/>
  <c r="AN390" i="13"/>
  <c r="AM389" i="13"/>
  <c r="AL389" i="13" s="1"/>
  <c r="AN386" i="13"/>
  <c r="AM385" i="13"/>
  <c r="AD43" i="13"/>
  <c r="AD31" i="13"/>
  <c r="AE44" i="13"/>
  <c r="AD25" i="13"/>
  <c r="AE32" i="13"/>
  <c r="AD33" i="13"/>
  <c r="AD49" i="13"/>
  <c r="AD21" i="13"/>
  <c r="AD23" i="13"/>
  <c r="AD45" i="13"/>
  <c r="AE36" i="13"/>
  <c r="AD17" i="13"/>
  <c r="AD13" i="13"/>
  <c r="AD8" i="13"/>
  <c r="AE40" i="13"/>
  <c r="AD39" i="13"/>
  <c r="AD15" i="13"/>
  <c r="AD14" i="13"/>
  <c r="AD12" i="13"/>
  <c r="AD9" i="13"/>
  <c r="AD29" i="13"/>
  <c r="AE46" i="13"/>
  <c r="AD27" i="13"/>
  <c r="AE42" i="13"/>
  <c r="AD41" i="13"/>
  <c r="AE38" i="13"/>
  <c r="AD37" i="13"/>
  <c r="AE34" i="13"/>
  <c r="AD19" i="13"/>
  <c r="AE30" i="13"/>
  <c r="AD7" i="13"/>
  <c r="AE26" i="13"/>
  <c r="AE22" i="13"/>
  <c r="AE18" i="13"/>
  <c r="AE14" i="13"/>
  <c r="AE12" i="13"/>
  <c r="AE9" i="13"/>
  <c r="AE7" i="13"/>
  <c r="AE28" i="13"/>
  <c r="AE24" i="13"/>
  <c r="AE20" i="13"/>
  <c r="AE16" i="13"/>
  <c r="AE13" i="13"/>
  <c r="AE11" i="13"/>
  <c r="AD11" i="13"/>
  <c r="AE10" i="13"/>
  <c r="AD10" i="13"/>
  <c r="AE8" i="13"/>
  <c r="AE6" i="13"/>
  <c r="AM453" i="13"/>
  <c r="AN450" i="13"/>
  <c r="AM449" i="13"/>
  <c r="AN446" i="13"/>
  <c r="AM445" i="13"/>
  <c r="AN377" i="13"/>
  <c r="AN373" i="13"/>
  <c r="AN365" i="13"/>
  <c r="AN357" i="13"/>
  <c r="AN345" i="13"/>
  <c r="AN341" i="13"/>
  <c r="AN333" i="13"/>
  <c r="AN329" i="13"/>
  <c r="AN325" i="13"/>
  <c r="AN317" i="13"/>
  <c r="AN313" i="13"/>
  <c r="AN305" i="13"/>
  <c r="AN297" i="13"/>
  <c r="AN293" i="13"/>
  <c r="AN289" i="13"/>
  <c r="AN285" i="13"/>
  <c r="AN273" i="13"/>
  <c r="AN269" i="13"/>
  <c r="AN265" i="13"/>
  <c r="AN261" i="13"/>
  <c r="AN257" i="13"/>
  <c r="AN253" i="13"/>
  <c r="AN249" i="13"/>
  <c r="AN245" i="13"/>
  <c r="AN241" i="13"/>
  <c r="AM237" i="13"/>
  <c r="AM235" i="13"/>
  <c r="AM229" i="13"/>
  <c r="AM227" i="13"/>
  <c r="AM221" i="13"/>
  <c r="AM219" i="13"/>
  <c r="AM213" i="13"/>
  <c r="AM211" i="13"/>
  <c r="AM205" i="13"/>
  <c r="AM203" i="13"/>
  <c r="AM197" i="13"/>
  <c r="AM195" i="13"/>
  <c r="AN189" i="13"/>
  <c r="AM189" i="13"/>
  <c r="AN181" i="13"/>
  <c r="AN173" i="13"/>
  <c r="AN165" i="13"/>
  <c r="AN157" i="13"/>
  <c r="AN149" i="13"/>
  <c r="AN141" i="13"/>
  <c r="AN133" i="13"/>
  <c r="AN125" i="13"/>
  <c r="AN117" i="13"/>
  <c r="AN109" i="13"/>
  <c r="AN101" i="13"/>
  <c r="AN93" i="13"/>
  <c r="AN85" i="13"/>
  <c r="AN77" i="13"/>
  <c r="AN69" i="13"/>
  <c r="AN61" i="13"/>
  <c r="AN53" i="13"/>
  <c r="AN49" i="13"/>
  <c r="AN45" i="13"/>
  <c r="AN41" i="13"/>
  <c r="AN37" i="13"/>
  <c r="AN33" i="13"/>
  <c r="AN29" i="13"/>
  <c r="AN25" i="13"/>
  <c r="AM23" i="13"/>
  <c r="AM21" i="13"/>
  <c r="AM19" i="13"/>
  <c r="AM17" i="13"/>
  <c r="AM15" i="13"/>
  <c r="AM13" i="13"/>
  <c r="AM11" i="13"/>
  <c r="AM9" i="13"/>
  <c r="AM7" i="13"/>
  <c r="AN454" i="13"/>
  <c r="AN388" i="13"/>
  <c r="AM387" i="13"/>
  <c r="AL387" i="13" s="1"/>
  <c r="AN384" i="13"/>
  <c r="AN381" i="13"/>
  <c r="AN369" i="13"/>
  <c r="AN361" i="13"/>
  <c r="AN353" i="13"/>
  <c r="AN349" i="13"/>
  <c r="AN337" i="13"/>
  <c r="AN321" i="13"/>
  <c r="AN309" i="13"/>
  <c r="AN301" i="13"/>
  <c r="AD52" i="13"/>
  <c r="AE51" i="13"/>
  <c r="AD50" i="13"/>
  <c r="AE49" i="13"/>
  <c r="AD48" i="13"/>
  <c r="AE47" i="13"/>
  <c r="AC47" i="13" s="1"/>
  <c r="AD46" i="13"/>
  <c r="AE45" i="13"/>
  <c r="AD44" i="13"/>
  <c r="AE43" i="13"/>
  <c r="AD42" i="13"/>
  <c r="AE41" i="13"/>
  <c r="AD40" i="13"/>
  <c r="AE39" i="13"/>
  <c r="AD38" i="13"/>
  <c r="AE37" i="13"/>
  <c r="AD36" i="13"/>
  <c r="AE35" i="13"/>
  <c r="AD34" i="13"/>
  <c r="AE33" i="13"/>
  <c r="AD32" i="13"/>
  <c r="AE31" i="13"/>
  <c r="AD30" i="13"/>
  <c r="AE29" i="13"/>
  <c r="AD28" i="13"/>
  <c r="AE27" i="13"/>
  <c r="AD26" i="13"/>
  <c r="AE25" i="13"/>
  <c r="AC25" i="13" s="1"/>
  <c r="AD24" i="13"/>
  <c r="AE23" i="13"/>
  <c r="AD22" i="13"/>
  <c r="AE21" i="13"/>
  <c r="AD20" i="13"/>
  <c r="AE19" i="13"/>
  <c r="AD18" i="13"/>
  <c r="AE17" i="13"/>
  <c r="AD16" i="13"/>
  <c r="AE15" i="13"/>
  <c r="AE5" i="13"/>
  <c r="AM492" i="13"/>
  <c r="AM490" i="13"/>
  <c r="AM488" i="13"/>
  <c r="AM486" i="13"/>
  <c r="AM484" i="13"/>
  <c r="AM482" i="13"/>
  <c r="AM480" i="13"/>
  <c r="AM478" i="13"/>
  <c r="AM476" i="13"/>
  <c r="AM474" i="13"/>
  <c r="AM472" i="13"/>
  <c r="AM470" i="13"/>
  <c r="AM468" i="13"/>
  <c r="AM466" i="13"/>
  <c r="AM464" i="13"/>
  <c r="AM462" i="13"/>
  <c r="AM460" i="13"/>
  <c r="AM458" i="13"/>
  <c r="AM456" i="13"/>
  <c r="AM454" i="13"/>
  <c r="AM452" i="13"/>
  <c r="AM450" i="13"/>
  <c r="AM448" i="13"/>
  <c r="AM446" i="13"/>
  <c r="AM444" i="13"/>
  <c r="AM442" i="13"/>
  <c r="AM440" i="13"/>
  <c r="AM438" i="13"/>
  <c r="AM436" i="13"/>
  <c r="AM434" i="13"/>
  <c r="AM432" i="13"/>
  <c r="AL432" i="13" s="1"/>
  <c r="AM430" i="13"/>
  <c r="AM428" i="13"/>
  <c r="AM426" i="13"/>
  <c r="AM424" i="13"/>
  <c r="AM422" i="13"/>
  <c r="AM420" i="13"/>
  <c r="AM418" i="13"/>
  <c r="AM416" i="13"/>
  <c r="AM414" i="13"/>
  <c r="AM412" i="13"/>
  <c r="AM410" i="13"/>
  <c r="AM408" i="13"/>
  <c r="AM406" i="13"/>
  <c r="AM404" i="13"/>
  <c r="AM402" i="13"/>
  <c r="AM400" i="13"/>
  <c r="AM398" i="13"/>
  <c r="AM396" i="13"/>
  <c r="AM394" i="13"/>
  <c r="AM392" i="13"/>
  <c r="AM390" i="13"/>
  <c r="AM388" i="13"/>
  <c r="AM386" i="13"/>
  <c r="AM384" i="13"/>
  <c r="AN379" i="13"/>
  <c r="AN375" i="13"/>
  <c r="AN371" i="13"/>
  <c r="AN367" i="13"/>
  <c r="AN363" i="13"/>
  <c r="AN359" i="13"/>
  <c r="AN355" i="13"/>
  <c r="AN351" i="13"/>
  <c r="AN347" i="13"/>
  <c r="AN343" i="13"/>
  <c r="AN339" i="13"/>
  <c r="AN335" i="13"/>
  <c r="AN331" i="13"/>
  <c r="AN327" i="13"/>
  <c r="AN323" i="13"/>
  <c r="AN319" i="13"/>
  <c r="AN315" i="13"/>
  <c r="AN311" i="13"/>
  <c r="AN307" i="13"/>
  <c r="AN303" i="13"/>
  <c r="AN299" i="13"/>
  <c r="AN295" i="13"/>
  <c r="AN291" i="13"/>
  <c r="AN287" i="13"/>
  <c r="AN283" i="13"/>
  <c r="AN279" i="13"/>
  <c r="AN275" i="13"/>
  <c r="AN271" i="13"/>
  <c r="AN267" i="13"/>
  <c r="AN263" i="13"/>
  <c r="AN259" i="13"/>
  <c r="AN255" i="13"/>
  <c r="AN251" i="13"/>
  <c r="AN247" i="13"/>
  <c r="AN243" i="13"/>
  <c r="AN239" i="13"/>
  <c r="AM233" i="13"/>
  <c r="AM231" i="13"/>
  <c r="AM225" i="13"/>
  <c r="AM223" i="13"/>
  <c r="AM217" i="13"/>
  <c r="AM215" i="13"/>
  <c r="AM209" i="13"/>
  <c r="AM207" i="13"/>
  <c r="AM201" i="13"/>
  <c r="AM199" i="13"/>
  <c r="AM193" i="13"/>
  <c r="AM191" i="13"/>
  <c r="AM190" i="13"/>
  <c r="AN185" i="13"/>
  <c r="AN177" i="13"/>
  <c r="AN169" i="13"/>
  <c r="AN161" i="13"/>
  <c r="AN153" i="13"/>
  <c r="AN145" i="13"/>
  <c r="AN137" i="13"/>
  <c r="AN129" i="13"/>
  <c r="AN121" i="13"/>
  <c r="AN113" i="13"/>
  <c r="AN105" i="13"/>
  <c r="AN97" i="13"/>
  <c r="AN89" i="13"/>
  <c r="AN81" i="13"/>
  <c r="AN73" i="13"/>
  <c r="AN65" i="13"/>
  <c r="AN57" i="13"/>
  <c r="AN51" i="13"/>
  <c r="AN47" i="13"/>
  <c r="AN43" i="13"/>
  <c r="AN39" i="13"/>
  <c r="AN35" i="13"/>
  <c r="AN31" i="13"/>
  <c r="AN27" i="13"/>
  <c r="AM24" i="13"/>
  <c r="AL24" i="13" s="1"/>
  <c r="AN23" i="13"/>
  <c r="AM22" i="13"/>
  <c r="AN21" i="13"/>
  <c r="AM20" i="13"/>
  <c r="AL20" i="13" s="1"/>
  <c r="AN19" i="13"/>
  <c r="AM18" i="13"/>
  <c r="AN17" i="13"/>
  <c r="AM16" i="13"/>
  <c r="AL16" i="13" s="1"/>
  <c r="AN15" i="13"/>
  <c r="AM14" i="13"/>
  <c r="AN13" i="13"/>
  <c r="AM12" i="13"/>
  <c r="AL12" i="13" s="1"/>
  <c r="AN11" i="13"/>
  <c r="AM10" i="13"/>
  <c r="AN9" i="13"/>
  <c r="AM8" i="13"/>
  <c r="AL8" i="13" s="1"/>
  <c r="AN7" i="13"/>
  <c r="AM6" i="13"/>
  <c r="AM383" i="13"/>
  <c r="AL383" i="13" s="1"/>
  <c r="AN382" i="13"/>
  <c r="AM381" i="13"/>
  <c r="AN380" i="13"/>
  <c r="AL380" i="13" s="1"/>
  <c r="AM379" i="13"/>
  <c r="AL379" i="13" s="1"/>
  <c r="AN378" i="13"/>
  <c r="AM377" i="13"/>
  <c r="AN376" i="13"/>
  <c r="AL376" i="13" s="1"/>
  <c r="AM375" i="13"/>
  <c r="AN374" i="13"/>
  <c r="AL374" i="13" s="1"/>
  <c r="AM373" i="13"/>
  <c r="AN372" i="13"/>
  <c r="AL372" i="13" s="1"/>
  <c r="AM371" i="13"/>
  <c r="AN370" i="13"/>
  <c r="AM369" i="13"/>
  <c r="AL369" i="13" s="1"/>
  <c r="AN368" i="13"/>
  <c r="AL368" i="13" s="1"/>
  <c r="AM367" i="13"/>
  <c r="AN366" i="13"/>
  <c r="AM365" i="13"/>
  <c r="AN364" i="13"/>
  <c r="AM363" i="13"/>
  <c r="AL363" i="13" s="1"/>
  <c r="AN362" i="13"/>
  <c r="AM361" i="13"/>
  <c r="AN360" i="13"/>
  <c r="AL360" i="13" s="1"/>
  <c r="AM359" i="13"/>
  <c r="AN358" i="13"/>
  <c r="AM357" i="13"/>
  <c r="AN356" i="13"/>
  <c r="AM355" i="13"/>
  <c r="AN354" i="13"/>
  <c r="AM353" i="13"/>
  <c r="AN352" i="13"/>
  <c r="AM351" i="13"/>
  <c r="AN350" i="13"/>
  <c r="AM349" i="13"/>
  <c r="AN348" i="13"/>
  <c r="AM347" i="13"/>
  <c r="AL347" i="13" s="1"/>
  <c r="AN346" i="13"/>
  <c r="AL346" i="13" s="1"/>
  <c r="AM345" i="13"/>
  <c r="AN344" i="13"/>
  <c r="AM343" i="13"/>
  <c r="AN342" i="13"/>
  <c r="AM341" i="13"/>
  <c r="AN340" i="13"/>
  <c r="AM339" i="13"/>
  <c r="AN338" i="13"/>
  <c r="AM337" i="13"/>
  <c r="AL337" i="13" s="1"/>
  <c r="AN336" i="13"/>
  <c r="AM335" i="13"/>
  <c r="AN334" i="13"/>
  <c r="AM333" i="13"/>
  <c r="AN332" i="13"/>
  <c r="AM331" i="13"/>
  <c r="AL331" i="13" s="1"/>
  <c r="AN330" i="13"/>
  <c r="AL330" i="13" s="1"/>
  <c r="AM329" i="13"/>
  <c r="AN328" i="13"/>
  <c r="AL328" i="13" s="1"/>
  <c r="AM327" i="13"/>
  <c r="AN326" i="13"/>
  <c r="AM325" i="13"/>
  <c r="AN324" i="13"/>
  <c r="AL324" i="13" s="1"/>
  <c r="AM323" i="13"/>
  <c r="AN322" i="13"/>
  <c r="AM321" i="13"/>
  <c r="AN320" i="13"/>
  <c r="AL320" i="13" s="1"/>
  <c r="AM319" i="13"/>
  <c r="AN318" i="13"/>
  <c r="AM317" i="13"/>
  <c r="AN316" i="13"/>
  <c r="AL316" i="13" s="1"/>
  <c r="AM315" i="13"/>
  <c r="AL315" i="13" s="1"/>
  <c r="AN314" i="13"/>
  <c r="AL314" i="13" s="1"/>
  <c r="AM313" i="13"/>
  <c r="AN312" i="13"/>
  <c r="AL312" i="13" s="1"/>
  <c r="AM311" i="13"/>
  <c r="AN310" i="13"/>
  <c r="AM309" i="13"/>
  <c r="AN308" i="13"/>
  <c r="AL308" i="13" s="1"/>
  <c r="AM307" i="13"/>
  <c r="AN306" i="13"/>
  <c r="AL306" i="13" s="1"/>
  <c r="AM305" i="13"/>
  <c r="AN304" i="13"/>
  <c r="AL304" i="13" s="1"/>
  <c r="AM303" i="13"/>
  <c r="AN302" i="13"/>
  <c r="AM301" i="13"/>
  <c r="AN300" i="13"/>
  <c r="AL300" i="13" s="1"/>
  <c r="AM299" i="13"/>
  <c r="AL299" i="13" s="1"/>
  <c r="AN298" i="13"/>
  <c r="AL298" i="13" s="1"/>
  <c r="AM297" i="13"/>
  <c r="AN296" i="13"/>
  <c r="AL296" i="13" s="1"/>
  <c r="AM295" i="13"/>
  <c r="AN294" i="13"/>
  <c r="AL294" i="13" s="1"/>
  <c r="AM293" i="13"/>
  <c r="AN292" i="13"/>
  <c r="AM291" i="13"/>
  <c r="AN290" i="13"/>
  <c r="AM289" i="13"/>
  <c r="AN288" i="13"/>
  <c r="AM287" i="13"/>
  <c r="AN286" i="13"/>
  <c r="AM285" i="13"/>
  <c r="AN284" i="13"/>
  <c r="AL284" i="13" s="1"/>
  <c r="AM283" i="13"/>
  <c r="AL283" i="13" s="1"/>
  <c r="AN282" i="13"/>
  <c r="AL282" i="13" s="1"/>
  <c r="AM281" i="13"/>
  <c r="AN280" i="13"/>
  <c r="AM279" i="13"/>
  <c r="AN278" i="13"/>
  <c r="AL278" i="13" s="1"/>
  <c r="AM277" i="13"/>
  <c r="AN276" i="13"/>
  <c r="AM275" i="13"/>
  <c r="AN274" i="13"/>
  <c r="AL274" i="13" s="1"/>
  <c r="AM273" i="13"/>
  <c r="AN272" i="13"/>
  <c r="AL272" i="13" s="1"/>
  <c r="AM271" i="13"/>
  <c r="AN270" i="13"/>
  <c r="AL270" i="13" s="1"/>
  <c r="AM269" i="13"/>
  <c r="AN268" i="13"/>
  <c r="AL268" i="13" s="1"/>
  <c r="AM267" i="13"/>
  <c r="AL267" i="13" s="1"/>
  <c r="AN266" i="13"/>
  <c r="AM265" i="13"/>
  <c r="AN264" i="13"/>
  <c r="AL264" i="13" s="1"/>
  <c r="AM263" i="13"/>
  <c r="AN262" i="13"/>
  <c r="AM261" i="13"/>
  <c r="AN260" i="13"/>
  <c r="AM259" i="13"/>
  <c r="AN258" i="13"/>
  <c r="AL258" i="13" s="1"/>
  <c r="AM257" i="13"/>
  <c r="AN256" i="13"/>
  <c r="AL256" i="13" s="1"/>
  <c r="AM255" i="13"/>
  <c r="AN254" i="13"/>
  <c r="AM253" i="13"/>
  <c r="AN252" i="13"/>
  <c r="AL252" i="13" s="1"/>
  <c r="AM251" i="13"/>
  <c r="AL251" i="13" s="1"/>
  <c r="AN250" i="13"/>
  <c r="AL250" i="13" s="1"/>
  <c r="AM249" i="13"/>
  <c r="AN248" i="13"/>
  <c r="AL248" i="13" s="1"/>
  <c r="AM247" i="13"/>
  <c r="AN246" i="13"/>
  <c r="AM245" i="13"/>
  <c r="AN244" i="13"/>
  <c r="AM243" i="13"/>
  <c r="AN242" i="13"/>
  <c r="AL242" i="13" s="1"/>
  <c r="AM241" i="13"/>
  <c r="AN240" i="13"/>
  <c r="AL240" i="13" s="1"/>
  <c r="AM239" i="13"/>
  <c r="AN238" i="13"/>
  <c r="AL238" i="13" s="1"/>
  <c r="AN236" i="13"/>
  <c r="AN232" i="13"/>
  <c r="AN228" i="13"/>
  <c r="AN224" i="13"/>
  <c r="AN220" i="13"/>
  <c r="AN216" i="13"/>
  <c r="AN212" i="13"/>
  <c r="AN208" i="13"/>
  <c r="AN204" i="13"/>
  <c r="AN200" i="13"/>
  <c r="AN196" i="13"/>
  <c r="AN192" i="13"/>
  <c r="AM54" i="13"/>
  <c r="AM53" i="13"/>
  <c r="AN52" i="13"/>
  <c r="AM51" i="13"/>
  <c r="AN50" i="13"/>
  <c r="AL50" i="13" s="1"/>
  <c r="AM49" i="13"/>
  <c r="AN48" i="13"/>
  <c r="AM47" i="13"/>
  <c r="AN46" i="13"/>
  <c r="AM45" i="13"/>
  <c r="AN44" i="13"/>
  <c r="AL44" i="13" s="1"/>
  <c r="AM43" i="13"/>
  <c r="AN42" i="13"/>
  <c r="AM41" i="13"/>
  <c r="AN40" i="13"/>
  <c r="AM39" i="13"/>
  <c r="AL39" i="13" s="1"/>
  <c r="AN38" i="13"/>
  <c r="AM37" i="13"/>
  <c r="AN36" i="13"/>
  <c r="AM35" i="13"/>
  <c r="AN34" i="13"/>
  <c r="AM33" i="13"/>
  <c r="AN32" i="13"/>
  <c r="AM31" i="13"/>
  <c r="AN30" i="13"/>
  <c r="AM29" i="13"/>
  <c r="AN28" i="13"/>
  <c r="AM27" i="13"/>
  <c r="AN26" i="13"/>
  <c r="AM25" i="13"/>
  <c r="BB5" i="13"/>
  <c r="BB493" i="13"/>
  <c r="BB492" i="13"/>
  <c r="BB491" i="13"/>
  <c r="BB490" i="13"/>
  <c r="BB489" i="13"/>
  <c r="BB488" i="13"/>
  <c r="BB487" i="13"/>
  <c r="BB486" i="13"/>
  <c r="BB485" i="13"/>
  <c r="BB484" i="13"/>
  <c r="BB483" i="13"/>
  <c r="BB482" i="13"/>
  <c r="BB481" i="13"/>
  <c r="BB480" i="13"/>
  <c r="BB479" i="13"/>
  <c r="BB478" i="13"/>
  <c r="BB477" i="13"/>
  <c r="BB476" i="13"/>
  <c r="BB475" i="13"/>
  <c r="BB474" i="13"/>
  <c r="BB473" i="13"/>
  <c r="BB472" i="13"/>
  <c r="BB471" i="13"/>
  <c r="BB470" i="13"/>
  <c r="BB469" i="13"/>
  <c r="BB468" i="13"/>
  <c r="BB467" i="13"/>
  <c r="BB466" i="13"/>
  <c r="BB465" i="13"/>
  <c r="BB464" i="13"/>
  <c r="BB463" i="13"/>
  <c r="BB462" i="13"/>
  <c r="BB461" i="13"/>
  <c r="BB460" i="13"/>
  <c r="BB459" i="13"/>
  <c r="BB458" i="13"/>
  <c r="BB457" i="13"/>
  <c r="BB456" i="13"/>
  <c r="BB455" i="13"/>
  <c r="BB454" i="13"/>
  <c r="BB453" i="13"/>
  <c r="BB452" i="13"/>
  <c r="BB451" i="13"/>
  <c r="BB450" i="13"/>
  <c r="BB449" i="13"/>
  <c r="BB448" i="13"/>
  <c r="BB447" i="13"/>
  <c r="BB446" i="13"/>
  <c r="BB445" i="13"/>
  <c r="BB444" i="13"/>
  <c r="BB443" i="13"/>
  <c r="BB442" i="13"/>
  <c r="BB441" i="13"/>
  <c r="BB440" i="13"/>
  <c r="BB439" i="13"/>
  <c r="BB438" i="13"/>
  <c r="BB437" i="13"/>
  <c r="BB436" i="13"/>
  <c r="BB435" i="13"/>
  <c r="BB434" i="13"/>
  <c r="BB433" i="13"/>
  <c r="BB432" i="13"/>
  <c r="BB431" i="13"/>
  <c r="BB430" i="13"/>
  <c r="BB429" i="13"/>
  <c r="BB428" i="13"/>
  <c r="BB427" i="13"/>
  <c r="BB426" i="13"/>
  <c r="BB425" i="13"/>
  <c r="BB424" i="13"/>
  <c r="BB423" i="13"/>
  <c r="BB422" i="13"/>
  <c r="BB421" i="13"/>
  <c r="BB420" i="13"/>
  <c r="BB419" i="13"/>
  <c r="BB418" i="13"/>
  <c r="BB417" i="13"/>
  <c r="BB416" i="13"/>
  <c r="BB415" i="13"/>
  <c r="BB414" i="13"/>
  <c r="BB413" i="13"/>
  <c r="BB412" i="13"/>
  <c r="BB411" i="13"/>
  <c r="BB410" i="13"/>
  <c r="BB409" i="13"/>
  <c r="BB408" i="13"/>
  <c r="BB407" i="13"/>
  <c r="BB406" i="13"/>
  <c r="BB405" i="13"/>
  <c r="BB404" i="13"/>
  <c r="BB403" i="13"/>
  <c r="BB402" i="13"/>
  <c r="BB401" i="13"/>
  <c r="BB400" i="13"/>
  <c r="BB399" i="13"/>
  <c r="BB398" i="13"/>
  <c r="BB397" i="13"/>
  <c r="BB396" i="13"/>
  <c r="BB395" i="13"/>
  <c r="BB394" i="13"/>
  <c r="BB393" i="13"/>
  <c r="BB392" i="13"/>
  <c r="BB391" i="13"/>
  <c r="BB390" i="13"/>
  <c r="BB389" i="13"/>
  <c r="BB388" i="13"/>
  <c r="BB387" i="13"/>
  <c r="BB386" i="13"/>
  <c r="BB385" i="13"/>
  <c r="BB384" i="13"/>
  <c r="BB383" i="13"/>
  <c r="BB382" i="13"/>
  <c r="BB381" i="13"/>
  <c r="BB380" i="13"/>
  <c r="BB379" i="13"/>
  <c r="BB378" i="13"/>
  <c r="BB377" i="13"/>
  <c r="BB376" i="13"/>
  <c r="BB375" i="13"/>
  <c r="BB374" i="13"/>
  <c r="BB373" i="13"/>
  <c r="BB372" i="13"/>
  <c r="BB371" i="13"/>
  <c r="BB370" i="13"/>
  <c r="BB369" i="13"/>
  <c r="BB368" i="13"/>
  <c r="BB367" i="13"/>
  <c r="BB366" i="13"/>
  <c r="BB365" i="13"/>
  <c r="BB364" i="13"/>
  <c r="BB363" i="13"/>
  <c r="BB362" i="13"/>
  <c r="BB361" i="13"/>
  <c r="BB360" i="13"/>
  <c r="BB359" i="13"/>
  <c r="BB358" i="13"/>
  <c r="BB357" i="13"/>
  <c r="BB356" i="13"/>
  <c r="BB355" i="13"/>
  <c r="BB354" i="13"/>
  <c r="BB353" i="13"/>
  <c r="BB352" i="13"/>
  <c r="BB351" i="13"/>
  <c r="BB350" i="13"/>
  <c r="BB349" i="13"/>
  <c r="BB348" i="13"/>
  <c r="BB347" i="13"/>
  <c r="BB346" i="13"/>
  <c r="BB345" i="13"/>
  <c r="BB344" i="13"/>
  <c r="BB343" i="13"/>
  <c r="BB342" i="13"/>
  <c r="BB341" i="13"/>
  <c r="BB340" i="13"/>
  <c r="BB339" i="13"/>
  <c r="BB338" i="13"/>
  <c r="BB337" i="13"/>
  <c r="BB336" i="13"/>
  <c r="BB335" i="13"/>
  <c r="BB334" i="13"/>
  <c r="BB333" i="13"/>
  <c r="BB332" i="13"/>
  <c r="BB331" i="13"/>
  <c r="BB330" i="13"/>
  <c r="BB329" i="13"/>
  <c r="BB328" i="13"/>
  <c r="BB327" i="13"/>
  <c r="BB326" i="13"/>
  <c r="BB325" i="13"/>
  <c r="BB324" i="13"/>
  <c r="BB323" i="13"/>
  <c r="BB322" i="13"/>
  <c r="BB321" i="13"/>
  <c r="BB320" i="13"/>
  <c r="BB319" i="13"/>
  <c r="BB318" i="13"/>
  <c r="BB317" i="13"/>
  <c r="BB316" i="13"/>
  <c r="BB315" i="13"/>
  <c r="BB314" i="13"/>
  <c r="BB313" i="13"/>
  <c r="BB312" i="13"/>
  <c r="BB311" i="13"/>
  <c r="BB310" i="13"/>
  <c r="BB309" i="13"/>
  <c r="BB308" i="13"/>
  <c r="BB307" i="13"/>
  <c r="BB306" i="13"/>
  <c r="BB305" i="13"/>
  <c r="BB304" i="13"/>
  <c r="BB303" i="13"/>
  <c r="BB302" i="13"/>
  <c r="BB301" i="13"/>
  <c r="BB300" i="13"/>
  <c r="BB299" i="13"/>
  <c r="BB298" i="13"/>
  <c r="BB297" i="13"/>
  <c r="BB296" i="13"/>
  <c r="BB295" i="13"/>
  <c r="BB294" i="13"/>
  <c r="BB293" i="13"/>
  <c r="BB292" i="13"/>
  <c r="BB291" i="13"/>
  <c r="BB290" i="13"/>
  <c r="BB289" i="13"/>
  <c r="BB288" i="13"/>
  <c r="BB287" i="13"/>
  <c r="BB286" i="13"/>
  <c r="BB285" i="13"/>
  <c r="BB284" i="13"/>
  <c r="BB283" i="13"/>
  <c r="BB282" i="13"/>
  <c r="BB281" i="13"/>
  <c r="BB280" i="13"/>
  <c r="BB279" i="13"/>
  <c r="BB278" i="13"/>
  <c r="BB277" i="13"/>
  <c r="BB276" i="13"/>
  <c r="BB275" i="13"/>
  <c r="BB274" i="13"/>
  <c r="BB273" i="13"/>
  <c r="BB272" i="13"/>
  <c r="BB271" i="13"/>
  <c r="BB270" i="13"/>
  <c r="BB269" i="13"/>
  <c r="BB268" i="13"/>
  <c r="BB267" i="13"/>
  <c r="BB266" i="13"/>
  <c r="BB265" i="13"/>
  <c r="BB264" i="13"/>
  <c r="BB263" i="13"/>
  <c r="BB262" i="13"/>
  <c r="BB261" i="13"/>
  <c r="BB260" i="13"/>
  <c r="BB259" i="13"/>
  <c r="BB258" i="13"/>
  <c r="BB257" i="13"/>
  <c r="BB256" i="13"/>
  <c r="BB255" i="13"/>
  <c r="BB254" i="13"/>
  <c r="BB253" i="13"/>
  <c r="BB252" i="13"/>
  <c r="BB251" i="13"/>
  <c r="BB250" i="13"/>
  <c r="BB249" i="13"/>
  <c r="BB248" i="13"/>
  <c r="BB247" i="13"/>
  <c r="BB246" i="13"/>
  <c r="BB245" i="13"/>
  <c r="BB244" i="13"/>
  <c r="BB243" i="13"/>
  <c r="BB242" i="13"/>
  <c r="BB241" i="13"/>
  <c r="BB240" i="13"/>
  <c r="BB239" i="13"/>
  <c r="BB238" i="13"/>
  <c r="BB237" i="13"/>
  <c r="BB236" i="13"/>
  <c r="BB235" i="13"/>
  <c r="BB234" i="13"/>
  <c r="BB233" i="13"/>
  <c r="BB232" i="13"/>
  <c r="BB231" i="13"/>
  <c r="BB230" i="13"/>
  <c r="BB229" i="13"/>
  <c r="BB228" i="13"/>
  <c r="BB227" i="13"/>
  <c r="BB226" i="13"/>
  <c r="BB225" i="13"/>
  <c r="BB224" i="13"/>
  <c r="BB223" i="13"/>
  <c r="BB222" i="13"/>
  <c r="BB221" i="13"/>
  <c r="BB220" i="13"/>
  <c r="BB219" i="13"/>
  <c r="BB218" i="13"/>
  <c r="BB217" i="13"/>
  <c r="BB216" i="13"/>
  <c r="BB215" i="13"/>
  <c r="BB214" i="13"/>
  <c r="BB213" i="13"/>
  <c r="BB212" i="13"/>
  <c r="BB211" i="13"/>
  <c r="BB210" i="13"/>
  <c r="BB209" i="13"/>
  <c r="BB208" i="13"/>
  <c r="BB207" i="13"/>
  <c r="BB206" i="13"/>
  <c r="BB205" i="13"/>
  <c r="BB204" i="13"/>
  <c r="BB203" i="13"/>
  <c r="BB202" i="13"/>
  <c r="BB201" i="13"/>
  <c r="BB200" i="13"/>
  <c r="BB199" i="13"/>
  <c r="BB198" i="13"/>
  <c r="BB197" i="13"/>
  <c r="BB196" i="13"/>
  <c r="BB195" i="13"/>
  <c r="BB194" i="13"/>
  <c r="BB193" i="13"/>
  <c r="BB192" i="13"/>
  <c r="BB191" i="13"/>
  <c r="BB190" i="13"/>
  <c r="BB189" i="13"/>
  <c r="BB188" i="13"/>
  <c r="BB187" i="13"/>
  <c r="BB186" i="13"/>
  <c r="BB185" i="13"/>
  <c r="BB184" i="13"/>
  <c r="BB183" i="13"/>
  <c r="BB182" i="13"/>
  <c r="BB181" i="13"/>
  <c r="BB180" i="13"/>
  <c r="BB179" i="13"/>
  <c r="BB178" i="13"/>
  <c r="BB177" i="13"/>
  <c r="BB176" i="13"/>
  <c r="BB175" i="13"/>
  <c r="BB174" i="13"/>
  <c r="BB173" i="13"/>
  <c r="BB172" i="13"/>
  <c r="BB171" i="13"/>
  <c r="BB170" i="13"/>
  <c r="BB169" i="13"/>
  <c r="BB168" i="13"/>
  <c r="BB167" i="13"/>
  <c r="BB166" i="13"/>
  <c r="BB165" i="13"/>
  <c r="BB164" i="13"/>
  <c r="BB163" i="13"/>
  <c r="BB162" i="13"/>
  <c r="BB161" i="13"/>
  <c r="BB160" i="13"/>
  <c r="BB159" i="13"/>
  <c r="BB158" i="13"/>
  <c r="BB157" i="13"/>
  <c r="BB156" i="13"/>
  <c r="BB155" i="13"/>
  <c r="BB154" i="13"/>
  <c r="BB153" i="13"/>
  <c r="BB152" i="13"/>
  <c r="BB151" i="13"/>
  <c r="BB150" i="13"/>
  <c r="BB149" i="13"/>
  <c r="BB148" i="13"/>
  <c r="BB147" i="13"/>
  <c r="BB146" i="13"/>
  <c r="BB145" i="13"/>
  <c r="BB144" i="13"/>
  <c r="BB143" i="13"/>
  <c r="BB142" i="13"/>
  <c r="BB141" i="13"/>
  <c r="BB140" i="13"/>
  <c r="BB139" i="13"/>
  <c r="BB138" i="13"/>
  <c r="BB137" i="13"/>
  <c r="BB136" i="13"/>
  <c r="BB135" i="13"/>
  <c r="BB134" i="13"/>
  <c r="BB133" i="13"/>
  <c r="BB132" i="13"/>
  <c r="BB131" i="13"/>
  <c r="BB130" i="13"/>
  <c r="BB129" i="13"/>
  <c r="BB128" i="13"/>
  <c r="BB127" i="13"/>
  <c r="BB126" i="13"/>
  <c r="BB125" i="13"/>
  <c r="BB124" i="13"/>
  <c r="BB123" i="13"/>
  <c r="BB122" i="13"/>
  <c r="BB121" i="13"/>
  <c r="BB120" i="13"/>
  <c r="BB119" i="13"/>
  <c r="BB118" i="13"/>
  <c r="BB117" i="13"/>
  <c r="BB116" i="13"/>
  <c r="BB115" i="13"/>
  <c r="BB114" i="13"/>
  <c r="BB113" i="13"/>
  <c r="BB112" i="13"/>
  <c r="BB111" i="13"/>
  <c r="BB110" i="13"/>
  <c r="BB109" i="13"/>
  <c r="BB108" i="13"/>
  <c r="BB107" i="13"/>
  <c r="BB106" i="13"/>
  <c r="BB105" i="13"/>
  <c r="BB104" i="13"/>
  <c r="BB103" i="13"/>
  <c r="BB102" i="13"/>
  <c r="BB101" i="13"/>
  <c r="BB100" i="13"/>
  <c r="BB99" i="13"/>
  <c r="BB98" i="13"/>
  <c r="BB97" i="13"/>
  <c r="BB96" i="13"/>
  <c r="BB95" i="13"/>
  <c r="BB94" i="13"/>
  <c r="BB93" i="13"/>
  <c r="BB92" i="13"/>
  <c r="BB91" i="13"/>
  <c r="BB90" i="13"/>
  <c r="BB89" i="13"/>
  <c r="BB88" i="13"/>
  <c r="BB87" i="13"/>
  <c r="BB86" i="13"/>
  <c r="BB85" i="13"/>
  <c r="BB84" i="13"/>
  <c r="BB83" i="13"/>
  <c r="BB82" i="13"/>
  <c r="BB81" i="13"/>
  <c r="BB80" i="13"/>
  <c r="BB79" i="13"/>
  <c r="BB78" i="13"/>
  <c r="BB77" i="13"/>
  <c r="BB76" i="13"/>
  <c r="BB75" i="13"/>
  <c r="BB74" i="13"/>
  <c r="BB73" i="13"/>
  <c r="BB72" i="13"/>
  <c r="BB71" i="13"/>
  <c r="BB70" i="13"/>
  <c r="BB69" i="13"/>
  <c r="BB68" i="13"/>
  <c r="BB67" i="13"/>
  <c r="BB66" i="13"/>
  <c r="BB65" i="13"/>
  <c r="BB64" i="13"/>
  <c r="BB63" i="13"/>
  <c r="BB62" i="13"/>
  <c r="BB61" i="13"/>
  <c r="BB60" i="13"/>
  <c r="BB59" i="13"/>
  <c r="BB58" i="13"/>
  <c r="BB57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AC5" i="13"/>
  <c r="AN5" i="13"/>
  <c r="AL488" i="13"/>
  <c r="AL486" i="13"/>
  <c r="AL478" i="13"/>
  <c r="AL470" i="13"/>
  <c r="AL462" i="13"/>
  <c r="AL446" i="13"/>
  <c r="AL442" i="13"/>
  <c r="AL434" i="13"/>
  <c r="AL426" i="13"/>
  <c r="AL418" i="13"/>
  <c r="AL410" i="13"/>
  <c r="AL402" i="13"/>
  <c r="AL398" i="13"/>
  <c r="AL390" i="13"/>
  <c r="AL364" i="13"/>
  <c r="AN237" i="13"/>
  <c r="AM234" i="13"/>
  <c r="AN233" i="13"/>
  <c r="AL233" i="13" s="1"/>
  <c r="AM230" i="13"/>
  <c r="AN229" i="13"/>
  <c r="AL229" i="13" s="1"/>
  <c r="AM226" i="13"/>
  <c r="AL226" i="13" s="1"/>
  <c r="AN225" i="13"/>
  <c r="AL225" i="13" s="1"/>
  <c r="AM222" i="13"/>
  <c r="AN221" i="13"/>
  <c r="AM218" i="13"/>
  <c r="AL218" i="13" s="1"/>
  <c r="AN217" i="13"/>
  <c r="AL217" i="13" s="1"/>
  <c r="AM214" i="13"/>
  <c r="AN213" i="13"/>
  <c r="AL213" i="13" s="1"/>
  <c r="AM210" i="13"/>
  <c r="AN209" i="13"/>
  <c r="AL209" i="13" s="1"/>
  <c r="AM206" i="13"/>
  <c r="AN205" i="13"/>
  <c r="AM202" i="13"/>
  <c r="AL202" i="13" s="1"/>
  <c r="AN201" i="13"/>
  <c r="AL201" i="13" s="1"/>
  <c r="AM198" i="13"/>
  <c r="AL198" i="13" s="1"/>
  <c r="AN197" i="13"/>
  <c r="AL197" i="13" s="1"/>
  <c r="AM194" i="13"/>
  <c r="AN193" i="13"/>
  <c r="AL193" i="13" s="1"/>
  <c r="AM236" i="13"/>
  <c r="AN235" i="13"/>
  <c r="AL235" i="13" s="1"/>
  <c r="AM232" i="13"/>
  <c r="AN231" i="13"/>
  <c r="AM228" i="13"/>
  <c r="AN227" i="13"/>
  <c r="AM224" i="13"/>
  <c r="AN223" i="13"/>
  <c r="AM220" i="13"/>
  <c r="AL220" i="13" s="1"/>
  <c r="AN219" i="13"/>
  <c r="AL219" i="13" s="1"/>
  <c r="AM216" i="13"/>
  <c r="AN215" i="13"/>
  <c r="AM212" i="13"/>
  <c r="AN211" i="13"/>
  <c r="AM208" i="13"/>
  <c r="AN207" i="13"/>
  <c r="AM204" i="13"/>
  <c r="AL204" i="13" s="1"/>
  <c r="AN203" i="13"/>
  <c r="AL203" i="13" s="1"/>
  <c r="AM200" i="13"/>
  <c r="AN199" i="13"/>
  <c r="AM196" i="13"/>
  <c r="AN195" i="13"/>
  <c r="AM192" i="13"/>
  <c r="AN191" i="13"/>
  <c r="AM187" i="13"/>
  <c r="AN186" i="13"/>
  <c r="AM183" i="13"/>
  <c r="AN182" i="13"/>
  <c r="AM179" i="13"/>
  <c r="AN178" i="13"/>
  <c r="AM175" i="13"/>
  <c r="AN174" i="13"/>
  <c r="AM171" i="13"/>
  <c r="AN170" i="13"/>
  <c r="AM167" i="13"/>
  <c r="AN166" i="13"/>
  <c r="AM163" i="13"/>
  <c r="AN162" i="13"/>
  <c r="AM159" i="13"/>
  <c r="AN158" i="13"/>
  <c r="AM155" i="13"/>
  <c r="AN154" i="13"/>
  <c r="AM151" i="13"/>
  <c r="AN150" i="13"/>
  <c r="AM147" i="13"/>
  <c r="AN146" i="13"/>
  <c r="AM143" i="13"/>
  <c r="AN142" i="13"/>
  <c r="AM139" i="13"/>
  <c r="AN138" i="13"/>
  <c r="AM135" i="13"/>
  <c r="AN134" i="13"/>
  <c r="AM131" i="13"/>
  <c r="AN130" i="13"/>
  <c r="AM127" i="13"/>
  <c r="AN126" i="13"/>
  <c r="AM123" i="13"/>
  <c r="AN122" i="13"/>
  <c r="AM119" i="13"/>
  <c r="AN118" i="13"/>
  <c r="AM115" i="13"/>
  <c r="AN114" i="13"/>
  <c r="AM111" i="13"/>
  <c r="AN110" i="13"/>
  <c r="AM107" i="13"/>
  <c r="AN106" i="13"/>
  <c r="AM103" i="13"/>
  <c r="AN102" i="13"/>
  <c r="AM99" i="13"/>
  <c r="AN98" i="13"/>
  <c r="AM95" i="13"/>
  <c r="AN94" i="13"/>
  <c r="AM91" i="13"/>
  <c r="AN90" i="13"/>
  <c r="AM87" i="13"/>
  <c r="AN86" i="13"/>
  <c r="AM83" i="13"/>
  <c r="AN82" i="13"/>
  <c r="AM79" i="13"/>
  <c r="AN78" i="13"/>
  <c r="AM75" i="13"/>
  <c r="AN74" i="13"/>
  <c r="AM71" i="13"/>
  <c r="AN70" i="13"/>
  <c r="AM67" i="13"/>
  <c r="AN66" i="13"/>
  <c r="AM63" i="13"/>
  <c r="AN62" i="13"/>
  <c r="AM59" i="13"/>
  <c r="AN58" i="13"/>
  <c r="AM55" i="13"/>
  <c r="AN54" i="13"/>
  <c r="AN188" i="13"/>
  <c r="AL188" i="13" s="1"/>
  <c r="AN187" i="13"/>
  <c r="AM186" i="13"/>
  <c r="AM185" i="13"/>
  <c r="AN184" i="13"/>
  <c r="AL184" i="13" s="1"/>
  <c r="AN183" i="13"/>
  <c r="AM182" i="13"/>
  <c r="AM181" i="13"/>
  <c r="AL181" i="13" s="1"/>
  <c r="AN180" i="13"/>
  <c r="AL180" i="13" s="1"/>
  <c r="AN179" i="13"/>
  <c r="AM178" i="13"/>
  <c r="AM177" i="13"/>
  <c r="AL177" i="13" s="1"/>
  <c r="AN176" i="13"/>
  <c r="AL176" i="13" s="1"/>
  <c r="AN175" i="13"/>
  <c r="AM174" i="13"/>
  <c r="AM173" i="13"/>
  <c r="AN172" i="13"/>
  <c r="AL172" i="13" s="1"/>
  <c r="AN171" i="13"/>
  <c r="AM170" i="13"/>
  <c r="AM169" i="13"/>
  <c r="AN168" i="13"/>
  <c r="AN167" i="13"/>
  <c r="AM166" i="13"/>
  <c r="AM165" i="13"/>
  <c r="AN164" i="13"/>
  <c r="AL164" i="13" s="1"/>
  <c r="AN163" i="13"/>
  <c r="AM162" i="13"/>
  <c r="AM161" i="13"/>
  <c r="AL161" i="13" s="1"/>
  <c r="AN160" i="13"/>
  <c r="AN159" i="13"/>
  <c r="AM158" i="13"/>
  <c r="AM157" i="13"/>
  <c r="AL157" i="13" s="1"/>
  <c r="AN156" i="13"/>
  <c r="AL156" i="13" s="1"/>
  <c r="AN155" i="13"/>
  <c r="AM154" i="13"/>
  <c r="AM153" i="13"/>
  <c r="AN152" i="13"/>
  <c r="AN151" i="13"/>
  <c r="AM150" i="13"/>
  <c r="AM149" i="13"/>
  <c r="AL149" i="13" s="1"/>
  <c r="AN148" i="13"/>
  <c r="AL148" i="13" s="1"/>
  <c r="AN147" i="13"/>
  <c r="AM146" i="13"/>
  <c r="AM145" i="13"/>
  <c r="AL145" i="13" s="1"/>
  <c r="AN144" i="13"/>
  <c r="AN143" i="13"/>
  <c r="AM142" i="13"/>
  <c r="AM141" i="13"/>
  <c r="AN140" i="13"/>
  <c r="AL140" i="13" s="1"/>
  <c r="AN139" i="13"/>
  <c r="AM138" i="13"/>
  <c r="AM137" i="13"/>
  <c r="AN136" i="13"/>
  <c r="AL136" i="13" s="1"/>
  <c r="AN135" i="13"/>
  <c r="AM134" i="13"/>
  <c r="AM133" i="13"/>
  <c r="AN132" i="13"/>
  <c r="AL132" i="13" s="1"/>
  <c r="AN131" i="13"/>
  <c r="AM130" i="13"/>
  <c r="AM129" i="13"/>
  <c r="AN128" i="13"/>
  <c r="AL128" i="13" s="1"/>
  <c r="AN127" i="13"/>
  <c r="AM126" i="13"/>
  <c r="AM125" i="13"/>
  <c r="AL125" i="13" s="1"/>
  <c r="AN124" i="13"/>
  <c r="AL124" i="13" s="1"/>
  <c r="AN123" i="13"/>
  <c r="AM122" i="13"/>
  <c r="AM121" i="13"/>
  <c r="AN120" i="13"/>
  <c r="AL120" i="13" s="1"/>
  <c r="AN119" i="13"/>
  <c r="AM118" i="13"/>
  <c r="AM117" i="13"/>
  <c r="AL117" i="13" s="1"/>
  <c r="AN116" i="13"/>
  <c r="AL116" i="13" s="1"/>
  <c r="AN115" i="13"/>
  <c r="AM114" i="13"/>
  <c r="AM113" i="13"/>
  <c r="AN112" i="13"/>
  <c r="AL112" i="13" s="1"/>
  <c r="AN111" i="13"/>
  <c r="AM110" i="13"/>
  <c r="AM109" i="13"/>
  <c r="AN108" i="13"/>
  <c r="AN107" i="13"/>
  <c r="AM106" i="13"/>
  <c r="AM105" i="13"/>
  <c r="AN104" i="13"/>
  <c r="AN103" i="13"/>
  <c r="AM102" i="13"/>
  <c r="AM101" i="13"/>
  <c r="AN100" i="13"/>
  <c r="AL100" i="13" s="1"/>
  <c r="AN99" i="13"/>
  <c r="AM98" i="13"/>
  <c r="AM97" i="13"/>
  <c r="AN96" i="13"/>
  <c r="AN95" i="13"/>
  <c r="AM94" i="13"/>
  <c r="AM93" i="13"/>
  <c r="AL93" i="13" s="1"/>
  <c r="AN92" i="13"/>
  <c r="AL92" i="13" s="1"/>
  <c r="AN91" i="13"/>
  <c r="AM90" i="13"/>
  <c r="AM89" i="13"/>
  <c r="AN88" i="13"/>
  <c r="AN87" i="13"/>
  <c r="AM86" i="13"/>
  <c r="AM85" i="13"/>
  <c r="AL85" i="13" s="1"/>
  <c r="AN84" i="13"/>
  <c r="AN83" i="13"/>
  <c r="AM82" i="13"/>
  <c r="AM81" i="13"/>
  <c r="AN80" i="13"/>
  <c r="AN79" i="13"/>
  <c r="AM78" i="13"/>
  <c r="AM77" i="13"/>
  <c r="AN76" i="13"/>
  <c r="AL76" i="13" s="1"/>
  <c r="AN75" i="13"/>
  <c r="AM74" i="13"/>
  <c r="AM73" i="13"/>
  <c r="AN72" i="13"/>
  <c r="AL72" i="13" s="1"/>
  <c r="AN71" i="13"/>
  <c r="AM70" i="13"/>
  <c r="AM69" i="13"/>
  <c r="AN68" i="13"/>
  <c r="AN67" i="13"/>
  <c r="AM66" i="13"/>
  <c r="AM65" i="13"/>
  <c r="AN64" i="13"/>
  <c r="AL64" i="13" s="1"/>
  <c r="AN63" i="13"/>
  <c r="AM62" i="13"/>
  <c r="AM61" i="13"/>
  <c r="AL61" i="13" s="1"/>
  <c r="AN60" i="13"/>
  <c r="AL60" i="13" s="1"/>
  <c r="AN59" i="13"/>
  <c r="AM58" i="13"/>
  <c r="AM57" i="13"/>
  <c r="AN56" i="13"/>
  <c r="AL56" i="13" s="1"/>
  <c r="AN55" i="13"/>
  <c r="AL48" i="13"/>
  <c r="AL36" i="13"/>
  <c r="AL28" i="13"/>
  <c r="AC11" i="13"/>
  <c r="AE492" i="13"/>
  <c r="AD493" i="13"/>
  <c r="AC493" i="13" s="1"/>
  <c r="AD491" i="13"/>
  <c r="AE491" i="13"/>
  <c r="AD492" i="13"/>
  <c r="U490" i="13"/>
  <c r="AB490" i="13"/>
  <c r="AA490" i="13"/>
  <c r="Z490" i="13"/>
  <c r="Y490" i="13"/>
  <c r="X490" i="13"/>
  <c r="W490" i="13"/>
  <c r="AC33" i="13" l="1"/>
  <c r="AL450" i="13"/>
  <c r="AL68" i="13"/>
  <c r="AL84" i="13"/>
  <c r="AL96" i="13"/>
  <c r="AL104" i="13"/>
  <c r="AL108" i="13"/>
  <c r="AL160" i="13"/>
  <c r="AL168" i="13"/>
  <c r="AL222" i="13"/>
  <c r="AL230" i="13"/>
  <c r="AL453" i="13"/>
  <c r="AL244" i="13"/>
  <c r="AL276" i="13"/>
  <c r="AL280" i="13"/>
  <c r="AL288" i="13"/>
  <c r="AL292" i="13"/>
  <c r="AL332" i="13"/>
  <c r="AL340" i="13"/>
  <c r="AL344" i="13"/>
  <c r="AL352" i="13"/>
  <c r="AC35" i="13"/>
  <c r="AL210" i="13"/>
  <c r="AL234" i="13"/>
  <c r="AL26" i="13"/>
  <c r="AL30" i="13"/>
  <c r="AL277" i="13"/>
  <c r="AL281" i="13"/>
  <c r="AL449" i="13"/>
  <c r="AL65" i="13"/>
  <c r="AL81" i="13"/>
  <c r="AL97" i="13"/>
  <c r="AL113" i="13"/>
  <c r="AL129" i="13"/>
  <c r="AL246" i="13"/>
  <c r="AL302" i="13"/>
  <c r="AL334" i="13"/>
  <c r="AL338" i="13"/>
  <c r="AL366" i="13"/>
  <c r="AL370" i="13"/>
  <c r="AL10" i="13"/>
  <c r="AL14" i="13"/>
  <c r="AL392" i="13"/>
  <c r="AC19" i="13"/>
  <c r="AC23" i="13"/>
  <c r="AC27" i="13"/>
  <c r="AC29" i="13"/>
  <c r="AC43" i="13"/>
  <c r="AL445" i="13"/>
  <c r="AC41" i="13"/>
  <c r="AC16" i="13"/>
  <c r="AL27" i="13"/>
  <c r="AL35" i="13"/>
  <c r="AL43" i="13"/>
  <c r="AL51" i="13"/>
  <c r="AL310" i="13"/>
  <c r="AL326" i="13"/>
  <c r="AL342" i="13"/>
  <c r="AL358" i="13"/>
  <c r="AL362" i="13"/>
  <c r="AL378" i="13"/>
  <c r="AL22" i="13"/>
  <c r="AL388" i="13"/>
  <c r="AL396" i="13"/>
  <c r="AL400" i="13"/>
  <c r="AL404" i="13"/>
  <c r="AL408" i="13"/>
  <c r="AL412" i="13"/>
  <c r="AL416" i="13"/>
  <c r="AL420" i="13"/>
  <c r="AL424" i="13"/>
  <c r="AL428" i="13"/>
  <c r="AL436" i="13"/>
  <c r="AL440" i="13"/>
  <c r="AL444" i="13"/>
  <c r="AL448" i="13"/>
  <c r="AL452" i="13"/>
  <c r="AL456" i="13"/>
  <c r="AL460" i="13"/>
  <c r="AL464" i="13"/>
  <c r="AL468" i="13"/>
  <c r="AL472" i="13"/>
  <c r="AL476" i="13"/>
  <c r="AL480" i="13"/>
  <c r="AL484" i="13"/>
  <c r="AL492" i="13"/>
  <c r="AC17" i="13"/>
  <c r="AC31" i="13"/>
  <c r="AC45" i="13"/>
  <c r="AL405" i="13"/>
  <c r="AL409" i="13"/>
  <c r="AL437" i="13"/>
  <c r="AL469" i="13"/>
  <c r="AL481" i="13"/>
  <c r="AL411" i="13"/>
  <c r="AL415" i="13"/>
  <c r="AL447" i="13"/>
  <c r="AL459" i="13"/>
  <c r="AL467" i="13"/>
  <c r="AL471" i="13"/>
  <c r="AL454" i="13"/>
  <c r="AC49" i="13"/>
  <c r="AL46" i="13"/>
  <c r="AL40" i="13"/>
  <c r="AL260" i="13"/>
  <c r="AL32" i="13"/>
  <c r="AL77" i="13"/>
  <c r="AL109" i="13"/>
  <c r="AL141" i="13"/>
  <c r="AL173" i="13"/>
  <c r="AL241" i="13"/>
  <c r="AL257" i="13"/>
  <c r="AL273" i="13"/>
  <c r="AL297" i="13"/>
  <c r="AL325" i="13"/>
  <c r="AL345" i="13"/>
  <c r="AL377" i="13"/>
  <c r="AL195" i="13"/>
  <c r="AL211" i="13"/>
  <c r="AL227" i="13"/>
  <c r="AL200" i="13"/>
  <c r="AL216" i="13"/>
  <c r="AL232" i="13"/>
  <c r="AL194" i="13"/>
  <c r="AL384" i="13"/>
  <c r="AL386" i="13"/>
  <c r="AL403" i="13"/>
  <c r="AL443" i="13"/>
  <c r="AL42" i="13"/>
  <c r="AL73" i="13"/>
  <c r="AL105" i="13"/>
  <c r="AL137" i="13"/>
  <c r="AL169" i="13"/>
  <c r="AL191" i="13"/>
  <c r="AL207" i="13"/>
  <c r="AL223" i="13"/>
  <c r="AL401" i="13"/>
  <c r="AL31" i="13"/>
  <c r="AL47" i="13"/>
  <c r="AL262" i="13"/>
  <c r="AL266" i="13"/>
  <c r="AL286" i="13"/>
  <c r="AL290" i="13"/>
  <c r="AL318" i="13"/>
  <c r="AL322" i="13"/>
  <c r="AL350" i="13"/>
  <c r="AL354" i="13"/>
  <c r="AL382" i="13"/>
  <c r="AC37" i="13"/>
  <c r="AL413" i="13"/>
  <c r="AL451" i="13"/>
  <c r="AC39" i="13"/>
  <c r="AL458" i="13"/>
  <c r="AL466" i="13"/>
  <c r="AL474" i="13"/>
  <c r="AL482" i="13"/>
  <c r="AL490" i="13"/>
  <c r="AC21" i="13"/>
  <c r="AL254" i="13"/>
  <c r="AL406" i="13"/>
  <c r="AL414" i="13"/>
  <c r="AL422" i="13"/>
  <c r="AL430" i="13"/>
  <c r="AL438" i="13"/>
  <c r="AL38" i="13"/>
  <c r="AL485" i="13"/>
  <c r="AL336" i="13"/>
  <c r="AL356" i="13"/>
  <c r="AL348" i="13"/>
  <c r="AL423" i="13"/>
  <c r="AL463" i="13"/>
  <c r="AL196" i="13"/>
  <c r="AL212" i="13"/>
  <c r="AL228" i="13"/>
  <c r="AL37" i="13"/>
  <c r="AL53" i="13"/>
  <c r="AC492" i="13"/>
  <c r="AL245" i="13"/>
  <c r="AL249" i="13"/>
  <c r="AL261" i="13"/>
  <c r="AL265" i="13"/>
  <c r="AL285" i="13"/>
  <c r="AL289" i="13"/>
  <c r="AL309" i="13"/>
  <c r="AL313" i="13"/>
  <c r="AL333" i="13"/>
  <c r="AL353" i="13"/>
  <c r="AL365" i="13"/>
  <c r="AC48" i="13"/>
  <c r="AL57" i="13"/>
  <c r="AL69" i="13"/>
  <c r="AL89" i="13"/>
  <c r="AL101" i="13"/>
  <c r="AL121" i="13"/>
  <c r="AL133" i="13"/>
  <c r="AL153" i="13"/>
  <c r="AL165" i="13"/>
  <c r="AL185" i="13"/>
  <c r="AL199" i="13"/>
  <c r="AL215" i="13"/>
  <c r="AL231" i="13"/>
  <c r="AL34" i="13"/>
  <c r="AL253" i="13"/>
  <c r="AL269" i="13"/>
  <c r="AL293" i="13"/>
  <c r="AL317" i="13"/>
  <c r="AL341" i="13"/>
  <c r="AL373" i="13"/>
  <c r="AC24" i="13"/>
  <c r="AC52" i="13"/>
  <c r="AC6" i="13"/>
  <c r="AC9" i="13"/>
  <c r="AL395" i="13"/>
  <c r="AL429" i="13"/>
  <c r="AL465" i="13"/>
  <c r="AL491" i="13"/>
  <c r="AL205" i="13"/>
  <c r="AL221" i="13"/>
  <c r="AL237" i="13"/>
  <c r="AC26" i="13"/>
  <c r="AC34" i="13"/>
  <c r="AC42" i="13"/>
  <c r="AL433" i="13"/>
  <c r="AL399" i="13"/>
  <c r="AL455" i="13"/>
  <c r="AL80" i="13"/>
  <c r="AL88" i="13"/>
  <c r="AL144" i="13"/>
  <c r="AL152" i="13"/>
  <c r="AL206" i="13"/>
  <c r="AL214" i="13"/>
  <c r="AL6" i="13"/>
  <c r="AC7" i="13"/>
  <c r="AL305" i="13"/>
  <c r="AL329" i="13"/>
  <c r="AL357" i="13"/>
  <c r="AC20" i="13"/>
  <c r="AC32" i="13"/>
  <c r="AL477" i="13"/>
  <c r="AC28" i="13"/>
  <c r="AC36" i="13"/>
  <c r="AC40" i="13"/>
  <c r="AC44" i="13"/>
  <c r="AL397" i="13"/>
  <c r="AL86" i="13"/>
  <c r="AL94" i="13"/>
  <c r="AL102" i="13"/>
  <c r="AL110" i="13"/>
  <c r="AL118" i="13"/>
  <c r="AL126" i="13"/>
  <c r="AL134" i="13"/>
  <c r="AL142" i="13"/>
  <c r="AL150" i="13"/>
  <c r="AL158" i="13"/>
  <c r="AL166" i="13"/>
  <c r="AL174" i="13"/>
  <c r="AL182" i="13"/>
  <c r="AL190" i="13"/>
  <c r="AC22" i="13"/>
  <c r="AC8" i="13"/>
  <c r="AL236" i="13"/>
  <c r="AL33" i="13"/>
  <c r="AL49" i="13"/>
  <c r="AL18" i="13"/>
  <c r="AC15" i="13"/>
  <c r="AC13" i="13"/>
  <c r="AL62" i="13"/>
  <c r="AL70" i="13"/>
  <c r="AL78" i="13"/>
  <c r="AL385" i="13"/>
  <c r="AL473" i="13"/>
  <c r="AL58" i="13"/>
  <c r="AL66" i="13"/>
  <c r="AL74" i="13"/>
  <c r="AL82" i="13"/>
  <c r="AL90" i="13"/>
  <c r="AL98" i="13"/>
  <c r="AL106" i="13"/>
  <c r="AL114" i="13"/>
  <c r="AL122" i="13"/>
  <c r="AL130" i="13"/>
  <c r="AL138" i="13"/>
  <c r="AL146" i="13"/>
  <c r="AL154" i="13"/>
  <c r="AL162" i="13"/>
  <c r="AL170" i="13"/>
  <c r="AL178" i="13"/>
  <c r="AL186" i="13"/>
  <c r="AL192" i="13"/>
  <c r="AL208" i="13"/>
  <c r="AL224" i="13"/>
  <c r="AL25" i="13"/>
  <c r="AL29" i="13"/>
  <c r="AL41" i="13"/>
  <c r="AL45" i="13"/>
  <c r="AL54" i="13"/>
  <c r="AL243" i="13"/>
  <c r="AL259" i="13"/>
  <c r="AL275" i="13"/>
  <c r="AL291" i="13"/>
  <c r="AL307" i="13"/>
  <c r="AL323" i="13"/>
  <c r="AL339" i="13"/>
  <c r="AL355" i="13"/>
  <c r="AL371" i="13"/>
  <c r="AC18" i="13"/>
  <c r="AC30" i="13"/>
  <c r="AC38" i="13"/>
  <c r="AC46" i="13"/>
  <c r="AC50" i="13"/>
  <c r="AC14" i="13"/>
  <c r="AL239" i="13"/>
  <c r="AL247" i="13"/>
  <c r="AL255" i="13"/>
  <c r="AL263" i="13"/>
  <c r="AL271" i="13"/>
  <c r="AL279" i="13"/>
  <c r="AL287" i="13"/>
  <c r="AL295" i="13"/>
  <c r="AL301" i="13"/>
  <c r="AL303" i="13"/>
  <c r="AL311" i="13"/>
  <c r="AL319" i="13"/>
  <c r="AL321" i="13"/>
  <c r="AL327" i="13"/>
  <c r="AL335" i="13"/>
  <c r="AL343" i="13"/>
  <c r="AL349" i="13"/>
  <c r="AL351" i="13"/>
  <c r="AL359" i="13"/>
  <c r="AL361" i="13"/>
  <c r="AL367" i="13"/>
  <c r="AL375" i="13"/>
  <c r="AL381" i="13"/>
  <c r="AL189" i="13"/>
  <c r="AC12" i="13"/>
  <c r="AC10" i="13"/>
  <c r="BP76" i="13"/>
  <c r="BP78" i="13"/>
  <c r="BP80" i="13"/>
  <c r="BP77" i="13"/>
  <c r="BP79" i="13"/>
  <c r="BP75" i="13"/>
  <c r="AL7" i="13"/>
  <c r="AL11" i="13"/>
  <c r="AL15" i="13"/>
  <c r="AL19" i="13"/>
  <c r="AL23" i="13"/>
  <c r="AL9" i="13"/>
  <c r="AL13" i="13"/>
  <c r="AL17" i="13"/>
  <c r="AL21" i="13"/>
  <c r="CH38" i="13"/>
  <c r="AL59" i="13"/>
  <c r="AL67" i="13"/>
  <c r="AL75" i="13"/>
  <c r="AL83" i="13"/>
  <c r="AL91" i="13"/>
  <c r="AL99" i="13"/>
  <c r="AL107" i="13"/>
  <c r="AL115" i="13"/>
  <c r="AL123" i="13"/>
  <c r="AL131" i="13"/>
  <c r="AL139" i="13"/>
  <c r="AL147" i="13"/>
  <c r="AL155" i="13"/>
  <c r="AL163" i="13"/>
  <c r="AL171" i="13"/>
  <c r="AL179" i="13"/>
  <c r="AL187" i="13"/>
  <c r="AL55" i="13"/>
  <c r="AL63" i="13"/>
  <c r="AL71" i="13"/>
  <c r="AL79" i="13"/>
  <c r="AL87" i="13"/>
  <c r="AL95" i="13"/>
  <c r="AL103" i="13"/>
  <c r="AL111" i="13"/>
  <c r="AL119" i="13"/>
  <c r="AL127" i="13"/>
  <c r="AL135" i="13"/>
  <c r="AL143" i="13"/>
  <c r="AL151" i="13"/>
  <c r="AL159" i="13"/>
  <c r="AL167" i="13"/>
  <c r="AL175" i="13"/>
  <c r="AL183" i="13"/>
  <c r="AC491" i="13"/>
  <c r="AE490" i="13"/>
  <c r="AD490" i="13"/>
  <c r="BB7" i="10"/>
  <c r="BC7" i="10" s="1"/>
  <c r="BD7" i="10" s="1"/>
  <c r="BE7" i="10" s="1"/>
  <c r="BF7" i="10" s="1"/>
  <c r="AZ8" i="10" s="1"/>
  <c r="BA8" i="10" s="1"/>
  <c r="AZ7" i="10"/>
  <c r="U489" i="13"/>
  <c r="AB489" i="13"/>
  <c r="AA489" i="13"/>
  <c r="Z489" i="13"/>
  <c r="Y489" i="13"/>
  <c r="X489" i="13"/>
  <c r="W489" i="13"/>
  <c r="W54" i="13"/>
  <c r="X54" i="13"/>
  <c r="Y54" i="13"/>
  <c r="Z54" i="13"/>
  <c r="AA54" i="13"/>
  <c r="AB54" i="13"/>
  <c r="W55" i="13"/>
  <c r="X55" i="13"/>
  <c r="Y55" i="13"/>
  <c r="Z55" i="13"/>
  <c r="AA55" i="13"/>
  <c r="AB55" i="13"/>
  <c r="W56" i="13"/>
  <c r="X56" i="13"/>
  <c r="Y56" i="13"/>
  <c r="Z56" i="13"/>
  <c r="AA56" i="13"/>
  <c r="AB56" i="13"/>
  <c r="W57" i="13"/>
  <c r="X57" i="13"/>
  <c r="Y57" i="13"/>
  <c r="Z57" i="13"/>
  <c r="AA57" i="13"/>
  <c r="AB57" i="13"/>
  <c r="W58" i="13"/>
  <c r="X58" i="13"/>
  <c r="Y58" i="13"/>
  <c r="Z58" i="13"/>
  <c r="AA58" i="13"/>
  <c r="AB58" i="13"/>
  <c r="W59" i="13"/>
  <c r="X59" i="13"/>
  <c r="Y59" i="13"/>
  <c r="Z59" i="13"/>
  <c r="AA59" i="13"/>
  <c r="AB59" i="13"/>
  <c r="W60" i="13"/>
  <c r="X60" i="13"/>
  <c r="Y60" i="13"/>
  <c r="Z60" i="13"/>
  <c r="AA60" i="13"/>
  <c r="AB60" i="13"/>
  <c r="W61" i="13"/>
  <c r="X61" i="13"/>
  <c r="Y61" i="13"/>
  <c r="Z61" i="13"/>
  <c r="AA61" i="13"/>
  <c r="AB61" i="13"/>
  <c r="W62" i="13"/>
  <c r="X62" i="13"/>
  <c r="Y62" i="13"/>
  <c r="Z62" i="13"/>
  <c r="AA62" i="13"/>
  <c r="AB62" i="13"/>
  <c r="W63" i="13"/>
  <c r="X63" i="13"/>
  <c r="Y63" i="13"/>
  <c r="Z63" i="13"/>
  <c r="AA63" i="13"/>
  <c r="AB63" i="13"/>
  <c r="W64" i="13"/>
  <c r="X64" i="13"/>
  <c r="Y64" i="13"/>
  <c r="Z64" i="13"/>
  <c r="AA64" i="13"/>
  <c r="AB64" i="13"/>
  <c r="W65" i="13"/>
  <c r="X65" i="13"/>
  <c r="Y65" i="13"/>
  <c r="Z65" i="13"/>
  <c r="AA65" i="13"/>
  <c r="AB65" i="13"/>
  <c r="W66" i="13"/>
  <c r="X66" i="13"/>
  <c r="Y66" i="13"/>
  <c r="Z66" i="13"/>
  <c r="AA66" i="13"/>
  <c r="AB66" i="13"/>
  <c r="W67" i="13"/>
  <c r="X67" i="13"/>
  <c r="Y67" i="13"/>
  <c r="Z67" i="13"/>
  <c r="AA67" i="13"/>
  <c r="AB67" i="13"/>
  <c r="W68" i="13"/>
  <c r="X68" i="13"/>
  <c r="Y68" i="13"/>
  <c r="Z68" i="13"/>
  <c r="AA68" i="13"/>
  <c r="AB68" i="13"/>
  <c r="W69" i="13"/>
  <c r="X69" i="13"/>
  <c r="Y69" i="13"/>
  <c r="Z69" i="13"/>
  <c r="AA69" i="13"/>
  <c r="AB69" i="13"/>
  <c r="W70" i="13"/>
  <c r="X70" i="13"/>
  <c r="Y70" i="13"/>
  <c r="Z70" i="13"/>
  <c r="AA70" i="13"/>
  <c r="AB70" i="13"/>
  <c r="W71" i="13"/>
  <c r="X71" i="13"/>
  <c r="Y71" i="13"/>
  <c r="Z71" i="13"/>
  <c r="AA71" i="13"/>
  <c r="AB71" i="13"/>
  <c r="W72" i="13"/>
  <c r="X72" i="13"/>
  <c r="Y72" i="13"/>
  <c r="Z72" i="13"/>
  <c r="AA72" i="13"/>
  <c r="AB72" i="13"/>
  <c r="W73" i="13"/>
  <c r="X73" i="13"/>
  <c r="Y73" i="13"/>
  <c r="Z73" i="13"/>
  <c r="AA73" i="13"/>
  <c r="AB73" i="13"/>
  <c r="W74" i="13"/>
  <c r="X74" i="13"/>
  <c r="Y74" i="13"/>
  <c r="Z74" i="13"/>
  <c r="AA74" i="13"/>
  <c r="AB74" i="13"/>
  <c r="W75" i="13"/>
  <c r="X75" i="13"/>
  <c r="Y75" i="13"/>
  <c r="Z75" i="13"/>
  <c r="AA75" i="13"/>
  <c r="AB75" i="13"/>
  <c r="W76" i="13"/>
  <c r="X76" i="13"/>
  <c r="Y76" i="13"/>
  <c r="Z76" i="13"/>
  <c r="AA76" i="13"/>
  <c r="AB76" i="13"/>
  <c r="W77" i="13"/>
  <c r="X77" i="13"/>
  <c r="Y77" i="13"/>
  <c r="Z77" i="13"/>
  <c r="AA77" i="13"/>
  <c r="AB77" i="13"/>
  <c r="W78" i="13"/>
  <c r="X78" i="13"/>
  <c r="Y78" i="13"/>
  <c r="Z78" i="13"/>
  <c r="AA78" i="13"/>
  <c r="AB78" i="13"/>
  <c r="W79" i="13"/>
  <c r="X79" i="13"/>
  <c r="Y79" i="13"/>
  <c r="Z79" i="13"/>
  <c r="AA79" i="13"/>
  <c r="AB79" i="13"/>
  <c r="W80" i="13"/>
  <c r="X80" i="13"/>
  <c r="Y80" i="13"/>
  <c r="Z80" i="13"/>
  <c r="AA80" i="13"/>
  <c r="AB80" i="13"/>
  <c r="W81" i="13"/>
  <c r="X81" i="13"/>
  <c r="Y81" i="13"/>
  <c r="Z81" i="13"/>
  <c r="AA81" i="13"/>
  <c r="AB81" i="13"/>
  <c r="W82" i="13"/>
  <c r="X82" i="13"/>
  <c r="Y82" i="13"/>
  <c r="Z82" i="13"/>
  <c r="AA82" i="13"/>
  <c r="AB82" i="13"/>
  <c r="W83" i="13"/>
  <c r="X83" i="13"/>
  <c r="Y83" i="13"/>
  <c r="Z83" i="13"/>
  <c r="AA83" i="13"/>
  <c r="AB83" i="13"/>
  <c r="W84" i="13"/>
  <c r="X84" i="13"/>
  <c r="Y84" i="13"/>
  <c r="Z84" i="13"/>
  <c r="AA84" i="13"/>
  <c r="AB84" i="13"/>
  <c r="W85" i="13"/>
  <c r="X85" i="13"/>
  <c r="Y85" i="13"/>
  <c r="Z85" i="13"/>
  <c r="AA85" i="13"/>
  <c r="AB85" i="13"/>
  <c r="W86" i="13"/>
  <c r="X86" i="13"/>
  <c r="Y86" i="13"/>
  <c r="Z86" i="13"/>
  <c r="AA86" i="13"/>
  <c r="AB86" i="13"/>
  <c r="W87" i="13"/>
  <c r="X87" i="13"/>
  <c r="Y87" i="13"/>
  <c r="Z87" i="13"/>
  <c r="AA87" i="13"/>
  <c r="AB87" i="13"/>
  <c r="W88" i="13"/>
  <c r="X88" i="13"/>
  <c r="Y88" i="13"/>
  <c r="Z88" i="13"/>
  <c r="AA88" i="13"/>
  <c r="AB88" i="13"/>
  <c r="W89" i="13"/>
  <c r="X89" i="13"/>
  <c r="Y89" i="13"/>
  <c r="Z89" i="13"/>
  <c r="AA89" i="13"/>
  <c r="AB89" i="13"/>
  <c r="W90" i="13"/>
  <c r="X90" i="13"/>
  <c r="Y90" i="13"/>
  <c r="Z90" i="13"/>
  <c r="AA90" i="13"/>
  <c r="AB90" i="13"/>
  <c r="W91" i="13"/>
  <c r="X91" i="13"/>
  <c r="Y91" i="13"/>
  <c r="Z91" i="13"/>
  <c r="AA91" i="13"/>
  <c r="AB91" i="13"/>
  <c r="W92" i="13"/>
  <c r="X92" i="13"/>
  <c r="Y92" i="13"/>
  <c r="Z92" i="13"/>
  <c r="AA92" i="13"/>
  <c r="AB92" i="13"/>
  <c r="W93" i="13"/>
  <c r="X93" i="13"/>
  <c r="Y93" i="13"/>
  <c r="Z93" i="13"/>
  <c r="AA93" i="13"/>
  <c r="AB93" i="13"/>
  <c r="W94" i="13"/>
  <c r="X94" i="13"/>
  <c r="Y94" i="13"/>
  <c r="Z94" i="13"/>
  <c r="AA94" i="13"/>
  <c r="AB94" i="13"/>
  <c r="W95" i="13"/>
  <c r="X95" i="13"/>
  <c r="Y95" i="13"/>
  <c r="Z95" i="13"/>
  <c r="AA95" i="13"/>
  <c r="AB95" i="13"/>
  <c r="W96" i="13"/>
  <c r="X96" i="13"/>
  <c r="Y96" i="13"/>
  <c r="Z96" i="13"/>
  <c r="AA96" i="13"/>
  <c r="AB96" i="13"/>
  <c r="W97" i="13"/>
  <c r="X97" i="13"/>
  <c r="Y97" i="13"/>
  <c r="Z97" i="13"/>
  <c r="AA97" i="13"/>
  <c r="AB97" i="13"/>
  <c r="W98" i="13"/>
  <c r="X98" i="13"/>
  <c r="Y98" i="13"/>
  <c r="Z98" i="13"/>
  <c r="AA98" i="13"/>
  <c r="AB98" i="13"/>
  <c r="W99" i="13"/>
  <c r="X99" i="13"/>
  <c r="Y99" i="13"/>
  <c r="Z99" i="13"/>
  <c r="AA99" i="13"/>
  <c r="AB99" i="13"/>
  <c r="W100" i="13"/>
  <c r="X100" i="13"/>
  <c r="Y100" i="13"/>
  <c r="Z100" i="13"/>
  <c r="AA100" i="13"/>
  <c r="AB100" i="13"/>
  <c r="W101" i="13"/>
  <c r="X101" i="13"/>
  <c r="Y101" i="13"/>
  <c r="Z101" i="13"/>
  <c r="AA101" i="13"/>
  <c r="AB101" i="13"/>
  <c r="W102" i="13"/>
  <c r="X102" i="13"/>
  <c r="Y102" i="13"/>
  <c r="Z102" i="13"/>
  <c r="AA102" i="13"/>
  <c r="AB102" i="13"/>
  <c r="W103" i="13"/>
  <c r="X103" i="13"/>
  <c r="Y103" i="13"/>
  <c r="Z103" i="13"/>
  <c r="AA103" i="13"/>
  <c r="AB103" i="13"/>
  <c r="W104" i="13"/>
  <c r="X104" i="13"/>
  <c r="Y104" i="13"/>
  <c r="Z104" i="13"/>
  <c r="AA104" i="13"/>
  <c r="AB104" i="13"/>
  <c r="W105" i="13"/>
  <c r="X105" i="13"/>
  <c r="Y105" i="13"/>
  <c r="Z105" i="13"/>
  <c r="AA105" i="13"/>
  <c r="AB105" i="13"/>
  <c r="W106" i="13"/>
  <c r="X106" i="13"/>
  <c r="Y106" i="13"/>
  <c r="Z106" i="13"/>
  <c r="AA106" i="13"/>
  <c r="AB106" i="13"/>
  <c r="W107" i="13"/>
  <c r="X107" i="13"/>
  <c r="Y107" i="13"/>
  <c r="Z107" i="13"/>
  <c r="AA107" i="13"/>
  <c r="AB107" i="13"/>
  <c r="W108" i="13"/>
  <c r="X108" i="13"/>
  <c r="Y108" i="13"/>
  <c r="Z108" i="13"/>
  <c r="AA108" i="13"/>
  <c r="AB108" i="13"/>
  <c r="W109" i="13"/>
  <c r="X109" i="13"/>
  <c r="Y109" i="13"/>
  <c r="Z109" i="13"/>
  <c r="AA109" i="13"/>
  <c r="AB109" i="13"/>
  <c r="W110" i="13"/>
  <c r="X110" i="13"/>
  <c r="Y110" i="13"/>
  <c r="Z110" i="13"/>
  <c r="AA110" i="13"/>
  <c r="AB110" i="13"/>
  <c r="W111" i="13"/>
  <c r="X111" i="13"/>
  <c r="Y111" i="13"/>
  <c r="Z111" i="13"/>
  <c r="AA111" i="13"/>
  <c r="AB111" i="13"/>
  <c r="W112" i="13"/>
  <c r="X112" i="13"/>
  <c r="Y112" i="13"/>
  <c r="Z112" i="13"/>
  <c r="AA112" i="13"/>
  <c r="AB112" i="13"/>
  <c r="W113" i="13"/>
  <c r="X113" i="13"/>
  <c r="Y113" i="13"/>
  <c r="Z113" i="13"/>
  <c r="AA113" i="13"/>
  <c r="AB113" i="13"/>
  <c r="W114" i="13"/>
  <c r="X114" i="13"/>
  <c r="Y114" i="13"/>
  <c r="Z114" i="13"/>
  <c r="AA114" i="13"/>
  <c r="AB114" i="13"/>
  <c r="W115" i="13"/>
  <c r="X115" i="13"/>
  <c r="Y115" i="13"/>
  <c r="Z115" i="13"/>
  <c r="AA115" i="13"/>
  <c r="AB115" i="13"/>
  <c r="W116" i="13"/>
  <c r="X116" i="13"/>
  <c r="Y116" i="13"/>
  <c r="Z116" i="13"/>
  <c r="AA116" i="13"/>
  <c r="AB116" i="13"/>
  <c r="W117" i="13"/>
  <c r="X117" i="13"/>
  <c r="Y117" i="13"/>
  <c r="Z117" i="13"/>
  <c r="AA117" i="13"/>
  <c r="AB117" i="13"/>
  <c r="W118" i="13"/>
  <c r="X118" i="13"/>
  <c r="Y118" i="13"/>
  <c r="Z118" i="13"/>
  <c r="AA118" i="13"/>
  <c r="AB118" i="13"/>
  <c r="W119" i="13"/>
  <c r="X119" i="13"/>
  <c r="Y119" i="13"/>
  <c r="Z119" i="13"/>
  <c r="AA119" i="13"/>
  <c r="AB119" i="13"/>
  <c r="W120" i="13"/>
  <c r="X120" i="13"/>
  <c r="Y120" i="13"/>
  <c r="Z120" i="13"/>
  <c r="AA120" i="13"/>
  <c r="AB120" i="13"/>
  <c r="W121" i="13"/>
  <c r="X121" i="13"/>
  <c r="Y121" i="13"/>
  <c r="Z121" i="13"/>
  <c r="AA121" i="13"/>
  <c r="AB121" i="13"/>
  <c r="W122" i="13"/>
  <c r="X122" i="13"/>
  <c r="Y122" i="13"/>
  <c r="Z122" i="13"/>
  <c r="AA122" i="13"/>
  <c r="AB122" i="13"/>
  <c r="W123" i="13"/>
  <c r="X123" i="13"/>
  <c r="Y123" i="13"/>
  <c r="Z123" i="13"/>
  <c r="AA123" i="13"/>
  <c r="AB123" i="13"/>
  <c r="W124" i="13"/>
  <c r="X124" i="13"/>
  <c r="Y124" i="13"/>
  <c r="Z124" i="13"/>
  <c r="AA124" i="13"/>
  <c r="AB124" i="13"/>
  <c r="W125" i="13"/>
  <c r="X125" i="13"/>
  <c r="Y125" i="13"/>
  <c r="Z125" i="13"/>
  <c r="AA125" i="13"/>
  <c r="AB125" i="13"/>
  <c r="W126" i="13"/>
  <c r="X126" i="13"/>
  <c r="Y126" i="13"/>
  <c r="Z126" i="13"/>
  <c r="AA126" i="13"/>
  <c r="AB126" i="13"/>
  <c r="W127" i="13"/>
  <c r="X127" i="13"/>
  <c r="Y127" i="13"/>
  <c r="Z127" i="13"/>
  <c r="AA127" i="13"/>
  <c r="AB127" i="13"/>
  <c r="W128" i="13"/>
  <c r="X128" i="13"/>
  <c r="Y128" i="13"/>
  <c r="Z128" i="13"/>
  <c r="AA128" i="13"/>
  <c r="AB128" i="13"/>
  <c r="W129" i="13"/>
  <c r="X129" i="13"/>
  <c r="Y129" i="13"/>
  <c r="Z129" i="13"/>
  <c r="AA129" i="13"/>
  <c r="AB129" i="13"/>
  <c r="W130" i="13"/>
  <c r="X130" i="13"/>
  <c r="Y130" i="13"/>
  <c r="Z130" i="13"/>
  <c r="AA130" i="13"/>
  <c r="AB130" i="13"/>
  <c r="W131" i="13"/>
  <c r="X131" i="13"/>
  <c r="Y131" i="13"/>
  <c r="Z131" i="13"/>
  <c r="AA131" i="13"/>
  <c r="AB131" i="13"/>
  <c r="W132" i="13"/>
  <c r="X132" i="13"/>
  <c r="Y132" i="13"/>
  <c r="Z132" i="13"/>
  <c r="AA132" i="13"/>
  <c r="AB132" i="13"/>
  <c r="W133" i="13"/>
  <c r="X133" i="13"/>
  <c r="Y133" i="13"/>
  <c r="Z133" i="13"/>
  <c r="AA133" i="13"/>
  <c r="AB133" i="13"/>
  <c r="W134" i="13"/>
  <c r="X134" i="13"/>
  <c r="Y134" i="13"/>
  <c r="Z134" i="13"/>
  <c r="AA134" i="13"/>
  <c r="AB134" i="13"/>
  <c r="W135" i="13"/>
  <c r="X135" i="13"/>
  <c r="Y135" i="13"/>
  <c r="Z135" i="13"/>
  <c r="AA135" i="13"/>
  <c r="AB135" i="13"/>
  <c r="W136" i="13"/>
  <c r="X136" i="13"/>
  <c r="Y136" i="13"/>
  <c r="Z136" i="13"/>
  <c r="AA136" i="13"/>
  <c r="AB136" i="13"/>
  <c r="W137" i="13"/>
  <c r="X137" i="13"/>
  <c r="Y137" i="13"/>
  <c r="Z137" i="13"/>
  <c r="AA137" i="13"/>
  <c r="AB137" i="13"/>
  <c r="W138" i="13"/>
  <c r="X138" i="13"/>
  <c r="Y138" i="13"/>
  <c r="Z138" i="13"/>
  <c r="AA138" i="13"/>
  <c r="AB138" i="13"/>
  <c r="W139" i="13"/>
  <c r="X139" i="13"/>
  <c r="Y139" i="13"/>
  <c r="Z139" i="13"/>
  <c r="AA139" i="13"/>
  <c r="AB139" i="13"/>
  <c r="W140" i="13"/>
  <c r="X140" i="13"/>
  <c r="Y140" i="13"/>
  <c r="Z140" i="13"/>
  <c r="AA140" i="13"/>
  <c r="AB140" i="13"/>
  <c r="W141" i="13"/>
  <c r="X141" i="13"/>
  <c r="Y141" i="13"/>
  <c r="Z141" i="13"/>
  <c r="AA141" i="13"/>
  <c r="AB141" i="13"/>
  <c r="W142" i="13"/>
  <c r="X142" i="13"/>
  <c r="Y142" i="13"/>
  <c r="Z142" i="13"/>
  <c r="AA142" i="13"/>
  <c r="AB142" i="13"/>
  <c r="W143" i="13"/>
  <c r="X143" i="13"/>
  <c r="Y143" i="13"/>
  <c r="Z143" i="13"/>
  <c r="AA143" i="13"/>
  <c r="AB143" i="13"/>
  <c r="W144" i="13"/>
  <c r="X144" i="13"/>
  <c r="Y144" i="13"/>
  <c r="Z144" i="13"/>
  <c r="AA144" i="13"/>
  <c r="AB144" i="13"/>
  <c r="W145" i="13"/>
  <c r="X145" i="13"/>
  <c r="Y145" i="13"/>
  <c r="Z145" i="13"/>
  <c r="AA145" i="13"/>
  <c r="AB145" i="13"/>
  <c r="W146" i="13"/>
  <c r="X146" i="13"/>
  <c r="Y146" i="13"/>
  <c r="Z146" i="13"/>
  <c r="AA146" i="13"/>
  <c r="AB146" i="13"/>
  <c r="W147" i="13"/>
  <c r="X147" i="13"/>
  <c r="Y147" i="13"/>
  <c r="Z147" i="13"/>
  <c r="AA147" i="13"/>
  <c r="AB147" i="13"/>
  <c r="W148" i="13"/>
  <c r="X148" i="13"/>
  <c r="Y148" i="13"/>
  <c r="Z148" i="13"/>
  <c r="AA148" i="13"/>
  <c r="AB148" i="13"/>
  <c r="W149" i="13"/>
  <c r="X149" i="13"/>
  <c r="Y149" i="13"/>
  <c r="Z149" i="13"/>
  <c r="AA149" i="13"/>
  <c r="AB149" i="13"/>
  <c r="W150" i="13"/>
  <c r="X150" i="13"/>
  <c r="Y150" i="13"/>
  <c r="Z150" i="13"/>
  <c r="AA150" i="13"/>
  <c r="AB150" i="13"/>
  <c r="W151" i="13"/>
  <c r="X151" i="13"/>
  <c r="Y151" i="13"/>
  <c r="Z151" i="13"/>
  <c r="AA151" i="13"/>
  <c r="AB151" i="13"/>
  <c r="W152" i="13"/>
  <c r="X152" i="13"/>
  <c r="Y152" i="13"/>
  <c r="Z152" i="13"/>
  <c r="AA152" i="13"/>
  <c r="AB152" i="13"/>
  <c r="W153" i="13"/>
  <c r="X153" i="13"/>
  <c r="Y153" i="13"/>
  <c r="Z153" i="13"/>
  <c r="AA153" i="13"/>
  <c r="AB153" i="13"/>
  <c r="W154" i="13"/>
  <c r="X154" i="13"/>
  <c r="Y154" i="13"/>
  <c r="Z154" i="13"/>
  <c r="AA154" i="13"/>
  <c r="AB154" i="13"/>
  <c r="W155" i="13"/>
  <c r="X155" i="13"/>
  <c r="Y155" i="13"/>
  <c r="Z155" i="13"/>
  <c r="AA155" i="13"/>
  <c r="AB155" i="13"/>
  <c r="W156" i="13"/>
  <c r="X156" i="13"/>
  <c r="Y156" i="13"/>
  <c r="Z156" i="13"/>
  <c r="AA156" i="13"/>
  <c r="AB156" i="13"/>
  <c r="W157" i="13"/>
  <c r="X157" i="13"/>
  <c r="Y157" i="13"/>
  <c r="Z157" i="13"/>
  <c r="AA157" i="13"/>
  <c r="AB157" i="13"/>
  <c r="W158" i="13"/>
  <c r="X158" i="13"/>
  <c r="Y158" i="13"/>
  <c r="Z158" i="13"/>
  <c r="AA158" i="13"/>
  <c r="AB158" i="13"/>
  <c r="W159" i="13"/>
  <c r="X159" i="13"/>
  <c r="Y159" i="13"/>
  <c r="Z159" i="13"/>
  <c r="AA159" i="13"/>
  <c r="AB159" i="13"/>
  <c r="W160" i="13"/>
  <c r="X160" i="13"/>
  <c r="Y160" i="13"/>
  <c r="Z160" i="13"/>
  <c r="AA160" i="13"/>
  <c r="AB160" i="13"/>
  <c r="W161" i="13"/>
  <c r="X161" i="13"/>
  <c r="Y161" i="13"/>
  <c r="Z161" i="13"/>
  <c r="AA161" i="13"/>
  <c r="AB161" i="13"/>
  <c r="W162" i="13"/>
  <c r="X162" i="13"/>
  <c r="Y162" i="13"/>
  <c r="Z162" i="13"/>
  <c r="AA162" i="13"/>
  <c r="AB162" i="13"/>
  <c r="W163" i="13"/>
  <c r="X163" i="13"/>
  <c r="Y163" i="13"/>
  <c r="Z163" i="13"/>
  <c r="AA163" i="13"/>
  <c r="AB163" i="13"/>
  <c r="W164" i="13"/>
  <c r="X164" i="13"/>
  <c r="Y164" i="13"/>
  <c r="Z164" i="13"/>
  <c r="AA164" i="13"/>
  <c r="AB164" i="13"/>
  <c r="W165" i="13"/>
  <c r="X165" i="13"/>
  <c r="Y165" i="13"/>
  <c r="Z165" i="13"/>
  <c r="AA165" i="13"/>
  <c r="AB165" i="13"/>
  <c r="W166" i="13"/>
  <c r="X166" i="13"/>
  <c r="Y166" i="13"/>
  <c r="Z166" i="13"/>
  <c r="AA166" i="13"/>
  <c r="AB166" i="13"/>
  <c r="W167" i="13"/>
  <c r="X167" i="13"/>
  <c r="Y167" i="13"/>
  <c r="Z167" i="13"/>
  <c r="AA167" i="13"/>
  <c r="AB167" i="13"/>
  <c r="W168" i="13"/>
  <c r="X168" i="13"/>
  <c r="Y168" i="13"/>
  <c r="Z168" i="13"/>
  <c r="AA168" i="13"/>
  <c r="AB168" i="13"/>
  <c r="W169" i="13"/>
  <c r="X169" i="13"/>
  <c r="Y169" i="13"/>
  <c r="Z169" i="13"/>
  <c r="AA169" i="13"/>
  <c r="AB169" i="13"/>
  <c r="W170" i="13"/>
  <c r="X170" i="13"/>
  <c r="Y170" i="13"/>
  <c r="Z170" i="13"/>
  <c r="AA170" i="13"/>
  <c r="AB170" i="13"/>
  <c r="W171" i="13"/>
  <c r="X171" i="13"/>
  <c r="Y171" i="13"/>
  <c r="Z171" i="13"/>
  <c r="AA171" i="13"/>
  <c r="AB171" i="13"/>
  <c r="W172" i="13"/>
  <c r="X172" i="13"/>
  <c r="Y172" i="13"/>
  <c r="Z172" i="13"/>
  <c r="AA172" i="13"/>
  <c r="AB172" i="13"/>
  <c r="W173" i="13"/>
  <c r="X173" i="13"/>
  <c r="Y173" i="13"/>
  <c r="Z173" i="13"/>
  <c r="AA173" i="13"/>
  <c r="AB173" i="13"/>
  <c r="W174" i="13"/>
  <c r="X174" i="13"/>
  <c r="Y174" i="13"/>
  <c r="Z174" i="13"/>
  <c r="AA174" i="13"/>
  <c r="AB174" i="13"/>
  <c r="W175" i="13"/>
  <c r="X175" i="13"/>
  <c r="Y175" i="13"/>
  <c r="Z175" i="13"/>
  <c r="AA175" i="13"/>
  <c r="AB175" i="13"/>
  <c r="W176" i="13"/>
  <c r="X176" i="13"/>
  <c r="Y176" i="13"/>
  <c r="Z176" i="13"/>
  <c r="AA176" i="13"/>
  <c r="AB176" i="13"/>
  <c r="W177" i="13"/>
  <c r="X177" i="13"/>
  <c r="Y177" i="13"/>
  <c r="Z177" i="13"/>
  <c r="AA177" i="13"/>
  <c r="AB177" i="13"/>
  <c r="W178" i="13"/>
  <c r="X178" i="13"/>
  <c r="Y178" i="13"/>
  <c r="Z178" i="13"/>
  <c r="AA178" i="13"/>
  <c r="AB178" i="13"/>
  <c r="W179" i="13"/>
  <c r="X179" i="13"/>
  <c r="Y179" i="13"/>
  <c r="Z179" i="13"/>
  <c r="AA179" i="13"/>
  <c r="AB179" i="13"/>
  <c r="W180" i="13"/>
  <c r="X180" i="13"/>
  <c r="Y180" i="13"/>
  <c r="Z180" i="13"/>
  <c r="AA180" i="13"/>
  <c r="AB180" i="13"/>
  <c r="W181" i="13"/>
  <c r="X181" i="13"/>
  <c r="Y181" i="13"/>
  <c r="Z181" i="13"/>
  <c r="AA181" i="13"/>
  <c r="AB181" i="13"/>
  <c r="W182" i="13"/>
  <c r="X182" i="13"/>
  <c r="Y182" i="13"/>
  <c r="Z182" i="13"/>
  <c r="AA182" i="13"/>
  <c r="AB182" i="13"/>
  <c r="W183" i="13"/>
  <c r="X183" i="13"/>
  <c r="Y183" i="13"/>
  <c r="Z183" i="13"/>
  <c r="AA183" i="13"/>
  <c r="AB183" i="13"/>
  <c r="W184" i="13"/>
  <c r="X184" i="13"/>
  <c r="Y184" i="13"/>
  <c r="Z184" i="13"/>
  <c r="AA184" i="13"/>
  <c r="AB184" i="13"/>
  <c r="W185" i="13"/>
  <c r="X185" i="13"/>
  <c r="Y185" i="13"/>
  <c r="Z185" i="13"/>
  <c r="AA185" i="13"/>
  <c r="AB185" i="13"/>
  <c r="W186" i="13"/>
  <c r="X186" i="13"/>
  <c r="Y186" i="13"/>
  <c r="Z186" i="13"/>
  <c r="AA186" i="13"/>
  <c r="AB186" i="13"/>
  <c r="W187" i="13"/>
  <c r="X187" i="13"/>
  <c r="Y187" i="13"/>
  <c r="Z187" i="13"/>
  <c r="AA187" i="13"/>
  <c r="AB187" i="13"/>
  <c r="W188" i="13"/>
  <c r="X188" i="13"/>
  <c r="Y188" i="13"/>
  <c r="Z188" i="13"/>
  <c r="AA188" i="13"/>
  <c r="AB188" i="13"/>
  <c r="W189" i="13"/>
  <c r="X189" i="13"/>
  <c r="Y189" i="13"/>
  <c r="Z189" i="13"/>
  <c r="AA189" i="13"/>
  <c r="AB189" i="13"/>
  <c r="W190" i="13"/>
  <c r="X190" i="13"/>
  <c r="Y190" i="13"/>
  <c r="Z190" i="13"/>
  <c r="AA190" i="13"/>
  <c r="AB190" i="13"/>
  <c r="W191" i="13"/>
  <c r="X191" i="13"/>
  <c r="Y191" i="13"/>
  <c r="Z191" i="13"/>
  <c r="AA191" i="13"/>
  <c r="AB191" i="13"/>
  <c r="W192" i="13"/>
  <c r="X192" i="13"/>
  <c r="Y192" i="13"/>
  <c r="Z192" i="13"/>
  <c r="AA192" i="13"/>
  <c r="AB192" i="13"/>
  <c r="W193" i="13"/>
  <c r="X193" i="13"/>
  <c r="Y193" i="13"/>
  <c r="Z193" i="13"/>
  <c r="AA193" i="13"/>
  <c r="AB193" i="13"/>
  <c r="W194" i="13"/>
  <c r="X194" i="13"/>
  <c r="Y194" i="13"/>
  <c r="Z194" i="13"/>
  <c r="AA194" i="13"/>
  <c r="AB194" i="13"/>
  <c r="W195" i="13"/>
  <c r="X195" i="13"/>
  <c r="Y195" i="13"/>
  <c r="Z195" i="13"/>
  <c r="AA195" i="13"/>
  <c r="AB195" i="13"/>
  <c r="W196" i="13"/>
  <c r="X196" i="13"/>
  <c r="Y196" i="13"/>
  <c r="Z196" i="13"/>
  <c r="AA196" i="13"/>
  <c r="AB196" i="13"/>
  <c r="W197" i="13"/>
  <c r="X197" i="13"/>
  <c r="Y197" i="13"/>
  <c r="Z197" i="13"/>
  <c r="AA197" i="13"/>
  <c r="AB197" i="13"/>
  <c r="W198" i="13"/>
  <c r="X198" i="13"/>
  <c r="Y198" i="13"/>
  <c r="Z198" i="13"/>
  <c r="AA198" i="13"/>
  <c r="AB198" i="13"/>
  <c r="W199" i="13"/>
  <c r="X199" i="13"/>
  <c r="Y199" i="13"/>
  <c r="Z199" i="13"/>
  <c r="AA199" i="13"/>
  <c r="AB199" i="13"/>
  <c r="W200" i="13"/>
  <c r="X200" i="13"/>
  <c r="Y200" i="13"/>
  <c r="Z200" i="13"/>
  <c r="AA200" i="13"/>
  <c r="AB200" i="13"/>
  <c r="W201" i="13"/>
  <c r="X201" i="13"/>
  <c r="Y201" i="13"/>
  <c r="Z201" i="13"/>
  <c r="AA201" i="13"/>
  <c r="AB201" i="13"/>
  <c r="W202" i="13"/>
  <c r="X202" i="13"/>
  <c r="Y202" i="13"/>
  <c r="Z202" i="13"/>
  <c r="AA202" i="13"/>
  <c r="AB202" i="13"/>
  <c r="W203" i="13"/>
  <c r="X203" i="13"/>
  <c r="Y203" i="13"/>
  <c r="Z203" i="13"/>
  <c r="AA203" i="13"/>
  <c r="AB203" i="13"/>
  <c r="W204" i="13"/>
  <c r="X204" i="13"/>
  <c r="Y204" i="13"/>
  <c r="Z204" i="13"/>
  <c r="AA204" i="13"/>
  <c r="AB204" i="13"/>
  <c r="W205" i="13"/>
  <c r="X205" i="13"/>
  <c r="Y205" i="13"/>
  <c r="Z205" i="13"/>
  <c r="AA205" i="13"/>
  <c r="AB205" i="13"/>
  <c r="W206" i="13"/>
  <c r="X206" i="13"/>
  <c r="Y206" i="13"/>
  <c r="Z206" i="13"/>
  <c r="AA206" i="13"/>
  <c r="AB206" i="13"/>
  <c r="W207" i="13"/>
  <c r="X207" i="13"/>
  <c r="Y207" i="13"/>
  <c r="Z207" i="13"/>
  <c r="AA207" i="13"/>
  <c r="AB207" i="13"/>
  <c r="W208" i="13"/>
  <c r="X208" i="13"/>
  <c r="Y208" i="13"/>
  <c r="Z208" i="13"/>
  <c r="AA208" i="13"/>
  <c r="AB208" i="13"/>
  <c r="W209" i="13"/>
  <c r="X209" i="13"/>
  <c r="Y209" i="13"/>
  <c r="Z209" i="13"/>
  <c r="AA209" i="13"/>
  <c r="AB209" i="13"/>
  <c r="W210" i="13"/>
  <c r="X210" i="13"/>
  <c r="Y210" i="13"/>
  <c r="Z210" i="13"/>
  <c r="AA210" i="13"/>
  <c r="AB210" i="13"/>
  <c r="W211" i="13"/>
  <c r="X211" i="13"/>
  <c r="Y211" i="13"/>
  <c r="Z211" i="13"/>
  <c r="AA211" i="13"/>
  <c r="AB211" i="13"/>
  <c r="W212" i="13"/>
  <c r="X212" i="13"/>
  <c r="Y212" i="13"/>
  <c r="Z212" i="13"/>
  <c r="AA212" i="13"/>
  <c r="AB212" i="13"/>
  <c r="W213" i="13"/>
  <c r="X213" i="13"/>
  <c r="Y213" i="13"/>
  <c r="Z213" i="13"/>
  <c r="AA213" i="13"/>
  <c r="AB213" i="13"/>
  <c r="W214" i="13"/>
  <c r="X214" i="13"/>
  <c r="Y214" i="13"/>
  <c r="Z214" i="13"/>
  <c r="AA214" i="13"/>
  <c r="AB214" i="13"/>
  <c r="W215" i="13"/>
  <c r="X215" i="13"/>
  <c r="Y215" i="13"/>
  <c r="Z215" i="13"/>
  <c r="AA215" i="13"/>
  <c r="AB215" i="13"/>
  <c r="W216" i="13"/>
  <c r="X216" i="13"/>
  <c r="Y216" i="13"/>
  <c r="Z216" i="13"/>
  <c r="AA216" i="13"/>
  <c r="AB216" i="13"/>
  <c r="W217" i="13"/>
  <c r="X217" i="13"/>
  <c r="Y217" i="13"/>
  <c r="Z217" i="13"/>
  <c r="AA217" i="13"/>
  <c r="AB217" i="13"/>
  <c r="W218" i="13"/>
  <c r="X218" i="13"/>
  <c r="Y218" i="13"/>
  <c r="Z218" i="13"/>
  <c r="AA218" i="13"/>
  <c r="AB218" i="13"/>
  <c r="W219" i="13"/>
  <c r="X219" i="13"/>
  <c r="Y219" i="13"/>
  <c r="Z219" i="13"/>
  <c r="AA219" i="13"/>
  <c r="AB219" i="13"/>
  <c r="W220" i="13"/>
  <c r="X220" i="13"/>
  <c r="Y220" i="13"/>
  <c r="Z220" i="13"/>
  <c r="AA220" i="13"/>
  <c r="AB220" i="13"/>
  <c r="W221" i="13"/>
  <c r="X221" i="13"/>
  <c r="Y221" i="13"/>
  <c r="Z221" i="13"/>
  <c r="AA221" i="13"/>
  <c r="AB221" i="13"/>
  <c r="W222" i="13"/>
  <c r="X222" i="13"/>
  <c r="Y222" i="13"/>
  <c r="Z222" i="13"/>
  <c r="AA222" i="13"/>
  <c r="AB222" i="13"/>
  <c r="W223" i="13"/>
  <c r="X223" i="13"/>
  <c r="Y223" i="13"/>
  <c r="Z223" i="13"/>
  <c r="AA223" i="13"/>
  <c r="AB223" i="13"/>
  <c r="W224" i="13"/>
  <c r="X224" i="13"/>
  <c r="Y224" i="13"/>
  <c r="Z224" i="13"/>
  <c r="AA224" i="13"/>
  <c r="AB224" i="13"/>
  <c r="W225" i="13"/>
  <c r="X225" i="13"/>
  <c r="Y225" i="13"/>
  <c r="Z225" i="13"/>
  <c r="AA225" i="13"/>
  <c r="AB225" i="13"/>
  <c r="W226" i="13"/>
  <c r="X226" i="13"/>
  <c r="Y226" i="13"/>
  <c r="Z226" i="13"/>
  <c r="AA226" i="13"/>
  <c r="AB226" i="13"/>
  <c r="W227" i="13"/>
  <c r="X227" i="13"/>
  <c r="Y227" i="13"/>
  <c r="Z227" i="13"/>
  <c r="AA227" i="13"/>
  <c r="AB227" i="13"/>
  <c r="W228" i="13"/>
  <c r="X228" i="13"/>
  <c r="Y228" i="13"/>
  <c r="Z228" i="13"/>
  <c r="AA228" i="13"/>
  <c r="AB228" i="13"/>
  <c r="W229" i="13"/>
  <c r="X229" i="13"/>
  <c r="Y229" i="13"/>
  <c r="Z229" i="13"/>
  <c r="AA229" i="13"/>
  <c r="AB229" i="13"/>
  <c r="W230" i="13"/>
  <c r="X230" i="13"/>
  <c r="Y230" i="13"/>
  <c r="Z230" i="13"/>
  <c r="AA230" i="13"/>
  <c r="AB230" i="13"/>
  <c r="W231" i="13"/>
  <c r="X231" i="13"/>
  <c r="Y231" i="13"/>
  <c r="Z231" i="13"/>
  <c r="AA231" i="13"/>
  <c r="AB231" i="13"/>
  <c r="W232" i="13"/>
  <c r="X232" i="13"/>
  <c r="Y232" i="13"/>
  <c r="Z232" i="13"/>
  <c r="AA232" i="13"/>
  <c r="AB232" i="13"/>
  <c r="W233" i="13"/>
  <c r="X233" i="13"/>
  <c r="Y233" i="13"/>
  <c r="Z233" i="13"/>
  <c r="AA233" i="13"/>
  <c r="AB233" i="13"/>
  <c r="W234" i="13"/>
  <c r="X234" i="13"/>
  <c r="Y234" i="13"/>
  <c r="Z234" i="13"/>
  <c r="AA234" i="13"/>
  <c r="AB234" i="13"/>
  <c r="W235" i="13"/>
  <c r="X235" i="13"/>
  <c r="Y235" i="13"/>
  <c r="Z235" i="13"/>
  <c r="AA235" i="13"/>
  <c r="AB235" i="13"/>
  <c r="W236" i="13"/>
  <c r="X236" i="13"/>
  <c r="Y236" i="13"/>
  <c r="Z236" i="13"/>
  <c r="AA236" i="13"/>
  <c r="AB236" i="13"/>
  <c r="W237" i="13"/>
  <c r="X237" i="13"/>
  <c r="Y237" i="13"/>
  <c r="Z237" i="13"/>
  <c r="AA237" i="13"/>
  <c r="AB237" i="13"/>
  <c r="W238" i="13"/>
  <c r="X238" i="13"/>
  <c r="Y238" i="13"/>
  <c r="Z238" i="13"/>
  <c r="AA238" i="13"/>
  <c r="AB238" i="13"/>
  <c r="W239" i="13"/>
  <c r="X239" i="13"/>
  <c r="Y239" i="13"/>
  <c r="Z239" i="13"/>
  <c r="AA239" i="13"/>
  <c r="AB239" i="13"/>
  <c r="W240" i="13"/>
  <c r="X240" i="13"/>
  <c r="Y240" i="13"/>
  <c r="Z240" i="13"/>
  <c r="AA240" i="13"/>
  <c r="AB240" i="13"/>
  <c r="W241" i="13"/>
  <c r="X241" i="13"/>
  <c r="Y241" i="13"/>
  <c r="Z241" i="13"/>
  <c r="AA241" i="13"/>
  <c r="AB241" i="13"/>
  <c r="W242" i="13"/>
  <c r="X242" i="13"/>
  <c r="Y242" i="13"/>
  <c r="Z242" i="13"/>
  <c r="AA242" i="13"/>
  <c r="AB242" i="13"/>
  <c r="W243" i="13"/>
  <c r="X243" i="13"/>
  <c r="Y243" i="13"/>
  <c r="Z243" i="13"/>
  <c r="AA243" i="13"/>
  <c r="AB243" i="13"/>
  <c r="W244" i="13"/>
  <c r="X244" i="13"/>
  <c r="Y244" i="13"/>
  <c r="Z244" i="13"/>
  <c r="AA244" i="13"/>
  <c r="AB244" i="13"/>
  <c r="W245" i="13"/>
  <c r="X245" i="13"/>
  <c r="Y245" i="13"/>
  <c r="Z245" i="13"/>
  <c r="AA245" i="13"/>
  <c r="AB245" i="13"/>
  <c r="W246" i="13"/>
  <c r="X246" i="13"/>
  <c r="Y246" i="13"/>
  <c r="Z246" i="13"/>
  <c r="AA246" i="13"/>
  <c r="AB246" i="13"/>
  <c r="W247" i="13"/>
  <c r="X247" i="13"/>
  <c r="Y247" i="13"/>
  <c r="Z247" i="13"/>
  <c r="AA247" i="13"/>
  <c r="AB247" i="13"/>
  <c r="W248" i="13"/>
  <c r="X248" i="13"/>
  <c r="Y248" i="13"/>
  <c r="Z248" i="13"/>
  <c r="AA248" i="13"/>
  <c r="AB248" i="13"/>
  <c r="W249" i="13"/>
  <c r="X249" i="13"/>
  <c r="Y249" i="13"/>
  <c r="Z249" i="13"/>
  <c r="AA249" i="13"/>
  <c r="AB249" i="13"/>
  <c r="W250" i="13"/>
  <c r="X250" i="13"/>
  <c r="Y250" i="13"/>
  <c r="Z250" i="13"/>
  <c r="AA250" i="13"/>
  <c r="AB250" i="13"/>
  <c r="W251" i="13"/>
  <c r="X251" i="13"/>
  <c r="Y251" i="13"/>
  <c r="Z251" i="13"/>
  <c r="AA251" i="13"/>
  <c r="AB251" i="13"/>
  <c r="W252" i="13"/>
  <c r="X252" i="13"/>
  <c r="Y252" i="13"/>
  <c r="Z252" i="13"/>
  <c r="AA252" i="13"/>
  <c r="AB252" i="13"/>
  <c r="W253" i="13"/>
  <c r="X253" i="13"/>
  <c r="Y253" i="13"/>
  <c r="Z253" i="13"/>
  <c r="AA253" i="13"/>
  <c r="AB253" i="13"/>
  <c r="W254" i="13"/>
  <c r="X254" i="13"/>
  <c r="Y254" i="13"/>
  <c r="Z254" i="13"/>
  <c r="AA254" i="13"/>
  <c r="AB254" i="13"/>
  <c r="W255" i="13"/>
  <c r="X255" i="13"/>
  <c r="Y255" i="13"/>
  <c r="Z255" i="13"/>
  <c r="AA255" i="13"/>
  <c r="AB255" i="13"/>
  <c r="W256" i="13"/>
  <c r="X256" i="13"/>
  <c r="Y256" i="13"/>
  <c r="Z256" i="13"/>
  <c r="AA256" i="13"/>
  <c r="AB256" i="13"/>
  <c r="W257" i="13"/>
  <c r="X257" i="13"/>
  <c r="Y257" i="13"/>
  <c r="Z257" i="13"/>
  <c r="AA257" i="13"/>
  <c r="AB257" i="13"/>
  <c r="W258" i="13"/>
  <c r="X258" i="13"/>
  <c r="Y258" i="13"/>
  <c r="Z258" i="13"/>
  <c r="AA258" i="13"/>
  <c r="AB258" i="13"/>
  <c r="W259" i="13"/>
  <c r="X259" i="13"/>
  <c r="Y259" i="13"/>
  <c r="Z259" i="13"/>
  <c r="AA259" i="13"/>
  <c r="AB259" i="13"/>
  <c r="W260" i="13"/>
  <c r="X260" i="13"/>
  <c r="Y260" i="13"/>
  <c r="Z260" i="13"/>
  <c r="AA260" i="13"/>
  <c r="AB260" i="13"/>
  <c r="W261" i="13"/>
  <c r="X261" i="13"/>
  <c r="Y261" i="13"/>
  <c r="Z261" i="13"/>
  <c r="AA261" i="13"/>
  <c r="AB261" i="13"/>
  <c r="W262" i="13"/>
  <c r="X262" i="13"/>
  <c r="Y262" i="13"/>
  <c r="Z262" i="13"/>
  <c r="AA262" i="13"/>
  <c r="AB262" i="13"/>
  <c r="W263" i="13"/>
  <c r="X263" i="13"/>
  <c r="Y263" i="13"/>
  <c r="Z263" i="13"/>
  <c r="AA263" i="13"/>
  <c r="AB263" i="13"/>
  <c r="W264" i="13"/>
  <c r="X264" i="13"/>
  <c r="Y264" i="13"/>
  <c r="Z264" i="13"/>
  <c r="AA264" i="13"/>
  <c r="AB264" i="13"/>
  <c r="W265" i="13"/>
  <c r="X265" i="13"/>
  <c r="Y265" i="13"/>
  <c r="Z265" i="13"/>
  <c r="AA265" i="13"/>
  <c r="AB265" i="13"/>
  <c r="W266" i="13"/>
  <c r="X266" i="13"/>
  <c r="Y266" i="13"/>
  <c r="Z266" i="13"/>
  <c r="AA266" i="13"/>
  <c r="AB266" i="13"/>
  <c r="W267" i="13"/>
  <c r="X267" i="13"/>
  <c r="Y267" i="13"/>
  <c r="Z267" i="13"/>
  <c r="AA267" i="13"/>
  <c r="AB267" i="13"/>
  <c r="W268" i="13"/>
  <c r="X268" i="13"/>
  <c r="Y268" i="13"/>
  <c r="Z268" i="13"/>
  <c r="AA268" i="13"/>
  <c r="AB268" i="13"/>
  <c r="W269" i="13"/>
  <c r="X269" i="13"/>
  <c r="Y269" i="13"/>
  <c r="Z269" i="13"/>
  <c r="AA269" i="13"/>
  <c r="AB269" i="13"/>
  <c r="W270" i="13"/>
  <c r="X270" i="13"/>
  <c r="Y270" i="13"/>
  <c r="Z270" i="13"/>
  <c r="AA270" i="13"/>
  <c r="AB270" i="13"/>
  <c r="W271" i="13"/>
  <c r="X271" i="13"/>
  <c r="Y271" i="13"/>
  <c r="Z271" i="13"/>
  <c r="AA271" i="13"/>
  <c r="AB271" i="13"/>
  <c r="W272" i="13"/>
  <c r="X272" i="13"/>
  <c r="Y272" i="13"/>
  <c r="Z272" i="13"/>
  <c r="AA272" i="13"/>
  <c r="AB272" i="13"/>
  <c r="W273" i="13"/>
  <c r="X273" i="13"/>
  <c r="Y273" i="13"/>
  <c r="Z273" i="13"/>
  <c r="AA273" i="13"/>
  <c r="AB273" i="13"/>
  <c r="W274" i="13"/>
  <c r="X274" i="13"/>
  <c r="Y274" i="13"/>
  <c r="Z274" i="13"/>
  <c r="AA274" i="13"/>
  <c r="AB274" i="13"/>
  <c r="W275" i="13"/>
  <c r="X275" i="13"/>
  <c r="Y275" i="13"/>
  <c r="Z275" i="13"/>
  <c r="AA275" i="13"/>
  <c r="AB275" i="13"/>
  <c r="W276" i="13"/>
  <c r="X276" i="13"/>
  <c r="Y276" i="13"/>
  <c r="Z276" i="13"/>
  <c r="AA276" i="13"/>
  <c r="AB276" i="13"/>
  <c r="W277" i="13"/>
  <c r="X277" i="13"/>
  <c r="Y277" i="13"/>
  <c r="Z277" i="13"/>
  <c r="AA277" i="13"/>
  <c r="AB277" i="13"/>
  <c r="W278" i="13"/>
  <c r="X278" i="13"/>
  <c r="Y278" i="13"/>
  <c r="Z278" i="13"/>
  <c r="AA278" i="13"/>
  <c r="AB278" i="13"/>
  <c r="W279" i="13"/>
  <c r="X279" i="13"/>
  <c r="Y279" i="13"/>
  <c r="Z279" i="13"/>
  <c r="AA279" i="13"/>
  <c r="AB279" i="13"/>
  <c r="W280" i="13"/>
  <c r="X280" i="13"/>
  <c r="Y280" i="13"/>
  <c r="Z280" i="13"/>
  <c r="AA280" i="13"/>
  <c r="AB280" i="13"/>
  <c r="W281" i="13"/>
  <c r="X281" i="13"/>
  <c r="Y281" i="13"/>
  <c r="Z281" i="13"/>
  <c r="AA281" i="13"/>
  <c r="AB281" i="13"/>
  <c r="W282" i="13"/>
  <c r="X282" i="13"/>
  <c r="Y282" i="13"/>
  <c r="Z282" i="13"/>
  <c r="AA282" i="13"/>
  <c r="AB282" i="13"/>
  <c r="W283" i="13"/>
  <c r="X283" i="13"/>
  <c r="Y283" i="13"/>
  <c r="Z283" i="13"/>
  <c r="AA283" i="13"/>
  <c r="AB283" i="13"/>
  <c r="W284" i="13"/>
  <c r="X284" i="13"/>
  <c r="Y284" i="13"/>
  <c r="Z284" i="13"/>
  <c r="AA284" i="13"/>
  <c r="AB284" i="13"/>
  <c r="W285" i="13"/>
  <c r="X285" i="13"/>
  <c r="Y285" i="13"/>
  <c r="Z285" i="13"/>
  <c r="AA285" i="13"/>
  <c r="AB285" i="13"/>
  <c r="W286" i="13"/>
  <c r="X286" i="13"/>
  <c r="Y286" i="13"/>
  <c r="Z286" i="13"/>
  <c r="AA286" i="13"/>
  <c r="AB286" i="13"/>
  <c r="W287" i="13"/>
  <c r="X287" i="13"/>
  <c r="Y287" i="13"/>
  <c r="Z287" i="13"/>
  <c r="AA287" i="13"/>
  <c r="AB287" i="13"/>
  <c r="W288" i="13"/>
  <c r="X288" i="13"/>
  <c r="Y288" i="13"/>
  <c r="Z288" i="13"/>
  <c r="AA288" i="13"/>
  <c r="AB288" i="13"/>
  <c r="W289" i="13"/>
  <c r="X289" i="13"/>
  <c r="Y289" i="13"/>
  <c r="Z289" i="13"/>
  <c r="AA289" i="13"/>
  <c r="AB289" i="13"/>
  <c r="W290" i="13"/>
  <c r="X290" i="13"/>
  <c r="Y290" i="13"/>
  <c r="Z290" i="13"/>
  <c r="AA290" i="13"/>
  <c r="AB290" i="13"/>
  <c r="W291" i="13"/>
  <c r="X291" i="13"/>
  <c r="Y291" i="13"/>
  <c r="Z291" i="13"/>
  <c r="AA291" i="13"/>
  <c r="AB291" i="13"/>
  <c r="W292" i="13"/>
  <c r="X292" i="13"/>
  <c r="Y292" i="13"/>
  <c r="Z292" i="13"/>
  <c r="AA292" i="13"/>
  <c r="AB292" i="13"/>
  <c r="W293" i="13"/>
  <c r="X293" i="13"/>
  <c r="Y293" i="13"/>
  <c r="Z293" i="13"/>
  <c r="AA293" i="13"/>
  <c r="AB293" i="13"/>
  <c r="W294" i="13"/>
  <c r="X294" i="13"/>
  <c r="Y294" i="13"/>
  <c r="Z294" i="13"/>
  <c r="AA294" i="13"/>
  <c r="AB294" i="13"/>
  <c r="W295" i="13"/>
  <c r="X295" i="13"/>
  <c r="Y295" i="13"/>
  <c r="Z295" i="13"/>
  <c r="AA295" i="13"/>
  <c r="AB295" i="13"/>
  <c r="W296" i="13"/>
  <c r="X296" i="13"/>
  <c r="Y296" i="13"/>
  <c r="Z296" i="13"/>
  <c r="AA296" i="13"/>
  <c r="AB296" i="13"/>
  <c r="W297" i="13"/>
  <c r="X297" i="13"/>
  <c r="Y297" i="13"/>
  <c r="Z297" i="13"/>
  <c r="AA297" i="13"/>
  <c r="AB297" i="13"/>
  <c r="W298" i="13"/>
  <c r="X298" i="13"/>
  <c r="Y298" i="13"/>
  <c r="Z298" i="13"/>
  <c r="AA298" i="13"/>
  <c r="AB298" i="13"/>
  <c r="W299" i="13"/>
  <c r="X299" i="13"/>
  <c r="Y299" i="13"/>
  <c r="Z299" i="13"/>
  <c r="AA299" i="13"/>
  <c r="AB299" i="13"/>
  <c r="W300" i="13"/>
  <c r="X300" i="13"/>
  <c r="Y300" i="13"/>
  <c r="Z300" i="13"/>
  <c r="AA300" i="13"/>
  <c r="AB300" i="13"/>
  <c r="W301" i="13"/>
  <c r="X301" i="13"/>
  <c r="Y301" i="13"/>
  <c r="Z301" i="13"/>
  <c r="AA301" i="13"/>
  <c r="AB301" i="13"/>
  <c r="W302" i="13"/>
  <c r="X302" i="13"/>
  <c r="Y302" i="13"/>
  <c r="Z302" i="13"/>
  <c r="AA302" i="13"/>
  <c r="AB302" i="13"/>
  <c r="W303" i="13"/>
  <c r="X303" i="13"/>
  <c r="Y303" i="13"/>
  <c r="Z303" i="13"/>
  <c r="AA303" i="13"/>
  <c r="AB303" i="13"/>
  <c r="W304" i="13"/>
  <c r="X304" i="13"/>
  <c r="Y304" i="13"/>
  <c r="Z304" i="13"/>
  <c r="AA304" i="13"/>
  <c r="AB304" i="13"/>
  <c r="W305" i="13"/>
  <c r="X305" i="13"/>
  <c r="Y305" i="13"/>
  <c r="Z305" i="13"/>
  <c r="AA305" i="13"/>
  <c r="AB305" i="13"/>
  <c r="W306" i="13"/>
  <c r="X306" i="13"/>
  <c r="Y306" i="13"/>
  <c r="Z306" i="13"/>
  <c r="AA306" i="13"/>
  <c r="AB306" i="13"/>
  <c r="W307" i="13"/>
  <c r="X307" i="13"/>
  <c r="Y307" i="13"/>
  <c r="Z307" i="13"/>
  <c r="AA307" i="13"/>
  <c r="AB307" i="13"/>
  <c r="W308" i="13"/>
  <c r="X308" i="13"/>
  <c r="Y308" i="13"/>
  <c r="Z308" i="13"/>
  <c r="AA308" i="13"/>
  <c r="AB308" i="13"/>
  <c r="W309" i="13"/>
  <c r="X309" i="13"/>
  <c r="Y309" i="13"/>
  <c r="Z309" i="13"/>
  <c r="AA309" i="13"/>
  <c r="AB309" i="13"/>
  <c r="W310" i="13"/>
  <c r="X310" i="13"/>
  <c r="Y310" i="13"/>
  <c r="Z310" i="13"/>
  <c r="AA310" i="13"/>
  <c r="AB310" i="13"/>
  <c r="W311" i="13"/>
  <c r="X311" i="13"/>
  <c r="Y311" i="13"/>
  <c r="Z311" i="13"/>
  <c r="AA311" i="13"/>
  <c r="AB311" i="13"/>
  <c r="W312" i="13"/>
  <c r="X312" i="13"/>
  <c r="Y312" i="13"/>
  <c r="Z312" i="13"/>
  <c r="AA312" i="13"/>
  <c r="AB312" i="13"/>
  <c r="W313" i="13"/>
  <c r="X313" i="13"/>
  <c r="Y313" i="13"/>
  <c r="Z313" i="13"/>
  <c r="AA313" i="13"/>
  <c r="AB313" i="13"/>
  <c r="W314" i="13"/>
  <c r="X314" i="13"/>
  <c r="Y314" i="13"/>
  <c r="Z314" i="13"/>
  <c r="AA314" i="13"/>
  <c r="AB314" i="13"/>
  <c r="W315" i="13"/>
  <c r="X315" i="13"/>
  <c r="Y315" i="13"/>
  <c r="Z315" i="13"/>
  <c r="AA315" i="13"/>
  <c r="AB315" i="13"/>
  <c r="W316" i="13"/>
  <c r="X316" i="13"/>
  <c r="Y316" i="13"/>
  <c r="Z316" i="13"/>
  <c r="AA316" i="13"/>
  <c r="AB316" i="13"/>
  <c r="W317" i="13"/>
  <c r="X317" i="13"/>
  <c r="Y317" i="13"/>
  <c r="Z317" i="13"/>
  <c r="AA317" i="13"/>
  <c r="AB317" i="13"/>
  <c r="W318" i="13"/>
  <c r="X318" i="13"/>
  <c r="Y318" i="13"/>
  <c r="Z318" i="13"/>
  <c r="AA318" i="13"/>
  <c r="AB318" i="13"/>
  <c r="W319" i="13"/>
  <c r="X319" i="13"/>
  <c r="Y319" i="13"/>
  <c r="Z319" i="13"/>
  <c r="AA319" i="13"/>
  <c r="AB319" i="13"/>
  <c r="W320" i="13"/>
  <c r="X320" i="13"/>
  <c r="Y320" i="13"/>
  <c r="Z320" i="13"/>
  <c r="AA320" i="13"/>
  <c r="AB320" i="13"/>
  <c r="W321" i="13"/>
  <c r="X321" i="13"/>
  <c r="Y321" i="13"/>
  <c r="Z321" i="13"/>
  <c r="AA321" i="13"/>
  <c r="AB321" i="13"/>
  <c r="W322" i="13"/>
  <c r="X322" i="13"/>
  <c r="Y322" i="13"/>
  <c r="Z322" i="13"/>
  <c r="AA322" i="13"/>
  <c r="AB322" i="13"/>
  <c r="W323" i="13"/>
  <c r="X323" i="13"/>
  <c r="Y323" i="13"/>
  <c r="Z323" i="13"/>
  <c r="AA323" i="13"/>
  <c r="AB323" i="13"/>
  <c r="W324" i="13"/>
  <c r="X324" i="13"/>
  <c r="Y324" i="13"/>
  <c r="Z324" i="13"/>
  <c r="AA324" i="13"/>
  <c r="AB324" i="13"/>
  <c r="W325" i="13"/>
  <c r="X325" i="13"/>
  <c r="Y325" i="13"/>
  <c r="Z325" i="13"/>
  <c r="AA325" i="13"/>
  <c r="AB325" i="13"/>
  <c r="W326" i="13"/>
  <c r="X326" i="13"/>
  <c r="Y326" i="13"/>
  <c r="Z326" i="13"/>
  <c r="AA326" i="13"/>
  <c r="AB326" i="13"/>
  <c r="W327" i="13"/>
  <c r="X327" i="13"/>
  <c r="Y327" i="13"/>
  <c r="Z327" i="13"/>
  <c r="AA327" i="13"/>
  <c r="AB327" i="13"/>
  <c r="W328" i="13"/>
  <c r="X328" i="13"/>
  <c r="Y328" i="13"/>
  <c r="Z328" i="13"/>
  <c r="AA328" i="13"/>
  <c r="AB328" i="13"/>
  <c r="W329" i="13"/>
  <c r="X329" i="13"/>
  <c r="Y329" i="13"/>
  <c r="Z329" i="13"/>
  <c r="AA329" i="13"/>
  <c r="AB329" i="13"/>
  <c r="W330" i="13"/>
  <c r="X330" i="13"/>
  <c r="Y330" i="13"/>
  <c r="Z330" i="13"/>
  <c r="AA330" i="13"/>
  <c r="AB330" i="13"/>
  <c r="W331" i="13"/>
  <c r="X331" i="13"/>
  <c r="Y331" i="13"/>
  <c r="Z331" i="13"/>
  <c r="AA331" i="13"/>
  <c r="AB331" i="13"/>
  <c r="W332" i="13"/>
  <c r="X332" i="13"/>
  <c r="Y332" i="13"/>
  <c r="Z332" i="13"/>
  <c r="AA332" i="13"/>
  <c r="AB332" i="13"/>
  <c r="W333" i="13"/>
  <c r="X333" i="13"/>
  <c r="Y333" i="13"/>
  <c r="Z333" i="13"/>
  <c r="AA333" i="13"/>
  <c r="AB333" i="13"/>
  <c r="W334" i="13"/>
  <c r="X334" i="13"/>
  <c r="Y334" i="13"/>
  <c r="Z334" i="13"/>
  <c r="AA334" i="13"/>
  <c r="AB334" i="13"/>
  <c r="W335" i="13"/>
  <c r="X335" i="13"/>
  <c r="Y335" i="13"/>
  <c r="Z335" i="13"/>
  <c r="AA335" i="13"/>
  <c r="AB335" i="13"/>
  <c r="W336" i="13"/>
  <c r="X336" i="13"/>
  <c r="Y336" i="13"/>
  <c r="Z336" i="13"/>
  <c r="AA336" i="13"/>
  <c r="AB336" i="13"/>
  <c r="W337" i="13"/>
  <c r="X337" i="13"/>
  <c r="Y337" i="13"/>
  <c r="Z337" i="13"/>
  <c r="AA337" i="13"/>
  <c r="AB337" i="13"/>
  <c r="W338" i="13"/>
  <c r="X338" i="13"/>
  <c r="Y338" i="13"/>
  <c r="Z338" i="13"/>
  <c r="AA338" i="13"/>
  <c r="AB338" i="13"/>
  <c r="W339" i="13"/>
  <c r="X339" i="13"/>
  <c r="Y339" i="13"/>
  <c r="Z339" i="13"/>
  <c r="AA339" i="13"/>
  <c r="AB339" i="13"/>
  <c r="W340" i="13"/>
  <c r="X340" i="13"/>
  <c r="Y340" i="13"/>
  <c r="Z340" i="13"/>
  <c r="AA340" i="13"/>
  <c r="AB340" i="13"/>
  <c r="W341" i="13"/>
  <c r="X341" i="13"/>
  <c r="Y341" i="13"/>
  <c r="Z341" i="13"/>
  <c r="AA341" i="13"/>
  <c r="AB341" i="13"/>
  <c r="W342" i="13"/>
  <c r="X342" i="13"/>
  <c r="Y342" i="13"/>
  <c r="Z342" i="13"/>
  <c r="AA342" i="13"/>
  <c r="AB342" i="13"/>
  <c r="W343" i="13"/>
  <c r="X343" i="13"/>
  <c r="Y343" i="13"/>
  <c r="Z343" i="13"/>
  <c r="AA343" i="13"/>
  <c r="AB343" i="13"/>
  <c r="W344" i="13"/>
  <c r="X344" i="13"/>
  <c r="Y344" i="13"/>
  <c r="Z344" i="13"/>
  <c r="AA344" i="13"/>
  <c r="AB344" i="13"/>
  <c r="W345" i="13"/>
  <c r="X345" i="13"/>
  <c r="Y345" i="13"/>
  <c r="Z345" i="13"/>
  <c r="AA345" i="13"/>
  <c r="AB345" i="13"/>
  <c r="W346" i="13"/>
  <c r="X346" i="13"/>
  <c r="Y346" i="13"/>
  <c r="Z346" i="13"/>
  <c r="AA346" i="13"/>
  <c r="AB346" i="13"/>
  <c r="W347" i="13"/>
  <c r="X347" i="13"/>
  <c r="Y347" i="13"/>
  <c r="Z347" i="13"/>
  <c r="AA347" i="13"/>
  <c r="AB347" i="13"/>
  <c r="W348" i="13"/>
  <c r="X348" i="13"/>
  <c r="Y348" i="13"/>
  <c r="Z348" i="13"/>
  <c r="AA348" i="13"/>
  <c r="AB348" i="13"/>
  <c r="W349" i="13"/>
  <c r="X349" i="13"/>
  <c r="Y349" i="13"/>
  <c r="Z349" i="13"/>
  <c r="AA349" i="13"/>
  <c r="AB349" i="13"/>
  <c r="W350" i="13"/>
  <c r="X350" i="13"/>
  <c r="Y350" i="13"/>
  <c r="Z350" i="13"/>
  <c r="AA350" i="13"/>
  <c r="AB350" i="13"/>
  <c r="W351" i="13"/>
  <c r="X351" i="13"/>
  <c r="Y351" i="13"/>
  <c r="Z351" i="13"/>
  <c r="AA351" i="13"/>
  <c r="AB351" i="13"/>
  <c r="W352" i="13"/>
  <c r="X352" i="13"/>
  <c r="Y352" i="13"/>
  <c r="Z352" i="13"/>
  <c r="AA352" i="13"/>
  <c r="AB352" i="13"/>
  <c r="W353" i="13"/>
  <c r="X353" i="13"/>
  <c r="Y353" i="13"/>
  <c r="Z353" i="13"/>
  <c r="AA353" i="13"/>
  <c r="AB353" i="13"/>
  <c r="W354" i="13"/>
  <c r="X354" i="13"/>
  <c r="Y354" i="13"/>
  <c r="Z354" i="13"/>
  <c r="AA354" i="13"/>
  <c r="AB354" i="13"/>
  <c r="W355" i="13"/>
  <c r="X355" i="13"/>
  <c r="Y355" i="13"/>
  <c r="Z355" i="13"/>
  <c r="AA355" i="13"/>
  <c r="AB355" i="13"/>
  <c r="W356" i="13"/>
  <c r="X356" i="13"/>
  <c r="Y356" i="13"/>
  <c r="Z356" i="13"/>
  <c r="AA356" i="13"/>
  <c r="AB356" i="13"/>
  <c r="W357" i="13"/>
  <c r="X357" i="13"/>
  <c r="Y357" i="13"/>
  <c r="Z357" i="13"/>
  <c r="AA357" i="13"/>
  <c r="AB357" i="13"/>
  <c r="W358" i="13"/>
  <c r="X358" i="13"/>
  <c r="Y358" i="13"/>
  <c r="Z358" i="13"/>
  <c r="AA358" i="13"/>
  <c r="AB358" i="13"/>
  <c r="W359" i="13"/>
  <c r="X359" i="13"/>
  <c r="Y359" i="13"/>
  <c r="Z359" i="13"/>
  <c r="AA359" i="13"/>
  <c r="AB359" i="13"/>
  <c r="W360" i="13"/>
  <c r="X360" i="13"/>
  <c r="Y360" i="13"/>
  <c r="Z360" i="13"/>
  <c r="AA360" i="13"/>
  <c r="AB360" i="13"/>
  <c r="W361" i="13"/>
  <c r="X361" i="13"/>
  <c r="Y361" i="13"/>
  <c r="Z361" i="13"/>
  <c r="AA361" i="13"/>
  <c r="AB361" i="13"/>
  <c r="W362" i="13"/>
  <c r="X362" i="13"/>
  <c r="Y362" i="13"/>
  <c r="Z362" i="13"/>
  <c r="AA362" i="13"/>
  <c r="AB362" i="13"/>
  <c r="W363" i="13"/>
  <c r="X363" i="13"/>
  <c r="Y363" i="13"/>
  <c r="Z363" i="13"/>
  <c r="AA363" i="13"/>
  <c r="AB363" i="13"/>
  <c r="W364" i="13"/>
  <c r="X364" i="13"/>
  <c r="Y364" i="13"/>
  <c r="Z364" i="13"/>
  <c r="AA364" i="13"/>
  <c r="AB364" i="13"/>
  <c r="W365" i="13"/>
  <c r="X365" i="13"/>
  <c r="Y365" i="13"/>
  <c r="Z365" i="13"/>
  <c r="AA365" i="13"/>
  <c r="AB365" i="13"/>
  <c r="W366" i="13"/>
  <c r="X366" i="13"/>
  <c r="Y366" i="13"/>
  <c r="Z366" i="13"/>
  <c r="AA366" i="13"/>
  <c r="AB366" i="13"/>
  <c r="W367" i="13"/>
  <c r="X367" i="13"/>
  <c r="Y367" i="13"/>
  <c r="Z367" i="13"/>
  <c r="AA367" i="13"/>
  <c r="AB367" i="13"/>
  <c r="W368" i="13"/>
  <c r="X368" i="13"/>
  <c r="Y368" i="13"/>
  <c r="Z368" i="13"/>
  <c r="AA368" i="13"/>
  <c r="AB368" i="13"/>
  <c r="W369" i="13"/>
  <c r="X369" i="13"/>
  <c r="Y369" i="13"/>
  <c r="Z369" i="13"/>
  <c r="AA369" i="13"/>
  <c r="AB369" i="13"/>
  <c r="W370" i="13"/>
  <c r="X370" i="13"/>
  <c r="Y370" i="13"/>
  <c r="Z370" i="13"/>
  <c r="AA370" i="13"/>
  <c r="AB370" i="13"/>
  <c r="W371" i="13"/>
  <c r="X371" i="13"/>
  <c r="Y371" i="13"/>
  <c r="Z371" i="13"/>
  <c r="AA371" i="13"/>
  <c r="AB371" i="13"/>
  <c r="W372" i="13"/>
  <c r="X372" i="13"/>
  <c r="Y372" i="13"/>
  <c r="Z372" i="13"/>
  <c r="AA372" i="13"/>
  <c r="AB372" i="13"/>
  <c r="W373" i="13"/>
  <c r="X373" i="13"/>
  <c r="Y373" i="13"/>
  <c r="Z373" i="13"/>
  <c r="AA373" i="13"/>
  <c r="AB373" i="13"/>
  <c r="W374" i="13"/>
  <c r="X374" i="13"/>
  <c r="Y374" i="13"/>
  <c r="Z374" i="13"/>
  <c r="AA374" i="13"/>
  <c r="AB374" i="13"/>
  <c r="W375" i="13"/>
  <c r="X375" i="13"/>
  <c r="Y375" i="13"/>
  <c r="Z375" i="13"/>
  <c r="AA375" i="13"/>
  <c r="AB375" i="13"/>
  <c r="W376" i="13"/>
  <c r="X376" i="13"/>
  <c r="Y376" i="13"/>
  <c r="Z376" i="13"/>
  <c r="AA376" i="13"/>
  <c r="AB376" i="13"/>
  <c r="W377" i="13"/>
  <c r="X377" i="13"/>
  <c r="Y377" i="13"/>
  <c r="Z377" i="13"/>
  <c r="AA377" i="13"/>
  <c r="AB377" i="13"/>
  <c r="W378" i="13"/>
  <c r="X378" i="13"/>
  <c r="Y378" i="13"/>
  <c r="Z378" i="13"/>
  <c r="AA378" i="13"/>
  <c r="AB378" i="13"/>
  <c r="W379" i="13"/>
  <c r="X379" i="13"/>
  <c r="Y379" i="13"/>
  <c r="Z379" i="13"/>
  <c r="AA379" i="13"/>
  <c r="AB379" i="13"/>
  <c r="W380" i="13"/>
  <c r="X380" i="13"/>
  <c r="Y380" i="13"/>
  <c r="Z380" i="13"/>
  <c r="AA380" i="13"/>
  <c r="AB380" i="13"/>
  <c r="W381" i="13"/>
  <c r="X381" i="13"/>
  <c r="Y381" i="13"/>
  <c r="Z381" i="13"/>
  <c r="AA381" i="13"/>
  <c r="AB381" i="13"/>
  <c r="W382" i="13"/>
  <c r="X382" i="13"/>
  <c r="Y382" i="13"/>
  <c r="Z382" i="13"/>
  <c r="AA382" i="13"/>
  <c r="AB382" i="13"/>
  <c r="W383" i="13"/>
  <c r="X383" i="13"/>
  <c r="Y383" i="13"/>
  <c r="Z383" i="13"/>
  <c r="AA383" i="13"/>
  <c r="AB383" i="13"/>
  <c r="W384" i="13"/>
  <c r="X384" i="13"/>
  <c r="Y384" i="13"/>
  <c r="Z384" i="13"/>
  <c r="AA384" i="13"/>
  <c r="AB384" i="13"/>
  <c r="W385" i="13"/>
  <c r="X385" i="13"/>
  <c r="Y385" i="13"/>
  <c r="Z385" i="13"/>
  <c r="AA385" i="13"/>
  <c r="AB385" i="13"/>
  <c r="W386" i="13"/>
  <c r="X386" i="13"/>
  <c r="Y386" i="13"/>
  <c r="Z386" i="13"/>
  <c r="AA386" i="13"/>
  <c r="AB386" i="13"/>
  <c r="W387" i="13"/>
  <c r="X387" i="13"/>
  <c r="Y387" i="13"/>
  <c r="Z387" i="13"/>
  <c r="AA387" i="13"/>
  <c r="AB387" i="13"/>
  <c r="W388" i="13"/>
  <c r="X388" i="13"/>
  <c r="Y388" i="13"/>
  <c r="Z388" i="13"/>
  <c r="AA388" i="13"/>
  <c r="AB388" i="13"/>
  <c r="W389" i="13"/>
  <c r="X389" i="13"/>
  <c r="Y389" i="13"/>
  <c r="Z389" i="13"/>
  <c r="AA389" i="13"/>
  <c r="AB389" i="13"/>
  <c r="W390" i="13"/>
  <c r="X390" i="13"/>
  <c r="Y390" i="13"/>
  <c r="Z390" i="13"/>
  <c r="AA390" i="13"/>
  <c r="AB390" i="13"/>
  <c r="W391" i="13"/>
  <c r="X391" i="13"/>
  <c r="Y391" i="13"/>
  <c r="Z391" i="13"/>
  <c r="AA391" i="13"/>
  <c r="AB391" i="13"/>
  <c r="W392" i="13"/>
  <c r="X392" i="13"/>
  <c r="Y392" i="13"/>
  <c r="Z392" i="13"/>
  <c r="AA392" i="13"/>
  <c r="AB392" i="13"/>
  <c r="W393" i="13"/>
  <c r="X393" i="13"/>
  <c r="Y393" i="13"/>
  <c r="Z393" i="13"/>
  <c r="AA393" i="13"/>
  <c r="AB393" i="13"/>
  <c r="W394" i="13"/>
  <c r="X394" i="13"/>
  <c r="Y394" i="13"/>
  <c r="Z394" i="13"/>
  <c r="AA394" i="13"/>
  <c r="AB394" i="13"/>
  <c r="W395" i="13"/>
  <c r="X395" i="13"/>
  <c r="Y395" i="13"/>
  <c r="Z395" i="13"/>
  <c r="AA395" i="13"/>
  <c r="AB395" i="13"/>
  <c r="W396" i="13"/>
  <c r="X396" i="13"/>
  <c r="Y396" i="13"/>
  <c r="Z396" i="13"/>
  <c r="AA396" i="13"/>
  <c r="AB396" i="13"/>
  <c r="W397" i="13"/>
  <c r="X397" i="13"/>
  <c r="Y397" i="13"/>
  <c r="Z397" i="13"/>
  <c r="AA397" i="13"/>
  <c r="AB397" i="13"/>
  <c r="W398" i="13"/>
  <c r="X398" i="13"/>
  <c r="Y398" i="13"/>
  <c r="Z398" i="13"/>
  <c r="AA398" i="13"/>
  <c r="AB398" i="13"/>
  <c r="W399" i="13"/>
  <c r="X399" i="13"/>
  <c r="Y399" i="13"/>
  <c r="Z399" i="13"/>
  <c r="AA399" i="13"/>
  <c r="AB399" i="13"/>
  <c r="W400" i="13"/>
  <c r="X400" i="13"/>
  <c r="Y400" i="13"/>
  <c r="Z400" i="13"/>
  <c r="AA400" i="13"/>
  <c r="AB400" i="13"/>
  <c r="W401" i="13"/>
  <c r="X401" i="13"/>
  <c r="Y401" i="13"/>
  <c r="Z401" i="13"/>
  <c r="AA401" i="13"/>
  <c r="AB401" i="13"/>
  <c r="W402" i="13"/>
  <c r="X402" i="13"/>
  <c r="Y402" i="13"/>
  <c r="Z402" i="13"/>
  <c r="AA402" i="13"/>
  <c r="AB402" i="13"/>
  <c r="W403" i="13"/>
  <c r="X403" i="13"/>
  <c r="Y403" i="13"/>
  <c r="Z403" i="13"/>
  <c r="AA403" i="13"/>
  <c r="AB403" i="13"/>
  <c r="W404" i="13"/>
  <c r="X404" i="13"/>
  <c r="Y404" i="13"/>
  <c r="Z404" i="13"/>
  <c r="AA404" i="13"/>
  <c r="AB404" i="13"/>
  <c r="W405" i="13"/>
  <c r="X405" i="13"/>
  <c r="Y405" i="13"/>
  <c r="Z405" i="13"/>
  <c r="AA405" i="13"/>
  <c r="AB405" i="13"/>
  <c r="W406" i="13"/>
  <c r="X406" i="13"/>
  <c r="Y406" i="13"/>
  <c r="Z406" i="13"/>
  <c r="AA406" i="13"/>
  <c r="AB406" i="13"/>
  <c r="W407" i="13"/>
  <c r="X407" i="13"/>
  <c r="Y407" i="13"/>
  <c r="Z407" i="13"/>
  <c r="AA407" i="13"/>
  <c r="AB407" i="13"/>
  <c r="W408" i="13"/>
  <c r="X408" i="13"/>
  <c r="Y408" i="13"/>
  <c r="Z408" i="13"/>
  <c r="AA408" i="13"/>
  <c r="AB408" i="13"/>
  <c r="W409" i="13"/>
  <c r="X409" i="13"/>
  <c r="Y409" i="13"/>
  <c r="Z409" i="13"/>
  <c r="AA409" i="13"/>
  <c r="AB409" i="13"/>
  <c r="W410" i="13"/>
  <c r="X410" i="13"/>
  <c r="Y410" i="13"/>
  <c r="Z410" i="13"/>
  <c r="AA410" i="13"/>
  <c r="AB410" i="13"/>
  <c r="W411" i="13"/>
  <c r="X411" i="13"/>
  <c r="Y411" i="13"/>
  <c r="Z411" i="13"/>
  <c r="AA411" i="13"/>
  <c r="AB411" i="13"/>
  <c r="W412" i="13"/>
  <c r="X412" i="13"/>
  <c r="Y412" i="13"/>
  <c r="Z412" i="13"/>
  <c r="AA412" i="13"/>
  <c r="AB412" i="13"/>
  <c r="W413" i="13"/>
  <c r="X413" i="13"/>
  <c r="Y413" i="13"/>
  <c r="Z413" i="13"/>
  <c r="AA413" i="13"/>
  <c r="AB413" i="13"/>
  <c r="W414" i="13"/>
  <c r="X414" i="13"/>
  <c r="Y414" i="13"/>
  <c r="Z414" i="13"/>
  <c r="AA414" i="13"/>
  <c r="AB414" i="13"/>
  <c r="W415" i="13"/>
  <c r="X415" i="13"/>
  <c r="Y415" i="13"/>
  <c r="Z415" i="13"/>
  <c r="AA415" i="13"/>
  <c r="AB415" i="13"/>
  <c r="W416" i="13"/>
  <c r="X416" i="13"/>
  <c r="Y416" i="13"/>
  <c r="Z416" i="13"/>
  <c r="AA416" i="13"/>
  <c r="AB416" i="13"/>
  <c r="W417" i="13"/>
  <c r="X417" i="13"/>
  <c r="Y417" i="13"/>
  <c r="Z417" i="13"/>
  <c r="AA417" i="13"/>
  <c r="AB417" i="13"/>
  <c r="W418" i="13"/>
  <c r="X418" i="13"/>
  <c r="Y418" i="13"/>
  <c r="Z418" i="13"/>
  <c r="AA418" i="13"/>
  <c r="AB418" i="13"/>
  <c r="W419" i="13"/>
  <c r="X419" i="13"/>
  <c r="Y419" i="13"/>
  <c r="Z419" i="13"/>
  <c r="AA419" i="13"/>
  <c r="AB419" i="13"/>
  <c r="W420" i="13"/>
  <c r="X420" i="13"/>
  <c r="Y420" i="13"/>
  <c r="Z420" i="13"/>
  <c r="AA420" i="13"/>
  <c r="AB420" i="13"/>
  <c r="W421" i="13"/>
  <c r="X421" i="13"/>
  <c r="Y421" i="13"/>
  <c r="Z421" i="13"/>
  <c r="AA421" i="13"/>
  <c r="AB421" i="13"/>
  <c r="W422" i="13"/>
  <c r="X422" i="13"/>
  <c r="Y422" i="13"/>
  <c r="Z422" i="13"/>
  <c r="AA422" i="13"/>
  <c r="AB422" i="13"/>
  <c r="W423" i="13"/>
  <c r="X423" i="13"/>
  <c r="Y423" i="13"/>
  <c r="Z423" i="13"/>
  <c r="AA423" i="13"/>
  <c r="AB423" i="13"/>
  <c r="W424" i="13"/>
  <c r="X424" i="13"/>
  <c r="Y424" i="13"/>
  <c r="Z424" i="13"/>
  <c r="AA424" i="13"/>
  <c r="AB424" i="13"/>
  <c r="W425" i="13"/>
  <c r="X425" i="13"/>
  <c r="Y425" i="13"/>
  <c r="Z425" i="13"/>
  <c r="AA425" i="13"/>
  <c r="AB425" i="13"/>
  <c r="W426" i="13"/>
  <c r="X426" i="13"/>
  <c r="Y426" i="13"/>
  <c r="Z426" i="13"/>
  <c r="AA426" i="13"/>
  <c r="AB426" i="13"/>
  <c r="W427" i="13"/>
  <c r="X427" i="13"/>
  <c r="Y427" i="13"/>
  <c r="Z427" i="13"/>
  <c r="AA427" i="13"/>
  <c r="AB427" i="13"/>
  <c r="W428" i="13"/>
  <c r="X428" i="13"/>
  <c r="Y428" i="13"/>
  <c r="Z428" i="13"/>
  <c r="AA428" i="13"/>
  <c r="AB428" i="13"/>
  <c r="W429" i="13"/>
  <c r="X429" i="13"/>
  <c r="Y429" i="13"/>
  <c r="Z429" i="13"/>
  <c r="AA429" i="13"/>
  <c r="AB429" i="13"/>
  <c r="W430" i="13"/>
  <c r="X430" i="13"/>
  <c r="Y430" i="13"/>
  <c r="Z430" i="13"/>
  <c r="AA430" i="13"/>
  <c r="AB430" i="13"/>
  <c r="W431" i="13"/>
  <c r="X431" i="13"/>
  <c r="Y431" i="13"/>
  <c r="Z431" i="13"/>
  <c r="AA431" i="13"/>
  <c r="AB431" i="13"/>
  <c r="W432" i="13"/>
  <c r="X432" i="13"/>
  <c r="Y432" i="13"/>
  <c r="Z432" i="13"/>
  <c r="AA432" i="13"/>
  <c r="AB432" i="13"/>
  <c r="W433" i="13"/>
  <c r="X433" i="13"/>
  <c r="Y433" i="13"/>
  <c r="Z433" i="13"/>
  <c r="AA433" i="13"/>
  <c r="AB433" i="13"/>
  <c r="W434" i="13"/>
  <c r="X434" i="13"/>
  <c r="Y434" i="13"/>
  <c r="Z434" i="13"/>
  <c r="AA434" i="13"/>
  <c r="AB434" i="13"/>
  <c r="W435" i="13"/>
  <c r="X435" i="13"/>
  <c r="Y435" i="13"/>
  <c r="Z435" i="13"/>
  <c r="AA435" i="13"/>
  <c r="AB435" i="13"/>
  <c r="W436" i="13"/>
  <c r="X436" i="13"/>
  <c r="Y436" i="13"/>
  <c r="Z436" i="13"/>
  <c r="AA436" i="13"/>
  <c r="AB436" i="13"/>
  <c r="W437" i="13"/>
  <c r="X437" i="13"/>
  <c r="Y437" i="13"/>
  <c r="Z437" i="13"/>
  <c r="AA437" i="13"/>
  <c r="AB437" i="13"/>
  <c r="W438" i="13"/>
  <c r="X438" i="13"/>
  <c r="Y438" i="13"/>
  <c r="Z438" i="13"/>
  <c r="AA438" i="13"/>
  <c r="AB438" i="13"/>
  <c r="W439" i="13"/>
  <c r="X439" i="13"/>
  <c r="Y439" i="13"/>
  <c r="Z439" i="13"/>
  <c r="AA439" i="13"/>
  <c r="AB439" i="13"/>
  <c r="W440" i="13"/>
  <c r="X440" i="13"/>
  <c r="Y440" i="13"/>
  <c r="Z440" i="13"/>
  <c r="AA440" i="13"/>
  <c r="AB440" i="13"/>
  <c r="W441" i="13"/>
  <c r="X441" i="13"/>
  <c r="Y441" i="13"/>
  <c r="Z441" i="13"/>
  <c r="AA441" i="13"/>
  <c r="AB441" i="13"/>
  <c r="W442" i="13"/>
  <c r="X442" i="13"/>
  <c r="Y442" i="13"/>
  <c r="Z442" i="13"/>
  <c r="AA442" i="13"/>
  <c r="AB442" i="13"/>
  <c r="W443" i="13"/>
  <c r="X443" i="13"/>
  <c r="Y443" i="13"/>
  <c r="Z443" i="13"/>
  <c r="AA443" i="13"/>
  <c r="AB443" i="13"/>
  <c r="W444" i="13"/>
  <c r="X444" i="13"/>
  <c r="Y444" i="13"/>
  <c r="Z444" i="13"/>
  <c r="AA444" i="13"/>
  <c r="AB444" i="13"/>
  <c r="W445" i="13"/>
  <c r="X445" i="13"/>
  <c r="Y445" i="13"/>
  <c r="Z445" i="13"/>
  <c r="AA445" i="13"/>
  <c r="AB445" i="13"/>
  <c r="W446" i="13"/>
  <c r="X446" i="13"/>
  <c r="Y446" i="13"/>
  <c r="Z446" i="13"/>
  <c r="AA446" i="13"/>
  <c r="AB446" i="13"/>
  <c r="W447" i="13"/>
  <c r="X447" i="13"/>
  <c r="Y447" i="13"/>
  <c r="Z447" i="13"/>
  <c r="AA447" i="13"/>
  <c r="AB447" i="13"/>
  <c r="W448" i="13"/>
  <c r="X448" i="13"/>
  <c r="Y448" i="13"/>
  <c r="Z448" i="13"/>
  <c r="AA448" i="13"/>
  <c r="AB448" i="13"/>
  <c r="W449" i="13"/>
  <c r="X449" i="13"/>
  <c r="Y449" i="13"/>
  <c r="Z449" i="13"/>
  <c r="AA449" i="13"/>
  <c r="AB449" i="13"/>
  <c r="W450" i="13"/>
  <c r="X450" i="13"/>
  <c r="Y450" i="13"/>
  <c r="Z450" i="13"/>
  <c r="AA450" i="13"/>
  <c r="AB450" i="13"/>
  <c r="W451" i="13"/>
  <c r="X451" i="13"/>
  <c r="Y451" i="13"/>
  <c r="Z451" i="13"/>
  <c r="AA451" i="13"/>
  <c r="AB451" i="13"/>
  <c r="W452" i="13"/>
  <c r="X452" i="13"/>
  <c r="Y452" i="13"/>
  <c r="Z452" i="13"/>
  <c r="AA452" i="13"/>
  <c r="AB452" i="13"/>
  <c r="W453" i="13"/>
  <c r="X453" i="13"/>
  <c r="Y453" i="13"/>
  <c r="Z453" i="13"/>
  <c r="AA453" i="13"/>
  <c r="AB453" i="13"/>
  <c r="W454" i="13"/>
  <c r="X454" i="13"/>
  <c r="Y454" i="13"/>
  <c r="Z454" i="13"/>
  <c r="AA454" i="13"/>
  <c r="AB454" i="13"/>
  <c r="W455" i="13"/>
  <c r="X455" i="13"/>
  <c r="Y455" i="13"/>
  <c r="Z455" i="13"/>
  <c r="AA455" i="13"/>
  <c r="AB455" i="13"/>
  <c r="W456" i="13"/>
  <c r="X456" i="13"/>
  <c r="Y456" i="13"/>
  <c r="Z456" i="13"/>
  <c r="AA456" i="13"/>
  <c r="AB456" i="13"/>
  <c r="W457" i="13"/>
  <c r="X457" i="13"/>
  <c r="Y457" i="13"/>
  <c r="Z457" i="13"/>
  <c r="AA457" i="13"/>
  <c r="AB457" i="13"/>
  <c r="W458" i="13"/>
  <c r="X458" i="13"/>
  <c r="Y458" i="13"/>
  <c r="Z458" i="13"/>
  <c r="AA458" i="13"/>
  <c r="AB458" i="13"/>
  <c r="W459" i="13"/>
  <c r="X459" i="13"/>
  <c r="Y459" i="13"/>
  <c r="Z459" i="13"/>
  <c r="AA459" i="13"/>
  <c r="AB459" i="13"/>
  <c r="W460" i="13"/>
  <c r="X460" i="13"/>
  <c r="Y460" i="13"/>
  <c r="Z460" i="13"/>
  <c r="AA460" i="13"/>
  <c r="AB460" i="13"/>
  <c r="W461" i="13"/>
  <c r="X461" i="13"/>
  <c r="Y461" i="13"/>
  <c r="Z461" i="13"/>
  <c r="AA461" i="13"/>
  <c r="AB461" i="13"/>
  <c r="W462" i="13"/>
  <c r="X462" i="13"/>
  <c r="Y462" i="13"/>
  <c r="Z462" i="13"/>
  <c r="AA462" i="13"/>
  <c r="AB462" i="13"/>
  <c r="W463" i="13"/>
  <c r="X463" i="13"/>
  <c r="Y463" i="13"/>
  <c r="Z463" i="13"/>
  <c r="AA463" i="13"/>
  <c r="AB463" i="13"/>
  <c r="W464" i="13"/>
  <c r="X464" i="13"/>
  <c r="Y464" i="13"/>
  <c r="Z464" i="13"/>
  <c r="AA464" i="13"/>
  <c r="AB464" i="13"/>
  <c r="W465" i="13"/>
  <c r="X465" i="13"/>
  <c r="Y465" i="13"/>
  <c r="Z465" i="13"/>
  <c r="AA465" i="13"/>
  <c r="AB465" i="13"/>
  <c r="W466" i="13"/>
  <c r="X466" i="13"/>
  <c r="Y466" i="13"/>
  <c r="Z466" i="13"/>
  <c r="AA466" i="13"/>
  <c r="AB466" i="13"/>
  <c r="W467" i="13"/>
  <c r="X467" i="13"/>
  <c r="Y467" i="13"/>
  <c r="Z467" i="13"/>
  <c r="AA467" i="13"/>
  <c r="AB467" i="13"/>
  <c r="W468" i="13"/>
  <c r="X468" i="13"/>
  <c r="Y468" i="13"/>
  <c r="Z468" i="13"/>
  <c r="AA468" i="13"/>
  <c r="AB468" i="13"/>
  <c r="W469" i="13"/>
  <c r="X469" i="13"/>
  <c r="Y469" i="13"/>
  <c r="Z469" i="13"/>
  <c r="AA469" i="13"/>
  <c r="AB469" i="13"/>
  <c r="W470" i="13"/>
  <c r="X470" i="13"/>
  <c r="Y470" i="13"/>
  <c r="Z470" i="13"/>
  <c r="AA470" i="13"/>
  <c r="AB470" i="13"/>
  <c r="W471" i="13"/>
  <c r="X471" i="13"/>
  <c r="Y471" i="13"/>
  <c r="Z471" i="13"/>
  <c r="AA471" i="13"/>
  <c r="AB471" i="13"/>
  <c r="W472" i="13"/>
  <c r="X472" i="13"/>
  <c r="Y472" i="13"/>
  <c r="Z472" i="13"/>
  <c r="AA472" i="13"/>
  <c r="AB472" i="13"/>
  <c r="W473" i="13"/>
  <c r="X473" i="13"/>
  <c r="Y473" i="13"/>
  <c r="Z473" i="13"/>
  <c r="AA473" i="13"/>
  <c r="AB473" i="13"/>
  <c r="W474" i="13"/>
  <c r="X474" i="13"/>
  <c r="Y474" i="13"/>
  <c r="Z474" i="13"/>
  <c r="AA474" i="13"/>
  <c r="AB474" i="13"/>
  <c r="W475" i="13"/>
  <c r="X475" i="13"/>
  <c r="Y475" i="13"/>
  <c r="Z475" i="13"/>
  <c r="AA475" i="13"/>
  <c r="AB475" i="13"/>
  <c r="W476" i="13"/>
  <c r="X476" i="13"/>
  <c r="Y476" i="13"/>
  <c r="Z476" i="13"/>
  <c r="AA476" i="13"/>
  <c r="AB476" i="13"/>
  <c r="W477" i="13"/>
  <c r="X477" i="13"/>
  <c r="Y477" i="13"/>
  <c r="Z477" i="13"/>
  <c r="AA477" i="13"/>
  <c r="AB477" i="13"/>
  <c r="W478" i="13"/>
  <c r="X478" i="13"/>
  <c r="Y478" i="13"/>
  <c r="Z478" i="13"/>
  <c r="AA478" i="13"/>
  <c r="AB478" i="13"/>
  <c r="W479" i="13"/>
  <c r="X479" i="13"/>
  <c r="Y479" i="13"/>
  <c r="Z479" i="13"/>
  <c r="AA479" i="13"/>
  <c r="AB479" i="13"/>
  <c r="W480" i="13"/>
  <c r="X480" i="13"/>
  <c r="Y480" i="13"/>
  <c r="Z480" i="13"/>
  <c r="AA480" i="13"/>
  <c r="AB480" i="13"/>
  <c r="W481" i="13"/>
  <c r="X481" i="13"/>
  <c r="Y481" i="13"/>
  <c r="Z481" i="13"/>
  <c r="AA481" i="13"/>
  <c r="AB481" i="13"/>
  <c r="W482" i="13"/>
  <c r="X482" i="13"/>
  <c r="Y482" i="13"/>
  <c r="Z482" i="13"/>
  <c r="AA482" i="13"/>
  <c r="AB482" i="13"/>
  <c r="W483" i="13"/>
  <c r="X483" i="13"/>
  <c r="Y483" i="13"/>
  <c r="Z483" i="13"/>
  <c r="AA483" i="13"/>
  <c r="AB483" i="13"/>
  <c r="W484" i="13"/>
  <c r="X484" i="13"/>
  <c r="Y484" i="13"/>
  <c r="Z484" i="13"/>
  <c r="AA484" i="13"/>
  <c r="AB484" i="13"/>
  <c r="W485" i="13"/>
  <c r="X485" i="13"/>
  <c r="Y485" i="13"/>
  <c r="Z485" i="13"/>
  <c r="AA485" i="13"/>
  <c r="AB485" i="13"/>
  <c r="W486" i="13"/>
  <c r="X486" i="13"/>
  <c r="Y486" i="13"/>
  <c r="Z486" i="13"/>
  <c r="AA486" i="13"/>
  <c r="AB486" i="13"/>
  <c r="W487" i="13"/>
  <c r="X487" i="13"/>
  <c r="Y487" i="13"/>
  <c r="Z487" i="13"/>
  <c r="AA487" i="13"/>
  <c r="AB487" i="13"/>
  <c r="W488" i="13"/>
  <c r="X488" i="13"/>
  <c r="Y488" i="13"/>
  <c r="Z488" i="13"/>
  <c r="AA488" i="13"/>
  <c r="AB488" i="13"/>
  <c r="AB53" i="13"/>
  <c r="X53" i="13"/>
  <c r="Y53" i="13"/>
  <c r="Z53" i="13"/>
  <c r="AA53" i="13"/>
  <c r="W53" i="13"/>
  <c r="BT6" i="13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T31" i="13"/>
  <c r="BT32" i="13"/>
  <c r="BT33" i="13"/>
  <c r="BT34" i="13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S7" i="13"/>
  <c r="BS8" i="13"/>
  <c r="BS9" i="13"/>
  <c r="BS10" i="13"/>
  <c r="BS11" i="13"/>
  <c r="BS12" i="13"/>
  <c r="BS13" i="13"/>
  <c r="BS14" i="13"/>
  <c r="BS15" i="13"/>
  <c r="BS16" i="13"/>
  <c r="BS17" i="13"/>
  <c r="BS18" i="13"/>
  <c r="BS19" i="13"/>
  <c r="BS21" i="13"/>
  <c r="BS22" i="13"/>
  <c r="BS23" i="13"/>
  <c r="BS24" i="13"/>
  <c r="BS25" i="13"/>
  <c r="BS26" i="13"/>
  <c r="BS27" i="13"/>
  <c r="BS28" i="13"/>
  <c r="BS29" i="13"/>
  <c r="BS30" i="13"/>
  <c r="BS31" i="13"/>
  <c r="BS32" i="13"/>
  <c r="BS33" i="13"/>
  <c r="BS34" i="13"/>
  <c r="BS35" i="13"/>
  <c r="BS36" i="13"/>
  <c r="BS37" i="13"/>
  <c r="BS38" i="13"/>
  <c r="BS39" i="13"/>
  <c r="BS40" i="13"/>
  <c r="BS41" i="13"/>
  <c r="BS42" i="13"/>
  <c r="BS43" i="13"/>
  <c r="BS44" i="13"/>
  <c r="BS45" i="13"/>
  <c r="BS46" i="13"/>
  <c r="BS47" i="13"/>
  <c r="BS48" i="13"/>
  <c r="BS4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CI34" i="13" l="1"/>
  <c r="CI5" i="13"/>
  <c r="BU47" i="13"/>
  <c r="BV47" i="13" s="1"/>
  <c r="BU43" i="13"/>
  <c r="BV43" i="13" s="1"/>
  <c r="BU39" i="13"/>
  <c r="BV39" i="13" s="1"/>
  <c r="BU35" i="13"/>
  <c r="BV35" i="13" s="1"/>
  <c r="BU31" i="13"/>
  <c r="BV31" i="13" s="1"/>
  <c r="BU27" i="13"/>
  <c r="BV27" i="13" s="1"/>
  <c r="BU23" i="13"/>
  <c r="BV23" i="13" s="1"/>
  <c r="BU19" i="13"/>
  <c r="BV19" i="13" s="1"/>
  <c r="BU49" i="13"/>
  <c r="BV49" i="13" s="1"/>
  <c r="BU45" i="13"/>
  <c r="BV45" i="13" s="1"/>
  <c r="BU41" i="13"/>
  <c r="BV41" i="13" s="1"/>
  <c r="BU37" i="13"/>
  <c r="BV37" i="13" s="1"/>
  <c r="BU33" i="13"/>
  <c r="BV33" i="13" s="1"/>
  <c r="BU29" i="13"/>
  <c r="BV29" i="13" s="1"/>
  <c r="BU25" i="13"/>
  <c r="BV25" i="13" s="1"/>
  <c r="BU21" i="13"/>
  <c r="BV21" i="13" s="1"/>
  <c r="BU17" i="13"/>
  <c r="BV17" i="13" s="1"/>
  <c r="BU13" i="13"/>
  <c r="BV13" i="13" s="1"/>
  <c r="BU9" i="13"/>
  <c r="BV9" i="13" s="1"/>
  <c r="BU15" i="13"/>
  <c r="BV15" i="13" s="1"/>
  <c r="BU11" i="13"/>
  <c r="BV11" i="13" s="1"/>
  <c r="BU7" i="13"/>
  <c r="BV7" i="13" s="1"/>
  <c r="BU5" i="13"/>
  <c r="BV5" i="13" s="1"/>
  <c r="BU46" i="13"/>
  <c r="BV46" i="13" s="1"/>
  <c r="BU48" i="13"/>
  <c r="BV48" i="13" s="1"/>
  <c r="BU44" i="13"/>
  <c r="BV44" i="13" s="1"/>
  <c r="BU40" i="13"/>
  <c r="BV40" i="13" s="1"/>
  <c r="BU36" i="13"/>
  <c r="BV36" i="13" s="1"/>
  <c r="BU32" i="13"/>
  <c r="BV32" i="13" s="1"/>
  <c r="BU28" i="13"/>
  <c r="BV28" i="13" s="1"/>
  <c r="BU24" i="13"/>
  <c r="BV24" i="13" s="1"/>
  <c r="BU20" i="13"/>
  <c r="BV20" i="13" s="1"/>
  <c r="BU16" i="13"/>
  <c r="BV16" i="13" s="1"/>
  <c r="BU12" i="13"/>
  <c r="BV12" i="13" s="1"/>
  <c r="BU8" i="13"/>
  <c r="BV8" i="13" s="1"/>
  <c r="BU42" i="13"/>
  <c r="BV42" i="13" s="1"/>
  <c r="BU38" i="13"/>
  <c r="BV38" i="13" s="1"/>
  <c r="BU34" i="13"/>
  <c r="BV34" i="13" s="1"/>
  <c r="BU30" i="13"/>
  <c r="BV30" i="13" s="1"/>
  <c r="BU26" i="13"/>
  <c r="BV26" i="13" s="1"/>
  <c r="BU22" i="13"/>
  <c r="BV22" i="13" s="1"/>
  <c r="BU18" i="13"/>
  <c r="BV18" i="13" s="1"/>
  <c r="BU14" i="13"/>
  <c r="BV14" i="13" s="1"/>
  <c r="BU10" i="13"/>
  <c r="BV10" i="13" s="1"/>
  <c r="BU6" i="13"/>
  <c r="BV6" i="13" s="1"/>
  <c r="T3" i="13"/>
  <c r="T2" i="13"/>
  <c r="CI29" i="13"/>
  <c r="CI32" i="13"/>
  <c r="CI30" i="13"/>
  <c r="CI36" i="13"/>
  <c r="CI13" i="13"/>
  <c r="CI8" i="13"/>
  <c r="CI6" i="13"/>
  <c r="CI14" i="13"/>
  <c r="CI26" i="13"/>
  <c r="CI20" i="13"/>
  <c r="CI25" i="13"/>
  <c r="CI12" i="13"/>
  <c r="CI23" i="13"/>
  <c r="CI19" i="13"/>
  <c r="CI28" i="13"/>
  <c r="AD58" i="13"/>
  <c r="AE489" i="13"/>
  <c r="CI24" i="13"/>
  <c r="CI9" i="13"/>
  <c r="CI18" i="13"/>
  <c r="CI37" i="13"/>
  <c r="CI21" i="13"/>
  <c r="CI17" i="13"/>
  <c r="CI16" i="13"/>
  <c r="CI35" i="13"/>
  <c r="CI22" i="13"/>
  <c r="CI7" i="13"/>
  <c r="CI15" i="13"/>
  <c r="CI33" i="13"/>
  <c r="CI27" i="13"/>
  <c r="CI11" i="13"/>
  <c r="CI10" i="13"/>
  <c r="CI31" i="13"/>
  <c r="BP81" i="13"/>
  <c r="BQ79" i="13" s="1"/>
  <c r="AE424" i="13"/>
  <c r="AE408" i="13"/>
  <c r="AE392" i="13"/>
  <c r="AD83" i="13"/>
  <c r="AD74" i="13"/>
  <c r="AD67" i="13"/>
  <c r="AE57" i="13"/>
  <c r="AD328" i="13"/>
  <c r="AE55" i="13"/>
  <c r="AE56" i="13"/>
  <c r="AD216" i="13"/>
  <c r="AE54" i="13"/>
  <c r="AC490" i="13"/>
  <c r="AD264" i="13"/>
  <c r="AD248" i="13"/>
  <c r="AD57" i="13"/>
  <c r="AD55" i="13"/>
  <c r="AC55" i="13" s="1"/>
  <c r="AE472" i="13"/>
  <c r="AD124" i="13"/>
  <c r="AD56" i="13"/>
  <c r="AD54" i="13"/>
  <c r="AE488" i="13"/>
  <c r="AD296" i="13"/>
  <c r="AD180" i="13"/>
  <c r="AD132" i="13"/>
  <c r="AD489" i="13"/>
  <c r="AE440" i="13"/>
  <c r="AD96" i="13"/>
  <c r="AD82" i="13"/>
  <c r="AD66" i="13"/>
  <c r="BB8" i="10"/>
  <c r="BC8" i="10" s="1"/>
  <c r="BD8" i="10" s="1"/>
  <c r="BE8" i="10" s="1"/>
  <c r="BF8" i="10" s="1"/>
  <c r="AZ9" i="10" s="1"/>
  <c r="BA9" i="10" s="1"/>
  <c r="BB9" i="10" s="1"/>
  <c r="BC9" i="10" s="1"/>
  <c r="BD9" i="10" s="1"/>
  <c r="BE9" i="10" s="1"/>
  <c r="BF9" i="10" s="1"/>
  <c r="AZ10" i="10" s="1"/>
  <c r="BA10" i="10" s="1"/>
  <c r="BB10" i="10" s="1"/>
  <c r="BC10" i="10" s="1"/>
  <c r="BD10" i="10" s="1"/>
  <c r="BE10" i="10" s="1"/>
  <c r="BF10" i="10" s="1"/>
  <c r="AZ11" i="10" s="1"/>
  <c r="BA11" i="10" s="1"/>
  <c r="BB11" i="10" s="1"/>
  <c r="BC11" i="10" s="1"/>
  <c r="BD11" i="10" s="1"/>
  <c r="BE11" i="10" s="1"/>
  <c r="BF11" i="10" s="1"/>
  <c r="AZ12" i="10" s="1"/>
  <c r="BA12" i="10" s="1"/>
  <c r="BB12" i="10" s="1"/>
  <c r="AE53" i="13"/>
  <c r="AE456" i="13"/>
  <c r="AD312" i="13"/>
  <c r="AD196" i="13"/>
  <c r="AD88" i="13"/>
  <c r="AD70" i="13"/>
  <c r="AE376" i="13"/>
  <c r="AD360" i="13"/>
  <c r="AD344" i="13"/>
  <c r="AD280" i="13"/>
  <c r="AD232" i="13"/>
  <c r="AD164" i="13"/>
  <c r="AD148" i="13"/>
  <c r="AD108" i="13"/>
  <c r="AD78" i="13"/>
  <c r="AD62" i="13"/>
  <c r="AE464" i="13"/>
  <c r="AE432" i="13"/>
  <c r="AE400" i="13"/>
  <c r="AE368" i="13"/>
  <c r="AD336" i="13"/>
  <c r="AD304" i="13"/>
  <c r="AD272" i="13"/>
  <c r="AD240" i="13"/>
  <c r="AD204" i="13"/>
  <c r="AD172" i="13"/>
  <c r="AD140" i="13"/>
  <c r="AD116" i="13"/>
  <c r="AD92" i="13"/>
  <c r="AD80" i="13"/>
  <c r="AD72" i="13"/>
  <c r="AD64" i="13"/>
  <c r="AE480" i="13"/>
  <c r="AE448" i="13"/>
  <c r="AE416" i="13"/>
  <c r="AE384" i="13"/>
  <c r="AD352" i="13"/>
  <c r="AD320" i="13"/>
  <c r="AD288" i="13"/>
  <c r="AD256" i="13"/>
  <c r="AD224" i="13"/>
  <c r="AD188" i="13"/>
  <c r="AD156" i="13"/>
  <c r="AE100" i="13"/>
  <c r="AD86" i="13"/>
  <c r="AD76" i="13"/>
  <c r="AD68" i="13"/>
  <c r="AD60" i="13"/>
  <c r="AE476" i="13"/>
  <c r="AE460" i="13"/>
  <c r="AE444" i="13"/>
  <c r="AE428" i="13"/>
  <c r="AE412" i="13"/>
  <c r="AE396" i="13"/>
  <c r="AE380" i="13"/>
  <c r="AE364" i="13"/>
  <c r="AD348" i="13"/>
  <c r="AD332" i="13"/>
  <c r="AD316" i="13"/>
  <c r="AD300" i="13"/>
  <c r="AD284" i="13"/>
  <c r="AD268" i="13"/>
  <c r="AD252" i="13"/>
  <c r="AD236" i="13"/>
  <c r="AD220" i="13"/>
  <c r="AD200" i="13"/>
  <c r="AD184" i="13"/>
  <c r="AD168" i="13"/>
  <c r="AD152" i="13"/>
  <c r="AD136" i="13"/>
  <c r="AD120" i="13"/>
  <c r="AE104" i="13"/>
  <c r="AD101" i="13"/>
  <c r="AD94" i="13"/>
  <c r="AD87" i="13"/>
  <c r="AD81" i="13"/>
  <c r="AD77" i="13"/>
  <c r="AD73" i="13"/>
  <c r="AD69" i="13"/>
  <c r="AD65" i="13"/>
  <c r="AE64" i="13"/>
  <c r="AD61" i="13"/>
  <c r="AE484" i="13"/>
  <c r="AE468" i="13"/>
  <c r="AE452" i="13"/>
  <c r="AE436" i="13"/>
  <c r="AE420" i="13"/>
  <c r="AE404" i="13"/>
  <c r="AE388" i="13"/>
  <c r="AE372" i="13"/>
  <c r="AD356" i="13"/>
  <c r="AD340" i="13"/>
  <c r="AD324" i="13"/>
  <c r="AD308" i="13"/>
  <c r="AD292" i="13"/>
  <c r="AD276" i="13"/>
  <c r="AD260" i="13"/>
  <c r="AD244" i="13"/>
  <c r="AD228" i="13"/>
  <c r="AD212" i="13"/>
  <c r="AD208" i="13"/>
  <c r="AD192" i="13"/>
  <c r="AD176" i="13"/>
  <c r="AD160" i="13"/>
  <c r="AD144" i="13"/>
  <c r="AD128" i="13"/>
  <c r="AD112" i="13"/>
  <c r="AE98" i="13"/>
  <c r="AD90" i="13"/>
  <c r="AD84" i="13"/>
  <c r="AD79" i="13"/>
  <c r="AD75" i="13"/>
  <c r="AD71" i="13"/>
  <c r="AE67" i="13"/>
  <c r="AD63" i="13"/>
  <c r="AD59" i="13"/>
  <c r="AE482" i="13"/>
  <c r="AE474" i="13"/>
  <c r="AE466" i="13"/>
  <c r="AE458" i="13"/>
  <c r="AE450" i="13"/>
  <c r="AE442" i="13"/>
  <c r="AE434" i="13"/>
  <c r="AE426" i="13"/>
  <c r="AE418" i="13"/>
  <c r="AE410" i="13"/>
  <c r="AE402" i="13"/>
  <c r="AE394" i="13"/>
  <c r="AE386" i="13"/>
  <c r="AE378" i="13"/>
  <c r="AE370" i="13"/>
  <c r="AD362" i="13"/>
  <c r="AD354" i="13"/>
  <c r="AD346" i="13"/>
  <c r="AD338" i="13"/>
  <c r="AD330" i="13"/>
  <c r="AD322" i="13"/>
  <c r="AD314" i="13"/>
  <c r="AD306" i="13"/>
  <c r="AD298" i="13"/>
  <c r="AD290" i="13"/>
  <c r="AD282" i="13"/>
  <c r="AD274" i="13"/>
  <c r="AD266" i="13"/>
  <c r="AD258" i="13"/>
  <c r="AD250" i="13"/>
  <c r="AD242" i="13"/>
  <c r="AD234" i="13"/>
  <c r="AD226" i="13"/>
  <c r="AD218" i="13"/>
  <c r="AD210" i="13"/>
  <c r="AD202" i="13"/>
  <c r="AD194" i="13"/>
  <c r="AD186" i="13"/>
  <c r="AD178" i="13"/>
  <c r="AD170" i="13"/>
  <c r="AD162" i="13"/>
  <c r="AD154" i="13"/>
  <c r="AD146" i="13"/>
  <c r="AD138" i="13"/>
  <c r="AD130" i="13"/>
  <c r="AD122" i="13"/>
  <c r="AD114" i="13"/>
  <c r="AE106" i="13"/>
  <c r="AD95" i="13"/>
  <c r="AD91" i="13"/>
  <c r="AD85" i="13"/>
  <c r="AE486" i="13"/>
  <c r="AE478" i="13"/>
  <c r="AE470" i="13"/>
  <c r="AE462" i="13"/>
  <c r="AE454" i="13"/>
  <c r="AE446" i="13"/>
  <c r="AE438" i="13"/>
  <c r="AE430" i="13"/>
  <c r="AE422" i="13"/>
  <c r="AE414" i="13"/>
  <c r="AE406" i="13"/>
  <c r="AE398" i="13"/>
  <c r="AE390" i="13"/>
  <c r="AE382" i="13"/>
  <c r="AE374" i="13"/>
  <c r="AE366" i="13"/>
  <c r="AD358" i="13"/>
  <c r="AD350" i="13"/>
  <c r="AD342" i="13"/>
  <c r="AD334" i="13"/>
  <c r="AD326" i="13"/>
  <c r="AD318" i="13"/>
  <c r="AD310" i="13"/>
  <c r="AD302" i="13"/>
  <c r="AD294" i="13"/>
  <c r="AD286" i="13"/>
  <c r="AD278" i="13"/>
  <c r="AD270" i="13"/>
  <c r="AD262" i="13"/>
  <c r="AD254" i="13"/>
  <c r="AD246" i="13"/>
  <c r="AD238" i="13"/>
  <c r="AD230" i="13"/>
  <c r="AD222" i="13"/>
  <c r="AD214" i="13"/>
  <c r="AD206" i="13"/>
  <c r="AD198" i="13"/>
  <c r="AD190" i="13"/>
  <c r="AD182" i="13"/>
  <c r="AD174" i="13"/>
  <c r="AD166" i="13"/>
  <c r="AD158" i="13"/>
  <c r="AD150" i="13"/>
  <c r="AD142" i="13"/>
  <c r="AD134" i="13"/>
  <c r="AD126" i="13"/>
  <c r="AD118" i="13"/>
  <c r="AD110" i="13"/>
  <c r="AE102" i="13"/>
  <c r="AD93" i="13"/>
  <c r="AD89" i="13"/>
  <c r="AE393" i="13"/>
  <c r="AE389" i="13"/>
  <c r="AE385" i="13"/>
  <c r="AE381" i="13"/>
  <c r="AD341" i="13"/>
  <c r="AD337" i="13"/>
  <c r="AD333" i="13"/>
  <c r="AD329" i="13"/>
  <c r="AD325" i="13"/>
  <c r="AD321" i="13"/>
  <c r="AD317" i="13"/>
  <c r="AD313" i="13"/>
  <c r="AD309" i="13"/>
  <c r="AD305" i="13"/>
  <c r="AD301" i="13"/>
  <c r="AD297" i="13"/>
  <c r="AD293" i="13"/>
  <c r="AD289" i="13"/>
  <c r="AD285" i="13"/>
  <c r="AD281" i="13"/>
  <c r="AD277" i="13"/>
  <c r="AD273" i="13"/>
  <c r="AD269" i="13"/>
  <c r="AD265" i="13"/>
  <c r="AD261" i="13"/>
  <c r="AD257" i="13"/>
  <c r="AD253" i="13"/>
  <c r="AD249" i="13"/>
  <c r="AD245" i="13"/>
  <c r="AD241" i="13"/>
  <c r="AD237" i="13"/>
  <c r="AD233" i="13"/>
  <c r="AD229" i="13"/>
  <c r="AD225" i="13"/>
  <c r="AD221" i="13"/>
  <c r="AD217" i="13"/>
  <c r="AD213" i="13"/>
  <c r="AD209" i="13"/>
  <c r="AD205" i="13"/>
  <c r="AD201" i="13"/>
  <c r="AD197" i="13"/>
  <c r="AD193" i="13"/>
  <c r="AD189" i="13"/>
  <c r="AD185" i="13"/>
  <c r="AD181" i="13"/>
  <c r="AD177" i="13"/>
  <c r="AD173" i="13"/>
  <c r="AD169" i="13"/>
  <c r="AD165" i="13"/>
  <c r="AD161" i="13"/>
  <c r="AD157" i="13"/>
  <c r="AD153" i="13"/>
  <c r="AD149" i="13"/>
  <c r="AD145" i="13"/>
  <c r="AD141" i="13"/>
  <c r="AD137" i="13"/>
  <c r="AD133" i="13"/>
  <c r="AD129" i="13"/>
  <c r="AD125" i="13"/>
  <c r="AD121" i="13"/>
  <c r="AD117" i="13"/>
  <c r="AD113" i="13"/>
  <c r="AD109" i="13"/>
  <c r="AE101" i="13"/>
  <c r="AD99" i="13"/>
  <c r="AD97" i="13"/>
  <c r="AE94" i="13"/>
  <c r="AE92" i="13"/>
  <c r="AE90" i="13"/>
  <c r="AE88" i="13"/>
  <c r="AE86" i="13"/>
  <c r="AC86" i="13" s="1"/>
  <c r="AE84" i="13"/>
  <c r="AC84" i="13" s="1"/>
  <c r="AE82" i="13"/>
  <c r="AE80" i="13"/>
  <c r="AE78" i="13"/>
  <c r="AE76" i="13"/>
  <c r="AC76" i="13" s="1"/>
  <c r="AE74" i="13"/>
  <c r="AE72" i="13"/>
  <c r="AE70" i="13"/>
  <c r="AE68" i="13"/>
  <c r="AE65" i="13"/>
  <c r="AE63" i="13"/>
  <c r="AE61" i="13"/>
  <c r="AE59" i="13"/>
  <c r="AC59" i="13" s="1"/>
  <c r="AE395" i="13"/>
  <c r="AE391" i="13"/>
  <c r="AE387" i="13"/>
  <c r="AE383" i="13"/>
  <c r="AD343" i="13"/>
  <c r="AD339" i="13"/>
  <c r="AD335" i="13"/>
  <c r="AD331" i="13"/>
  <c r="AD327" i="13"/>
  <c r="AD323" i="13"/>
  <c r="AD319" i="13"/>
  <c r="AD315" i="13"/>
  <c r="AD311" i="13"/>
  <c r="AD307" i="13"/>
  <c r="AD303" i="13"/>
  <c r="AD299" i="13"/>
  <c r="AD295" i="13"/>
  <c r="AD291" i="13"/>
  <c r="AD287" i="13"/>
  <c r="AD283" i="13"/>
  <c r="AD279" i="13"/>
  <c r="AD275" i="13"/>
  <c r="AD271" i="13"/>
  <c r="AD267" i="13"/>
  <c r="AD263" i="13"/>
  <c r="AD259" i="13"/>
  <c r="AD255" i="13"/>
  <c r="AD251" i="13"/>
  <c r="AD247" i="13"/>
  <c r="AD243" i="13"/>
  <c r="AD239" i="13"/>
  <c r="AD235" i="13"/>
  <c r="AD231" i="13"/>
  <c r="AD227" i="13"/>
  <c r="AD223" i="13"/>
  <c r="AD219" i="13"/>
  <c r="AD215" i="13"/>
  <c r="AD211" i="13"/>
  <c r="AD207" i="13"/>
  <c r="AD203" i="13"/>
  <c r="AD199" i="13"/>
  <c r="AD195" i="13"/>
  <c r="AD191" i="13"/>
  <c r="AD187" i="13"/>
  <c r="AD183" i="13"/>
  <c r="AD179" i="13"/>
  <c r="AD175" i="13"/>
  <c r="AD171" i="13"/>
  <c r="AD167" i="13"/>
  <c r="AD163" i="13"/>
  <c r="AD159" i="13"/>
  <c r="AD155" i="13"/>
  <c r="AD151" i="13"/>
  <c r="AD147" i="13"/>
  <c r="AD143" i="13"/>
  <c r="AD139" i="13"/>
  <c r="AD135" i="13"/>
  <c r="AD131" i="13"/>
  <c r="AD127" i="13"/>
  <c r="AD123" i="13"/>
  <c r="AD119" i="13"/>
  <c r="AD115" i="13"/>
  <c r="AD111" i="13"/>
  <c r="AD100" i="13"/>
  <c r="AE99" i="13"/>
  <c r="AD98" i="13"/>
  <c r="AE97" i="13"/>
  <c r="AE93" i="13"/>
  <c r="AE91" i="13"/>
  <c r="AE89" i="13"/>
  <c r="AE87" i="13"/>
  <c r="AE85" i="13"/>
  <c r="AE83" i="13"/>
  <c r="AC83" i="13" s="1"/>
  <c r="AE81" i="13"/>
  <c r="AE79" i="13"/>
  <c r="AE77" i="13"/>
  <c r="AE75" i="13"/>
  <c r="AC75" i="13" s="1"/>
  <c r="AE73" i="13"/>
  <c r="AE71" i="13"/>
  <c r="AE69" i="13"/>
  <c r="AC69" i="13" s="1"/>
  <c r="AE66" i="13"/>
  <c r="AE62" i="13"/>
  <c r="AE60" i="13"/>
  <c r="AC60" i="13" s="1"/>
  <c r="AD377" i="13"/>
  <c r="AE377" i="13"/>
  <c r="AD373" i="13"/>
  <c r="AE373" i="13"/>
  <c r="AD369" i="13"/>
  <c r="AE369" i="13"/>
  <c r="AD365" i="13"/>
  <c r="AE365" i="13"/>
  <c r="AD53" i="13"/>
  <c r="AC53" i="13" s="1"/>
  <c r="AD487" i="13"/>
  <c r="AD485" i="13"/>
  <c r="AD483" i="13"/>
  <c r="AD481" i="13"/>
  <c r="AD479" i="13"/>
  <c r="AD477" i="13"/>
  <c r="AD475" i="13"/>
  <c r="AD473" i="13"/>
  <c r="AD471" i="13"/>
  <c r="AD469" i="13"/>
  <c r="AD467" i="13"/>
  <c r="AD465" i="13"/>
  <c r="AD463" i="13"/>
  <c r="AD461" i="13"/>
  <c r="AD459" i="13"/>
  <c r="AD457" i="13"/>
  <c r="AD455" i="13"/>
  <c r="AD453" i="13"/>
  <c r="AD451" i="13"/>
  <c r="AD449" i="13"/>
  <c r="AD447" i="13"/>
  <c r="AD445" i="13"/>
  <c r="AD443" i="13"/>
  <c r="AD441" i="13"/>
  <c r="AD439" i="13"/>
  <c r="AD437" i="13"/>
  <c r="AD435" i="13"/>
  <c r="AD433" i="13"/>
  <c r="AD431" i="13"/>
  <c r="AD429" i="13"/>
  <c r="AD427" i="13"/>
  <c r="AD425" i="13"/>
  <c r="AD423" i="13"/>
  <c r="AD421" i="13"/>
  <c r="AD419" i="13"/>
  <c r="AD417" i="13"/>
  <c r="AD415" i="13"/>
  <c r="AD413" i="13"/>
  <c r="AD411" i="13"/>
  <c r="AD409" i="13"/>
  <c r="AD407" i="13"/>
  <c r="AD405" i="13"/>
  <c r="AD403" i="13"/>
  <c r="AD401" i="13"/>
  <c r="AD399" i="13"/>
  <c r="AD397" i="13"/>
  <c r="AD395" i="13"/>
  <c r="AC395" i="13" s="1"/>
  <c r="AD393" i="13"/>
  <c r="AD391" i="13"/>
  <c r="AD389" i="13"/>
  <c r="AD387" i="13"/>
  <c r="AC387" i="13" s="1"/>
  <c r="AD385" i="13"/>
  <c r="AD383" i="13"/>
  <c r="AD381" i="13"/>
  <c r="AD361" i="13"/>
  <c r="AD357" i="13"/>
  <c r="AD353" i="13"/>
  <c r="AD349" i="13"/>
  <c r="AD345" i="13"/>
  <c r="AD379" i="13"/>
  <c r="AE379" i="13"/>
  <c r="AD375" i="13"/>
  <c r="AE375" i="13"/>
  <c r="AD371" i="13"/>
  <c r="AE371" i="13"/>
  <c r="AD367" i="13"/>
  <c r="AE367" i="13"/>
  <c r="AD488" i="13"/>
  <c r="AC488" i="13" s="1"/>
  <c r="AE487" i="13"/>
  <c r="AD486" i="13"/>
  <c r="AE485" i="13"/>
  <c r="AD484" i="13"/>
  <c r="AC484" i="13" s="1"/>
  <c r="AE483" i="13"/>
  <c r="AD482" i="13"/>
  <c r="AC482" i="13" s="1"/>
  <c r="AE481" i="13"/>
  <c r="AD480" i="13"/>
  <c r="AC480" i="13" s="1"/>
  <c r="AE479" i="13"/>
  <c r="AD478" i="13"/>
  <c r="AC478" i="13" s="1"/>
  <c r="AE477" i="13"/>
  <c r="AD476" i="13"/>
  <c r="AC476" i="13" s="1"/>
  <c r="AE475" i="13"/>
  <c r="AD474" i="13"/>
  <c r="AE473" i="13"/>
  <c r="AD472" i="13"/>
  <c r="AE471" i="13"/>
  <c r="AD470" i="13"/>
  <c r="AE469" i="13"/>
  <c r="AD468" i="13"/>
  <c r="AE467" i="13"/>
  <c r="AD466" i="13"/>
  <c r="AE465" i="13"/>
  <c r="AD464" i="13"/>
  <c r="AC464" i="13" s="1"/>
  <c r="AE463" i="13"/>
  <c r="AD462" i="13"/>
  <c r="AE461" i="13"/>
  <c r="AD460" i="13"/>
  <c r="AE459" i="13"/>
  <c r="AD458" i="13"/>
  <c r="AE457" i="13"/>
  <c r="AD456" i="13"/>
  <c r="AE455" i="13"/>
  <c r="AD454" i="13"/>
  <c r="AE453" i="13"/>
  <c r="AD452" i="13"/>
  <c r="AC452" i="13" s="1"/>
  <c r="AE451" i="13"/>
  <c r="AD450" i="13"/>
  <c r="AC450" i="13" s="1"/>
  <c r="AE449" i="13"/>
  <c r="AD448" i="13"/>
  <c r="AE447" i="13"/>
  <c r="AD446" i="13"/>
  <c r="AC446" i="13" s="1"/>
  <c r="AE445" i="13"/>
  <c r="AD444" i="13"/>
  <c r="AC444" i="13" s="1"/>
  <c r="AE443" i="13"/>
  <c r="AD442" i="13"/>
  <c r="AE441" i="13"/>
  <c r="AD440" i="13"/>
  <c r="AE439" i="13"/>
  <c r="AD438" i="13"/>
  <c r="AE437" i="13"/>
  <c r="AD436" i="13"/>
  <c r="AE435" i="13"/>
  <c r="AD434" i="13"/>
  <c r="AE433" i="13"/>
  <c r="AD432" i="13"/>
  <c r="AE431" i="13"/>
  <c r="AD430" i="13"/>
  <c r="AE429" i="13"/>
  <c r="AD428" i="13"/>
  <c r="AE427" i="13"/>
  <c r="AD426" i="13"/>
  <c r="AE425" i="13"/>
  <c r="AD424" i="13"/>
  <c r="AC424" i="13" s="1"/>
  <c r="AE423" i="13"/>
  <c r="AD422" i="13"/>
  <c r="AE421" i="13"/>
  <c r="AD420" i="13"/>
  <c r="AC420" i="13" s="1"/>
  <c r="AE419" i="13"/>
  <c r="AD418" i="13"/>
  <c r="AC418" i="13" s="1"/>
  <c r="AE417" i="13"/>
  <c r="AD416" i="13"/>
  <c r="AC416" i="13" s="1"/>
  <c r="AE415" i="13"/>
  <c r="AD414" i="13"/>
  <c r="AC414" i="13" s="1"/>
  <c r="AE413" i="13"/>
  <c r="AD412" i="13"/>
  <c r="AC412" i="13" s="1"/>
  <c r="AE411" i="13"/>
  <c r="AD410" i="13"/>
  <c r="AE409" i="13"/>
  <c r="AD408" i="13"/>
  <c r="AE407" i="13"/>
  <c r="AD406" i="13"/>
  <c r="AE405" i="13"/>
  <c r="AD404" i="13"/>
  <c r="AE403" i="13"/>
  <c r="AD402" i="13"/>
  <c r="AE401" i="13"/>
  <c r="AD400" i="13"/>
  <c r="AC400" i="13" s="1"/>
  <c r="AE399" i="13"/>
  <c r="AD398" i="13"/>
  <c r="AE397" i="13"/>
  <c r="AD396" i="13"/>
  <c r="AD394" i="13"/>
  <c r="AC394" i="13" s="1"/>
  <c r="AD392" i="13"/>
  <c r="AD390" i="13"/>
  <c r="AC390" i="13" s="1"/>
  <c r="AD388" i="13"/>
  <c r="AC388" i="13" s="1"/>
  <c r="AD386" i="13"/>
  <c r="AD384" i="13"/>
  <c r="AD382" i="13"/>
  <c r="AD363" i="13"/>
  <c r="AD359" i="13"/>
  <c r="AD355" i="13"/>
  <c r="AD351" i="13"/>
  <c r="AD347" i="13"/>
  <c r="AE302" i="13"/>
  <c r="AE300" i="13"/>
  <c r="AE298" i="13"/>
  <c r="AC298" i="13" s="1"/>
  <c r="AE296" i="13"/>
  <c r="AE294" i="13"/>
  <c r="AC294" i="13" s="1"/>
  <c r="AE292" i="13"/>
  <c r="AE290" i="13"/>
  <c r="AE288" i="13"/>
  <c r="AC288" i="13" s="1"/>
  <c r="AE286" i="13"/>
  <c r="AE284" i="13"/>
  <c r="AC284" i="13" s="1"/>
  <c r="AE282" i="13"/>
  <c r="AE280" i="13"/>
  <c r="AE278" i="13"/>
  <c r="AE276" i="13"/>
  <c r="AE274" i="13"/>
  <c r="AE272" i="13"/>
  <c r="AC272" i="13" s="1"/>
  <c r="AE270" i="13"/>
  <c r="AE268" i="13"/>
  <c r="AE266" i="13"/>
  <c r="AC266" i="13" s="1"/>
  <c r="AE264" i="13"/>
  <c r="AE262" i="13"/>
  <c r="AC262" i="13" s="1"/>
  <c r="AE260" i="13"/>
  <c r="AC260" i="13" s="1"/>
  <c r="AE258" i="13"/>
  <c r="AE256" i="13"/>
  <c r="AE254" i="13"/>
  <c r="AE252" i="13"/>
  <c r="AE250" i="13"/>
  <c r="AE248" i="13"/>
  <c r="AC248" i="13" s="1"/>
  <c r="AE246" i="13"/>
  <c r="AE244" i="13"/>
  <c r="AE242" i="13"/>
  <c r="AE240" i="13"/>
  <c r="AE238" i="13"/>
  <c r="AE236" i="13"/>
  <c r="AE234" i="13"/>
  <c r="AC234" i="13" s="1"/>
  <c r="AE232" i="13"/>
  <c r="AC232" i="13" s="1"/>
  <c r="AE230" i="13"/>
  <c r="AC230" i="13" s="1"/>
  <c r="AE228" i="13"/>
  <c r="AE226" i="13"/>
  <c r="AE224" i="13"/>
  <c r="AC224" i="13" s="1"/>
  <c r="AE222" i="13"/>
  <c r="AE220" i="13"/>
  <c r="AC220" i="13" s="1"/>
  <c r="AE218" i="13"/>
  <c r="AE216" i="13"/>
  <c r="AC216" i="13" s="1"/>
  <c r="AE214" i="13"/>
  <c r="AE212" i="13"/>
  <c r="AE210" i="13"/>
  <c r="AE208" i="13"/>
  <c r="AC208" i="13" s="1"/>
  <c r="AE206" i="13"/>
  <c r="AE204" i="13"/>
  <c r="AC204" i="13" s="1"/>
  <c r="AE202" i="13"/>
  <c r="AC202" i="13" s="1"/>
  <c r="AE200" i="13"/>
  <c r="AE198" i="13"/>
  <c r="AC198" i="13" s="1"/>
  <c r="AE196" i="13"/>
  <c r="AE194" i="13"/>
  <c r="AE192" i="13"/>
  <c r="AE190" i="13"/>
  <c r="AE188" i="13"/>
  <c r="AE186" i="13"/>
  <c r="AE184" i="13"/>
  <c r="AC184" i="13" s="1"/>
  <c r="AE182" i="13"/>
  <c r="AE180" i="13"/>
  <c r="AC180" i="13" s="1"/>
  <c r="AE178" i="13"/>
  <c r="AE176" i="13"/>
  <c r="AC176" i="13" s="1"/>
  <c r="AE174" i="13"/>
  <c r="AE172" i="13"/>
  <c r="AE170" i="13"/>
  <c r="AC170" i="13" s="1"/>
  <c r="AE168" i="13"/>
  <c r="AE166" i="13"/>
  <c r="AC166" i="13" s="1"/>
  <c r="AE164" i="13"/>
  <c r="AE162" i="13"/>
  <c r="AE160" i="13"/>
  <c r="AE158" i="13"/>
  <c r="AE156" i="13"/>
  <c r="AE154" i="13"/>
  <c r="AE152" i="13"/>
  <c r="AC152" i="13" s="1"/>
  <c r="AE150" i="13"/>
  <c r="AE148" i="13"/>
  <c r="AC148" i="13" s="1"/>
  <c r="AE146" i="13"/>
  <c r="AE144" i="13"/>
  <c r="AC144" i="13" s="1"/>
  <c r="AE142" i="13"/>
  <c r="AE140" i="13"/>
  <c r="AE138" i="13"/>
  <c r="AC138" i="13" s="1"/>
  <c r="AE136" i="13"/>
  <c r="AE134" i="13"/>
  <c r="AC134" i="13" s="1"/>
  <c r="AE132" i="13"/>
  <c r="AE130" i="13"/>
  <c r="AE128" i="13"/>
  <c r="AE126" i="13"/>
  <c r="AE124" i="13"/>
  <c r="AE122" i="13"/>
  <c r="AE120" i="13"/>
  <c r="AC120" i="13" s="1"/>
  <c r="AE118" i="13"/>
  <c r="AE116" i="13"/>
  <c r="AE114" i="13"/>
  <c r="AE112" i="13"/>
  <c r="AC112" i="13" s="1"/>
  <c r="AE110" i="13"/>
  <c r="AE108" i="13"/>
  <c r="AD107" i="13"/>
  <c r="AD105" i="13"/>
  <c r="AD103" i="13"/>
  <c r="AE96" i="13"/>
  <c r="AC96" i="13" s="1"/>
  <c r="AD380" i="13"/>
  <c r="AD378" i="13"/>
  <c r="AD376" i="13"/>
  <c r="AD374" i="13"/>
  <c r="AD372" i="13"/>
  <c r="AD370" i="13"/>
  <c r="AC370" i="13" s="1"/>
  <c r="AD368" i="13"/>
  <c r="AC368" i="13" s="1"/>
  <c r="AD366" i="13"/>
  <c r="AD364" i="13"/>
  <c r="AC364" i="13" s="1"/>
  <c r="AE301" i="13"/>
  <c r="AC301" i="13" s="1"/>
  <c r="AE299" i="13"/>
  <c r="AE297" i="13"/>
  <c r="AE295" i="13"/>
  <c r="AE293" i="13"/>
  <c r="AC293" i="13" s="1"/>
  <c r="AE291" i="13"/>
  <c r="AE289" i="13"/>
  <c r="AE287" i="13"/>
  <c r="AE285" i="13"/>
  <c r="AC285" i="13" s="1"/>
  <c r="AE283" i="13"/>
  <c r="AE281" i="13"/>
  <c r="AE279" i="13"/>
  <c r="AE277" i="13"/>
  <c r="AC277" i="13" s="1"/>
  <c r="AE275" i="13"/>
  <c r="AE273" i="13"/>
  <c r="AE271" i="13"/>
  <c r="AE269" i="13"/>
  <c r="AC269" i="13" s="1"/>
  <c r="AE267" i="13"/>
  <c r="AE265" i="13"/>
  <c r="AE263" i="13"/>
  <c r="AE261" i="13"/>
  <c r="AC261" i="13" s="1"/>
  <c r="AE259" i="13"/>
  <c r="AE257" i="13"/>
  <c r="AE255" i="13"/>
  <c r="AE253" i="13"/>
  <c r="AC253" i="13" s="1"/>
  <c r="AE251" i="13"/>
  <c r="AE249" i="13"/>
  <c r="AE247" i="13"/>
  <c r="AE245" i="13"/>
  <c r="AC245" i="13" s="1"/>
  <c r="AE243" i="13"/>
  <c r="AE241" i="13"/>
  <c r="AE239" i="13"/>
  <c r="AE237" i="13"/>
  <c r="AC237" i="13" s="1"/>
  <c r="AE235" i="13"/>
  <c r="AE233" i="13"/>
  <c r="AE231" i="13"/>
  <c r="AE229" i="13"/>
  <c r="AC229" i="13" s="1"/>
  <c r="AE227" i="13"/>
  <c r="AE225" i="13"/>
  <c r="AE223" i="13"/>
  <c r="AE221" i="13"/>
  <c r="AC221" i="13" s="1"/>
  <c r="AE219" i="13"/>
  <c r="AE217" i="13"/>
  <c r="AE215" i="13"/>
  <c r="AE213" i="13"/>
  <c r="AC213" i="13" s="1"/>
  <c r="AE211" i="13"/>
  <c r="AE209" i="13"/>
  <c r="AE207" i="13"/>
  <c r="AE205" i="13"/>
  <c r="AC205" i="13" s="1"/>
  <c r="AE203" i="13"/>
  <c r="AE201" i="13"/>
  <c r="AE199" i="13"/>
  <c r="AE197" i="13"/>
  <c r="AC197" i="13" s="1"/>
  <c r="AE195" i="13"/>
  <c r="AE193" i="13"/>
  <c r="AE191" i="13"/>
  <c r="AE189" i="13"/>
  <c r="AC189" i="13" s="1"/>
  <c r="AE187" i="13"/>
  <c r="AE185" i="13"/>
  <c r="AE183" i="13"/>
  <c r="AE181" i="13"/>
  <c r="AC181" i="13" s="1"/>
  <c r="AE179" i="13"/>
  <c r="AE177" i="13"/>
  <c r="AE175" i="13"/>
  <c r="AE173" i="13"/>
  <c r="AC173" i="13" s="1"/>
  <c r="AE171" i="13"/>
  <c r="AE169" i="13"/>
  <c r="AE167" i="13"/>
  <c r="AE165" i="13"/>
  <c r="AC165" i="13" s="1"/>
  <c r="AE163" i="13"/>
  <c r="AE161" i="13"/>
  <c r="AE159" i="13"/>
  <c r="AE157" i="13"/>
  <c r="AC157" i="13" s="1"/>
  <c r="AE155" i="13"/>
  <c r="AE153" i="13"/>
  <c r="AE151" i="13"/>
  <c r="AE149" i="13"/>
  <c r="AC149" i="13" s="1"/>
  <c r="AE147" i="13"/>
  <c r="AE145" i="13"/>
  <c r="AE143" i="13"/>
  <c r="AE141" i="13"/>
  <c r="AC141" i="13" s="1"/>
  <c r="AE139" i="13"/>
  <c r="AE137" i="13"/>
  <c r="AE135" i="13"/>
  <c r="AE133" i="13"/>
  <c r="AC133" i="13" s="1"/>
  <c r="AE131" i="13"/>
  <c r="AE129" i="13"/>
  <c r="AE127" i="13"/>
  <c r="AE125" i="13"/>
  <c r="AC125" i="13" s="1"/>
  <c r="AE123" i="13"/>
  <c r="AE121" i="13"/>
  <c r="AE119" i="13"/>
  <c r="AE117" i="13"/>
  <c r="AC117" i="13" s="1"/>
  <c r="AE115" i="13"/>
  <c r="AE113" i="13"/>
  <c r="AE111" i="13"/>
  <c r="AE109" i="13"/>
  <c r="AC109" i="13" s="1"/>
  <c r="AE107" i="13"/>
  <c r="AD106" i="13"/>
  <c r="AE105" i="13"/>
  <c r="AD104" i="13"/>
  <c r="AE103" i="13"/>
  <c r="AD102" i="13"/>
  <c r="AE95" i="13"/>
  <c r="AE58" i="13"/>
  <c r="AE362" i="13"/>
  <c r="AC362" i="13" s="1"/>
  <c r="AE360" i="13"/>
  <c r="AE358" i="13"/>
  <c r="AC358" i="13" s="1"/>
  <c r="AE356" i="13"/>
  <c r="AC356" i="13" s="1"/>
  <c r="AE354" i="13"/>
  <c r="AE352" i="13"/>
  <c r="AC352" i="13" s="1"/>
  <c r="AE350" i="13"/>
  <c r="AE348" i="13"/>
  <c r="AC348" i="13" s="1"/>
  <c r="AE346" i="13"/>
  <c r="AE344" i="13"/>
  <c r="AC344" i="13" s="1"/>
  <c r="AE342" i="13"/>
  <c r="AE340" i="13"/>
  <c r="AE338" i="13"/>
  <c r="AE336" i="13"/>
  <c r="AC336" i="13" s="1"/>
  <c r="AE334" i="13"/>
  <c r="AE332" i="13"/>
  <c r="AE330" i="13"/>
  <c r="AC330" i="13" s="1"/>
  <c r="AE328" i="13"/>
  <c r="AE326" i="13"/>
  <c r="AC326" i="13" s="1"/>
  <c r="AE324" i="13"/>
  <c r="AC324" i="13" s="1"/>
  <c r="AE322" i="13"/>
  <c r="AE320" i="13"/>
  <c r="AE318" i="13"/>
  <c r="AE316" i="13"/>
  <c r="AC316" i="13" s="1"/>
  <c r="AE314" i="13"/>
  <c r="AE312" i="13"/>
  <c r="AE310" i="13"/>
  <c r="AE308" i="13"/>
  <c r="AE306" i="13"/>
  <c r="AE304" i="13"/>
  <c r="AE363" i="13"/>
  <c r="AE361" i="13"/>
  <c r="AE359" i="13"/>
  <c r="AE357" i="13"/>
  <c r="AE355" i="13"/>
  <c r="AE353" i="13"/>
  <c r="AE351" i="13"/>
  <c r="AE349" i="13"/>
  <c r="AE347" i="13"/>
  <c r="AE345" i="13"/>
  <c r="AE343" i="13"/>
  <c r="AE341" i="13"/>
  <c r="AE339" i="13"/>
  <c r="AE337" i="13"/>
  <c r="AE335" i="13"/>
  <c r="AE333" i="13"/>
  <c r="AC333" i="13" s="1"/>
  <c r="AE331" i="13"/>
  <c r="AE329" i="13"/>
  <c r="AE327" i="13"/>
  <c r="AE325" i="13"/>
  <c r="AE323" i="13"/>
  <c r="AE321" i="13"/>
  <c r="AE319" i="13"/>
  <c r="AE317" i="13"/>
  <c r="AC317" i="13" s="1"/>
  <c r="AE315" i="13"/>
  <c r="AE313" i="13"/>
  <c r="AE311" i="13"/>
  <c r="AE309" i="13"/>
  <c r="AE307" i="13"/>
  <c r="AE305" i="13"/>
  <c r="AE303" i="13"/>
  <c r="J34" i="10"/>
  <c r="L4" i="10"/>
  <c r="L34" i="10"/>
  <c r="J4" i="10"/>
  <c r="G48" i="10"/>
  <c r="H48" i="10"/>
  <c r="I48" i="10"/>
  <c r="J48" i="10"/>
  <c r="K48" i="10"/>
  <c r="L48" i="10"/>
  <c r="G49" i="10"/>
  <c r="H49" i="10"/>
  <c r="I49" i="10"/>
  <c r="J49" i="10"/>
  <c r="K49" i="10"/>
  <c r="L49" i="10"/>
  <c r="I12" i="10" l="1"/>
  <c r="I11" i="10"/>
  <c r="K12" i="10"/>
  <c r="L11" i="10"/>
  <c r="H11" i="10"/>
  <c r="K11" i="10"/>
  <c r="G11" i="10"/>
  <c r="F11" i="10"/>
  <c r="E11" i="10"/>
  <c r="D11" i="10"/>
  <c r="C11" i="10"/>
  <c r="N11" i="10"/>
  <c r="P11" i="10"/>
  <c r="Q11" i="10"/>
  <c r="O11" i="10"/>
  <c r="M11" i="10"/>
  <c r="G12" i="10"/>
  <c r="F12" i="10"/>
  <c r="D12" i="10"/>
  <c r="C12" i="10"/>
  <c r="E12" i="10"/>
  <c r="Q12" i="10"/>
  <c r="P12" i="10"/>
  <c r="N12" i="10"/>
  <c r="M12" i="10"/>
  <c r="O12" i="10"/>
  <c r="J12" i="10"/>
  <c r="L12" i="10"/>
  <c r="H12" i="10"/>
  <c r="J11" i="10"/>
  <c r="AC310" i="13"/>
  <c r="AC342" i="13"/>
  <c r="AC372" i="13"/>
  <c r="AC122" i="13"/>
  <c r="AC154" i="13"/>
  <c r="AC186" i="13"/>
  <c r="AC218" i="13"/>
  <c r="AC250" i="13"/>
  <c r="AC282" i="13"/>
  <c r="AC314" i="13"/>
  <c r="AC346" i="13"/>
  <c r="AC118" i="13"/>
  <c r="AC74" i="13"/>
  <c r="AC305" i="13"/>
  <c r="AC313" i="13"/>
  <c r="AC321" i="13"/>
  <c r="AC329" i="13"/>
  <c r="AC337" i="13"/>
  <c r="AC304" i="13"/>
  <c r="AC308" i="13"/>
  <c r="AC320" i="13"/>
  <c r="AC328" i="13"/>
  <c r="AC332" i="13"/>
  <c r="AC340" i="13"/>
  <c r="AC360" i="13"/>
  <c r="AC58" i="13"/>
  <c r="AC102" i="13"/>
  <c r="AC104" i="13"/>
  <c r="AC106" i="13"/>
  <c r="AC113" i="13"/>
  <c r="AC121" i="13"/>
  <c r="AC129" i="13"/>
  <c r="AC108" i="13"/>
  <c r="AC132" i="13"/>
  <c r="AC307" i="13"/>
  <c r="AC323" i="13"/>
  <c r="AC339" i="13"/>
  <c r="AC71" i="13"/>
  <c r="AC137" i="13"/>
  <c r="AC145" i="13"/>
  <c r="AC153" i="13"/>
  <c r="AC161" i="13"/>
  <c r="AC169" i="13"/>
  <c r="AC177" i="13"/>
  <c r="AC185" i="13"/>
  <c r="AC193" i="13"/>
  <c r="AC201" i="13"/>
  <c r="AC209" i="13"/>
  <c r="AC217" i="13"/>
  <c r="AC225" i="13"/>
  <c r="AC233" i="13"/>
  <c r="AC241" i="13"/>
  <c r="AC249" i="13"/>
  <c r="AC257" i="13"/>
  <c r="AC265" i="13"/>
  <c r="AC273" i="13"/>
  <c r="AC281" i="13"/>
  <c r="AC289" i="13"/>
  <c r="AC297" i="13"/>
  <c r="AC374" i="13"/>
  <c r="AC378" i="13"/>
  <c r="AC116" i="13"/>
  <c r="AC128" i="13"/>
  <c r="AC136" i="13"/>
  <c r="AC160" i="13"/>
  <c r="AC164" i="13"/>
  <c r="AC168" i="13"/>
  <c r="AC172" i="13"/>
  <c r="AC188" i="13"/>
  <c r="AC192" i="13"/>
  <c r="AC196" i="13"/>
  <c r="AC200" i="13"/>
  <c r="AC212" i="13"/>
  <c r="AC236" i="13"/>
  <c r="AC240" i="13"/>
  <c r="AC244" i="13"/>
  <c r="AC256" i="13"/>
  <c r="AC264" i="13"/>
  <c r="AC268" i="13"/>
  <c r="AC276" i="13"/>
  <c r="AC280" i="13"/>
  <c r="AC296" i="13"/>
  <c r="AC300" i="13"/>
  <c r="AC384" i="13"/>
  <c r="AC396" i="13"/>
  <c r="AC404" i="13"/>
  <c r="AC408" i="13"/>
  <c r="AC410" i="13"/>
  <c r="AC422" i="13"/>
  <c r="AC426" i="13"/>
  <c r="AC428" i="13"/>
  <c r="AC432" i="13"/>
  <c r="AC436" i="13"/>
  <c r="AC440" i="13"/>
  <c r="AC442" i="13"/>
  <c r="AC448" i="13"/>
  <c r="AC454" i="13"/>
  <c r="AC456" i="13"/>
  <c r="AC458" i="13"/>
  <c r="AC460" i="13"/>
  <c r="AC468" i="13"/>
  <c r="AC472" i="13"/>
  <c r="AC474" i="13"/>
  <c r="AC486" i="13"/>
  <c r="AC62" i="13"/>
  <c r="AC73" i="13"/>
  <c r="AC81" i="13"/>
  <c r="AC98" i="13"/>
  <c r="AC100" i="13"/>
  <c r="AC65" i="13"/>
  <c r="AC389" i="13"/>
  <c r="AC306" i="13"/>
  <c r="AC338" i="13"/>
  <c r="AC376" i="13"/>
  <c r="AC309" i="13"/>
  <c r="AC124" i="13"/>
  <c r="AC140" i="13"/>
  <c r="AC156" i="13"/>
  <c r="AC392" i="13"/>
  <c r="AC325" i="13"/>
  <c r="AC341" i="13"/>
  <c r="AC312" i="13"/>
  <c r="AC315" i="13"/>
  <c r="AC331" i="13"/>
  <c r="AC334" i="13"/>
  <c r="AC380" i="13"/>
  <c r="AC123" i="13"/>
  <c r="AC139" i="13"/>
  <c r="AC155" i="13"/>
  <c r="AC171" i="13"/>
  <c r="AC187" i="13"/>
  <c r="AC203" i="13"/>
  <c r="AC219" i="13"/>
  <c r="AC235" i="13"/>
  <c r="AC251" i="13"/>
  <c r="AC267" i="13"/>
  <c r="AC283" i="13"/>
  <c r="AC299" i="13"/>
  <c r="AC66" i="13"/>
  <c r="AC72" i="13"/>
  <c r="AC366" i="13"/>
  <c r="AC228" i="13"/>
  <c r="AC252" i="13"/>
  <c r="AC292" i="13"/>
  <c r="AC398" i="13"/>
  <c r="AC402" i="13"/>
  <c r="AC430" i="13"/>
  <c r="AC434" i="13"/>
  <c r="AC462" i="13"/>
  <c r="AC466" i="13"/>
  <c r="AC78" i="13"/>
  <c r="AC114" i="13"/>
  <c r="AC146" i="13"/>
  <c r="AC178" i="13"/>
  <c r="AC210" i="13"/>
  <c r="AC242" i="13"/>
  <c r="AC274" i="13"/>
  <c r="AC79" i="13"/>
  <c r="AC87" i="13"/>
  <c r="AC68" i="13"/>
  <c r="AC381" i="13"/>
  <c r="V55" i="10"/>
  <c r="V54" i="10"/>
  <c r="AK163" i="10"/>
  <c r="AK162" i="10"/>
  <c r="CI39" i="13"/>
  <c r="AC91" i="13"/>
  <c r="AC70" i="13"/>
  <c r="AC406" i="13"/>
  <c r="AC438" i="13"/>
  <c r="AC470" i="13"/>
  <c r="AC80" i="13"/>
  <c r="AC115" i="13"/>
  <c r="AC131" i="13"/>
  <c r="AC147" i="13"/>
  <c r="AC163" i="13"/>
  <c r="AC179" i="13"/>
  <c r="AC195" i="13"/>
  <c r="AC211" i="13"/>
  <c r="AC227" i="13"/>
  <c r="AC243" i="13"/>
  <c r="AC259" i="13"/>
  <c r="AC275" i="13"/>
  <c r="AC291" i="13"/>
  <c r="AC150" i="13"/>
  <c r="AC182" i="13"/>
  <c r="AC214" i="13"/>
  <c r="AC246" i="13"/>
  <c r="AC278" i="13"/>
  <c r="AC82" i="13"/>
  <c r="AC318" i="13"/>
  <c r="AC350" i="13"/>
  <c r="AC95" i="13"/>
  <c r="AC119" i="13"/>
  <c r="AC135" i="13"/>
  <c r="AC151" i="13"/>
  <c r="AC167" i="13"/>
  <c r="AC183" i="13"/>
  <c r="AC199" i="13"/>
  <c r="AC215" i="13"/>
  <c r="AC231" i="13"/>
  <c r="AC247" i="13"/>
  <c r="AC255" i="13"/>
  <c r="AC263" i="13"/>
  <c r="AC271" i="13"/>
  <c r="AC279" i="13"/>
  <c r="AC287" i="13"/>
  <c r="AC295" i="13"/>
  <c r="AC130" i="13"/>
  <c r="AC162" i="13"/>
  <c r="AC194" i="13"/>
  <c r="AC226" i="13"/>
  <c r="AC258" i="13"/>
  <c r="AC290" i="13"/>
  <c r="AC382" i="13"/>
  <c r="AC63" i="13"/>
  <c r="AC88" i="13"/>
  <c r="AC303" i="13"/>
  <c r="AC311" i="13"/>
  <c r="AC319" i="13"/>
  <c r="AC327" i="13"/>
  <c r="AC335" i="13"/>
  <c r="AC343" i="13"/>
  <c r="AC322" i="13"/>
  <c r="AC354" i="13"/>
  <c r="AC110" i="13"/>
  <c r="AC126" i="13"/>
  <c r="AC142" i="13"/>
  <c r="AC158" i="13"/>
  <c r="AC174" i="13"/>
  <c r="AC190" i="13"/>
  <c r="AC206" i="13"/>
  <c r="AC222" i="13"/>
  <c r="AC238" i="13"/>
  <c r="AC254" i="13"/>
  <c r="AC270" i="13"/>
  <c r="AC286" i="13"/>
  <c r="AC302" i="13"/>
  <c r="AC386" i="13"/>
  <c r="AC385" i="13"/>
  <c r="AC393" i="13"/>
  <c r="AC77" i="13"/>
  <c r="AC85" i="13"/>
  <c r="AC92" i="13"/>
  <c r="AC101" i="13"/>
  <c r="CJ5" i="13"/>
  <c r="E2" i="10"/>
  <c r="AC56" i="13"/>
  <c r="AC61" i="13"/>
  <c r="AC94" i="13"/>
  <c r="AC111" i="13"/>
  <c r="AC127" i="13"/>
  <c r="AC143" i="13"/>
  <c r="AC159" i="13"/>
  <c r="AC175" i="13"/>
  <c r="AC191" i="13"/>
  <c r="AC207" i="13"/>
  <c r="AC223" i="13"/>
  <c r="AC239" i="13"/>
  <c r="CJ37" i="13"/>
  <c r="CJ27" i="13"/>
  <c r="CJ8" i="13"/>
  <c r="AC93" i="13"/>
  <c r="AC67" i="13"/>
  <c r="CJ35" i="13"/>
  <c r="CJ33" i="13"/>
  <c r="CJ10" i="13"/>
  <c r="CJ6" i="13"/>
  <c r="CJ13" i="13"/>
  <c r="CJ29" i="13"/>
  <c r="CJ30" i="13"/>
  <c r="CJ7" i="13"/>
  <c r="CJ17" i="13"/>
  <c r="CJ9" i="13"/>
  <c r="CJ34" i="13"/>
  <c r="CJ36" i="13"/>
  <c r="CJ32" i="13"/>
  <c r="CJ31" i="13"/>
  <c r="CJ11" i="13"/>
  <c r="CJ28" i="13"/>
  <c r="CJ23" i="13"/>
  <c r="CJ25" i="13"/>
  <c r="CJ26" i="13"/>
  <c r="CJ14" i="13"/>
  <c r="AC89" i="13"/>
  <c r="AC64" i="13"/>
  <c r="AC489" i="13"/>
  <c r="AC57" i="13"/>
  <c r="CJ15" i="13"/>
  <c r="CJ22" i="13"/>
  <c r="CJ16" i="13"/>
  <c r="CJ21" i="13"/>
  <c r="CJ18" i="13"/>
  <c r="CJ24" i="13"/>
  <c r="CI38" i="13"/>
  <c r="CJ19" i="13"/>
  <c r="CJ12" i="13"/>
  <c r="CJ20" i="13"/>
  <c r="BQ78" i="13"/>
  <c r="BQ77" i="13"/>
  <c r="BQ75" i="13"/>
  <c r="BQ80" i="13"/>
  <c r="BQ76" i="13"/>
  <c r="AC54" i="13"/>
  <c r="AC383" i="13"/>
  <c r="AC391" i="13"/>
  <c r="AC90" i="13"/>
  <c r="B4" i="10"/>
  <c r="AC97" i="13"/>
  <c r="B34" i="10"/>
  <c r="E4" i="10" s="1"/>
  <c r="AC105" i="13"/>
  <c r="AC365" i="13"/>
  <c r="AC369" i="13"/>
  <c r="AC373" i="13"/>
  <c r="AC377" i="13"/>
  <c r="AC99" i="13"/>
  <c r="AC103" i="13"/>
  <c r="AC107" i="13"/>
  <c r="AC367" i="13"/>
  <c r="AC371" i="13"/>
  <c r="AC375" i="13"/>
  <c r="AC379" i="13"/>
  <c r="AC397" i="13"/>
  <c r="AC401" i="13"/>
  <c r="AC405" i="13"/>
  <c r="AC409" i="13"/>
  <c r="AC413" i="13"/>
  <c r="AC417" i="13"/>
  <c r="AC421" i="13"/>
  <c r="AC425" i="13"/>
  <c r="AC429" i="13"/>
  <c r="AC433" i="13"/>
  <c r="AC437" i="13"/>
  <c r="AC441" i="13"/>
  <c r="AC445" i="13"/>
  <c r="AC449" i="13"/>
  <c r="AC453" i="13"/>
  <c r="AC457" i="13"/>
  <c r="AC461" i="13"/>
  <c r="AC465" i="13"/>
  <c r="AC469" i="13"/>
  <c r="AC473" i="13"/>
  <c r="AC477" i="13"/>
  <c r="AC481" i="13"/>
  <c r="AC485" i="13"/>
  <c r="AC347" i="13"/>
  <c r="AC351" i="13"/>
  <c r="AC355" i="13"/>
  <c r="AC359" i="13"/>
  <c r="AC363" i="13"/>
  <c r="AC345" i="13"/>
  <c r="AC349" i="13"/>
  <c r="AC353" i="13"/>
  <c r="AC357" i="13"/>
  <c r="AC361" i="13"/>
  <c r="AC399" i="13"/>
  <c r="AC403" i="13"/>
  <c r="AC407" i="13"/>
  <c r="AC411" i="13"/>
  <c r="AC415" i="13"/>
  <c r="AC419" i="13"/>
  <c r="AC423" i="13"/>
  <c r="AC427" i="13"/>
  <c r="AC431" i="13"/>
  <c r="AC435" i="13"/>
  <c r="AC439" i="13"/>
  <c r="AC443" i="13"/>
  <c r="AC447" i="13"/>
  <c r="AC451" i="13"/>
  <c r="AC455" i="13"/>
  <c r="AC459" i="13"/>
  <c r="AC463" i="13"/>
  <c r="AC467" i="13"/>
  <c r="AC471" i="13"/>
  <c r="AC475" i="13"/>
  <c r="AC479" i="13"/>
  <c r="AC483" i="13"/>
  <c r="AC487" i="13"/>
  <c r="B2" i="10"/>
  <c r="G47" i="10"/>
  <c r="H47" i="10"/>
  <c r="I47" i="10"/>
  <c r="J47" i="10"/>
  <c r="K47" i="10"/>
  <c r="L47" i="10"/>
  <c r="BP22" i="13"/>
  <c r="BP23" i="13"/>
  <c r="BP13" i="13"/>
  <c r="BP18" i="13"/>
  <c r="BP28" i="13"/>
  <c r="BP26" i="13"/>
  <c r="BP16" i="13"/>
  <c r="BP49" i="13"/>
  <c r="BP35" i="13"/>
  <c r="BP24" i="13"/>
  <c r="BP32" i="13"/>
  <c r="BP15" i="13"/>
  <c r="BP17" i="13"/>
  <c r="BP40" i="13"/>
  <c r="BP36" i="13"/>
  <c r="BP12" i="13"/>
  <c r="BP33" i="13"/>
  <c r="BP30" i="13"/>
  <c r="BP5" i="13"/>
  <c r="BP39" i="13"/>
  <c r="BP48" i="13"/>
  <c r="BP42" i="13"/>
  <c r="BP29" i="13"/>
  <c r="BP27" i="13"/>
  <c r="BP14" i="13"/>
  <c r="BP8" i="13"/>
  <c r="BP47" i="13"/>
  <c r="BP45" i="13"/>
  <c r="BP43" i="13"/>
  <c r="BP19" i="13"/>
  <c r="BP44" i="13"/>
  <c r="BP21" i="13"/>
  <c r="BP11" i="13"/>
  <c r="BP31" i="13"/>
  <c r="BP38" i="13"/>
  <c r="BP9" i="13"/>
  <c r="BP34" i="13"/>
  <c r="BP20" i="13"/>
  <c r="BP7" i="13"/>
  <c r="BP46" i="13"/>
  <c r="BP41" i="13"/>
  <c r="BP10" i="13"/>
  <c r="BP25" i="13"/>
  <c r="BP37" i="13"/>
  <c r="G44" i="10"/>
  <c r="H44" i="10"/>
  <c r="I44" i="10"/>
  <c r="J44" i="10"/>
  <c r="K44" i="10"/>
  <c r="L44" i="10"/>
  <c r="G45" i="10"/>
  <c r="H45" i="10"/>
  <c r="I45" i="10"/>
  <c r="J45" i="10"/>
  <c r="K45" i="10"/>
  <c r="L45" i="10"/>
  <c r="G46" i="10"/>
  <c r="H46" i="10"/>
  <c r="I46" i="10"/>
  <c r="J46" i="10"/>
  <c r="K46" i="10"/>
  <c r="L46" i="10"/>
  <c r="I7" i="10" l="1"/>
  <c r="I8" i="10"/>
  <c r="I9" i="10"/>
  <c r="I10" i="10"/>
  <c r="K9" i="10"/>
  <c r="K7" i="10"/>
  <c r="K109" i="10" s="1"/>
  <c r="L10" i="10"/>
  <c r="J7" i="10"/>
  <c r="G7" i="10"/>
  <c r="F7" i="10"/>
  <c r="F109" i="10" s="1"/>
  <c r="Q7" i="10"/>
  <c r="E7" i="10"/>
  <c r="D7" i="10"/>
  <c r="C7" i="10"/>
  <c r="N7" i="10"/>
  <c r="M7" i="10"/>
  <c r="O7" i="10"/>
  <c r="P7" i="10"/>
  <c r="P109" i="10" s="1"/>
  <c r="H10" i="10"/>
  <c r="J9" i="10"/>
  <c r="H8" i="10"/>
  <c r="K8" i="10"/>
  <c r="K110" i="10" s="1"/>
  <c r="G8" i="10"/>
  <c r="E8" i="10"/>
  <c r="D8" i="10"/>
  <c r="C8" i="10"/>
  <c r="F8" i="10"/>
  <c r="O8" i="10"/>
  <c r="Q8" i="10"/>
  <c r="M8" i="10"/>
  <c r="M110" i="10" s="1"/>
  <c r="N8" i="10"/>
  <c r="P8" i="10"/>
  <c r="P110" i="10" s="1"/>
  <c r="K10" i="10"/>
  <c r="G10" i="10"/>
  <c r="G112" i="10" s="1"/>
  <c r="C10" i="10"/>
  <c r="F10" i="10"/>
  <c r="E10" i="10"/>
  <c r="D10" i="10"/>
  <c r="D112" i="10" s="1"/>
  <c r="P10" i="10"/>
  <c r="P112" i="10" s="1"/>
  <c r="O10" i="10"/>
  <c r="Q10" i="10"/>
  <c r="M10" i="10"/>
  <c r="M112" i="10" s="1"/>
  <c r="N10" i="10"/>
  <c r="N112" i="10" s="1"/>
  <c r="G9" i="10"/>
  <c r="D9" i="10"/>
  <c r="C9" i="10"/>
  <c r="C111" i="10" s="1"/>
  <c r="F9" i="10"/>
  <c r="F111" i="10" s="1"/>
  <c r="E9" i="10"/>
  <c r="E111" i="10" s="1"/>
  <c r="O9" i="10"/>
  <c r="N9" i="10"/>
  <c r="N111" i="10" s="1"/>
  <c r="P9" i="10"/>
  <c r="P111" i="10" s="1"/>
  <c r="Q9" i="10"/>
  <c r="Q111" i="10" s="1"/>
  <c r="M9" i="10"/>
  <c r="L8" i="10"/>
  <c r="L110" i="10" s="1"/>
  <c r="L9" i="10"/>
  <c r="L111" i="10" s="1"/>
  <c r="H9" i="10"/>
  <c r="J8" i="10"/>
  <c r="L7" i="10"/>
  <c r="L109" i="10" s="1"/>
  <c r="H7" i="10"/>
  <c r="H109" i="10" s="1"/>
  <c r="J10" i="10"/>
  <c r="J112" i="10" s="1"/>
  <c r="E110" i="10"/>
  <c r="F110" i="10"/>
  <c r="O110" i="10"/>
  <c r="N110" i="10"/>
  <c r="K112" i="10"/>
  <c r="F112" i="10"/>
  <c r="Q112" i="10"/>
  <c r="K111" i="10"/>
  <c r="M111" i="10"/>
  <c r="I110" i="10"/>
  <c r="D109" i="10"/>
  <c r="E109" i="10"/>
  <c r="N109" i="10"/>
  <c r="O109" i="10"/>
  <c r="L112" i="10"/>
  <c r="I111" i="10"/>
  <c r="I109" i="10"/>
  <c r="E112" i="10"/>
  <c r="O112" i="10"/>
  <c r="D110" i="10"/>
  <c r="Q110" i="10"/>
  <c r="C109" i="10"/>
  <c r="M109" i="10"/>
  <c r="I112" i="10"/>
  <c r="J110" i="10"/>
  <c r="J109" i="10"/>
  <c r="G166" i="10"/>
  <c r="G111" i="10"/>
  <c r="G109" i="10"/>
  <c r="AK107" i="10"/>
  <c r="AK177" i="10"/>
  <c r="AK170" i="10"/>
  <c r="AB14" i="10"/>
  <c r="AB15" i="10" s="1"/>
  <c r="Y14" i="10"/>
  <c r="Y15" i="10" s="1"/>
  <c r="AC14" i="10"/>
  <c r="AC15" i="10" s="1"/>
  <c r="AD14" i="10"/>
  <c r="AD15" i="10" s="1"/>
  <c r="AH14" i="10"/>
  <c r="AH15" i="10" s="1"/>
  <c r="U14" i="10"/>
  <c r="U15" i="10" s="1"/>
  <c r="W14" i="10"/>
  <c r="W15" i="10" s="1"/>
  <c r="AA14" i="10"/>
  <c r="AA15" i="10" s="1"/>
  <c r="AG14" i="10"/>
  <c r="AG15" i="10" s="1"/>
  <c r="AF14" i="10"/>
  <c r="AF15" i="10" s="1"/>
  <c r="R14" i="10"/>
  <c r="R15" i="10" s="1"/>
  <c r="Z14" i="10"/>
  <c r="Z15" i="10" s="1"/>
  <c r="V177" i="10"/>
  <c r="V170" i="10"/>
  <c r="V135" i="10"/>
  <c r="V149" i="10"/>
  <c r="V128" i="10"/>
  <c r="V114" i="10"/>
  <c r="V121" i="10"/>
  <c r="V142" i="10"/>
  <c r="V156" i="10"/>
  <c r="V163" i="10"/>
  <c r="V107" i="10"/>
  <c r="AK169" i="10"/>
  <c r="AK176" i="10"/>
  <c r="V176" i="10"/>
  <c r="V169" i="10"/>
  <c r="V113" i="10"/>
  <c r="V134" i="10"/>
  <c r="V148" i="10"/>
  <c r="V127" i="10"/>
  <c r="V162" i="10"/>
  <c r="V141" i="10"/>
  <c r="V155" i="10"/>
  <c r="V120" i="10"/>
  <c r="V106" i="10"/>
  <c r="Y170" i="10"/>
  <c r="Y177" i="10"/>
  <c r="Z170" i="10"/>
  <c r="Z177" i="10"/>
  <c r="AD170" i="10"/>
  <c r="AD177" i="10"/>
  <c r="AG170" i="10"/>
  <c r="AG177" i="10"/>
  <c r="AI170" i="10"/>
  <c r="AI177" i="10"/>
  <c r="AC170" i="10"/>
  <c r="AC177" i="10"/>
  <c r="AB170" i="10"/>
  <c r="AB177" i="10"/>
  <c r="AH170" i="10"/>
  <c r="AH177" i="10"/>
  <c r="R170" i="10"/>
  <c r="R177" i="10"/>
  <c r="S170" i="10"/>
  <c r="S177" i="10"/>
  <c r="T170" i="10"/>
  <c r="T177" i="10"/>
  <c r="AE170" i="10"/>
  <c r="AE177" i="10"/>
  <c r="X170" i="10"/>
  <c r="X177" i="10"/>
  <c r="AF170" i="10"/>
  <c r="AF177" i="10"/>
  <c r="U170" i="10"/>
  <c r="U177" i="10"/>
  <c r="AA170" i="10"/>
  <c r="AA177" i="10"/>
  <c r="W170" i="10"/>
  <c r="W177" i="10"/>
  <c r="AJ170" i="10"/>
  <c r="AJ177" i="10"/>
  <c r="AA169" i="10"/>
  <c r="AA176" i="10"/>
  <c r="U169" i="10"/>
  <c r="U176" i="10"/>
  <c r="AI169" i="10"/>
  <c r="AI176" i="10"/>
  <c r="Y169" i="10"/>
  <c r="Y176" i="10"/>
  <c r="X169" i="10"/>
  <c r="X176" i="10"/>
  <c r="R169" i="10"/>
  <c r="R176" i="10"/>
  <c r="AC169" i="10"/>
  <c r="AC176" i="10"/>
  <c r="AB169" i="10"/>
  <c r="AB176" i="10"/>
  <c r="T169" i="10"/>
  <c r="T176" i="10"/>
  <c r="AF169" i="10"/>
  <c r="AF176" i="10"/>
  <c r="AH169" i="10"/>
  <c r="AH176" i="10"/>
  <c r="AE169" i="10"/>
  <c r="AE176" i="10"/>
  <c r="W169" i="10"/>
  <c r="W176" i="10"/>
  <c r="S169" i="10"/>
  <c r="S176" i="10"/>
  <c r="Z169" i="10"/>
  <c r="Z176" i="10"/>
  <c r="AJ169" i="10"/>
  <c r="AJ176" i="10"/>
  <c r="AG169" i="10"/>
  <c r="AG176" i="10"/>
  <c r="AD169" i="10"/>
  <c r="AD176" i="10"/>
  <c r="Y163" i="10"/>
  <c r="Z163" i="10"/>
  <c r="AD163" i="10"/>
  <c r="AG163" i="10"/>
  <c r="AI163" i="10"/>
  <c r="AC163" i="10"/>
  <c r="AB163" i="10"/>
  <c r="AH163" i="10"/>
  <c r="R163" i="10"/>
  <c r="S163" i="10"/>
  <c r="T163" i="10"/>
  <c r="AE163" i="10"/>
  <c r="X163" i="10"/>
  <c r="AF163" i="10"/>
  <c r="U163" i="10"/>
  <c r="AA163" i="10"/>
  <c r="W163" i="10"/>
  <c r="AJ163" i="10"/>
  <c r="AA162" i="10"/>
  <c r="U162" i="10"/>
  <c r="AI162" i="10"/>
  <c r="Y162" i="10"/>
  <c r="X162" i="10"/>
  <c r="R162" i="10"/>
  <c r="AC162" i="10"/>
  <c r="AB162" i="10"/>
  <c r="T162" i="10"/>
  <c r="AF162" i="10"/>
  <c r="AH162" i="10"/>
  <c r="AE162" i="10"/>
  <c r="W162" i="10"/>
  <c r="S162" i="10"/>
  <c r="Z162" i="10"/>
  <c r="AJ162" i="10"/>
  <c r="AG162" i="10"/>
  <c r="AD162" i="10"/>
  <c r="AC127" i="10"/>
  <c r="AC134" i="10"/>
  <c r="AC141" i="10"/>
  <c r="AC148" i="10"/>
  <c r="AC155" i="10"/>
  <c r="AB134" i="10"/>
  <c r="AB141" i="10"/>
  <c r="AB148" i="10"/>
  <c r="AB155" i="10"/>
  <c r="T134" i="10"/>
  <c r="T141" i="10"/>
  <c r="T148" i="10"/>
  <c r="T155" i="10"/>
  <c r="S134" i="10"/>
  <c r="S141" i="10"/>
  <c r="S148" i="10"/>
  <c r="S155" i="10"/>
  <c r="S128" i="10"/>
  <c r="S135" i="10"/>
  <c r="S142" i="10"/>
  <c r="S149" i="10"/>
  <c r="S156" i="10"/>
  <c r="T128" i="10"/>
  <c r="T135" i="10"/>
  <c r="T142" i="10"/>
  <c r="T149" i="10"/>
  <c r="T156" i="10"/>
  <c r="AE128" i="10"/>
  <c r="AE135" i="10"/>
  <c r="AE142" i="10"/>
  <c r="AE149" i="10"/>
  <c r="AE156" i="10"/>
  <c r="X135" i="10"/>
  <c r="X142" i="10"/>
  <c r="X149" i="10"/>
  <c r="X156" i="10"/>
  <c r="AJ135" i="10"/>
  <c r="AJ142" i="10"/>
  <c r="AJ149" i="10"/>
  <c r="AJ156" i="10"/>
  <c r="AK134" i="10"/>
  <c r="AK141" i="10"/>
  <c r="AK148" i="10"/>
  <c r="AK155" i="10"/>
  <c r="AA127" i="10"/>
  <c r="AA134" i="10"/>
  <c r="AA141" i="10"/>
  <c r="AA148" i="10"/>
  <c r="AA155" i="10"/>
  <c r="U134" i="10"/>
  <c r="U141" i="10"/>
  <c r="U148" i="10"/>
  <c r="U155" i="10"/>
  <c r="AI134" i="10"/>
  <c r="AI141" i="10"/>
  <c r="AI148" i="10"/>
  <c r="AI155" i="10"/>
  <c r="AF127" i="10"/>
  <c r="AF134" i="10"/>
  <c r="AF141" i="10"/>
  <c r="AF148" i="10"/>
  <c r="AF155" i="10"/>
  <c r="AH134" i="10"/>
  <c r="AH141" i="10"/>
  <c r="AH148" i="10"/>
  <c r="AH155" i="10"/>
  <c r="AI135" i="10"/>
  <c r="AI142" i="10"/>
  <c r="AI149" i="10"/>
  <c r="AI156" i="10"/>
  <c r="AC135" i="10"/>
  <c r="AC142" i="10"/>
  <c r="AC149" i="10"/>
  <c r="AC156" i="10"/>
  <c r="AB128" i="10"/>
  <c r="AB135" i="10"/>
  <c r="AB142" i="10"/>
  <c r="AB149" i="10"/>
  <c r="AB156" i="10"/>
  <c r="R128" i="10"/>
  <c r="R135" i="10"/>
  <c r="R142" i="10"/>
  <c r="R149" i="10"/>
  <c r="R156" i="10"/>
  <c r="AF128" i="10"/>
  <c r="AF135" i="10"/>
  <c r="AF142" i="10"/>
  <c r="AF149" i="10"/>
  <c r="AF156" i="10"/>
  <c r="AK128" i="10"/>
  <c r="AK135" i="10"/>
  <c r="AK142" i="10"/>
  <c r="AK149" i="10"/>
  <c r="AK156" i="10"/>
  <c r="Z127" i="10"/>
  <c r="Z134" i="10"/>
  <c r="Z141" i="10"/>
  <c r="Z148" i="10"/>
  <c r="Z155" i="10"/>
  <c r="AJ134" i="10"/>
  <c r="AJ141" i="10"/>
  <c r="AJ148" i="10"/>
  <c r="AJ155" i="10"/>
  <c r="AG134" i="10"/>
  <c r="AG141" i="10"/>
  <c r="AG148" i="10"/>
  <c r="AG155" i="10"/>
  <c r="Y127" i="10"/>
  <c r="Y134" i="10"/>
  <c r="Y141" i="10"/>
  <c r="Y148" i="10"/>
  <c r="Y155" i="10"/>
  <c r="X127" i="10"/>
  <c r="X134" i="10"/>
  <c r="X141" i="10"/>
  <c r="X148" i="10"/>
  <c r="X155" i="10"/>
  <c r="Y135" i="10"/>
  <c r="Y142" i="10"/>
  <c r="Y149" i="10"/>
  <c r="Y156" i="10"/>
  <c r="Z128" i="10"/>
  <c r="Z135" i="10"/>
  <c r="Z142" i="10"/>
  <c r="Z149" i="10"/>
  <c r="Z156" i="10"/>
  <c r="AD128" i="10"/>
  <c r="AD135" i="10"/>
  <c r="AD142" i="10"/>
  <c r="AD149" i="10"/>
  <c r="AD156" i="10"/>
  <c r="AG128" i="10"/>
  <c r="AG135" i="10"/>
  <c r="AG142" i="10"/>
  <c r="AG149" i="10"/>
  <c r="AG156" i="10"/>
  <c r="AH128" i="10"/>
  <c r="AH135" i="10"/>
  <c r="AH142" i="10"/>
  <c r="AH149" i="10"/>
  <c r="AH156" i="10"/>
  <c r="AE127" i="10"/>
  <c r="AE134" i="10"/>
  <c r="AE141" i="10"/>
  <c r="AE148" i="10"/>
  <c r="AE155" i="10"/>
  <c r="W134" i="10"/>
  <c r="W141" i="10"/>
  <c r="W148" i="10"/>
  <c r="W155" i="10"/>
  <c r="R134" i="10"/>
  <c r="R141" i="10"/>
  <c r="R148" i="10"/>
  <c r="R155" i="10"/>
  <c r="AD127" i="10"/>
  <c r="AD134" i="10"/>
  <c r="AD141" i="10"/>
  <c r="AD148" i="10"/>
  <c r="AD155" i="10"/>
  <c r="U128" i="10"/>
  <c r="U135" i="10"/>
  <c r="U142" i="10"/>
  <c r="U149" i="10"/>
  <c r="U156" i="10"/>
  <c r="AA135" i="10"/>
  <c r="AA142" i="10"/>
  <c r="AA149" i="10"/>
  <c r="AA156" i="10"/>
  <c r="W128" i="10"/>
  <c r="W135" i="10"/>
  <c r="W142" i="10"/>
  <c r="W149" i="10"/>
  <c r="W156" i="10"/>
  <c r="AB120" i="10"/>
  <c r="AB127" i="10"/>
  <c r="T120" i="10"/>
  <c r="T127" i="10"/>
  <c r="S120" i="10"/>
  <c r="S127" i="10"/>
  <c r="X121" i="10"/>
  <c r="X128" i="10"/>
  <c r="AJ121" i="10"/>
  <c r="AJ128" i="10"/>
  <c r="U120" i="10"/>
  <c r="U127" i="10"/>
  <c r="AI120" i="10"/>
  <c r="AI127" i="10"/>
  <c r="AH120" i="10"/>
  <c r="AH127" i="10"/>
  <c r="AI121" i="10"/>
  <c r="AI128" i="10"/>
  <c r="AC121" i="10"/>
  <c r="AC128" i="10"/>
  <c r="AJ120" i="10"/>
  <c r="AJ127" i="10"/>
  <c r="AG120" i="10"/>
  <c r="AG127" i="10"/>
  <c r="Y121" i="10"/>
  <c r="Y128" i="10"/>
  <c r="AK120" i="10"/>
  <c r="AK127" i="10"/>
  <c r="W120" i="10"/>
  <c r="W127" i="10"/>
  <c r="R120" i="10"/>
  <c r="R127" i="10"/>
  <c r="AA121" i="10"/>
  <c r="AA128" i="10"/>
  <c r="AA113" i="10"/>
  <c r="AA120" i="10"/>
  <c r="AF113" i="10"/>
  <c r="AF120" i="10"/>
  <c r="AB114" i="10"/>
  <c r="AB121" i="10"/>
  <c r="R114" i="10"/>
  <c r="R121" i="10"/>
  <c r="AF114" i="10"/>
  <c r="AF121" i="10"/>
  <c r="AC113" i="10"/>
  <c r="AC120" i="10"/>
  <c r="AK114" i="10"/>
  <c r="AK121" i="10"/>
  <c r="Z113" i="10"/>
  <c r="Z120" i="10"/>
  <c r="Y113" i="10"/>
  <c r="Y120" i="10"/>
  <c r="X113" i="10"/>
  <c r="X120" i="10"/>
  <c r="Z114" i="10"/>
  <c r="Z121" i="10"/>
  <c r="AD114" i="10"/>
  <c r="AD121" i="10"/>
  <c r="AG114" i="10"/>
  <c r="AG121" i="10"/>
  <c r="AH114" i="10"/>
  <c r="AH121" i="10"/>
  <c r="S114" i="10"/>
  <c r="S121" i="10"/>
  <c r="T114" i="10"/>
  <c r="T121" i="10"/>
  <c r="AE114" i="10"/>
  <c r="AE121" i="10"/>
  <c r="AE113" i="10"/>
  <c r="AE120" i="10"/>
  <c r="AD113" i="10"/>
  <c r="AD120" i="10"/>
  <c r="U114" i="10"/>
  <c r="U121" i="10"/>
  <c r="W114" i="10"/>
  <c r="W121" i="10"/>
  <c r="AB106" i="10"/>
  <c r="AB113" i="10"/>
  <c r="T106" i="10"/>
  <c r="T113" i="10"/>
  <c r="S106" i="10"/>
  <c r="S113" i="10"/>
  <c r="X107" i="10"/>
  <c r="X114" i="10"/>
  <c r="AJ107" i="10"/>
  <c r="AJ114" i="10"/>
  <c r="U106" i="10"/>
  <c r="U113" i="10"/>
  <c r="AI106" i="10"/>
  <c r="AI113" i="10"/>
  <c r="AH106" i="10"/>
  <c r="AH113" i="10"/>
  <c r="AI107" i="10"/>
  <c r="AI114" i="10"/>
  <c r="AC107" i="10"/>
  <c r="AC114" i="10"/>
  <c r="AJ106" i="10"/>
  <c r="AJ113" i="10"/>
  <c r="AG106" i="10"/>
  <c r="AG113" i="10"/>
  <c r="Y107" i="10"/>
  <c r="Y114" i="10"/>
  <c r="AK106" i="10"/>
  <c r="AK113" i="10"/>
  <c r="W106" i="10"/>
  <c r="W113" i="10"/>
  <c r="R106" i="10"/>
  <c r="R113" i="10"/>
  <c r="AA107" i="10"/>
  <c r="AA114" i="10"/>
  <c r="AC54" i="10"/>
  <c r="AC106" i="10"/>
  <c r="S55" i="10"/>
  <c r="S107" i="10"/>
  <c r="T55" i="10"/>
  <c r="T107" i="10"/>
  <c r="AE55" i="10"/>
  <c r="AE107" i="10"/>
  <c r="AA54" i="10"/>
  <c r="AA106" i="10"/>
  <c r="AF54" i="10"/>
  <c r="AF106" i="10"/>
  <c r="AB55" i="10"/>
  <c r="AB107" i="10"/>
  <c r="R55" i="10"/>
  <c r="R107" i="10"/>
  <c r="AF55" i="10"/>
  <c r="AF107" i="10"/>
  <c r="Z54" i="10"/>
  <c r="Z106" i="10"/>
  <c r="Y54" i="10"/>
  <c r="Y106" i="10"/>
  <c r="X54" i="10"/>
  <c r="X106" i="10"/>
  <c r="Z55" i="10"/>
  <c r="Z107" i="10"/>
  <c r="AD55" i="10"/>
  <c r="AD107" i="10"/>
  <c r="AG55" i="10"/>
  <c r="AG107" i="10"/>
  <c r="AH55" i="10"/>
  <c r="AH107" i="10"/>
  <c r="AE54" i="10"/>
  <c r="AE106" i="10"/>
  <c r="AD54" i="10"/>
  <c r="AD106" i="10"/>
  <c r="U55" i="10"/>
  <c r="U107" i="10"/>
  <c r="W55" i="10"/>
  <c r="W107" i="10"/>
  <c r="V51" i="10"/>
  <c r="R159" i="10"/>
  <c r="AK160" i="10"/>
  <c r="AK159" i="10"/>
  <c r="AK158" i="10"/>
  <c r="AK161" i="10"/>
  <c r="AJ197" i="10"/>
  <c r="AJ184" i="10"/>
  <c r="AJ203" i="10"/>
  <c r="AJ190" i="10"/>
  <c r="AK202" i="10"/>
  <c r="AK189" i="10"/>
  <c r="AK196" i="10"/>
  <c r="AK183" i="10"/>
  <c r="AI184" i="10"/>
  <c r="AI203" i="10"/>
  <c r="AI190" i="10"/>
  <c r="AI197" i="10"/>
  <c r="AJ189" i="10"/>
  <c r="AJ196" i="10"/>
  <c r="AJ183" i="10"/>
  <c r="AJ202" i="10"/>
  <c r="AK190" i="10"/>
  <c r="AK197" i="10"/>
  <c r="AK184" i="10"/>
  <c r="AK203" i="10"/>
  <c r="AI196" i="10"/>
  <c r="AI183" i="10"/>
  <c r="AI202" i="10"/>
  <c r="AI189" i="10"/>
  <c r="AJ94" i="10"/>
  <c r="AJ55" i="10"/>
  <c r="AJ84" i="10"/>
  <c r="AJ100" i="10"/>
  <c r="AK94" i="10"/>
  <c r="AK84" i="10"/>
  <c r="AK55" i="10"/>
  <c r="AK100" i="10"/>
  <c r="AK54" i="10"/>
  <c r="AK83" i="10"/>
  <c r="AK99" i="10"/>
  <c r="AK93" i="10"/>
  <c r="AI93" i="10"/>
  <c r="AI54" i="10"/>
  <c r="AI83" i="10"/>
  <c r="AI99" i="10"/>
  <c r="AI94" i="10"/>
  <c r="AI55" i="10"/>
  <c r="AI84" i="10"/>
  <c r="AI100" i="10"/>
  <c r="AJ99" i="10"/>
  <c r="AJ93" i="10"/>
  <c r="AJ83" i="10"/>
  <c r="AJ54" i="10"/>
  <c r="AG183" i="10"/>
  <c r="AG189" i="10"/>
  <c r="AG196" i="10"/>
  <c r="AG202" i="10"/>
  <c r="AB183" i="10"/>
  <c r="AB189" i="10"/>
  <c r="AB196" i="10"/>
  <c r="AB202" i="10"/>
  <c r="X183" i="10"/>
  <c r="X189" i="10"/>
  <c r="X196" i="10"/>
  <c r="X202" i="10"/>
  <c r="AC183" i="10"/>
  <c r="AC189" i="10"/>
  <c r="AC196" i="10"/>
  <c r="AC202" i="10"/>
  <c r="AE183" i="10"/>
  <c r="AE189" i="10"/>
  <c r="AE196" i="10"/>
  <c r="AE202" i="10"/>
  <c r="T184" i="10"/>
  <c r="T190" i="10"/>
  <c r="T197" i="10"/>
  <c r="T203" i="10"/>
  <c r="W184" i="10"/>
  <c r="W190" i="10"/>
  <c r="W197" i="10"/>
  <c r="W203" i="10"/>
  <c r="U184" i="10"/>
  <c r="U190" i="10"/>
  <c r="U197" i="10"/>
  <c r="U203" i="10"/>
  <c r="T183" i="10"/>
  <c r="T189" i="10"/>
  <c r="T196" i="10"/>
  <c r="T202" i="10"/>
  <c r="S183" i="10"/>
  <c r="S189" i="10"/>
  <c r="S196" i="10"/>
  <c r="S202" i="10"/>
  <c r="R183" i="10"/>
  <c r="R189" i="10"/>
  <c r="R196" i="10"/>
  <c r="R202" i="10"/>
  <c r="AD183" i="10"/>
  <c r="AD189" i="10"/>
  <c r="AD196" i="10"/>
  <c r="AD202" i="10"/>
  <c r="W183" i="10"/>
  <c r="W189" i="10"/>
  <c r="W196" i="10"/>
  <c r="W202" i="10"/>
  <c r="V183" i="10"/>
  <c r="V189" i="10"/>
  <c r="V196" i="10"/>
  <c r="V202" i="10"/>
  <c r="Y184" i="10"/>
  <c r="Y190" i="10"/>
  <c r="Y197" i="10"/>
  <c r="Y203" i="10"/>
  <c r="AC184" i="10"/>
  <c r="AC190" i="10"/>
  <c r="AC197" i="10"/>
  <c r="AC203" i="10"/>
  <c r="X184" i="10"/>
  <c r="X190" i="10"/>
  <c r="X197" i="10"/>
  <c r="X203" i="10"/>
  <c r="AA184" i="10"/>
  <c r="AA190" i="10"/>
  <c r="AA197" i="10"/>
  <c r="AA203" i="10"/>
  <c r="R184" i="10"/>
  <c r="R190" i="10"/>
  <c r="R197" i="10"/>
  <c r="R203" i="10"/>
  <c r="Z183" i="10"/>
  <c r="Z189" i="10"/>
  <c r="Z196" i="10"/>
  <c r="Z202" i="10"/>
  <c r="AA183" i="10"/>
  <c r="AA189" i="10"/>
  <c r="AA196" i="10"/>
  <c r="AA202" i="10"/>
  <c r="V184" i="10"/>
  <c r="V190" i="10"/>
  <c r="V197" i="10"/>
  <c r="V203" i="10"/>
  <c r="AG184" i="10"/>
  <c r="AG190" i="10"/>
  <c r="AG197" i="10"/>
  <c r="AG203" i="10"/>
  <c r="AB184" i="10"/>
  <c r="AB190" i="10"/>
  <c r="AB197" i="10"/>
  <c r="AB203" i="10"/>
  <c r="AH184" i="10"/>
  <c r="AH190" i="10"/>
  <c r="AH197" i="10"/>
  <c r="AH203" i="10"/>
  <c r="U183" i="10"/>
  <c r="U189" i="10"/>
  <c r="U196" i="10"/>
  <c r="U202" i="10"/>
  <c r="AF183" i="10"/>
  <c r="AF189" i="10"/>
  <c r="AF196" i="10"/>
  <c r="AF202" i="10"/>
  <c r="AH183" i="10"/>
  <c r="AH189" i="10"/>
  <c r="AH196" i="10"/>
  <c r="AH202" i="10"/>
  <c r="Y183" i="10"/>
  <c r="Y189" i="10"/>
  <c r="Y196" i="10"/>
  <c r="Y202" i="10"/>
  <c r="AF184" i="10"/>
  <c r="AF190" i="10"/>
  <c r="AF197" i="10"/>
  <c r="AF203" i="10"/>
  <c r="S184" i="10"/>
  <c r="S190" i="10"/>
  <c r="S197" i="10"/>
  <c r="S203" i="10"/>
  <c r="Z184" i="10"/>
  <c r="Z190" i="10"/>
  <c r="Z197" i="10"/>
  <c r="Z203" i="10"/>
  <c r="AD184" i="10"/>
  <c r="AD190" i="10"/>
  <c r="AD197" i="10"/>
  <c r="AD203" i="10"/>
  <c r="AE184" i="10"/>
  <c r="AE190" i="10"/>
  <c r="AE197" i="10"/>
  <c r="AE203" i="10"/>
  <c r="U54" i="10"/>
  <c r="AH54" i="10"/>
  <c r="AG83" i="10"/>
  <c r="AG93" i="10"/>
  <c r="AG99" i="10"/>
  <c r="AB83" i="10"/>
  <c r="AB93" i="10"/>
  <c r="AB99" i="10"/>
  <c r="X83" i="10"/>
  <c r="X93" i="10"/>
  <c r="X99" i="10"/>
  <c r="AC83" i="10"/>
  <c r="AC93" i="10"/>
  <c r="AC99" i="10"/>
  <c r="AE83" i="10"/>
  <c r="AE99" i="10"/>
  <c r="AE93" i="10"/>
  <c r="T84" i="10"/>
  <c r="T94" i="10"/>
  <c r="T100" i="10"/>
  <c r="W84" i="10"/>
  <c r="W94" i="10"/>
  <c r="W100" i="10"/>
  <c r="U84" i="10"/>
  <c r="U100" i="10"/>
  <c r="U94" i="10"/>
  <c r="T83" i="10"/>
  <c r="T93" i="10"/>
  <c r="T99" i="10"/>
  <c r="S83" i="10"/>
  <c r="S99" i="10"/>
  <c r="S93" i="10"/>
  <c r="R83" i="10"/>
  <c r="R93" i="10"/>
  <c r="R99" i="10"/>
  <c r="AD83" i="10"/>
  <c r="AD93" i="10"/>
  <c r="AD99" i="10"/>
  <c r="W83" i="10"/>
  <c r="W99" i="10"/>
  <c r="W93" i="10"/>
  <c r="V83" i="10"/>
  <c r="V93" i="10"/>
  <c r="V99" i="10"/>
  <c r="Y84" i="10"/>
  <c r="Y94" i="10"/>
  <c r="Y100" i="10"/>
  <c r="AC84" i="10"/>
  <c r="AC94" i="10"/>
  <c r="AC100" i="10"/>
  <c r="X84" i="10"/>
  <c r="X94" i="10"/>
  <c r="X100" i="10"/>
  <c r="AA84" i="10"/>
  <c r="AA94" i="10"/>
  <c r="AA100" i="10"/>
  <c r="R84" i="10"/>
  <c r="R94" i="10"/>
  <c r="R100" i="10"/>
  <c r="Z83" i="10"/>
  <c r="Z93" i="10"/>
  <c r="Z99" i="10"/>
  <c r="AA83" i="10"/>
  <c r="AA99" i="10"/>
  <c r="AA93" i="10"/>
  <c r="V84" i="10"/>
  <c r="V94" i="10"/>
  <c r="V100" i="10"/>
  <c r="AG84" i="10"/>
  <c r="AG94" i="10"/>
  <c r="AG100" i="10"/>
  <c r="AB84" i="10"/>
  <c r="AB94" i="10"/>
  <c r="AB100" i="10"/>
  <c r="AH84" i="10"/>
  <c r="AH94" i="10"/>
  <c r="AH100" i="10"/>
  <c r="U83" i="10"/>
  <c r="U93" i="10"/>
  <c r="U99" i="10"/>
  <c r="AF83" i="10"/>
  <c r="AF93" i="10"/>
  <c r="AF99" i="10"/>
  <c r="AH83" i="10"/>
  <c r="AH93" i="10"/>
  <c r="AH99" i="10"/>
  <c r="Y83" i="10"/>
  <c r="Y93" i="10"/>
  <c r="Y99" i="10"/>
  <c r="AF84" i="10"/>
  <c r="AF94" i="10"/>
  <c r="AF100" i="10"/>
  <c r="S84" i="10"/>
  <c r="S94" i="10"/>
  <c r="S100" i="10"/>
  <c r="Z84" i="10"/>
  <c r="Z94" i="10"/>
  <c r="Z100" i="10"/>
  <c r="AD84" i="10"/>
  <c r="AD94" i="10"/>
  <c r="AD100" i="10"/>
  <c r="AE84" i="10"/>
  <c r="AE94" i="10"/>
  <c r="AE100" i="10"/>
  <c r="AG54" i="10"/>
  <c r="AB54" i="10"/>
  <c r="T54" i="10"/>
  <c r="S54" i="10"/>
  <c r="R54" i="10"/>
  <c r="W54" i="10"/>
  <c r="Y55" i="10"/>
  <c r="AC55" i="10"/>
  <c r="X55" i="10"/>
  <c r="AA55" i="10"/>
  <c r="BP59" i="13"/>
  <c r="BP58" i="13"/>
  <c r="BP54" i="13"/>
  <c r="BP55" i="13"/>
  <c r="BQ81" i="13"/>
  <c r="BP53" i="13"/>
  <c r="BP56" i="13"/>
  <c r="BP57" i="13"/>
  <c r="G4" i="10"/>
  <c r="G34" i="10"/>
  <c r="E34" i="10"/>
  <c r="BQ37" i="13"/>
  <c r="BQ6" i="13"/>
  <c r="BQ25" i="13"/>
  <c r="BQ41" i="13"/>
  <c r="BQ7" i="13"/>
  <c r="BQ34" i="13"/>
  <c r="BQ38" i="13"/>
  <c r="BQ11" i="13"/>
  <c r="BQ44" i="13"/>
  <c r="BQ43" i="13"/>
  <c r="BQ47" i="13"/>
  <c r="BQ14" i="13"/>
  <c r="BQ29" i="13"/>
  <c r="BQ48" i="13"/>
  <c r="BQ5" i="13"/>
  <c r="BQ33" i="13"/>
  <c r="BQ36" i="13"/>
  <c r="BQ17" i="13"/>
  <c r="BQ32" i="13"/>
  <c r="BQ35" i="13"/>
  <c r="BQ16" i="13"/>
  <c r="BQ28" i="13"/>
  <c r="BQ13" i="13"/>
  <c r="BQ22" i="13"/>
  <c r="BQ10" i="13"/>
  <c r="BQ46" i="13"/>
  <c r="BQ20" i="13"/>
  <c r="BQ9" i="13"/>
  <c r="BQ31" i="13"/>
  <c r="BQ21" i="13"/>
  <c r="BQ19" i="13"/>
  <c r="BQ45" i="13"/>
  <c r="BQ8" i="13"/>
  <c r="BQ27" i="13"/>
  <c r="BQ42" i="13"/>
  <c r="BQ39" i="13"/>
  <c r="BQ30" i="13"/>
  <c r="BQ12" i="13"/>
  <c r="BQ40" i="13"/>
  <c r="BQ15" i="13"/>
  <c r="BQ24" i="13"/>
  <c r="BQ49" i="13"/>
  <c r="BQ26" i="13"/>
  <c r="BQ18" i="13"/>
  <c r="BQ23" i="13"/>
  <c r="G110" i="10" l="1"/>
  <c r="D167" i="10"/>
  <c r="D111" i="10"/>
  <c r="H166" i="10"/>
  <c r="H110" i="10"/>
  <c r="O167" i="10"/>
  <c r="O111" i="10"/>
  <c r="H167" i="10"/>
  <c r="H111" i="10"/>
  <c r="C168" i="10"/>
  <c r="C112" i="10"/>
  <c r="H168" i="10"/>
  <c r="H112" i="10"/>
  <c r="C166" i="10"/>
  <c r="C110" i="10"/>
  <c r="J167" i="10"/>
  <c r="J111" i="10"/>
  <c r="Q165" i="10"/>
  <c r="Q109" i="10"/>
  <c r="H165" i="10"/>
  <c r="M167" i="10"/>
  <c r="E167" i="10"/>
  <c r="K167" i="10"/>
  <c r="N168" i="10"/>
  <c r="E168" i="10"/>
  <c r="G168" i="10"/>
  <c r="M166" i="10"/>
  <c r="F166" i="10"/>
  <c r="K166" i="10"/>
  <c r="F167" i="10"/>
  <c r="J168" i="10"/>
  <c r="L167" i="10"/>
  <c r="O168" i="10"/>
  <c r="F168" i="10"/>
  <c r="N166" i="10"/>
  <c r="I167" i="10"/>
  <c r="Q168" i="10"/>
  <c r="Q167" i="10"/>
  <c r="I166" i="10"/>
  <c r="P167" i="10"/>
  <c r="C167" i="10"/>
  <c r="L166" i="10"/>
  <c r="M168" i="10"/>
  <c r="O166" i="10"/>
  <c r="D166" i="10"/>
  <c r="K168" i="10"/>
  <c r="Q166" i="10"/>
  <c r="I168" i="10"/>
  <c r="N167" i="10"/>
  <c r="G167" i="10"/>
  <c r="J166" i="10"/>
  <c r="L168" i="10"/>
  <c r="P168" i="10"/>
  <c r="D168" i="10"/>
  <c r="P166" i="10"/>
  <c r="E166" i="10"/>
  <c r="M165" i="10"/>
  <c r="F165" i="10"/>
  <c r="L165" i="10"/>
  <c r="O165" i="10"/>
  <c r="D165" i="10"/>
  <c r="I165" i="10"/>
  <c r="N165" i="10"/>
  <c r="G165" i="10"/>
  <c r="J165" i="10"/>
  <c r="P165" i="10"/>
  <c r="E165" i="10"/>
  <c r="K165" i="10"/>
  <c r="C165" i="10"/>
  <c r="D174" i="10"/>
  <c r="C175" i="10"/>
  <c r="C173" i="10"/>
  <c r="Q172" i="10"/>
  <c r="P175" i="10"/>
  <c r="E175" i="10"/>
  <c r="K175" i="10"/>
  <c r="Q173" i="10"/>
  <c r="D173" i="10"/>
  <c r="K173" i="10"/>
  <c r="L173" i="10"/>
  <c r="N174" i="10"/>
  <c r="E174" i="10"/>
  <c r="G174" i="10"/>
  <c r="L174" i="10"/>
  <c r="H173" i="10"/>
  <c r="M175" i="10"/>
  <c r="D175" i="10"/>
  <c r="O173" i="10"/>
  <c r="F173" i="10"/>
  <c r="I174" i="10"/>
  <c r="J174" i="10"/>
  <c r="P174" i="10"/>
  <c r="C174" i="10"/>
  <c r="K174" i="10"/>
  <c r="J173" i="10"/>
  <c r="Q175" i="10"/>
  <c r="N175" i="10"/>
  <c r="N173" i="10"/>
  <c r="P173" i="10"/>
  <c r="E173" i="10"/>
  <c r="L175" i="10"/>
  <c r="I175" i="10"/>
  <c r="I173" i="10"/>
  <c r="O174" i="10"/>
  <c r="J175" i="10"/>
  <c r="H174" i="10"/>
  <c r="O175" i="10"/>
  <c r="F175" i="10"/>
  <c r="G175" i="10"/>
  <c r="M173" i="10"/>
  <c r="G173" i="10"/>
  <c r="Q174" i="10"/>
  <c r="M174" i="10"/>
  <c r="F174" i="10"/>
  <c r="H175" i="10"/>
  <c r="J172" i="10"/>
  <c r="O172" i="10"/>
  <c r="F172" i="10"/>
  <c r="L172" i="10"/>
  <c r="P172" i="10"/>
  <c r="D172" i="10"/>
  <c r="G172" i="10"/>
  <c r="I172" i="10"/>
  <c r="M172" i="10"/>
  <c r="E172" i="10"/>
  <c r="K172" i="10"/>
  <c r="H172" i="10"/>
  <c r="N172" i="10"/>
  <c r="C172" i="10"/>
  <c r="C159" i="10"/>
  <c r="D160" i="10"/>
  <c r="D161" i="10"/>
  <c r="C160" i="10"/>
  <c r="C161" i="10"/>
  <c r="Q123" i="10"/>
  <c r="Q95" i="10"/>
  <c r="C137" i="10"/>
  <c r="C130" i="10"/>
  <c r="C116" i="10"/>
  <c r="C102" i="10"/>
  <c r="C123" i="10"/>
  <c r="C140" i="10"/>
  <c r="C126" i="10"/>
  <c r="C133" i="10"/>
  <c r="C119" i="10"/>
  <c r="C105" i="10"/>
  <c r="C132" i="10"/>
  <c r="C118" i="10"/>
  <c r="C104" i="10"/>
  <c r="C139" i="10"/>
  <c r="C125" i="10"/>
  <c r="C131" i="10"/>
  <c r="C117" i="10"/>
  <c r="C103" i="10"/>
  <c r="C138" i="10"/>
  <c r="C124" i="10"/>
  <c r="D137" i="10"/>
  <c r="D130" i="10"/>
  <c r="D123" i="10"/>
  <c r="D116" i="10"/>
  <c r="D102" i="10"/>
  <c r="D139" i="10"/>
  <c r="D132" i="10"/>
  <c r="D125" i="10"/>
  <c r="D118" i="10"/>
  <c r="D104" i="10"/>
  <c r="D126" i="10"/>
  <c r="D119" i="10"/>
  <c r="D105" i="10"/>
  <c r="D140" i="10"/>
  <c r="D133" i="10"/>
  <c r="D138" i="10"/>
  <c r="D131" i="10"/>
  <c r="D124" i="10"/>
  <c r="D117" i="10"/>
  <c r="D103" i="10"/>
  <c r="O133" i="10"/>
  <c r="O140" i="10"/>
  <c r="Q131" i="10"/>
  <c r="Q138" i="10"/>
  <c r="I131" i="10"/>
  <c r="I138" i="10"/>
  <c r="P132" i="10"/>
  <c r="P139" i="10"/>
  <c r="G132" i="10"/>
  <c r="G139" i="10"/>
  <c r="L131" i="10"/>
  <c r="L138" i="10"/>
  <c r="J133" i="10"/>
  <c r="J140" i="10"/>
  <c r="F131" i="10"/>
  <c r="F138" i="10"/>
  <c r="N133" i="10"/>
  <c r="N140" i="10"/>
  <c r="G133" i="10"/>
  <c r="G140" i="10"/>
  <c r="P131" i="10"/>
  <c r="P138" i="10"/>
  <c r="K131" i="10"/>
  <c r="K138" i="10"/>
  <c r="O132" i="10"/>
  <c r="O139" i="10"/>
  <c r="I132" i="10"/>
  <c r="I139" i="10"/>
  <c r="H132" i="10"/>
  <c r="H139" i="10"/>
  <c r="L133" i="10"/>
  <c r="L140" i="10"/>
  <c r="E131" i="10"/>
  <c r="E138" i="10"/>
  <c r="F132" i="10"/>
  <c r="F139" i="10"/>
  <c r="M133" i="10"/>
  <c r="M140" i="10"/>
  <c r="I133" i="10"/>
  <c r="I140" i="10"/>
  <c r="N131" i="10"/>
  <c r="N138" i="10"/>
  <c r="O131" i="10"/>
  <c r="O138" i="10"/>
  <c r="M132" i="10"/>
  <c r="M139" i="10"/>
  <c r="N132" i="10"/>
  <c r="N139" i="10"/>
  <c r="K132" i="10"/>
  <c r="K139" i="10"/>
  <c r="J132" i="10"/>
  <c r="J139" i="10"/>
  <c r="J131" i="10"/>
  <c r="J138" i="10"/>
  <c r="E132" i="10"/>
  <c r="E139" i="10"/>
  <c r="P133" i="10"/>
  <c r="P140" i="10"/>
  <c r="Q133" i="10"/>
  <c r="Q140" i="10"/>
  <c r="K133" i="10"/>
  <c r="K140" i="10"/>
  <c r="M131" i="10"/>
  <c r="M138" i="10"/>
  <c r="G131" i="10"/>
  <c r="G138" i="10"/>
  <c r="Q132" i="10"/>
  <c r="Q139" i="10"/>
  <c r="H131" i="10"/>
  <c r="H138" i="10"/>
  <c r="H133" i="10"/>
  <c r="H140" i="10"/>
  <c r="L132" i="10"/>
  <c r="L139" i="10"/>
  <c r="E133" i="10"/>
  <c r="E140" i="10"/>
  <c r="F133" i="10"/>
  <c r="F140" i="10"/>
  <c r="L130" i="10"/>
  <c r="L137" i="10"/>
  <c r="Q130" i="10"/>
  <c r="Q137" i="10"/>
  <c r="I130" i="10"/>
  <c r="I137" i="10"/>
  <c r="E130" i="10"/>
  <c r="E137" i="10"/>
  <c r="O130" i="10"/>
  <c r="O137" i="10"/>
  <c r="P130" i="10"/>
  <c r="P137" i="10"/>
  <c r="K130" i="10"/>
  <c r="K137" i="10"/>
  <c r="H130" i="10"/>
  <c r="H137" i="10"/>
  <c r="N130" i="10"/>
  <c r="N137" i="10"/>
  <c r="G130" i="10"/>
  <c r="G137" i="10"/>
  <c r="F130" i="10"/>
  <c r="F137" i="10"/>
  <c r="J130" i="10"/>
  <c r="J137" i="10"/>
  <c r="M130" i="10"/>
  <c r="M137" i="10"/>
  <c r="M119" i="10"/>
  <c r="M126" i="10"/>
  <c r="I119" i="10"/>
  <c r="I126" i="10"/>
  <c r="N117" i="10"/>
  <c r="N124" i="10"/>
  <c r="O117" i="10"/>
  <c r="O124" i="10"/>
  <c r="M118" i="10"/>
  <c r="M125" i="10"/>
  <c r="N118" i="10"/>
  <c r="N125" i="10"/>
  <c r="K118" i="10"/>
  <c r="K125" i="10"/>
  <c r="J118" i="10"/>
  <c r="J125" i="10"/>
  <c r="J117" i="10"/>
  <c r="J124" i="10"/>
  <c r="E118" i="10"/>
  <c r="E125" i="10"/>
  <c r="F117" i="10"/>
  <c r="F124" i="10"/>
  <c r="P119" i="10"/>
  <c r="P126" i="10"/>
  <c r="Q119" i="10"/>
  <c r="Q126" i="10"/>
  <c r="K119" i="10"/>
  <c r="K126" i="10"/>
  <c r="M117" i="10"/>
  <c r="M124" i="10"/>
  <c r="G117" i="10"/>
  <c r="G124" i="10"/>
  <c r="Q118" i="10"/>
  <c r="Q125" i="10"/>
  <c r="H117" i="10"/>
  <c r="H124" i="10"/>
  <c r="H119" i="10"/>
  <c r="H126" i="10"/>
  <c r="L118" i="10"/>
  <c r="L125" i="10"/>
  <c r="E119" i="10"/>
  <c r="E126" i="10"/>
  <c r="F118" i="10"/>
  <c r="F125" i="10"/>
  <c r="O119" i="10"/>
  <c r="O126" i="10"/>
  <c r="Q117" i="10"/>
  <c r="Q124" i="10"/>
  <c r="I117" i="10"/>
  <c r="I124" i="10"/>
  <c r="P118" i="10"/>
  <c r="P125" i="10"/>
  <c r="G118" i="10"/>
  <c r="G125" i="10"/>
  <c r="L117" i="10"/>
  <c r="L124" i="10"/>
  <c r="J119" i="10"/>
  <c r="J126" i="10"/>
  <c r="N119" i="10"/>
  <c r="N126" i="10"/>
  <c r="G119" i="10"/>
  <c r="G126" i="10"/>
  <c r="P117" i="10"/>
  <c r="P124" i="10"/>
  <c r="K117" i="10"/>
  <c r="K124" i="10"/>
  <c r="O118" i="10"/>
  <c r="O125" i="10"/>
  <c r="I118" i="10"/>
  <c r="I125" i="10"/>
  <c r="H118" i="10"/>
  <c r="H125" i="10"/>
  <c r="L119" i="10"/>
  <c r="L126" i="10"/>
  <c r="E117" i="10"/>
  <c r="E124" i="10"/>
  <c r="F119" i="10"/>
  <c r="F126" i="10"/>
  <c r="H116" i="10"/>
  <c r="H123" i="10"/>
  <c r="N116" i="10"/>
  <c r="N123" i="10"/>
  <c r="G116" i="10"/>
  <c r="G123" i="10"/>
  <c r="L116" i="10"/>
  <c r="L123" i="10"/>
  <c r="Q116" i="10"/>
  <c r="I116" i="10"/>
  <c r="I123" i="10"/>
  <c r="E116" i="10"/>
  <c r="E123" i="10"/>
  <c r="F116" i="10"/>
  <c r="F123" i="10"/>
  <c r="J116" i="10"/>
  <c r="J123" i="10"/>
  <c r="M116" i="10"/>
  <c r="M123" i="10"/>
  <c r="O116" i="10"/>
  <c r="O123" i="10"/>
  <c r="P116" i="10"/>
  <c r="P123" i="10"/>
  <c r="K116" i="10"/>
  <c r="K123" i="10"/>
  <c r="O105" i="10"/>
  <c r="Q103" i="10"/>
  <c r="I103" i="10"/>
  <c r="P104" i="10"/>
  <c r="G104" i="10"/>
  <c r="L103" i="10"/>
  <c r="J105" i="10"/>
  <c r="N105" i="10"/>
  <c r="G105" i="10"/>
  <c r="P103" i="10"/>
  <c r="K103" i="10"/>
  <c r="O104" i="10"/>
  <c r="I104" i="10"/>
  <c r="H104" i="10"/>
  <c r="L105" i="10"/>
  <c r="E103" i="10"/>
  <c r="F105" i="10"/>
  <c r="M105" i="10"/>
  <c r="I105" i="10"/>
  <c r="N103" i="10"/>
  <c r="O103" i="10"/>
  <c r="M104" i="10"/>
  <c r="N104" i="10"/>
  <c r="K104" i="10"/>
  <c r="J104" i="10"/>
  <c r="J103" i="10"/>
  <c r="E104" i="10"/>
  <c r="F103" i="10"/>
  <c r="P105" i="10"/>
  <c r="Q105" i="10"/>
  <c r="K105" i="10"/>
  <c r="M103" i="10"/>
  <c r="G103" i="10"/>
  <c r="Q104" i="10"/>
  <c r="H103" i="10"/>
  <c r="H105" i="10"/>
  <c r="L104" i="10"/>
  <c r="E105" i="10"/>
  <c r="F104" i="10"/>
  <c r="H102" i="10"/>
  <c r="N102" i="10"/>
  <c r="G102" i="10"/>
  <c r="J102" i="10"/>
  <c r="M102" i="10"/>
  <c r="L102" i="10"/>
  <c r="Q102" i="10"/>
  <c r="I102" i="10"/>
  <c r="E102" i="10"/>
  <c r="F102" i="10"/>
  <c r="O102" i="10"/>
  <c r="P102" i="10"/>
  <c r="K102" i="10"/>
  <c r="M161" i="10"/>
  <c r="G161" i="10"/>
  <c r="H161" i="10"/>
  <c r="E161" i="10"/>
  <c r="P161" i="10"/>
  <c r="Q161" i="10"/>
  <c r="I161" i="10"/>
  <c r="J161" i="10"/>
  <c r="L161" i="10"/>
  <c r="O161" i="10"/>
  <c r="K161" i="10"/>
  <c r="N161" i="10"/>
  <c r="F161" i="10"/>
  <c r="P160" i="10"/>
  <c r="F160" i="10"/>
  <c r="L160" i="10"/>
  <c r="O160" i="10"/>
  <c r="G160" i="10"/>
  <c r="M160" i="10"/>
  <c r="N160" i="10"/>
  <c r="I160" i="10"/>
  <c r="H160" i="10"/>
  <c r="Q160" i="10"/>
  <c r="K160" i="10"/>
  <c r="J160" i="10"/>
  <c r="E160" i="10"/>
  <c r="P159" i="10"/>
  <c r="I159" i="10"/>
  <c r="H159" i="10"/>
  <c r="N159" i="10"/>
  <c r="O159" i="10"/>
  <c r="K159" i="10"/>
  <c r="L159" i="10"/>
  <c r="M159" i="10"/>
  <c r="F159" i="10"/>
  <c r="E159" i="10"/>
  <c r="Q159" i="10"/>
  <c r="G159" i="10"/>
  <c r="J159" i="10"/>
  <c r="J158" i="10"/>
  <c r="O158" i="10"/>
  <c r="M158" i="10"/>
  <c r="P158" i="10"/>
  <c r="F158" i="10"/>
  <c r="I158" i="10"/>
  <c r="H158" i="10"/>
  <c r="L158" i="10"/>
  <c r="N158" i="10"/>
  <c r="Q158" i="10"/>
  <c r="G158" i="10"/>
  <c r="K158" i="10"/>
  <c r="E158" i="10"/>
  <c r="C158" i="10"/>
  <c r="D159" i="10"/>
  <c r="D158" i="10"/>
  <c r="F50" i="10"/>
  <c r="F59" i="10" s="1"/>
  <c r="E50" i="10"/>
  <c r="E59" i="10" s="1"/>
  <c r="E53" i="10"/>
  <c r="E52" i="10"/>
  <c r="F53" i="10"/>
  <c r="C51" i="10"/>
  <c r="C64" i="10" s="1"/>
  <c r="D53" i="10"/>
  <c r="E51" i="10"/>
  <c r="E64" i="10" s="1"/>
  <c r="F52" i="10"/>
  <c r="F61" i="10"/>
  <c r="D50" i="10"/>
  <c r="D59" i="10" s="1"/>
  <c r="F51" i="10"/>
  <c r="F64" i="10" s="1"/>
  <c r="F60" i="10"/>
  <c r="C53" i="10"/>
  <c r="C52" i="10"/>
  <c r="D51" i="10"/>
  <c r="D64" i="10" s="1"/>
  <c r="C50" i="10"/>
  <c r="C60" i="10" s="1"/>
  <c r="D52" i="10"/>
  <c r="AE14" i="10"/>
  <c r="AE15" i="10" s="1"/>
  <c r="AI14" i="10"/>
  <c r="AI15" i="10" s="1"/>
  <c r="T14" i="10"/>
  <c r="T15" i="10" s="1"/>
  <c r="AL14" i="10"/>
  <c r="AL15" i="10" s="1"/>
  <c r="AL18" i="10"/>
  <c r="X14" i="10"/>
  <c r="X15" i="10" s="1"/>
  <c r="S14" i="10"/>
  <c r="S15" i="10" s="1"/>
  <c r="AO14" i="10"/>
  <c r="AO15" i="10" s="1"/>
  <c r="AO18" i="10"/>
  <c r="AS14" i="10"/>
  <c r="AS15" i="10" s="1"/>
  <c r="AS18" i="10"/>
  <c r="AM14" i="10"/>
  <c r="AM15" i="10" s="1"/>
  <c r="AM18" i="10"/>
  <c r="AQ14" i="10"/>
  <c r="AQ15" i="10" s="1"/>
  <c r="AQ18" i="10"/>
  <c r="AN14" i="10"/>
  <c r="AN15" i="10" s="1"/>
  <c r="AN18" i="10"/>
  <c r="AP14" i="10"/>
  <c r="AP15" i="10" s="1"/>
  <c r="AP18" i="10"/>
  <c r="AP24" i="10"/>
  <c r="AP26" i="10"/>
  <c r="AP23" i="10"/>
  <c r="AP25" i="10"/>
  <c r="AP27" i="10"/>
  <c r="AP28" i="10"/>
  <c r="AP30" i="10"/>
  <c r="AP29" i="10"/>
  <c r="AT14" i="10"/>
  <c r="AT15" i="10" s="1"/>
  <c r="AT18" i="10"/>
  <c r="AU14" i="10"/>
  <c r="AU15" i="10" s="1"/>
  <c r="AU18" i="10"/>
  <c r="AR14" i="10"/>
  <c r="AR15" i="10" s="1"/>
  <c r="AR18" i="10"/>
  <c r="AJ14" i="10"/>
  <c r="AJ15" i="10" s="1"/>
  <c r="AK14" i="10"/>
  <c r="AK15" i="10" s="1"/>
  <c r="AK165" i="10"/>
  <c r="AK172" i="10"/>
  <c r="V175" i="10"/>
  <c r="V168" i="10"/>
  <c r="V140" i="10"/>
  <c r="V154" i="10"/>
  <c r="V119" i="10"/>
  <c r="V105" i="10"/>
  <c r="V161" i="10"/>
  <c r="V133" i="10"/>
  <c r="V147" i="10"/>
  <c r="V126" i="10"/>
  <c r="V112" i="10"/>
  <c r="AK173" i="10"/>
  <c r="AK166" i="10"/>
  <c r="V14" i="10"/>
  <c r="V15" i="10" s="1"/>
  <c r="V172" i="10"/>
  <c r="V165" i="10"/>
  <c r="V130" i="10"/>
  <c r="V144" i="10"/>
  <c r="V123" i="10"/>
  <c r="V158" i="10"/>
  <c r="V137" i="10"/>
  <c r="V151" i="10"/>
  <c r="V116" i="10"/>
  <c r="V102" i="10"/>
  <c r="V109" i="10"/>
  <c r="V173" i="10"/>
  <c r="V166" i="10"/>
  <c r="V131" i="10"/>
  <c r="V145" i="10"/>
  <c r="V124" i="10"/>
  <c r="V110" i="10"/>
  <c r="V138" i="10"/>
  <c r="V152" i="10"/>
  <c r="V117" i="10"/>
  <c r="V103" i="10"/>
  <c r="V159" i="10"/>
  <c r="AK175" i="10"/>
  <c r="AK168" i="10"/>
  <c r="V174" i="10"/>
  <c r="V167" i="10"/>
  <c r="V160" i="10"/>
  <c r="V118" i="10"/>
  <c r="V139" i="10"/>
  <c r="V153" i="10"/>
  <c r="V132" i="10"/>
  <c r="V146" i="10"/>
  <c r="V125" i="10"/>
  <c r="V111" i="10"/>
  <c r="V104" i="10"/>
  <c r="AK167" i="10"/>
  <c r="AK174" i="10"/>
  <c r="C151" i="10"/>
  <c r="C144" i="10"/>
  <c r="D144" i="10"/>
  <c r="D151" i="10"/>
  <c r="W168" i="10"/>
  <c r="W175" i="10"/>
  <c r="Y168" i="10"/>
  <c r="Y175" i="10"/>
  <c r="AE168" i="10"/>
  <c r="AE175" i="10"/>
  <c r="Z168" i="10"/>
  <c r="Z175" i="10"/>
  <c r="T168" i="10"/>
  <c r="T175" i="10"/>
  <c r="R168" i="10"/>
  <c r="R175" i="10"/>
  <c r="X168" i="10"/>
  <c r="X175" i="10"/>
  <c r="AA168" i="10"/>
  <c r="AA175" i="10"/>
  <c r="AI168" i="10"/>
  <c r="AI175" i="10"/>
  <c r="AD168" i="10"/>
  <c r="AD175" i="10"/>
  <c r="AJ168" i="10"/>
  <c r="AJ175" i="10"/>
  <c r="AC168" i="10"/>
  <c r="AC175" i="10"/>
  <c r="AG168" i="10"/>
  <c r="AG175" i="10"/>
  <c r="S168" i="10"/>
  <c r="S175" i="10"/>
  <c r="U168" i="10"/>
  <c r="U175" i="10"/>
  <c r="AB168" i="10"/>
  <c r="AB175" i="10"/>
  <c r="AF168" i="10"/>
  <c r="AF175" i="10"/>
  <c r="AH168" i="10"/>
  <c r="AH175" i="10"/>
  <c r="W167" i="10"/>
  <c r="W174" i="10"/>
  <c r="AA167" i="10"/>
  <c r="AA174" i="10"/>
  <c r="AC167" i="10"/>
  <c r="AC174" i="10"/>
  <c r="AD167" i="10"/>
  <c r="AD174" i="10"/>
  <c r="U167" i="10"/>
  <c r="U174" i="10"/>
  <c r="X167" i="10"/>
  <c r="X174" i="10"/>
  <c r="AG167" i="10"/>
  <c r="AG174" i="10"/>
  <c r="S167" i="10"/>
  <c r="S174" i="10"/>
  <c r="R167" i="10"/>
  <c r="R174" i="10"/>
  <c r="AI167" i="10"/>
  <c r="AI174" i="10"/>
  <c r="Y167" i="10"/>
  <c r="Y174" i="10"/>
  <c r="AE167" i="10"/>
  <c r="AE174" i="10"/>
  <c r="AF167" i="10"/>
  <c r="AF174" i="10"/>
  <c r="AH167" i="10"/>
  <c r="AH174" i="10"/>
  <c r="AJ167" i="10"/>
  <c r="AJ174" i="10"/>
  <c r="AB167" i="10"/>
  <c r="AB174" i="10"/>
  <c r="Z167" i="10"/>
  <c r="Z174" i="10"/>
  <c r="T167" i="10"/>
  <c r="T174" i="10"/>
  <c r="Y166" i="10"/>
  <c r="Y173" i="10"/>
  <c r="AJ166" i="10"/>
  <c r="AJ173" i="10"/>
  <c r="AF166" i="10"/>
  <c r="AF173" i="10"/>
  <c r="S166" i="10"/>
  <c r="S173" i="10"/>
  <c r="AG166" i="10"/>
  <c r="AG173" i="10"/>
  <c r="AH166" i="10"/>
  <c r="AH173" i="10"/>
  <c r="U166" i="10"/>
  <c r="U173" i="10"/>
  <c r="Z166" i="10"/>
  <c r="Z173" i="10"/>
  <c r="AD166" i="10"/>
  <c r="AD173" i="10"/>
  <c r="T166" i="10"/>
  <c r="T173" i="10"/>
  <c r="AB166" i="10"/>
  <c r="AB173" i="10"/>
  <c r="R166" i="10"/>
  <c r="R173" i="10"/>
  <c r="AE166" i="10"/>
  <c r="AE173" i="10"/>
  <c r="AC166" i="10"/>
  <c r="AC173" i="10"/>
  <c r="W166" i="10"/>
  <c r="W173" i="10"/>
  <c r="X166" i="10"/>
  <c r="X173" i="10"/>
  <c r="AA166" i="10"/>
  <c r="AA173" i="10"/>
  <c r="AI166" i="10"/>
  <c r="AI173" i="10"/>
  <c r="AC165" i="10"/>
  <c r="AC172" i="10"/>
  <c r="W165" i="10"/>
  <c r="W172" i="10"/>
  <c r="S165" i="10"/>
  <c r="S172" i="10"/>
  <c r="AG165" i="10"/>
  <c r="AG172" i="10"/>
  <c r="AA165" i="10"/>
  <c r="AA172" i="10"/>
  <c r="AJ165" i="10"/>
  <c r="AJ172" i="10"/>
  <c r="T165" i="10"/>
  <c r="T172" i="10"/>
  <c r="U165" i="10"/>
  <c r="U172" i="10"/>
  <c r="Z165" i="10"/>
  <c r="Z172" i="10"/>
  <c r="X165" i="10"/>
  <c r="X172" i="10"/>
  <c r="AI165" i="10"/>
  <c r="AI172" i="10"/>
  <c r="AB165" i="10"/>
  <c r="AB172" i="10"/>
  <c r="AE165" i="10"/>
  <c r="AE172" i="10"/>
  <c r="AD165" i="10"/>
  <c r="AD172" i="10"/>
  <c r="Y165" i="10"/>
  <c r="Y172" i="10"/>
  <c r="AF165" i="10"/>
  <c r="AF172" i="10"/>
  <c r="AH165" i="10"/>
  <c r="AH172" i="10"/>
  <c r="R165" i="10"/>
  <c r="R172" i="10"/>
  <c r="AJ161" i="10"/>
  <c r="AC161" i="10"/>
  <c r="AG161" i="10"/>
  <c r="S161" i="10"/>
  <c r="U161" i="10"/>
  <c r="AB161" i="10"/>
  <c r="AF161" i="10"/>
  <c r="AH161" i="10"/>
  <c r="W161" i="10"/>
  <c r="Y161" i="10"/>
  <c r="AE161" i="10"/>
  <c r="Z161" i="10"/>
  <c r="T161" i="10"/>
  <c r="R161" i="10"/>
  <c r="X161" i="10"/>
  <c r="AA161" i="10"/>
  <c r="AI161" i="10"/>
  <c r="AD161" i="10"/>
  <c r="AI160" i="10"/>
  <c r="Y160" i="10"/>
  <c r="AE160" i="10"/>
  <c r="AF160" i="10"/>
  <c r="AH160" i="10"/>
  <c r="AJ160" i="10"/>
  <c r="AB160" i="10"/>
  <c r="Z160" i="10"/>
  <c r="T160" i="10"/>
  <c r="W160" i="10"/>
  <c r="AA160" i="10"/>
  <c r="AC160" i="10"/>
  <c r="AD160" i="10"/>
  <c r="U160" i="10"/>
  <c r="X160" i="10"/>
  <c r="AG160" i="10"/>
  <c r="S160" i="10"/>
  <c r="R160" i="10"/>
  <c r="Z159" i="10"/>
  <c r="AD159" i="10"/>
  <c r="T159" i="10"/>
  <c r="AB159" i="10"/>
  <c r="AE159" i="10"/>
  <c r="AC159" i="10"/>
  <c r="W159" i="10"/>
  <c r="X159" i="10"/>
  <c r="AA159" i="10"/>
  <c r="AI159" i="10"/>
  <c r="Y159" i="10"/>
  <c r="AJ159" i="10"/>
  <c r="AF159" i="10"/>
  <c r="S159" i="10"/>
  <c r="AG159" i="10"/>
  <c r="AH159" i="10"/>
  <c r="U159" i="10"/>
  <c r="Z158" i="10"/>
  <c r="X158" i="10"/>
  <c r="AI158" i="10"/>
  <c r="AB158" i="10"/>
  <c r="AE158" i="10"/>
  <c r="AD158" i="10"/>
  <c r="Y158" i="10"/>
  <c r="AF158" i="10"/>
  <c r="AH158" i="10"/>
  <c r="R158" i="10"/>
  <c r="AC158" i="10"/>
  <c r="W158" i="10"/>
  <c r="S158" i="10"/>
  <c r="AG158" i="10"/>
  <c r="AA158" i="10"/>
  <c r="AJ158" i="10"/>
  <c r="T158" i="10"/>
  <c r="U158" i="10"/>
  <c r="G154" i="10"/>
  <c r="J154" i="10"/>
  <c r="K154" i="10"/>
  <c r="D154" i="10"/>
  <c r="F154" i="10"/>
  <c r="C154" i="10"/>
  <c r="I154" i="10"/>
  <c r="L154" i="10"/>
  <c r="E154" i="10"/>
  <c r="H154" i="10"/>
  <c r="N53" i="10"/>
  <c r="F153" i="10"/>
  <c r="G153" i="10"/>
  <c r="Q52" i="10"/>
  <c r="M52" i="10"/>
  <c r="I153" i="10"/>
  <c r="D153" i="10"/>
  <c r="J153" i="10"/>
  <c r="E153" i="10"/>
  <c r="H153" i="10"/>
  <c r="C153" i="10"/>
  <c r="L153" i="10"/>
  <c r="K153" i="10"/>
  <c r="J152" i="10"/>
  <c r="E152" i="10"/>
  <c r="P51" i="10"/>
  <c r="Q51" i="10"/>
  <c r="Q64" i="10" s="1"/>
  <c r="C152" i="10"/>
  <c r="D152" i="10"/>
  <c r="F152" i="10"/>
  <c r="G152" i="10"/>
  <c r="L152" i="10"/>
  <c r="J151" i="10"/>
  <c r="H151" i="10"/>
  <c r="E151" i="10"/>
  <c r="AI144" i="10"/>
  <c r="K151" i="10"/>
  <c r="L151" i="10"/>
  <c r="M50" i="10"/>
  <c r="F151" i="10"/>
  <c r="G151" i="10"/>
  <c r="I151" i="10"/>
  <c r="AK133" i="10"/>
  <c r="AK140" i="10"/>
  <c r="AK147" i="10"/>
  <c r="AK154" i="10"/>
  <c r="AK123" i="10"/>
  <c r="AK130" i="10"/>
  <c r="AK137" i="10"/>
  <c r="AK144" i="10"/>
  <c r="AK151" i="10"/>
  <c r="X132" i="10"/>
  <c r="X139" i="10"/>
  <c r="X146" i="10"/>
  <c r="X153" i="10"/>
  <c r="AG132" i="10"/>
  <c r="AG139" i="10"/>
  <c r="AG146" i="10"/>
  <c r="AG153" i="10"/>
  <c r="AH132" i="10"/>
  <c r="AH139" i="10"/>
  <c r="AH146" i="10"/>
  <c r="AH153" i="10"/>
  <c r="AJ133" i="10"/>
  <c r="AJ140" i="10"/>
  <c r="AJ147" i="10"/>
  <c r="AJ154" i="10"/>
  <c r="AC133" i="10"/>
  <c r="AC140" i="10"/>
  <c r="AC147" i="10"/>
  <c r="AC154" i="10"/>
  <c r="AF133" i="10"/>
  <c r="AF140" i="10"/>
  <c r="AF147" i="10"/>
  <c r="AF154" i="10"/>
  <c r="AH133" i="10"/>
  <c r="AH140" i="10"/>
  <c r="AH147" i="10"/>
  <c r="AH154" i="10"/>
  <c r="AE130" i="10"/>
  <c r="AE137" i="10"/>
  <c r="AE144" i="10"/>
  <c r="AE151" i="10"/>
  <c r="AD130" i="10"/>
  <c r="AD137" i="10"/>
  <c r="AD144" i="10"/>
  <c r="AD151" i="10"/>
  <c r="Y130" i="10"/>
  <c r="Y137" i="10"/>
  <c r="Y144" i="10"/>
  <c r="Y151" i="10"/>
  <c r="S130" i="10"/>
  <c r="S137" i="10"/>
  <c r="S151" i="10"/>
  <c r="S144" i="10"/>
  <c r="AG130" i="10"/>
  <c r="AG137" i="10"/>
  <c r="AG144" i="10"/>
  <c r="AG151" i="10"/>
  <c r="Y124" i="10"/>
  <c r="Y131" i="10"/>
  <c r="Y138" i="10"/>
  <c r="Y145" i="10"/>
  <c r="Y152" i="10"/>
  <c r="AJ131" i="10"/>
  <c r="AJ138" i="10"/>
  <c r="AJ145" i="10"/>
  <c r="AJ152" i="10"/>
  <c r="AF131" i="10"/>
  <c r="AF138" i="10"/>
  <c r="AF145" i="10"/>
  <c r="AF152" i="10"/>
  <c r="W132" i="10"/>
  <c r="W139" i="10"/>
  <c r="W146" i="10"/>
  <c r="W153" i="10"/>
  <c r="AA125" i="10"/>
  <c r="AA132" i="10"/>
  <c r="AA139" i="10"/>
  <c r="AA153" i="10"/>
  <c r="AA146" i="10"/>
  <c r="AC125" i="10"/>
  <c r="AC132" i="10"/>
  <c r="AC139" i="10"/>
  <c r="AC146" i="10"/>
  <c r="AC153" i="10"/>
  <c r="AD132" i="10"/>
  <c r="AD139" i="10"/>
  <c r="AD146" i="10"/>
  <c r="AD153" i="10"/>
  <c r="U132" i="10"/>
  <c r="U139" i="10"/>
  <c r="U146" i="10"/>
  <c r="U153" i="10"/>
  <c r="S132" i="10"/>
  <c r="S139" i="10"/>
  <c r="S153" i="10"/>
  <c r="S146" i="10"/>
  <c r="X133" i="10"/>
  <c r="X140" i="10"/>
  <c r="X147" i="10"/>
  <c r="X154" i="10"/>
  <c r="AA133" i="10"/>
  <c r="AA140" i="10"/>
  <c r="AA147" i="10"/>
  <c r="AA154" i="10"/>
  <c r="R133" i="10"/>
  <c r="R140" i="10"/>
  <c r="R147" i="10"/>
  <c r="R154" i="10"/>
  <c r="AG126" i="10"/>
  <c r="AG133" i="10"/>
  <c r="AG140" i="10"/>
  <c r="AG147" i="10"/>
  <c r="AG154" i="10"/>
  <c r="S133" i="10"/>
  <c r="S140" i="10"/>
  <c r="S147" i="10"/>
  <c r="S154" i="10"/>
  <c r="Z130" i="10"/>
  <c r="Z137" i="10"/>
  <c r="Z144" i="10"/>
  <c r="Z151" i="10"/>
  <c r="X130" i="10"/>
  <c r="X137" i="10"/>
  <c r="X144" i="10"/>
  <c r="X151" i="10"/>
  <c r="AI130" i="10"/>
  <c r="AI137" i="10"/>
  <c r="AI151" i="10"/>
  <c r="AF130" i="10"/>
  <c r="AF137" i="10"/>
  <c r="AF144" i="10"/>
  <c r="AF151" i="10"/>
  <c r="AH130" i="10"/>
  <c r="AH137" i="10"/>
  <c r="AH144" i="10"/>
  <c r="AH151" i="10"/>
  <c r="AE131" i="10"/>
  <c r="AE138" i="10"/>
  <c r="AE152" i="10"/>
  <c r="AE145" i="10"/>
  <c r="AC131" i="10"/>
  <c r="AC138" i="10"/>
  <c r="AC145" i="10"/>
  <c r="AC152" i="10"/>
  <c r="W131" i="10"/>
  <c r="W138" i="10"/>
  <c r="W152" i="10"/>
  <c r="W145" i="10"/>
  <c r="X131" i="10"/>
  <c r="X138" i="10"/>
  <c r="X145" i="10"/>
  <c r="X152" i="10"/>
  <c r="AA131" i="10"/>
  <c r="AA138" i="10"/>
  <c r="AA145" i="10"/>
  <c r="AA152" i="10"/>
  <c r="AI131" i="10"/>
  <c r="AI138" i="10"/>
  <c r="AI145" i="10"/>
  <c r="AI152" i="10"/>
  <c r="AK131" i="10"/>
  <c r="AK138" i="10"/>
  <c r="AK145" i="10"/>
  <c r="AK152" i="10"/>
  <c r="AK132" i="10"/>
  <c r="AK139" i="10"/>
  <c r="AK146" i="10"/>
  <c r="AK153" i="10"/>
  <c r="AJ132" i="10"/>
  <c r="AJ139" i="10"/>
  <c r="AJ146" i="10"/>
  <c r="AJ153" i="10"/>
  <c r="AB132" i="10"/>
  <c r="AB139" i="10"/>
  <c r="AB146" i="10"/>
  <c r="AB153" i="10"/>
  <c r="Z132" i="10"/>
  <c r="Z146" i="10"/>
  <c r="Z139" i="10"/>
  <c r="Z153" i="10"/>
  <c r="T132" i="10"/>
  <c r="T139" i="10"/>
  <c r="T146" i="10"/>
  <c r="T153" i="10"/>
  <c r="W133" i="10"/>
  <c r="W140" i="10"/>
  <c r="W147" i="10"/>
  <c r="W154" i="10"/>
  <c r="Y133" i="10"/>
  <c r="Y140" i="10"/>
  <c r="Y147" i="10"/>
  <c r="Y154" i="10"/>
  <c r="AI133" i="10"/>
  <c r="AI140" i="10"/>
  <c r="AI147" i="10"/>
  <c r="AI154" i="10"/>
  <c r="AD126" i="10"/>
  <c r="AD133" i="10"/>
  <c r="AD140" i="10"/>
  <c r="AD147" i="10"/>
  <c r="AD154" i="10"/>
  <c r="AA130" i="10"/>
  <c r="AA137" i="10"/>
  <c r="AA151" i="10"/>
  <c r="AA144" i="10"/>
  <c r="AJ130" i="10"/>
  <c r="AJ137" i="10"/>
  <c r="AJ144" i="10"/>
  <c r="AJ151" i="10"/>
  <c r="AB130" i="10"/>
  <c r="AB137" i="10"/>
  <c r="AB144" i="10"/>
  <c r="AB151" i="10"/>
  <c r="Z131" i="10"/>
  <c r="Z138" i="10"/>
  <c r="Z145" i="10"/>
  <c r="Z152" i="10"/>
  <c r="AD131" i="10"/>
  <c r="AD145" i="10"/>
  <c r="AD138" i="10"/>
  <c r="AD152" i="10"/>
  <c r="T124" i="10"/>
  <c r="T131" i="10"/>
  <c r="T138" i="10"/>
  <c r="T145" i="10"/>
  <c r="T152" i="10"/>
  <c r="R131" i="10"/>
  <c r="R138" i="10"/>
  <c r="R145" i="10"/>
  <c r="R152" i="10"/>
  <c r="AB131" i="10"/>
  <c r="AB138" i="10"/>
  <c r="AB145" i="10"/>
  <c r="AB152" i="10"/>
  <c r="AI132" i="10"/>
  <c r="AI139" i="10"/>
  <c r="AI153" i="10"/>
  <c r="AI146" i="10"/>
  <c r="Y132" i="10"/>
  <c r="Y139" i="10"/>
  <c r="Y146" i="10"/>
  <c r="Y153" i="10"/>
  <c r="AE132" i="10"/>
  <c r="AE139" i="10"/>
  <c r="AE146" i="10"/>
  <c r="AE153" i="10"/>
  <c r="AF132" i="10"/>
  <c r="AF139" i="10"/>
  <c r="AF146" i="10"/>
  <c r="AF153" i="10"/>
  <c r="R132" i="10"/>
  <c r="R139" i="10"/>
  <c r="R146" i="10"/>
  <c r="R153" i="10"/>
  <c r="U133" i="10"/>
  <c r="U140" i="10"/>
  <c r="U147" i="10"/>
  <c r="U154" i="10"/>
  <c r="AB133" i="10"/>
  <c r="AB140" i="10"/>
  <c r="AB147" i="10"/>
  <c r="AB154" i="10"/>
  <c r="AE133" i="10"/>
  <c r="AE140" i="10"/>
  <c r="AE147" i="10"/>
  <c r="AE154" i="10"/>
  <c r="Z133" i="10"/>
  <c r="Z140" i="10"/>
  <c r="Z147" i="10"/>
  <c r="Z154" i="10"/>
  <c r="T126" i="10"/>
  <c r="T133" i="10"/>
  <c r="T140" i="10"/>
  <c r="T147" i="10"/>
  <c r="T154" i="10"/>
  <c r="AC130" i="10"/>
  <c r="AC137" i="10"/>
  <c r="AC144" i="10"/>
  <c r="AC151" i="10"/>
  <c r="W130" i="10"/>
  <c r="W137" i="10"/>
  <c r="W144" i="10"/>
  <c r="W151" i="10"/>
  <c r="R130" i="10"/>
  <c r="R137" i="10"/>
  <c r="R144" i="10"/>
  <c r="R151" i="10"/>
  <c r="T130" i="10"/>
  <c r="T137" i="10"/>
  <c r="T144" i="10"/>
  <c r="T151" i="10"/>
  <c r="U130" i="10"/>
  <c r="U137" i="10"/>
  <c r="U144" i="10"/>
  <c r="U151" i="10"/>
  <c r="S131" i="10"/>
  <c r="S138" i="10"/>
  <c r="S145" i="10"/>
  <c r="S152" i="10"/>
  <c r="AG131" i="10"/>
  <c r="AG138" i="10"/>
  <c r="AG145" i="10"/>
  <c r="AG152" i="10"/>
  <c r="AH131" i="10"/>
  <c r="AH138" i="10"/>
  <c r="AH145" i="10"/>
  <c r="AH152" i="10"/>
  <c r="U124" i="10"/>
  <c r="U131" i="10"/>
  <c r="U138" i="10"/>
  <c r="U145" i="10"/>
  <c r="U152" i="10"/>
  <c r="AI118" i="10"/>
  <c r="AI125" i="10"/>
  <c r="Y118" i="10"/>
  <c r="Y125" i="10"/>
  <c r="AE118" i="10"/>
  <c r="AE125" i="10"/>
  <c r="AF118" i="10"/>
  <c r="AF125" i="10"/>
  <c r="R118" i="10"/>
  <c r="R125" i="10"/>
  <c r="U119" i="10"/>
  <c r="U126" i="10"/>
  <c r="AB119" i="10"/>
  <c r="AB126" i="10"/>
  <c r="AE119" i="10"/>
  <c r="AE126" i="10"/>
  <c r="Z119" i="10"/>
  <c r="Z126" i="10"/>
  <c r="AC116" i="10"/>
  <c r="AC123" i="10"/>
  <c r="W116" i="10"/>
  <c r="W123" i="10"/>
  <c r="R116" i="10"/>
  <c r="R123" i="10"/>
  <c r="T116" i="10"/>
  <c r="T123" i="10"/>
  <c r="U116" i="10"/>
  <c r="U123" i="10"/>
  <c r="S117" i="10"/>
  <c r="S124" i="10"/>
  <c r="AG117" i="10"/>
  <c r="AG124" i="10"/>
  <c r="AH117" i="10"/>
  <c r="AH124" i="10"/>
  <c r="AK119" i="10"/>
  <c r="AK126" i="10"/>
  <c r="X118" i="10"/>
  <c r="X125" i="10"/>
  <c r="AG118" i="10"/>
  <c r="AG125" i="10"/>
  <c r="AH118" i="10"/>
  <c r="AH125" i="10"/>
  <c r="AJ119" i="10"/>
  <c r="AJ126" i="10"/>
  <c r="AC119" i="10"/>
  <c r="AC126" i="10"/>
  <c r="AF119" i="10"/>
  <c r="AF126" i="10"/>
  <c r="AH119" i="10"/>
  <c r="AH126" i="10"/>
  <c r="AE116" i="10"/>
  <c r="AE123" i="10"/>
  <c r="AD116" i="10"/>
  <c r="AD123" i="10"/>
  <c r="Y116" i="10"/>
  <c r="Y123" i="10"/>
  <c r="S116" i="10"/>
  <c r="S123" i="10"/>
  <c r="AG116" i="10"/>
  <c r="AG123" i="10"/>
  <c r="AJ117" i="10"/>
  <c r="AJ124" i="10"/>
  <c r="AF117" i="10"/>
  <c r="AF124" i="10"/>
  <c r="W118" i="10"/>
  <c r="W125" i="10"/>
  <c r="AD118" i="10"/>
  <c r="AD125" i="10"/>
  <c r="U118" i="10"/>
  <c r="U125" i="10"/>
  <c r="S118" i="10"/>
  <c r="S125" i="10"/>
  <c r="X119" i="10"/>
  <c r="X126" i="10"/>
  <c r="AA119" i="10"/>
  <c r="AA126" i="10"/>
  <c r="R119" i="10"/>
  <c r="R126" i="10"/>
  <c r="S119" i="10"/>
  <c r="S126" i="10"/>
  <c r="Z116" i="10"/>
  <c r="Z123" i="10"/>
  <c r="X116" i="10"/>
  <c r="X123" i="10"/>
  <c r="AI116" i="10"/>
  <c r="AI123" i="10"/>
  <c r="AF116" i="10"/>
  <c r="AF123" i="10"/>
  <c r="AF129" i="10" s="1"/>
  <c r="AF23" i="10" s="1"/>
  <c r="AH116" i="10"/>
  <c r="AH122" i="10" s="1"/>
  <c r="AH22" i="10" s="1"/>
  <c r="AH123" i="10"/>
  <c r="AH129" i="10" s="1"/>
  <c r="AH23" i="10" s="1"/>
  <c r="AE117" i="10"/>
  <c r="AE124" i="10"/>
  <c r="AC117" i="10"/>
  <c r="AC124" i="10"/>
  <c r="W117" i="10"/>
  <c r="W124" i="10"/>
  <c r="X117" i="10"/>
  <c r="X124" i="10"/>
  <c r="AA117" i="10"/>
  <c r="AA124" i="10"/>
  <c r="AI117" i="10"/>
  <c r="AI124" i="10"/>
  <c r="AK117" i="10"/>
  <c r="AK124" i="10"/>
  <c r="AK118" i="10"/>
  <c r="AK125" i="10"/>
  <c r="AJ118" i="10"/>
  <c r="AJ125" i="10"/>
  <c r="AB118" i="10"/>
  <c r="AB125" i="10"/>
  <c r="Z118" i="10"/>
  <c r="Z125" i="10"/>
  <c r="T118" i="10"/>
  <c r="T125" i="10"/>
  <c r="W119" i="10"/>
  <c r="W126" i="10"/>
  <c r="Y119" i="10"/>
  <c r="Y126" i="10"/>
  <c r="AI119" i="10"/>
  <c r="AI126" i="10"/>
  <c r="AA116" i="10"/>
  <c r="AA123" i="10"/>
  <c r="AJ116" i="10"/>
  <c r="AJ123" i="10"/>
  <c r="AB116" i="10"/>
  <c r="AB123" i="10"/>
  <c r="Z117" i="10"/>
  <c r="Z124" i="10"/>
  <c r="AD117" i="10"/>
  <c r="AD124" i="10"/>
  <c r="R117" i="10"/>
  <c r="R124" i="10"/>
  <c r="AB117" i="10"/>
  <c r="AB124" i="10"/>
  <c r="AA111" i="10"/>
  <c r="AA118" i="10"/>
  <c r="AC111" i="10"/>
  <c r="AC118" i="10"/>
  <c r="AG112" i="10"/>
  <c r="AG119" i="10"/>
  <c r="AD112" i="10"/>
  <c r="AD119" i="10"/>
  <c r="T110" i="10"/>
  <c r="T117" i="10"/>
  <c r="T112" i="10"/>
  <c r="T119" i="10"/>
  <c r="U110" i="10"/>
  <c r="U117" i="10"/>
  <c r="AK109" i="10"/>
  <c r="AK116" i="10"/>
  <c r="Y110" i="10"/>
  <c r="Y117" i="10"/>
  <c r="AK105" i="10"/>
  <c r="AK112" i="10"/>
  <c r="AK102" i="10"/>
  <c r="X104" i="10"/>
  <c r="X111" i="10"/>
  <c r="AG104" i="10"/>
  <c r="AG111" i="10"/>
  <c r="AH104" i="10"/>
  <c r="AH111" i="10"/>
  <c r="AJ105" i="10"/>
  <c r="AJ112" i="10"/>
  <c r="AC105" i="10"/>
  <c r="AC112" i="10"/>
  <c r="AF105" i="10"/>
  <c r="AF112" i="10"/>
  <c r="AH105" i="10"/>
  <c r="AH112" i="10"/>
  <c r="AE102" i="10"/>
  <c r="AE109" i="10"/>
  <c r="AD102" i="10"/>
  <c r="AD109" i="10"/>
  <c r="Y102" i="10"/>
  <c r="Y109" i="10"/>
  <c r="S102" i="10"/>
  <c r="S109" i="10"/>
  <c r="AG102" i="10"/>
  <c r="AG109" i="10"/>
  <c r="AJ103" i="10"/>
  <c r="AJ110" i="10"/>
  <c r="AF103" i="10"/>
  <c r="AF110" i="10"/>
  <c r="W104" i="10"/>
  <c r="W111" i="10"/>
  <c r="AD104" i="10"/>
  <c r="AD111" i="10"/>
  <c r="U104" i="10"/>
  <c r="U111" i="10"/>
  <c r="S104" i="10"/>
  <c r="S111" i="10"/>
  <c r="X105" i="10"/>
  <c r="X112" i="10"/>
  <c r="AA105" i="10"/>
  <c r="AA112" i="10"/>
  <c r="R105" i="10"/>
  <c r="R112" i="10"/>
  <c r="S105" i="10"/>
  <c r="S112" i="10"/>
  <c r="Z102" i="10"/>
  <c r="Z109" i="10"/>
  <c r="X102" i="10"/>
  <c r="X109" i="10"/>
  <c r="AI102" i="10"/>
  <c r="AI109" i="10"/>
  <c r="AF102" i="10"/>
  <c r="AF109" i="10"/>
  <c r="AH102" i="10"/>
  <c r="AH109" i="10"/>
  <c r="AE103" i="10"/>
  <c r="AE110" i="10"/>
  <c r="AC103" i="10"/>
  <c r="AC110" i="10"/>
  <c r="W103" i="10"/>
  <c r="W110" i="10"/>
  <c r="X103" i="10"/>
  <c r="X110" i="10"/>
  <c r="AA103" i="10"/>
  <c r="AA110" i="10"/>
  <c r="AI103" i="10"/>
  <c r="AI110" i="10"/>
  <c r="AK103" i="10"/>
  <c r="AK110" i="10"/>
  <c r="AK104" i="10"/>
  <c r="AK111" i="10"/>
  <c r="AJ104" i="10"/>
  <c r="AJ111" i="10"/>
  <c r="AB104" i="10"/>
  <c r="AB111" i="10"/>
  <c r="Z104" i="10"/>
  <c r="Z111" i="10"/>
  <c r="T104" i="10"/>
  <c r="T111" i="10"/>
  <c r="W105" i="10"/>
  <c r="W112" i="10"/>
  <c r="Y105" i="10"/>
  <c r="Y112" i="10"/>
  <c r="AI105" i="10"/>
  <c r="AI112" i="10"/>
  <c r="AA102" i="10"/>
  <c r="AA109" i="10"/>
  <c r="AJ102" i="10"/>
  <c r="AJ109" i="10"/>
  <c r="AB102" i="10"/>
  <c r="AB109" i="10"/>
  <c r="Z103" i="10"/>
  <c r="Z110" i="10"/>
  <c r="AD103" i="10"/>
  <c r="AD110" i="10"/>
  <c r="R103" i="10"/>
  <c r="R110" i="10"/>
  <c r="AB103" i="10"/>
  <c r="AB110" i="10"/>
  <c r="AI104" i="10"/>
  <c r="AI111" i="10"/>
  <c r="Y104" i="10"/>
  <c r="Y111" i="10"/>
  <c r="AE104" i="10"/>
  <c r="AE111" i="10"/>
  <c r="AF104" i="10"/>
  <c r="AF111" i="10"/>
  <c r="R104" i="10"/>
  <c r="R111" i="10"/>
  <c r="U105" i="10"/>
  <c r="U112" i="10"/>
  <c r="AB105" i="10"/>
  <c r="AB112" i="10"/>
  <c r="AE105" i="10"/>
  <c r="AE112" i="10"/>
  <c r="Z105" i="10"/>
  <c r="Z112" i="10"/>
  <c r="AC102" i="10"/>
  <c r="AC109" i="10"/>
  <c r="W102" i="10"/>
  <c r="W109" i="10"/>
  <c r="R102" i="10"/>
  <c r="R109" i="10"/>
  <c r="T102" i="10"/>
  <c r="T109" i="10"/>
  <c r="U102" i="10"/>
  <c r="U109" i="10"/>
  <c r="S103" i="10"/>
  <c r="S110" i="10"/>
  <c r="AG103" i="10"/>
  <c r="AG110" i="10"/>
  <c r="AH103" i="10"/>
  <c r="AH110" i="10"/>
  <c r="Y51" i="10"/>
  <c r="Y103" i="10"/>
  <c r="AA52" i="10"/>
  <c r="AA104" i="10"/>
  <c r="AC52" i="10"/>
  <c r="AC104" i="10"/>
  <c r="AG53" i="10"/>
  <c r="AG105" i="10"/>
  <c r="AD53" i="10"/>
  <c r="AD105" i="10"/>
  <c r="T51" i="10"/>
  <c r="T103" i="10"/>
  <c r="T53" i="10"/>
  <c r="T105" i="10"/>
  <c r="U51" i="10"/>
  <c r="U103" i="10"/>
  <c r="Q50" i="10"/>
  <c r="AK182" i="10"/>
  <c r="AK201" i="10"/>
  <c r="AK188" i="10"/>
  <c r="AK195" i="10"/>
  <c r="AK70" i="10"/>
  <c r="AK198" i="10"/>
  <c r="AK185" i="10"/>
  <c r="AK192" i="10"/>
  <c r="AK179" i="10"/>
  <c r="AJ193" i="10"/>
  <c r="AJ180" i="10"/>
  <c r="AJ199" i="10"/>
  <c r="AJ186" i="10"/>
  <c r="AJ201" i="10"/>
  <c r="AJ188" i="10"/>
  <c r="AJ195" i="10"/>
  <c r="AJ182" i="10"/>
  <c r="AJ185" i="10"/>
  <c r="AJ192" i="10"/>
  <c r="AJ179" i="10"/>
  <c r="AJ198" i="10"/>
  <c r="AJ181" i="10"/>
  <c r="AJ200" i="10"/>
  <c r="AJ187" i="10"/>
  <c r="AJ194" i="10"/>
  <c r="AI188" i="10"/>
  <c r="AI195" i="10"/>
  <c r="AI182" i="10"/>
  <c r="AI201" i="10"/>
  <c r="AI77" i="10"/>
  <c r="AI180" i="10"/>
  <c r="AI199" i="10"/>
  <c r="AI186" i="10"/>
  <c r="AI193" i="10"/>
  <c r="AI200" i="10"/>
  <c r="AI187" i="10"/>
  <c r="AI194" i="10"/>
  <c r="AI181" i="10"/>
  <c r="AI192" i="10"/>
  <c r="AI179" i="10"/>
  <c r="AI198" i="10"/>
  <c r="AI185" i="10"/>
  <c r="AK186" i="10"/>
  <c r="AK193" i="10"/>
  <c r="AK180" i="10"/>
  <c r="AK199" i="10"/>
  <c r="AK194" i="10"/>
  <c r="AK181" i="10"/>
  <c r="AK200" i="10"/>
  <c r="AK187" i="10"/>
  <c r="AI89" i="10"/>
  <c r="AI66" i="10"/>
  <c r="AI72" i="10"/>
  <c r="AI88" i="10"/>
  <c r="AI209" i="10" s="1"/>
  <c r="AI50" i="10"/>
  <c r="AI79" i="10"/>
  <c r="AI95" i="10"/>
  <c r="AK67" i="10"/>
  <c r="AK51" i="10"/>
  <c r="AK96" i="10"/>
  <c r="AK90" i="10"/>
  <c r="AK80" i="10"/>
  <c r="AK73" i="10"/>
  <c r="AK91" i="10"/>
  <c r="AK68" i="10"/>
  <c r="AK74" i="10"/>
  <c r="AK52" i="10"/>
  <c r="AK81" i="10"/>
  <c r="AK97" i="10"/>
  <c r="AK75" i="10"/>
  <c r="AK53" i="10"/>
  <c r="AK82" i="10"/>
  <c r="AK98" i="10"/>
  <c r="AK69" i="10"/>
  <c r="AK92" i="10"/>
  <c r="AK50" i="10"/>
  <c r="AK79" i="10"/>
  <c r="AK95" i="10"/>
  <c r="AK66" i="10"/>
  <c r="AK89" i="10"/>
  <c r="AK72" i="10"/>
  <c r="AK88" i="10"/>
  <c r="AK209" i="10" s="1"/>
  <c r="AJ90" i="10"/>
  <c r="AJ73" i="10"/>
  <c r="AJ51" i="10"/>
  <c r="AJ80" i="10"/>
  <c r="AJ96" i="10"/>
  <c r="AJ67" i="10"/>
  <c r="AK76" i="10"/>
  <c r="AJ77" i="10"/>
  <c r="AJ53" i="10"/>
  <c r="AJ82" i="10"/>
  <c r="AJ98" i="10"/>
  <c r="AJ69" i="10"/>
  <c r="AJ92" i="10"/>
  <c r="AJ75" i="10"/>
  <c r="AJ66" i="10"/>
  <c r="AJ89" i="10"/>
  <c r="AJ79" i="10"/>
  <c r="AJ72" i="10"/>
  <c r="AJ88" i="10"/>
  <c r="AJ209" i="10" s="1"/>
  <c r="AJ50" i="10"/>
  <c r="AJ95" i="10"/>
  <c r="AJ74" i="10"/>
  <c r="AJ91" i="10"/>
  <c r="AJ52" i="10"/>
  <c r="AJ81" i="10"/>
  <c r="AJ97" i="10"/>
  <c r="AJ68" i="10"/>
  <c r="AJ76" i="10"/>
  <c r="AI70" i="10"/>
  <c r="AI76" i="10"/>
  <c r="AK77" i="10"/>
  <c r="AI69" i="10"/>
  <c r="AI92" i="10"/>
  <c r="AI82" i="10"/>
  <c r="AI75" i="10"/>
  <c r="AI53" i="10"/>
  <c r="AI98" i="10"/>
  <c r="AI73" i="10"/>
  <c r="AI90" i="10"/>
  <c r="AI51" i="10"/>
  <c r="AI80" i="10"/>
  <c r="AI96" i="10"/>
  <c r="AI67" i="10"/>
  <c r="AI52" i="10"/>
  <c r="AI81" i="10"/>
  <c r="AI97" i="10"/>
  <c r="AI68" i="10"/>
  <c r="AI91" i="10"/>
  <c r="AI74" i="10"/>
  <c r="AJ70" i="10"/>
  <c r="P181" i="10"/>
  <c r="P187" i="10"/>
  <c r="P194" i="10"/>
  <c r="P200" i="10"/>
  <c r="W181" i="10"/>
  <c r="W187" i="10"/>
  <c r="W194" i="10"/>
  <c r="W200" i="10"/>
  <c r="Z181" i="10"/>
  <c r="Z187" i="10"/>
  <c r="Z194" i="10"/>
  <c r="Z200" i="10"/>
  <c r="AG181" i="10"/>
  <c r="AG187" i="10"/>
  <c r="AG194" i="10"/>
  <c r="AG200" i="10"/>
  <c r="X181" i="10"/>
  <c r="X187" i="10"/>
  <c r="X194" i="10"/>
  <c r="X200" i="10"/>
  <c r="O181" i="10"/>
  <c r="O187" i="10"/>
  <c r="O200" i="10"/>
  <c r="O194" i="10"/>
  <c r="AA182" i="10"/>
  <c r="AA188" i="10"/>
  <c r="AA195" i="10"/>
  <c r="AA201" i="10"/>
  <c r="N182" i="10"/>
  <c r="N188" i="10"/>
  <c r="N195" i="10"/>
  <c r="N201" i="10"/>
  <c r="AB182" i="10"/>
  <c r="AB188" i="10"/>
  <c r="AB195" i="10"/>
  <c r="AB201" i="10"/>
  <c r="AF182" i="10"/>
  <c r="AF188" i="10"/>
  <c r="AF195" i="10"/>
  <c r="AF201" i="10"/>
  <c r="P182" i="10"/>
  <c r="P188" i="10"/>
  <c r="P195" i="10"/>
  <c r="P201" i="10"/>
  <c r="AE179" i="10"/>
  <c r="AE185" i="10"/>
  <c r="AE198" i="10"/>
  <c r="AE192" i="10"/>
  <c r="N179" i="10"/>
  <c r="N185" i="10"/>
  <c r="N192" i="10"/>
  <c r="N198" i="10"/>
  <c r="U179" i="10"/>
  <c r="U185" i="10"/>
  <c r="U192" i="10"/>
  <c r="U198" i="10"/>
  <c r="AF179" i="10"/>
  <c r="AF185" i="10"/>
  <c r="AF198" i="10"/>
  <c r="AF192" i="10"/>
  <c r="M179" i="10"/>
  <c r="M185" i="10"/>
  <c r="M192" i="10"/>
  <c r="M198" i="10"/>
  <c r="T179" i="10"/>
  <c r="T185" i="10"/>
  <c r="T192" i="10"/>
  <c r="T198" i="10"/>
  <c r="AC180" i="10"/>
  <c r="AC186" i="10"/>
  <c r="AC193" i="10"/>
  <c r="AC199" i="10"/>
  <c r="X180" i="10"/>
  <c r="X186" i="10"/>
  <c r="X193" i="10"/>
  <c r="X199" i="10"/>
  <c r="AA180" i="10"/>
  <c r="AA186" i="10"/>
  <c r="AA193" i="10"/>
  <c r="AA199" i="10"/>
  <c r="R180" i="10"/>
  <c r="R186" i="10"/>
  <c r="R193" i="10"/>
  <c r="R199" i="10"/>
  <c r="AF180" i="10"/>
  <c r="AF186" i="10"/>
  <c r="AF193" i="10"/>
  <c r="AF199" i="10"/>
  <c r="S180" i="10"/>
  <c r="S186" i="10"/>
  <c r="S193" i="10"/>
  <c r="S199" i="10"/>
  <c r="AB181" i="10"/>
  <c r="AB187" i="10"/>
  <c r="AB194" i="10"/>
  <c r="AB200" i="10"/>
  <c r="AF181" i="10"/>
  <c r="AF187" i="10"/>
  <c r="AF194" i="10"/>
  <c r="AF200" i="10"/>
  <c r="AA181" i="10"/>
  <c r="AA187" i="10"/>
  <c r="AA194" i="10"/>
  <c r="AA200" i="10"/>
  <c r="N52" i="10"/>
  <c r="N181" i="10"/>
  <c r="N187" i="10"/>
  <c r="N194" i="10"/>
  <c r="N200" i="10"/>
  <c r="U181" i="10"/>
  <c r="U187" i="10"/>
  <c r="U194" i="10"/>
  <c r="U200" i="10"/>
  <c r="X182" i="10"/>
  <c r="X188" i="10"/>
  <c r="X195" i="10"/>
  <c r="X201" i="10"/>
  <c r="V182" i="10"/>
  <c r="V188" i="10"/>
  <c r="V195" i="10"/>
  <c r="V201" i="10"/>
  <c r="Y182" i="10"/>
  <c r="Y188" i="10"/>
  <c r="Y195" i="10"/>
  <c r="Y201" i="10"/>
  <c r="AC182" i="10"/>
  <c r="AC188" i="10"/>
  <c r="AC195" i="10"/>
  <c r="AC201" i="10"/>
  <c r="T182" i="10"/>
  <c r="T188" i="10"/>
  <c r="T195" i="10"/>
  <c r="T201" i="10"/>
  <c r="V179" i="10"/>
  <c r="V185" i="10"/>
  <c r="V192" i="10"/>
  <c r="V198" i="10"/>
  <c r="AB179" i="10"/>
  <c r="AB185" i="10"/>
  <c r="AB192" i="10"/>
  <c r="AB198" i="10"/>
  <c r="X179" i="10"/>
  <c r="X185" i="10"/>
  <c r="X192" i="10"/>
  <c r="X198" i="10"/>
  <c r="W179" i="10"/>
  <c r="W185" i="10"/>
  <c r="W192" i="10"/>
  <c r="W198" i="10"/>
  <c r="AH179" i="10"/>
  <c r="AH185" i="10"/>
  <c r="AH192" i="10"/>
  <c r="AH198" i="10"/>
  <c r="N51" i="10"/>
  <c r="N180" i="10"/>
  <c r="N186" i="10"/>
  <c r="N193" i="10"/>
  <c r="N199" i="10"/>
  <c r="AG180" i="10"/>
  <c r="AG186" i="10"/>
  <c r="AG193" i="10"/>
  <c r="AG199" i="10"/>
  <c r="AB180" i="10"/>
  <c r="AB186" i="10"/>
  <c r="AB193" i="10"/>
  <c r="AB199" i="10"/>
  <c r="AH180" i="10"/>
  <c r="AH186" i="10"/>
  <c r="AH193" i="10"/>
  <c r="AH199" i="10"/>
  <c r="Q180" i="10"/>
  <c r="Q186" i="10"/>
  <c r="Q193" i="10"/>
  <c r="Q199" i="10"/>
  <c r="Y181" i="10"/>
  <c r="Y187" i="10"/>
  <c r="Y194" i="10"/>
  <c r="Y200" i="10"/>
  <c r="M181" i="10"/>
  <c r="M187" i="10"/>
  <c r="M194" i="10"/>
  <c r="M200" i="10"/>
  <c r="T181" i="10"/>
  <c r="T187" i="10"/>
  <c r="T200" i="10"/>
  <c r="T194" i="10"/>
  <c r="AD181" i="10"/>
  <c r="AD187" i="10"/>
  <c r="AD194" i="10"/>
  <c r="AD200" i="10"/>
  <c r="R181" i="10"/>
  <c r="R187" i="10"/>
  <c r="R194" i="10"/>
  <c r="R200" i="10"/>
  <c r="R182" i="10"/>
  <c r="R188" i="10"/>
  <c r="R195" i="10"/>
  <c r="R201" i="10"/>
  <c r="Q182" i="10"/>
  <c r="Q188" i="10"/>
  <c r="Q195" i="10"/>
  <c r="Q201" i="10"/>
  <c r="O182" i="10"/>
  <c r="O188" i="10"/>
  <c r="O195" i="10"/>
  <c r="O201" i="10"/>
  <c r="Z182" i="10"/>
  <c r="Z188" i="10"/>
  <c r="Z195" i="10"/>
  <c r="Z201" i="10"/>
  <c r="AD182" i="10"/>
  <c r="AD188" i="10"/>
  <c r="AD195" i="10"/>
  <c r="AD201" i="10"/>
  <c r="M182" i="10"/>
  <c r="M188" i="10"/>
  <c r="M195" i="10"/>
  <c r="M201" i="10"/>
  <c r="AA179" i="10"/>
  <c r="AA185" i="10"/>
  <c r="AA198" i="10"/>
  <c r="AA192" i="10"/>
  <c r="Z179" i="10"/>
  <c r="Z185" i="10"/>
  <c r="Z192" i="10"/>
  <c r="Z198" i="10"/>
  <c r="S179" i="10"/>
  <c r="S185" i="10"/>
  <c r="S192" i="10"/>
  <c r="S198" i="10"/>
  <c r="R179" i="10"/>
  <c r="R185" i="10"/>
  <c r="R192" i="10"/>
  <c r="R198" i="10"/>
  <c r="AC179" i="10"/>
  <c r="AC185" i="10"/>
  <c r="AC192" i="10"/>
  <c r="AC198" i="10"/>
  <c r="Z180" i="10"/>
  <c r="Z186" i="10"/>
  <c r="Z199" i="10"/>
  <c r="Z193" i="10"/>
  <c r="AD180" i="10"/>
  <c r="AD186" i="10"/>
  <c r="AD193" i="10"/>
  <c r="AD199" i="10"/>
  <c r="M180" i="10"/>
  <c r="M186" i="10"/>
  <c r="M193" i="10"/>
  <c r="M199" i="10"/>
  <c r="AE180" i="10"/>
  <c r="AE186" i="10"/>
  <c r="AE193" i="10"/>
  <c r="AE199" i="10"/>
  <c r="Y180" i="10"/>
  <c r="Y186" i="10"/>
  <c r="Y199" i="10"/>
  <c r="Y193" i="10"/>
  <c r="S181" i="10"/>
  <c r="S187" i="10"/>
  <c r="S200" i="10"/>
  <c r="S194" i="10"/>
  <c r="V181" i="10"/>
  <c r="V187" i="10"/>
  <c r="V194" i="10"/>
  <c r="V200" i="10"/>
  <c r="AC181" i="10"/>
  <c r="AC187" i="10"/>
  <c r="AC194" i="10"/>
  <c r="AC200" i="10"/>
  <c r="Q181" i="10"/>
  <c r="Q187" i="10"/>
  <c r="Q194" i="10"/>
  <c r="Q200" i="10"/>
  <c r="AE181" i="10"/>
  <c r="AE187" i="10"/>
  <c r="AE194" i="10"/>
  <c r="AE200" i="10"/>
  <c r="AH181" i="10"/>
  <c r="AH187" i="10"/>
  <c r="AH194" i="10"/>
  <c r="AH200" i="10"/>
  <c r="AH182" i="10"/>
  <c r="AH188" i="10"/>
  <c r="AH195" i="10"/>
  <c r="AH201" i="10"/>
  <c r="U182" i="10"/>
  <c r="U188" i="10"/>
  <c r="U195" i="10"/>
  <c r="U201" i="10"/>
  <c r="AE182" i="10"/>
  <c r="AE188" i="10"/>
  <c r="AE195" i="10"/>
  <c r="AE201" i="10"/>
  <c r="S182" i="10"/>
  <c r="S188" i="10"/>
  <c r="S195" i="10"/>
  <c r="S201" i="10"/>
  <c r="W182" i="10"/>
  <c r="W188" i="10"/>
  <c r="W195" i="10"/>
  <c r="W201" i="10"/>
  <c r="AG182" i="10"/>
  <c r="AG188" i="10"/>
  <c r="AG195" i="10"/>
  <c r="AG201" i="10"/>
  <c r="Y179" i="10"/>
  <c r="Y185" i="10"/>
  <c r="Y192" i="10"/>
  <c r="Y198" i="10"/>
  <c r="P179" i="10"/>
  <c r="P185" i="10"/>
  <c r="P198" i="10"/>
  <c r="P192" i="10"/>
  <c r="O179" i="10"/>
  <c r="O185" i="10"/>
  <c r="O198" i="10"/>
  <c r="O192" i="10"/>
  <c r="Q179" i="10"/>
  <c r="Q185" i="10"/>
  <c r="Q192" i="10"/>
  <c r="Q198" i="10"/>
  <c r="AD179" i="10"/>
  <c r="AD185" i="10"/>
  <c r="AD192" i="10"/>
  <c r="AD198" i="10"/>
  <c r="AG179" i="10"/>
  <c r="AG185" i="10"/>
  <c r="AG192" i="10"/>
  <c r="AG198" i="10"/>
  <c r="T180" i="10"/>
  <c r="T186" i="10"/>
  <c r="T193" i="10"/>
  <c r="T199" i="10"/>
  <c r="W180" i="10"/>
  <c r="W186" i="10"/>
  <c r="W193" i="10"/>
  <c r="W199" i="10"/>
  <c r="O180" i="10"/>
  <c r="O186" i="10"/>
  <c r="O193" i="10"/>
  <c r="O199" i="10"/>
  <c r="U180" i="10"/>
  <c r="U186" i="10"/>
  <c r="U199" i="10"/>
  <c r="U193" i="10"/>
  <c r="P180" i="10"/>
  <c r="P186" i="10"/>
  <c r="P193" i="10"/>
  <c r="P199" i="10"/>
  <c r="V180" i="10"/>
  <c r="V186" i="10"/>
  <c r="V193" i="10"/>
  <c r="V199" i="10"/>
  <c r="AB51" i="10"/>
  <c r="AG51" i="10"/>
  <c r="V53" i="10"/>
  <c r="AF52" i="10"/>
  <c r="AH51" i="10"/>
  <c r="AB52" i="10"/>
  <c r="AC53" i="10"/>
  <c r="P81" i="10"/>
  <c r="P91" i="10"/>
  <c r="P97" i="10"/>
  <c r="W74" i="10"/>
  <c r="W81" i="10"/>
  <c r="W97" i="10"/>
  <c r="W91" i="10"/>
  <c r="Z74" i="10"/>
  <c r="Z81" i="10"/>
  <c r="Z91" i="10"/>
  <c r="Z97" i="10"/>
  <c r="AG74" i="10"/>
  <c r="AG81" i="10"/>
  <c r="AG91" i="10"/>
  <c r="AG97" i="10"/>
  <c r="X74" i="10"/>
  <c r="X81" i="10"/>
  <c r="X91" i="10"/>
  <c r="X97" i="10"/>
  <c r="O81" i="10"/>
  <c r="O97" i="10"/>
  <c r="O91" i="10"/>
  <c r="AA82" i="10"/>
  <c r="AA92" i="10"/>
  <c r="AA98" i="10"/>
  <c r="N82" i="10"/>
  <c r="N92" i="10"/>
  <c r="N98" i="10"/>
  <c r="AB82" i="10"/>
  <c r="AB92" i="10"/>
  <c r="AB98" i="10"/>
  <c r="AF82" i="10"/>
  <c r="AF92" i="10"/>
  <c r="AF98" i="10"/>
  <c r="P82" i="10"/>
  <c r="P92" i="10"/>
  <c r="P98" i="10"/>
  <c r="AE79" i="10"/>
  <c r="AE88" i="10"/>
  <c r="AE209" i="10" s="1"/>
  <c r="AE95" i="10"/>
  <c r="AE89" i="10"/>
  <c r="N79" i="10"/>
  <c r="N89" i="10"/>
  <c r="N95" i="10"/>
  <c r="U79" i="10"/>
  <c r="U89" i="10"/>
  <c r="U95" i="10"/>
  <c r="U88" i="10"/>
  <c r="U209" i="10" s="1"/>
  <c r="AF88" i="10"/>
  <c r="AF209" i="10" s="1"/>
  <c r="AF79" i="10"/>
  <c r="AF89" i="10"/>
  <c r="AF95" i="10"/>
  <c r="M79" i="10"/>
  <c r="M89" i="10"/>
  <c r="M95" i="10"/>
  <c r="T88" i="10"/>
  <c r="T209" i="10" s="1"/>
  <c r="T79" i="10"/>
  <c r="T89" i="10"/>
  <c r="T95" i="10"/>
  <c r="AC80" i="10"/>
  <c r="AC96" i="10"/>
  <c r="AC90" i="10"/>
  <c r="X80" i="10"/>
  <c r="X90" i="10"/>
  <c r="X96" i="10"/>
  <c r="AA80" i="10"/>
  <c r="AA90" i="10"/>
  <c r="AA96" i="10"/>
  <c r="R80" i="10"/>
  <c r="R90" i="10"/>
  <c r="R96" i="10"/>
  <c r="AF80" i="10"/>
  <c r="AF90" i="10"/>
  <c r="AF96" i="10"/>
  <c r="S80" i="10"/>
  <c r="S90" i="10"/>
  <c r="S96" i="10"/>
  <c r="P52" i="10"/>
  <c r="AB81" i="10"/>
  <c r="AB91" i="10"/>
  <c r="AB97" i="10"/>
  <c r="AF81" i="10"/>
  <c r="AF91" i="10"/>
  <c r="AF97" i="10"/>
  <c r="AA81" i="10"/>
  <c r="AA97" i="10"/>
  <c r="AA91" i="10"/>
  <c r="N81" i="10"/>
  <c r="N91" i="10"/>
  <c r="N97" i="10"/>
  <c r="U81" i="10"/>
  <c r="U91" i="10"/>
  <c r="U97" i="10"/>
  <c r="X82" i="10"/>
  <c r="X92" i="10"/>
  <c r="X98" i="10"/>
  <c r="V82" i="10"/>
  <c r="V92" i="10"/>
  <c r="V98" i="10"/>
  <c r="Y82" i="10"/>
  <c r="Y98" i="10"/>
  <c r="Y92" i="10"/>
  <c r="AC82" i="10"/>
  <c r="AC98" i="10"/>
  <c r="AC92" i="10"/>
  <c r="T82" i="10"/>
  <c r="T92" i="10"/>
  <c r="T98" i="10"/>
  <c r="V79" i="10"/>
  <c r="V89" i="10"/>
  <c r="V88" i="10"/>
  <c r="V209" i="10" s="1"/>
  <c r="V95" i="10"/>
  <c r="AB88" i="10"/>
  <c r="AB209" i="10" s="1"/>
  <c r="AB79" i="10"/>
  <c r="AB89" i="10"/>
  <c r="AB95" i="10"/>
  <c r="X76" i="10"/>
  <c r="X88" i="10"/>
  <c r="X209" i="10" s="1"/>
  <c r="X79" i="10"/>
  <c r="X89" i="10"/>
  <c r="X95" i="10"/>
  <c r="W79" i="10"/>
  <c r="W88" i="10"/>
  <c r="W209" i="10" s="1"/>
  <c r="W95" i="10"/>
  <c r="W89" i="10"/>
  <c r="AH79" i="10"/>
  <c r="AH89" i="10"/>
  <c r="AH88" i="10"/>
  <c r="AH209" i="10" s="1"/>
  <c r="AH95" i="10"/>
  <c r="N80" i="10"/>
  <c r="N90" i="10"/>
  <c r="N96" i="10"/>
  <c r="AG77" i="10"/>
  <c r="AG80" i="10"/>
  <c r="AG96" i="10"/>
  <c r="AG90" i="10"/>
  <c r="AB80" i="10"/>
  <c r="AB90" i="10"/>
  <c r="AB96" i="10"/>
  <c r="AH80" i="10"/>
  <c r="AH90" i="10"/>
  <c r="AH96" i="10"/>
  <c r="Q77" i="10"/>
  <c r="Q80" i="10"/>
  <c r="Q96" i="10"/>
  <c r="Q90" i="10"/>
  <c r="Y81" i="10"/>
  <c r="Y91" i="10"/>
  <c r="Y97" i="10"/>
  <c r="M74" i="10"/>
  <c r="M81" i="10"/>
  <c r="M91" i="10"/>
  <c r="M97" i="10"/>
  <c r="T81" i="10"/>
  <c r="T91" i="10"/>
  <c r="T97" i="10"/>
  <c r="AD81" i="10"/>
  <c r="AD91" i="10"/>
  <c r="AD97" i="10"/>
  <c r="R81" i="10"/>
  <c r="R91" i="10"/>
  <c r="R97" i="10"/>
  <c r="R82" i="10"/>
  <c r="R92" i="10"/>
  <c r="R98" i="10"/>
  <c r="Q82" i="10"/>
  <c r="Q98" i="10"/>
  <c r="Q92" i="10"/>
  <c r="O82" i="10"/>
  <c r="O92" i="10"/>
  <c r="O98" i="10"/>
  <c r="Z82" i="10"/>
  <c r="Z92" i="10"/>
  <c r="Z98" i="10"/>
  <c r="AD82" i="10"/>
  <c r="AD92" i="10"/>
  <c r="AD98" i="10"/>
  <c r="M82" i="10"/>
  <c r="M98" i="10"/>
  <c r="M92" i="10"/>
  <c r="AA79" i="10"/>
  <c r="AA95" i="10"/>
  <c r="AA89" i="10"/>
  <c r="AA88" i="10"/>
  <c r="AA209" i="10" s="1"/>
  <c r="Z79" i="10"/>
  <c r="Z89" i="10"/>
  <c r="Z88" i="10"/>
  <c r="Z209" i="10" s="1"/>
  <c r="Z95" i="10"/>
  <c r="S76" i="10"/>
  <c r="S79" i="10"/>
  <c r="S95" i="10"/>
  <c r="S89" i="10"/>
  <c r="S88" i="10"/>
  <c r="S209" i="10" s="1"/>
  <c r="R76" i="10"/>
  <c r="R79" i="10"/>
  <c r="R89" i="10"/>
  <c r="R88" i="10"/>
  <c r="R209" i="10" s="1"/>
  <c r="R95" i="10"/>
  <c r="AC79" i="10"/>
  <c r="AC89" i="10"/>
  <c r="AC95" i="10"/>
  <c r="AC88" i="10"/>
  <c r="AC209" i="10" s="1"/>
  <c r="Z80" i="10"/>
  <c r="Z90" i="10"/>
  <c r="Z96" i="10"/>
  <c r="AD77" i="10"/>
  <c r="AD80" i="10"/>
  <c r="AD90" i="10"/>
  <c r="AD96" i="10"/>
  <c r="M80" i="10"/>
  <c r="M96" i="10"/>
  <c r="M90" i="10"/>
  <c r="AE80" i="10"/>
  <c r="AE90" i="10"/>
  <c r="AE96" i="10"/>
  <c r="Y77" i="10"/>
  <c r="Y80" i="10"/>
  <c r="Y96" i="10"/>
  <c r="Y90" i="10"/>
  <c r="S52" i="10"/>
  <c r="S81" i="10"/>
  <c r="S97" i="10"/>
  <c r="S91" i="10"/>
  <c r="V74" i="10"/>
  <c r="V81" i="10"/>
  <c r="V91" i="10"/>
  <c r="V97" i="10"/>
  <c r="AC81" i="10"/>
  <c r="AC91" i="10"/>
  <c r="AC97" i="10"/>
  <c r="Q81" i="10"/>
  <c r="Q91" i="10"/>
  <c r="Q97" i="10"/>
  <c r="AE74" i="10"/>
  <c r="AE81" i="10"/>
  <c r="AE97" i="10"/>
  <c r="AE91" i="10"/>
  <c r="AH81" i="10"/>
  <c r="AH91" i="10"/>
  <c r="AH97" i="10"/>
  <c r="AH82" i="10"/>
  <c r="AH92" i="10"/>
  <c r="AH98" i="10"/>
  <c r="U75" i="10"/>
  <c r="U82" i="10"/>
  <c r="U98" i="10"/>
  <c r="U92" i="10"/>
  <c r="AE82" i="10"/>
  <c r="AE92" i="10"/>
  <c r="AE98" i="10"/>
  <c r="S82" i="10"/>
  <c r="S92" i="10"/>
  <c r="S98" i="10"/>
  <c r="W82" i="10"/>
  <c r="W92" i="10"/>
  <c r="W98" i="10"/>
  <c r="AG82" i="10"/>
  <c r="AG98" i="10"/>
  <c r="AG92" i="10"/>
  <c r="Y76" i="10"/>
  <c r="Y79" i="10"/>
  <c r="Y89" i="10"/>
  <c r="Y88" i="10"/>
  <c r="Y209" i="10" s="1"/>
  <c r="Y95" i="10"/>
  <c r="P79" i="10"/>
  <c r="P89" i="10"/>
  <c r="P95" i="10"/>
  <c r="O79" i="10"/>
  <c r="O95" i="10"/>
  <c r="O89" i="10"/>
  <c r="Q76" i="10"/>
  <c r="Q79" i="10"/>
  <c r="Q89" i="10"/>
  <c r="AD79" i="10"/>
  <c r="AD89" i="10"/>
  <c r="AD88" i="10"/>
  <c r="AD209" i="10" s="1"/>
  <c r="AD95" i="10"/>
  <c r="AG76" i="10"/>
  <c r="AG79" i="10"/>
  <c r="AG89" i="10"/>
  <c r="AG88" i="10"/>
  <c r="AG209" i="10" s="1"/>
  <c r="AG95" i="10"/>
  <c r="T80" i="10"/>
  <c r="T90" i="10"/>
  <c r="T96" i="10"/>
  <c r="W77" i="10"/>
  <c r="W80" i="10"/>
  <c r="W90" i="10"/>
  <c r="W96" i="10"/>
  <c r="O80" i="10"/>
  <c r="O90" i="10"/>
  <c r="O96" i="10"/>
  <c r="U77" i="10"/>
  <c r="U80" i="10"/>
  <c r="U96" i="10"/>
  <c r="U90" i="10"/>
  <c r="P80" i="10"/>
  <c r="P90" i="10"/>
  <c r="P96" i="10"/>
  <c r="V77" i="10"/>
  <c r="V80" i="10"/>
  <c r="V90" i="10"/>
  <c r="V96" i="10"/>
  <c r="AA75" i="10"/>
  <c r="AB75" i="10"/>
  <c r="AF75" i="10"/>
  <c r="AE70" i="10"/>
  <c r="AE72" i="10"/>
  <c r="U70" i="10"/>
  <c r="U72" i="10"/>
  <c r="AF66" i="10"/>
  <c r="AF72" i="10"/>
  <c r="M72" i="10"/>
  <c r="T70" i="10"/>
  <c r="T72" i="10"/>
  <c r="AC73" i="10"/>
  <c r="X73" i="10"/>
  <c r="AA73" i="10"/>
  <c r="R73" i="10"/>
  <c r="AF73" i="10"/>
  <c r="S73" i="10"/>
  <c r="R77" i="10"/>
  <c r="AF77" i="10"/>
  <c r="U76" i="10"/>
  <c r="M76" i="10"/>
  <c r="AB68" i="10"/>
  <c r="AB74" i="10"/>
  <c r="AF68" i="10"/>
  <c r="AF74" i="10"/>
  <c r="AA68" i="10"/>
  <c r="AA74" i="10"/>
  <c r="U68" i="10"/>
  <c r="U74" i="10"/>
  <c r="X69" i="10"/>
  <c r="X75" i="10"/>
  <c r="V69" i="10"/>
  <c r="V75" i="10"/>
  <c r="Y75" i="10"/>
  <c r="AC69" i="10"/>
  <c r="AC75" i="10"/>
  <c r="T69" i="10"/>
  <c r="T75" i="10"/>
  <c r="V66" i="10"/>
  <c r="V72" i="10"/>
  <c r="AB66" i="10"/>
  <c r="AB72" i="10"/>
  <c r="X72" i="10"/>
  <c r="W66" i="10"/>
  <c r="W72" i="10"/>
  <c r="AH72" i="10"/>
  <c r="AG73" i="10"/>
  <c r="AB73" i="10"/>
  <c r="AH73" i="10"/>
  <c r="Q73" i="10"/>
  <c r="AA77" i="10"/>
  <c r="V76" i="10"/>
  <c r="AE76" i="10"/>
  <c r="AB76" i="10"/>
  <c r="N77" i="10"/>
  <c r="Y68" i="10"/>
  <c r="Y74" i="10"/>
  <c r="T68" i="10"/>
  <c r="T74" i="10"/>
  <c r="AD68" i="10"/>
  <c r="AD74" i="10"/>
  <c r="R68" i="10"/>
  <c r="R74" i="10"/>
  <c r="R69" i="10"/>
  <c r="R75" i="10"/>
  <c r="Q69" i="10"/>
  <c r="Q75" i="10"/>
  <c r="Z69" i="10"/>
  <c r="Z75" i="10"/>
  <c r="AD69" i="10"/>
  <c r="AD75" i="10"/>
  <c r="M75" i="10"/>
  <c r="AA70" i="10"/>
  <c r="AA72" i="10"/>
  <c r="Z72" i="10"/>
  <c r="S72" i="10"/>
  <c r="R72" i="10"/>
  <c r="AC66" i="10"/>
  <c r="AC72" i="10"/>
  <c r="Z73" i="10"/>
  <c r="AD73" i="10"/>
  <c r="M73" i="10"/>
  <c r="AE73" i="10"/>
  <c r="Y73" i="10"/>
  <c r="X77" i="10"/>
  <c r="W76" i="10"/>
  <c r="T76" i="10"/>
  <c r="AC76" i="10"/>
  <c r="Z77" i="10"/>
  <c r="AH76" i="10"/>
  <c r="AH77" i="10"/>
  <c r="Z76" i="10"/>
  <c r="S68" i="10"/>
  <c r="S74" i="10"/>
  <c r="AC68" i="10"/>
  <c r="AC74" i="10"/>
  <c r="Q68" i="10"/>
  <c r="Q74" i="10"/>
  <c r="AH68" i="10"/>
  <c r="AH74" i="10"/>
  <c r="AH69" i="10"/>
  <c r="AH75" i="10"/>
  <c r="AE75" i="10"/>
  <c r="S75" i="10"/>
  <c r="W75" i="10"/>
  <c r="AG69" i="10"/>
  <c r="AG75" i="10"/>
  <c r="Y72" i="10"/>
  <c r="Q70" i="10"/>
  <c r="Q72" i="10"/>
  <c r="AD70" i="10"/>
  <c r="AD72" i="10"/>
  <c r="AG72" i="10"/>
  <c r="T73" i="10"/>
  <c r="W73" i="10"/>
  <c r="U73" i="10"/>
  <c r="V73" i="10"/>
  <c r="AC77" i="10"/>
  <c r="AD76" i="10"/>
  <c r="P77" i="10"/>
  <c r="T77" i="10"/>
  <c r="AE77" i="10"/>
  <c r="S77" i="10"/>
  <c r="AF76" i="10"/>
  <c r="AB77" i="10"/>
  <c r="AA76" i="10"/>
  <c r="Y69" i="10"/>
  <c r="X66" i="10"/>
  <c r="AH66" i="10"/>
  <c r="AG67" i="10"/>
  <c r="AB67" i="10"/>
  <c r="AH67" i="10"/>
  <c r="Q67" i="10"/>
  <c r="W70" i="10"/>
  <c r="X70" i="10"/>
  <c r="AH70" i="10"/>
  <c r="AA66" i="10"/>
  <c r="Z66" i="10"/>
  <c r="S66" i="10"/>
  <c r="R66" i="10"/>
  <c r="Z67" i="10"/>
  <c r="AD67" i="10"/>
  <c r="AE67" i="10"/>
  <c r="Y67" i="10"/>
  <c r="AB70" i="10"/>
  <c r="AF70" i="10"/>
  <c r="Y53" i="10"/>
  <c r="V68" i="10"/>
  <c r="AE68" i="10"/>
  <c r="U69" i="10"/>
  <c r="AE69" i="10"/>
  <c r="S69" i="10"/>
  <c r="W69" i="10"/>
  <c r="Y66" i="10"/>
  <c r="P64" i="10"/>
  <c r="Q66" i="10"/>
  <c r="AD66" i="10"/>
  <c r="AG66" i="10"/>
  <c r="T67" i="10"/>
  <c r="W67" i="10"/>
  <c r="U67" i="10"/>
  <c r="V67" i="10"/>
  <c r="R70" i="10"/>
  <c r="AC70" i="10"/>
  <c r="AG70" i="10"/>
  <c r="Z70" i="10"/>
  <c r="U52" i="10"/>
  <c r="X53" i="10"/>
  <c r="W68" i="10"/>
  <c r="Z68" i="10"/>
  <c r="AG68" i="10"/>
  <c r="X68" i="10"/>
  <c r="AA69" i="10"/>
  <c r="AB69" i="10"/>
  <c r="AF69" i="10"/>
  <c r="AE66" i="10"/>
  <c r="U66" i="10"/>
  <c r="M59" i="10"/>
  <c r="T66" i="10"/>
  <c r="AC67" i="10"/>
  <c r="X67" i="10"/>
  <c r="AA67" i="10"/>
  <c r="R67" i="10"/>
  <c r="AF67" i="10"/>
  <c r="S67" i="10"/>
  <c r="V70" i="10"/>
  <c r="S70" i="10"/>
  <c r="Y70" i="10"/>
  <c r="M63" i="10"/>
  <c r="O52" i="10"/>
  <c r="P53" i="10"/>
  <c r="AF51" i="10"/>
  <c r="AA51" i="10"/>
  <c r="R51" i="10"/>
  <c r="Z52" i="10"/>
  <c r="AF53" i="10"/>
  <c r="AA53" i="10"/>
  <c r="Q60" i="10"/>
  <c r="N64" i="10"/>
  <c r="Q63" i="10"/>
  <c r="S51" i="10"/>
  <c r="AG52" i="10"/>
  <c r="AB53" i="10"/>
  <c r="Y52" i="10"/>
  <c r="M61" i="10"/>
  <c r="T52" i="10"/>
  <c r="AD52" i="10"/>
  <c r="R52" i="10"/>
  <c r="R53" i="10"/>
  <c r="Q53" i="10"/>
  <c r="Q62" i="10"/>
  <c r="O53" i="10"/>
  <c r="Z53" i="10"/>
  <c r="M53" i="10"/>
  <c r="M62" i="10"/>
  <c r="Z51" i="10"/>
  <c r="AD51" i="10"/>
  <c r="M51" i="10"/>
  <c r="M64" i="10" s="1"/>
  <c r="M60" i="10"/>
  <c r="AE51" i="10"/>
  <c r="X51" i="10"/>
  <c r="AC51" i="10"/>
  <c r="W52" i="10"/>
  <c r="X52" i="10"/>
  <c r="V52" i="10"/>
  <c r="Q61" i="10"/>
  <c r="AE52" i="10"/>
  <c r="AH52" i="10"/>
  <c r="AH53" i="10"/>
  <c r="U53" i="10"/>
  <c r="AE53" i="10"/>
  <c r="S53" i="10"/>
  <c r="W53" i="10"/>
  <c r="Q59" i="10"/>
  <c r="W51" i="10"/>
  <c r="O51" i="10"/>
  <c r="O50" i="10"/>
  <c r="O66" i="10" s="1"/>
  <c r="P50" i="10"/>
  <c r="P72" i="10" s="1"/>
  <c r="AC50" i="10"/>
  <c r="Y50" i="10"/>
  <c r="U50" i="10"/>
  <c r="AG50" i="10"/>
  <c r="R50" i="10"/>
  <c r="AB50" i="10"/>
  <c r="X50" i="10"/>
  <c r="T50" i="10"/>
  <c r="AF50" i="10"/>
  <c r="AA50" i="10"/>
  <c r="W50" i="10"/>
  <c r="S50" i="10"/>
  <c r="AE50" i="10"/>
  <c r="N50" i="10"/>
  <c r="N88" i="10" s="1"/>
  <c r="N209" i="10" s="1"/>
  <c r="AD50" i="10"/>
  <c r="Z50" i="10"/>
  <c r="V50" i="10"/>
  <c r="AH50" i="10"/>
  <c r="P153" i="10"/>
  <c r="P146" i="10"/>
  <c r="O154" i="10"/>
  <c r="O147" i="10"/>
  <c r="P154" i="10"/>
  <c r="P147" i="10"/>
  <c r="N152" i="10"/>
  <c r="N145" i="10"/>
  <c r="P152" i="10"/>
  <c r="P145" i="10"/>
  <c r="O153" i="10"/>
  <c r="O146" i="10"/>
  <c r="N153" i="10"/>
  <c r="N146" i="10"/>
  <c r="M154" i="10"/>
  <c r="M147" i="10"/>
  <c r="M152" i="10"/>
  <c r="M145" i="10"/>
  <c r="M153" i="10"/>
  <c r="M146" i="10"/>
  <c r="N154" i="10"/>
  <c r="N147" i="10"/>
  <c r="Q152" i="10"/>
  <c r="Q145" i="10"/>
  <c r="Q153" i="10"/>
  <c r="Q146" i="10"/>
  <c r="Q154" i="10"/>
  <c r="Q147" i="10"/>
  <c r="O152" i="10"/>
  <c r="O145" i="10"/>
  <c r="M151" i="10"/>
  <c r="M144" i="10"/>
  <c r="M68" i="10"/>
  <c r="M69" i="10"/>
  <c r="M67" i="10"/>
  <c r="M70" i="10"/>
  <c r="M66" i="10"/>
  <c r="N151" i="10"/>
  <c r="N144" i="10"/>
  <c r="Q151" i="10"/>
  <c r="Q144" i="10"/>
  <c r="O151" i="10"/>
  <c r="O144" i="10"/>
  <c r="P151" i="10"/>
  <c r="P144" i="10"/>
  <c r="C66" i="10"/>
  <c r="I145" i="10"/>
  <c r="I152" i="10"/>
  <c r="H145" i="10"/>
  <c r="H152" i="10"/>
  <c r="K145" i="10"/>
  <c r="K152" i="10"/>
  <c r="E144" i="10"/>
  <c r="L144" i="10"/>
  <c r="G144" i="10"/>
  <c r="D149" i="10"/>
  <c r="C149" i="10"/>
  <c r="F149" i="10"/>
  <c r="E149" i="10"/>
  <c r="E148" i="10"/>
  <c r="C148" i="10"/>
  <c r="D148" i="10"/>
  <c r="F148" i="10"/>
  <c r="G147" i="10"/>
  <c r="F147" i="10"/>
  <c r="I147" i="10"/>
  <c r="H147" i="10"/>
  <c r="C147" i="10"/>
  <c r="K147" i="10"/>
  <c r="J147" i="10"/>
  <c r="E147" i="10"/>
  <c r="D147" i="10"/>
  <c r="L147" i="10"/>
  <c r="E146" i="10"/>
  <c r="F146" i="10"/>
  <c r="C146" i="10"/>
  <c r="G146" i="10"/>
  <c r="J146" i="10"/>
  <c r="L146" i="10"/>
  <c r="D146" i="10"/>
  <c r="I146" i="10"/>
  <c r="H146" i="10"/>
  <c r="K146" i="10"/>
  <c r="E145" i="10"/>
  <c r="F145" i="10"/>
  <c r="L145" i="10"/>
  <c r="G145" i="10"/>
  <c r="D145" i="10"/>
  <c r="J145" i="10"/>
  <c r="C145" i="10"/>
  <c r="H144" i="10"/>
  <c r="I144" i="10"/>
  <c r="J144" i="10"/>
  <c r="K144" i="10"/>
  <c r="F144" i="10"/>
  <c r="F179" i="10"/>
  <c r="F180" i="10"/>
  <c r="F181" i="10"/>
  <c r="F182" i="10"/>
  <c r="F184" i="10"/>
  <c r="F183" i="10"/>
  <c r="C200" i="10"/>
  <c r="C77" i="10"/>
  <c r="E77" i="10"/>
  <c r="D77" i="10"/>
  <c r="F77" i="10"/>
  <c r="D199" i="10"/>
  <c r="E199" i="10"/>
  <c r="I199" i="10"/>
  <c r="F199" i="10"/>
  <c r="D200" i="10"/>
  <c r="E200" i="10"/>
  <c r="I200" i="10"/>
  <c r="F200" i="10"/>
  <c r="L199" i="10"/>
  <c r="C201" i="10"/>
  <c r="G201" i="10"/>
  <c r="K201" i="10"/>
  <c r="F201" i="10"/>
  <c r="J201" i="10"/>
  <c r="C199" i="10"/>
  <c r="E203" i="10"/>
  <c r="D202" i="10"/>
  <c r="F202" i="10"/>
  <c r="C202" i="10"/>
  <c r="H199" i="10"/>
  <c r="G199" i="10"/>
  <c r="K199" i="10"/>
  <c r="H200" i="10"/>
  <c r="G200" i="10"/>
  <c r="K200" i="10"/>
  <c r="J200" i="10"/>
  <c r="J199" i="10"/>
  <c r="L200" i="10"/>
  <c r="E201" i="10"/>
  <c r="I201" i="10"/>
  <c r="D201" i="10"/>
  <c r="H201" i="10"/>
  <c r="L201" i="10"/>
  <c r="D203" i="10"/>
  <c r="C203" i="10"/>
  <c r="F203" i="10"/>
  <c r="E202" i="10"/>
  <c r="C198" i="10"/>
  <c r="D192" i="10"/>
  <c r="D198" i="10"/>
  <c r="E192" i="10"/>
  <c r="E198" i="10"/>
  <c r="L192" i="10"/>
  <c r="L198" i="10"/>
  <c r="F192" i="10"/>
  <c r="F198" i="10"/>
  <c r="J192" i="10"/>
  <c r="J198" i="10"/>
  <c r="G192" i="10"/>
  <c r="G198" i="10"/>
  <c r="K192" i="10"/>
  <c r="K198" i="10"/>
  <c r="H192" i="10"/>
  <c r="H198" i="10"/>
  <c r="I192" i="10"/>
  <c r="I198" i="10"/>
  <c r="C192" i="10"/>
  <c r="E186" i="10"/>
  <c r="E193" i="10"/>
  <c r="I186" i="10"/>
  <c r="I193" i="10"/>
  <c r="D187" i="10"/>
  <c r="D194" i="10"/>
  <c r="E187" i="10"/>
  <c r="E194" i="10"/>
  <c r="I187" i="10"/>
  <c r="I194" i="10"/>
  <c r="F187" i="10"/>
  <c r="F194" i="10"/>
  <c r="L186" i="10"/>
  <c r="L193" i="10"/>
  <c r="G188" i="10"/>
  <c r="G195" i="10"/>
  <c r="K188" i="10"/>
  <c r="K195" i="10"/>
  <c r="J188" i="10"/>
  <c r="J195" i="10"/>
  <c r="C186" i="10"/>
  <c r="C193" i="10"/>
  <c r="H186" i="10"/>
  <c r="H193" i="10"/>
  <c r="G186" i="10"/>
  <c r="G193" i="10"/>
  <c r="K186" i="10"/>
  <c r="K193" i="10"/>
  <c r="C187" i="10"/>
  <c r="C194" i="10"/>
  <c r="H187" i="10"/>
  <c r="H194" i="10"/>
  <c r="G187" i="10"/>
  <c r="G194" i="10"/>
  <c r="K187" i="10"/>
  <c r="K194" i="10"/>
  <c r="J187" i="10"/>
  <c r="J194" i="10"/>
  <c r="J186" i="10"/>
  <c r="J193" i="10"/>
  <c r="L187" i="10"/>
  <c r="L194" i="10"/>
  <c r="E188" i="10"/>
  <c r="E195" i="10"/>
  <c r="I188" i="10"/>
  <c r="I195" i="10"/>
  <c r="D188" i="10"/>
  <c r="D195" i="10"/>
  <c r="H188" i="10"/>
  <c r="H195" i="10"/>
  <c r="L188" i="10"/>
  <c r="L195" i="10"/>
  <c r="E190" i="10"/>
  <c r="E197" i="10"/>
  <c r="D189" i="10"/>
  <c r="D196" i="10"/>
  <c r="F189" i="10"/>
  <c r="F196" i="10"/>
  <c r="C189" i="10"/>
  <c r="C196" i="10"/>
  <c r="D186" i="10"/>
  <c r="D193" i="10"/>
  <c r="F186" i="10"/>
  <c r="F193" i="10"/>
  <c r="C188" i="10"/>
  <c r="C195" i="10"/>
  <c r="F188" i="10"/>
  <c r="F195" i="10"/>
  <c r="D190" i="10"/>
  <c r="D197" i="10"/>
  <c r="C190" i="10"/>
  <c r="C197" i="10"/>
  <c r="F190" i="10"/>
  <c r="F197" i="10"/>
  <c r="E189" i="10"/>
  <c r="E196" i="10"/>
  <c r="C185" i="10"/>
  <c r="D179" i="10"/>
  <c r="D185" i="10"/>
  <c r="E179" i="10"/>
  <c r="E185" i="10"/>
  <c r="L179" i="10"/>
  <c r="L185" i="10"/>
  <c r="F185" i="10"/>
  <c r="J179" i="10"/>
  <c r="J185" i="10"/>
  <c r="G179" i="10"/>
  <c r="G185" i="10"/>
  <c r="K179" i="10"/>
  <c r="K185" i="10"/>
  <c r="H179" i="10"/>
  <c r="H185" i="10"/>
  <c r="I179" i="10"/>
  <c r="I185" i="10"/>
  <c r="E180" i="10"/>
  <c r="E181" i="10"/>
  <c r="I181" i="10"/>
  <c r="H180" i="10"/>
  <c r="G180" i="10"/>
  <c r="K180" i="10"/>
  <c r="H181" i="10"/>
  <c r="G181" i="10"/>
  <c r="K181" i="10"/>
  <c r="J181" i="10"/>
  <c r="J180" i="10"/>
  <c r="L181" i="10"/>
  <c r="E182" i="10"/>
  <c r="I182" i="10"/>
  <c r="D182" i="10"/>
  <c r="H182" i="10"/>
  <c r="L182" i="10"/>
  <c r="E184" i="10"/>
  <c r="D183" i="10"/>
  <c r="D180" i="10"/>
  <c r="I180" i="10"/>
  <c r="D181" i="10"/>
  <c r="L180" i="10"/>
  <c r="G182" i="10"/>
  <c r="K182" i="10"/>
  <c r="J182" i="10"/>
  <c r="D184" i="10"/>
  <c r="E183" i="10"/>
  <c r="C181" i="10"/>
  <c r="C183" i="10"/>
  <c r="C182" i="10"/>
  <c r="C180" i="10"/>
  <c r="C184" i="10"/>
  <c r="C179" i="10"/>
  <c r="D96" i="10"/>
  <c r="I96" i="10"/>
  <c r="D97" i="10"/>
  <c r="I97" i="10"/>
  <c r="H96" i="10"/>
  <c r="G96" i="10"/>
  <c r="K96" i="10"/>
  <c r="H97" i="10"/>
  <c r="G97" i="10"/>
  <c r="K97" i="10"/>
  <c r="J97" i="10"/>
  <c r="L97" i="10"/>
  <c r="E100" i="10"/>
  <c r="E96" i="10"/>
  <c r="F96" i="10"/>
  <c r="E97" i="10"/>
  <c r="F97" i="10"/>
  <c r="D100" i="10"/>
  <c r="C98" i="10"/>
  <c r="C97" i="10"/>
  <c r="C95" i="10"/>
  <c r="F94" i="10"/>
  <c r="C93" i="10"/>
  <c r="E98" i="10"/>
  <c r="I98" i="10"/>
  <c r="D98" i="10"/>
  <c r="L98" i="10"/>
  <c r="C84" i="10"/>
  <c r="F84" i="10"/>
  <c r="D84" i="10"/>
  <c r="E84" i="10"/>
  <c r="F93" i="10"/>
  <c r="D94" i="10"/>
  <c r="E94" i="10"/>
  <c r="C94" i="10"/>
  <c r="F99" i="10"/>
  <c r="F100" i="10"/>
  <c r="C100" i="10"/>
  <c r="J96" i="10"/>
  <c r="D93" i="10"/>
  <c r="E93" i="10"/>
  <c r="D99" i="10"/>
  <c r="E99" i="10"/>
  <c r="C99" i="10"/>
  <c r="H98" i="10"/>
  <c r="L96" i="10"/>
  <c r="G98" i="10"/>
  <c r="K98" i="10"/>
  <c r="F98" i="10"/>
  <c r="J98" i="10"/>
  <c r="C96" i="10"/>
  <c r="D83" i="10"/>
  <c r="E83" i="10"/>
  <c r="C83" i="10"/>
  <c r="F83" i="10"/>
  <c r="BP60" i="13"/>
  <c r="BQ59" i="13" s="1"/>
  <c r="D89" i="10"/>
  <c r="D95" i="10"/>
  <c r="H89" i="10"/>
  <c r="H95" i="10"/>
  <c r="E89" i="10"/>
  <c r="E95" i="10"/>
  <c r="I89" i="10"/>
  <c r="I95" i="10"/>
  <c r="L89" i="10"/>
  <c r="L95" i="10"/>
  <c r="F89" i="10"/>
  <c r="F95" i="10"/>
  <c r="J89" i="10"/>
  <c r="J95" i="10"/>
  <c r="G89" i="10"/>
  <c r="G95" i="10"/>
  <c r="K89" i="10"/>
  <c r="K95" i="10"/>
  <c r="C89" i="10"/>
  <c r="D80" i="10"/>
  <c r="D90" i="10"/>
  <c r="E80" i="10"/>
  <c r="E90" i="10"/>
  <c r="I80" i="10"/>
  <c r="I90" i="10"/>
  <c r="F80" i="10"/>
  <c r="F90" i="10"/>
  <c r="D81" i="10"/>
  <c r="D91" i="10"/>
  <c r="E81" i="10"/>
  <c r="E91" i="10"/>
  <c r="I81" i="10"/>
  <c r="I91" i="10"/>
  <c r="F81" i="10"/>
  <c r="F91" i="10"/>
  <c r="L80" i="10"/>
  <c r="L90" i="10"/>
  <c r="C82" i="10"/>
  <c r="C92" i="10"/>
  <c r="G82" i="10"/>
  <c r="G92" i="10"/>
  <c r="K82" i="10"/>
  <c r="K92" i="10"/>
  <c r="F82" i="10"/>
  <c r="F92" i="10"/>
  <c r="J82" i="10"/>
  <c r="J92" i="10"/>
  <c r="C80" i="10"/>
  <c r="C90" i="10"/>
  <c r="H80" i="10"/>
  <c r="H90" i="10"/>
  <c r="G80" i="10"/>
  <c r="G90" i="10"/>
  <c r="K80" i="10"/>
  <c r="K90" i="10"/>
  <c r="C81" i="10"/>
  <c r="C91" i="10"/>
  <c r="H81" i="10"/>
  <c r="H91" i="10"/>
  <c r="G81" i="10"/>
  <c r="G91" i="10"/>
  <c r="K81" i="10"/>
  <c r="K91" i="10"/>
  <c r="J81" i="10"/>
  <c r="J91" i="10"/>
  <c r="J80" i="10"/>
  <c r="J90" i="10"/>
  <c r="L81" i="10"/>
  <c r="L91" i="10"/>
  <c r="E82" i="10"/>
  <c r="E92" i="10"/>
  <c r="I82" i="10"/>
  <c r="I92" i="10"/>
  <c r="D82" i="10"/>
  <c r="D92" i="10"/>
  <c r="H82" i="10"/>
  <c r="H92" i="10"/>
  <c r="L82" i="10"/>
  <c r="L92" i="10"/>
  <c r="D79" i="10"/>
  <c r="H79" i="10"/>
  <c r="E79" i="10"/>
  <c r="I79" i="10"/>
  <c r="L79" i="10"/>
  <c r="F79" i="10"/>
  <c r="J79" i="10"/>
  <c r="G79" i="10"/>
  <c r="K79" i="10"/>
  <c r="C79" i="10"/>
  <c r="C76" i="10"/>
  <c r="F76" i="10"/>
  <c r="D76" i="10"/>
  <c r="E76" i="10"/>
  <c r="E75" i="10"/>
  <c r="D75" i="10"/>
  <c r="D72" i="10"/>
  <c r="E72" i="10"/>
  <c r="F75" i="10"/>
  <c r="C75" i="10"/>
  <c r="D74" i="10"/>
  <c r="E74" i="10"/>
  <c r="F74" i="10"/>
  <c r="F72" i="10"/>
  <c r="C74" i="10"/>
  <c r="D73" i="10"/>
  <c r="E73" i="10"/>
  <c r="F73" i="10"/>
  <c r="C73" i="10"/>
  <c r="C72" i="10"/>
  <c r="F66" i="10"/>
  <c r="C70" i="10"/>
  <c r="D66" i="10"/>
  <c r="E66" i="10"/>
  <c r="C67" i="10"/>
  <c r="D70" i="10"/>
  <c r="E70" i="10"/>
  <c r="F70" i="10"/>
  <c r="E69" i="10"/>
  <c r="I53" i="10"/>
  <c r="D69" i="10"/>
  <c r="H53" i="10"/>
  <c r="L53" i="10"/>
  <c r="G53" i="10"/>
  <c r="K53" i="10"/>
  <c r="F69" i="10"/>
  <c r="J53" i="10"/>
  <c r="C69" i="10"/>
  <c r="H52" i="10"/>
  <c r="G52" i="10"/>
  <c r="K52" i="10"/>
  <c r="J52" i="10"/>
  <c r="L52" i="10"/>
  <c r="D68" i="10"/>
  <c r="E68" i="10"/>
  <c r="I52" i="10"/>
  <c r="F68" i="10"/>
  <c r="C68" i="10"/>
  <c r="D67" i="10"/>
  <c r="E67" i="10"/>
  <c r="F67" i="10"/>
  <c r="G51" i="10"/>
  <c r="K51" i="10"/>
  <c r="K203" i="10" s="1"/>
  <c r="J51" i="10"/>
  <c r="J149" i="10" s="1"/>
  <c r="I51" i="10"/>
  <c r="I190" i="10" s="1"/>
  <c r="L51" i="10"/>
  <c r="H50" i="10"/>
  <c r="H72" i="10" s="1"/>
  <c r="I50" i="10"/>
  <c r="I59" i="10" s="1"/>
  <c r="J50" i="10"/>
  <c r="J59" i="10" s="1"/>
  <c r="G50" i="10"/>
  <c r="K50" i="10"/>
  <c r="K60" i="10" s="1"/>
  <c r="L50" i="10"/>
  <c r="L59" i="10" s="1"/>
  <c r="H51" i="10"/>
  <c r="P63" i="10" l="1"/>
  <c r="P59" i="10"/>
  <c r="E60" i="10"/>
  <c r="E63" i="10"/>
  <c r="I68" i="10"/>
  <c r="J66" i="10"/>
  <c r="I66" i="10"/>
  <c r="I73" i="10"/>
  <c r="J69" i="10"/>
  <c r="D61" i="10"/>
  <c r="K75" i="10"/>
  <c r="N72" i="10"/>
  <c r="D88" i="10"/>
  <c r="D209" i="10" s="1"/>
  <c r="M88" i="10"/>
  <c r="M209" i="10" s="1"/>
  <c r="M210" i="10" s="1"/>
  <c r="M18" i="10" s="1"/>
  <c r="D60" i="10"/>
  <c r="D63" i="10"/>
  <c r="H142" i="10"/>
  <c r="H128" i="10"/>
  <c r="H107" i="10"/>
  <c r="H163" i="10"/>
  <c r="H170" i="10"/>
  <c r="H114" i="10"/>
  <c r="H177" i="10"/>
  <c r="H135" i="10"/>
  <c r="H121" i="10"/>
  <c r="H156" i="10"/>
  <c r="H169" i="10"/>
  <c r="H113" i="10"/>
  <c r="H176" i="10"/>
  <c r="H162" i="10"/>
  <c r="H134" i="10"/>
  <c r="H120" i="10"/>
  <c r="H141" i="10"/>
  <c r="H127" i="10"/>
  <c r="H106" i="10"/>
  <c r="H155" i="10"/>
  <c r="L67" i="10"/>
  <c r="G169" i="10"/>
  <c r="G141" i="10"/>
  <c r="G127" i="10"/>
  <c r="G162" i="10"/>
  <c r="G113" i="10"/>
  <c r="G176" i="10"/>
  <c r="G134" i="10"/>
  <c r="G120" i="10"/>
  <c r="G106" i="10"/>
  <c r="G155" i="10"/>
  <c r="L114" i="10"/>
  <c r="L135" i="10"/>
  <c r="L121" i="10"/>
  <c r="L107" i="10"/>
  <c r="L142" i="10"/>
  <c r="L128" i="10"/>
  <c r="L163" i="10"/>
  <c r="L177" i="10"/>
  <c r="L170" i="10"/>
  <c r="L156" i="10"/>
  <c r="G114" i="10"/>
  <c r="G170" i="10"/>
  <c r="G177" i="10"/>
  <c r="G135" i="10"/>
  <c r="G121" i="10"/>
  <c r="G142" i="10"/>
  <c r="G128" i="10"/>
  <c r="G107" i="10"/>
  <c r="G163" i="10"/>
  <c r="G156" i="10"/>
  <c r="I69" i="10"/>
  <c r="K67" i="10"/>
  <c r="K70" i="10"/>
  <c r="J73" i="10"/>
  <c r="G72" i="10"/>
  <c r="K74" i="10"/>
  <c r="I74" i="10"/>
  <c r="I72" i="10"/>
  <c r="L76" i="10"/>
  <c r="J99" i="10"/>
  <c r="J83" i="10"/>
  <c r="K54" i="10"/>
  <c r="L94" i="10"/>
  <c r="H94" i="10"/>
  <c r="I84" i="10"/>
  <c r="K84" i="10"/>
  <c r="K55" i="10"/>
  <c r="J100" i="10"/>
  <c r="H55" i="10"/>
  <c r="J183" i="10"/>
  <c r="I183" i="10"/>
  <c r="G184" i="10"/>
  <c r="J189" i="10"/>
  <c r="K190" i="10"/>
  <c r="H189" i="10"/>
  <c r="I189" i="10"/>
  <c r="H190" i="10"/>
  <c r="G190" i="10"/>
  <c r="L189" i="10"/>
  <c r="J202" i="10"/>
  <c r="H202" i="10"/>
  <c r="I202" i="10"/>
  <c r="L202" i="10"/>
  <c r="G77" i="10"/>
  <c r="J64" i="10"/>
  <c r="J63" i="10"/>
  <c r="K62" i="10"/>
  <c r="L63" i="10"/>
  <c r="J61" i="10"/>
  <c r="L60" i="10"/>
  <c r="H61" i="10"/>
  <c r="G59" i="10"/>
  <c r="G148" i="10"/>
  <c r="K148" i="10"/>
  <c r="K149" i="10"/>
  <c r="P113" i="10"/>
  <c r="P169" i="10"/>
  <c r="P162" i="10"/>
  <c r="P183" i="10"/>
  <c r="P93" i="10"/>
  <c r="P189" i="10"/>
  <c r="P99" i="10"/>
  <c r="P176" i="10"/>
  <c r="P134" i="10"/>
  <c r="P120" i="10"/>
  <c r="P196" i="10"/>
  <c r="P141" i="10"/>
  <c r="P127" i="10"/>
  <c r="P106" i="10"/>
  <c r="P54" i="10"/>
  <c r="P202" i="10"/>
  <c r="P83" i="10"/>
  <c r="P155" i="10"/>
  <c r="P148" i="10"/>
  <c r="P60" i="10"/>
  <c r="O62" i="10"/>
  <c r="N70" i="10"/>
  <c r="P61" i="10"/>
  <c r="P67" i="10"/>
  <c r="Q113" i="10"/>
  <c r="Q141" i="10"/>
  <c r="Q127" i="10"/>
  <c r="Q183" i="10"/>
  <c r="Q54" i="10"/>
  <c r="Q189" i="10"/>
  <c r="Q83" i="10"/>
  <c r="Q169" i="10"/>
  <c r="Q196" i="10"/>
  <c r="Q93" i="10"/>
  <c r="Q176" i="10"/>
  <c r="Q134" i="10"/>
  <c r="Q120" i="10"/>
  <c r="Q106" i="10"/>
  <c r="Q162" i="10"/>
  <c r="Q202" i="10"/>
  <c r="Q99" i="10"/>
  <c r="Q155" i="10"/>
  <c r="Q148" i="10"/>
  <c r="P114" i="10"/>
  <c r="P55" i="10"/>
  <c r="P184" i="10"/>
  <c r="P94" i="10"/>
  <c r="P170" i="10"/>
  <c r="P107" i="10"/>
  <c r="P190" i="10"/>
  <c r="P100" i="10"/>
  <c r="P177" i="10"/>
  <c r="P135" i="10"/>
  <c r="P121" i="10"/>
  <c r="P163" i="10"/>
  <c r="P197" i="10"/>
  <c r="P142" i="10"/>
  <c r="P128" i="10"/>
  <c r="P203" i="10"/>
  <c r="P84" i="10"/>
  <c r="P149" i="10"/>
  <c r="P156" i="10"/>
  <c r="Q14" i="10"/>
  <c r="Q15" i="10" s="1"/>
  <c r="C59" i="10"/>
  <c r="F114" i="10"/>
  <c r="F170" i="10"/>
  <c r="F163" i="10"/>
  <c r="F177" i="10"/>
  <c r="F107" i="10"/>
  <c r="F135" i="10"/>
  <c r="F121" i="10"/>
  <c r="F55" i="10"/>
  <c r="F142" i="10"/>
  <c r="F128" i="10"/>
  <c r="F156" i="10"/>
  <c r="F63" i="10"/>
  <c r="E61" i="10"/>
  <c r="J113" i="10"/>
  <c r="J176" i="10"/>
  <c r="J106" i="10"/>
  <c r="J134" i="10"/>
  <c r="J120" i="10"/>
  <c r="J162" i="10"/>
  <c r="J169" i="10"/>
  <c r="J141" i="10"/>
  <c r="J127" i="10"/>
  <c r="J155" i="10"/>
  <c r="I114" i="10"/>
  <c r="I135" i="10"/>
  <c r="I121" i="10"/>
  <c r="I163" i="10"/>
  <c r="I177" i="10"/>
  <c r="I142" i="10"/>
  <c r="I128" i="10"/>
  <c r="I170" i="10"/>
  <c r="I107" i="10"/>
  <c r="I156" i="10"/>
  <c r="K66" i="10"/>
  <c r="I67" i="10"/>
  <c r="J67" i="10"/>
  <c r="L68" i="10"/>
  <c r="K68" i="10"/>
  <c r="H68" i="10"/>
  <c r="G69" i="10"/>
  <c r="H69" i="10"/>
  <c r="I70" i="10"/>
  <c r="G67" i="10"/>
  <c r="J70" i="10"/>
  <c r="K73" i="10"/>
  <c r="H73" i="10"/>
  <c r="J72" i="10"/>
  <c r="G74" i="10"/>
  <c r="L75" i="10"/>
  <c r="H76" i="10"/>
  <c r="K76" i="10"/>
  <c r="I99" i="10"/>
  <c r="G83" i="10"/>
  <c r="H83" i="10"/>
  <c r="J54" i="10"/>
  <c r="L54" i="10"/>
  <c r="H93" i="10"/>
  <c r="G100" i="10"/>
  <c r="G94" i="10"/>
  <c r="G93" i="10"/>
  <c r="G54" i="10"/>
  <c r="J55" i="10"/>
  <c r="I55" i="10"/>
  <c r="G99" i="10"/>
  <c r="K183" i="10"/>
  <c r="J184" i="10"/>
  <c r="K196" i="10"/>
  <c r="J197" i="10"/>
  <c r="G196" i="10"/>
  <c r="K202" i="10"/>
  <c r="J203" i="10"/>
  <c r="I77" i="10"/>
  <c r="L77" i="10"/>
  <c r="G63" i="10"/>
  <c r="K64" i="10"/>
  <c r="I61" i="10"/>
  <c r="H62" i="10"/>
  <c r="G61" i="10"/>
  <c r="L64" i="10"/>
  <c r="J60" i="10"/>
  <c r="J148" i="10"/>
  <c r="H149" i="10"/>
  <c r="O113" i="10"/>
  <c r="O176" i="10"/>
  <c r="O134" i="10"/>
  <c r="O120" i="10"/>
  <c r="O54" i="10"/>
  <c r="O183" i="10"/>
  <c r="O99" i="10"/>
  <c r="O141" i="10"/>
  <c r="O127" i="10"/>
  <c r="O189" i="10"/>
  <c r="O93" i="10"/>
  <c r="O169" i="10"/>
  <c r="O106" i="10"/>
  <c r="O196" i="10"/>
  <c r="O162" i="10"/>
  <c r="O202" i="10"/>
  <c r="O83" i="10"/>
  <c r="O155" i="10"/>
  <c r="O148" i="10"/>
  <c r="O60" i="10"/>
  <c r="O59" i="10"/>
  <c r="N60" i="10"/>
  <c r="N59" i="10"/>
  <c r="O68" i="10"/>
  <c r="O63" i="10"/>
  <c r="N67" i="10"/>
  <c r="P76" i="10"/>
  <c r="P73" i="10"/>
  <c r="N76" i="10"/>
  <c r="M14" i="10"/>
  <c r="M15" i="10" s="1"/>
  <c r="P14" i="10"/>
  <c r="P15" i="10" s="1"/>
  <c r="C141" i="10"/>
  <c r="C106" i="10"/>
  <c r="C127" i="10"/>
  <c r="C169" i="10"/>
  <c r="C176" i="10"/>
  <c r="C134" i="10"/>
  <c r="C113" i="10"/>
  <c r="C120" i="10"/>
  <c r="C162" i="10"/>
  <c r="C54" i="10"/>
  <c r="C155" i="10"/>
  <c r="C62" i="10"/>
  <c r="C114" i="10"/>
  <c r="C121" i="10"/>
  <c r="C55" i="10"/>
  <c r="C107" i="10"/>
  <c r="C163" i="10"/>
  <c r="C142" i="10"/>
  <c r="C170" i="10"/>
  <c r="C177" i="10"/>
  <c r="C135" i="10"/>
  <c r="C128" i="10"/>
  <c r="C156" i="10"/>
  <c r="E113" i="10"/>
  <c r="E141" i="10"/>
  <c r="E127" i="10"/>
  <c r="E169" i="10"/>
  <c r="E106" i="10"/>
  <c r="E176" i="10"/>
  <c r="E162" i="10"/>
  <c r="E54" i="10"/>
  <c r="E134" i="10"/>
  <c r="E120" i="10"/>
  <c r="E155" i="10"/>
  <c r="E88" i="10"/>
  <c r="E209" i="10" s="1"/>
  <c r="G88" i="10"/>
  <c r="G209" i="10" s="1"/>
  <c r="H88" i="10"/>
  <c r="H209" i="10" s="1"/>
  <c r="F88" i="10"/>
  <c r="F209" i="10" s="1"/>
  <c r="J88" i="10"/>
  <c r="J209" i="10" s="1"/>
  <c r="L113" i="10"/>
  <c r="L176" i="10"/>
  <c r="L169" i="10"/>
  <c r="L134" i="10"/>
  <c r="L120" i="10"/>
  <c r="L141" i="10"/>
  <c r="L127" i="10"/>
  <c r="L106" i="10"/>
  <c r="L162" i="10"/>
  <c r="L155" i="10"/>
  <c r="I113" i="10"/>
  <c r="I106" i="10"/>
  <c r="I169" i="10"/>
  <c r="I134" i="10"/>
  <c r="I120" i="10"/>
  <c r="I162" i="10"/>
  <c r="I141" i="10"/>
  <c r="I127" i="10"/>
  <c r="I176" i="10"/>
  <c r="I155" i="10"/>
  <c r="J114" i="10"/>
  <c r="J163" i="10"/>
  <c r="J135" i="10"/>
  <c r="J121" i="10"/>
  <c r="J170" i="10"/>
  <c r="J177" i="10"/>
  <c r="J142" i="10"/>
  <c r="J128" i="10"/>
  <c r="J107" i="10"/>
  <c r="J156" i="10"/>
  <c r="G66" i="10"/>
  <c r="H67" i="10"/>
  <c r="L70" i="10"/>
  <c r="L72" i="10"/>
  <c r="G73" i="10"/>
  <c r="H74" i="10"/>
  <c r="H75" i="10"/>
  <c r="G75" i="10"/>
  <c r="I75" i="10"/>
  <c r="L74" i="10"/>
  <c r="G76" i="10"/>
  <c r="L99" i="10"/>
  <c r="K83" i="10"/>
  <c r="K86" i="10" s="1"/>
  <c r="L83" i="10"/>
  <c r="I54" i="10"/>
  <c r="L93" i="10"/>
  <c r="K94" i="10"/>
  <c r="I94" i="10"/>
  <c r="H84" i="10"/>
  <c r="J84" i="10"/>
  <c r="J85" i="10" s="1"/>
  <c r="H99" i="10"/>
  <c r="K93" i="10"/>
  <c r="H100" i="10"/>
  <c r="I100" i="10"/>
  <c r="L55" i="10"/>
  <c r="K184" i="10"/>
  <c r="H184" i="10"/>
  <c r="L183" i="10"/>
  <c r="L190" i="10"/>
  <c r="K189" i="10"/>
  <c r="J190" i="10"/>
  <c r="G189" i="10"/>
  <c r="L203" i="10"/>
  <c r="I203" i="10"/>
  <c r="H203" i="10"/>
  <c r="G203" i="10"/>
  <c r="J77" i="10"/>
  <c r="L62" i="10"/>
  <c r="H63" i="10"/>
  <c r="H64" i="10"/>
  <c r="I62" i="10"/>
  <c r="G60" i="10"/>
  <c r="K63" i="10"/>
  <c r="H59" i="10"/>
  <c r="I60" i="10"/>
  <c r="H148" i="10"/>
  <c r="G149" i="10"/>
  <c r="N113" i="10"/>
  <c r="N169" i="10"/>
  <c r="N106" i="10"/>
  <c r="N183" i="10"/>
  <c r="N176" i="10"/>
  <c r="N134" i="10"/>
  <c r="N120" i="10"/>
  <c r="N189" i="10"/>
  <c r="N141" i="10"/>
  <c r="N127" i="10"/>
  <c r="N162" i="10"/>
  <c r="N54" i="10"/>
  <c r="N196" i="10"/>
  <c r="N93" i="10"/>
  <c r="N202" i="10"/>
  <c r="N99" i="10"/>
  <c r="N148" i="10"/>
  <c r="N83" i="10"/>
  <c r="N155" i="10"/>
  <c r="O114" i="10"/>
  <c r="O177" i="10"/>
  <c r="O184" i="10"/>
  <c r="O135" i="10"/>
  <c r="O121" i="10"/>
  <c r="O190" i="10"/>
  <c r="O84" i="10"/>
  <c r="O85" i="10" s="1"/>
  <c r="O170" i="10"/>
  <c r="O142" i="10"/>
  <c r="O128" i="10"/>
  <c r="O107" i="10"/>
  <c r="O108" i="10" s="1"/>
  <c r="O20" i="10" s="1"/>
  <c r="O55" i="10"/>
  <c r="O197" i="10"/>
  <c r="O94" i="10"/>
  <c r="O163" i="10"/>
  <c r="O203" i="10"/>
  <c r="O100" i="10"/>
  <c r="O156" i="10"/>
  <c r="O149" i="10"/>
  <c r="M114" i="10"/>
  <c r="M177" i="10"/>
  <c r="M107" i="10"/>
  <c r="M184" i="10"/>
  <c r="M135" i="10"/>
  <c r="M121" i="10"/>
  <c r="M190" i="10"/>
  <c r="M142" i="10"/>
  <c r="M128" i="10"/>
  <c r="M163" i="10"/>
  <c r="M197" i="10"/>
  <c r="M94" i="10"/>
  <c r="M170" i="10"/>
  <c r="M55" i="10"/>
  <c r="M203" i="10"/>
  <c r="M100" i="10"/>
  <c r="M149" i="10"/>
  <c r="M84" i="10"/>
  <c r="M156" i="10"/>
  <c r="N61" i="10"/>
  <c r="P62" i="10"/>
  <c r="O70" i="10"/>
  <c r="N66" i="10"/>
  <c r="N69" i="10"/>
  <c r="O61" i="10"/>
  <c r="O67" i="10"/>
  <c r="P66" i="10"/>
  <c r="O75" i="10"/>
  <c r="N73" i="10"/>
  <c r="N74" i="10"/>
  <c r="P75" i="10"/>
  <c r="N75" i="10"/>
  <c r="O77" i="10"/>
  <c r="O74" i="10"/>
  <c r="P74" i="10"/>
  <c r="N114" i="10"/>
  <c r="N142" i="10"/>
  <c r="N128" i="10"/>
  <c r="N184" i="10"/>
  <c r="N107" i="10"/>
  <c r="N55" i="10"/>
  <c r="N190" i="10"/>
  <c r="N84" i="10"/>
  <c r="N177" i="10"/>
  <c r="N163" i="10"/>
  <c r="N197" i="10"/>
  <c r="N94" i="10"/>
  <c r="N156" i="10"/>
  <c r="N170" i="10"/>
  <c r="N135" i="10"/>
  <c r="N121" i="10"/>
  <c r="N203" i="10"/>
  <c r="N100" i="10"/>
  <c r="N149" i="10"/>
  <c r="N14" i="10"/>
  <c r="N15" i="10" s="1"/>
  <c r="D114" i="10"/>
  <c r="D170" i="10"/>
  <c r="D142" i="10"/>
  <c r="D177" i="10"/>
  <c r="D163" i="10"/>
  <c r="D121" i="10"/>
  <c r="D128" i="10"/>
  <c r="D107" i="10"/>
  <c r="D135" i="10"/>
  <c r="D55" i="10"/>
  <c r="D156" i="10"/>
  <c r="D176" i="10"/>
  <c r="D141" i="10"/>
  <c r="D106" i="10"/>
  <c r="D134" i="10"/>
  <c r="D54" i="10"/>
  <c r="D169" i="10"/>
  <c r="D127" i="10"/>
  <c r="D113" i="10"/>
  <c r="D162" i="10"/>
  <c r="D120" i="10"/>
  <c r="D155" i="10"/>
  <c r="E114" i="10"/>
  <c r="E135" i="10"/>
  <c r="E121" i="10"/>
  <c r="E107" i="10"/>
  <c r="E55" i="10"/>
  <c r="E142" i="10"/>
  <c r="E128" i="10"/>
  <c r="E163" i="10"/>
  <c r="E170" i="10"/>
  <c r="E177" i="10"/>
  <c r="E156" i="10"/>
  <c r="D62" i="10"/>
  <c r="F62" i="10"/>
  <c r="E62" i="10"/>
  <c r="K113" i="10"/>
  <c r="K169" i="10"/>
  <c r="K134" i="10"/>
  <c r="K120" i="10"/>
  <c r="K106" i="10"/>
  <c r="K141" i="10"/>
  <c r="K127" i="10"/>
  <c r="K176" i="10"/>
  <c r="K162" i="10"/>
  <c r="K155" i="10"/>
  <c r="K114" i="10"/>
  <c r="K142" i="10"/>
  <c r="K128" i="10"/>
  <c r="K170" i="10"/>
  <c r="K177" i="10"/>
  <c r="K135" i="10"/>
  <c r="K121" i="10"/>
  <c r="K107" i="10"/>
  <c r="K163" i="10"/>
  <c r="K156" i="10"/>
  <c r="J68" i="10"/>
  <c r="G68" i="10"/>
  <c r="K69" i="10"/>
  <c r="L69" i="10"/>
  <c r="H70" i="10"/>
  <c r="G70" i="10"/>
  <c r="H66" i="10"/>
  <c r="L73" i="10"/>
  <c r="K72" i="10"/>
  <c r="J74" i="10"/>
  <c r="J75" i="10"/>
  <c r="I76" i="10"/>
  <c r="J76" i="10"/>
  <c r="K99" i="10"/>
  <c r="I83" i="10"/>
  <c r="H54" i="10"/>
  <c r="H57" i="10" s="1"/>
  <c r="I93" i="10"/>
  <c r="J94" i="10"/>
  <c r="G84" i="10"/>
  <c r="G86" i="10" s="1"/>
  <c r="L84" i="10"/>
  <c r="G55" i="10"/>
  <c r="J93" i="10"/>
  <c r="K100" i="10"/>
  <c r="L100" i="10"/>
  <c r="I184" i="10"/>
  <c r="H183" i="10"/>
  <c r="G183" i="10"/>
  <c r="L184" i="10"/>
  <c r="I197" i="10"/>
  <c r="J196" i="10"/>
  <c r="K197" i="10"/>
  <c r="H196" i="10"/>
  <c r="I196" i="10"/>
  <c r="H197" i="10"/>
  <c r="G197" i="10"/>
  <c r="L196" i="10"/>
  <c r="L197" i="10"/>
  <c r="G202" i="10"/>
  <c r="K77" i="10"/>
  <c r="H77" i="10"/>
  <c r="L66" i="10"/>
  <c r="I63" i="10"/>
  <c r="I64" i="10"/>
  <c r="J62" i="10"/>
  <c r="G64" i="10"/>
  <c r="L61" i="10"/>
  <c r="K59" i="10"/>
  <c r="G62" i="10"/>
  <c r="K61" i="10"/>
  <c r="H60" i="10"/>
  <c r="I148" i="10"/>
  <c r="L148" i="10"/>
  <c r="I149" i="10"/>
  <c r="L149" i="10"/>
  <c r="O64" i="10"/>
  <c r="N63" i="10"/>
  <c r="P70" i="10"/>
  <c r="N62" i="10"/>
  <c r="P68" i="10"/>
  <c r="O76" i="10"/>
  <c r="O73" i="10"/>
  <c r="O72" i="10"/>
  <c r="O69" i="10"/>
  <c r="N68" i="10"/>
  <c r="P69" i="10"/>
  <c r="M77" i="10"/>
  <c r="M113" i="10"/>
  <c r="M183" i="10"/>
  <c r="M83" i="10"/>
  <c r="M176" i="10"/>
  <c r="M134" i="10"/>
  <c r="M120" i="10"/>
  <c r="M189" i="10"/>
  <c r="M93" i="10"/>
  <c r="M141" i="10"/>
  <c r="M127" i="10"/>
  <c r="M106" i="10"/>
  <c r="M162" i="10"/>
  <c r="M54" i="10"/>
  <c r="M196" i="10"/>
  <c r="M99" i="10"/>
  <c r="M169" i="10"/>
  <c r="M202" i="10"/>
  <c r="M155" i="10"/>
  <c r="M157" i="10" s="1"/>
  <c r="M27" i="10" s="1"/>
  <c r="M148" i="10"/>
  <c r="Q170" i="10"/>
  <c r="Q128" i="10"/>
  <c r="Q163" i="10"/>
  <c r="Q184" i="10"/>
  <c r="Q84" i="10"/>
  <c r="Q114" i="10"/>
  <c r="Q115" i="10" s="1"/>
  <c r="Q21" i="10" s="1"/>
  <c r="Q177" i="10"/>
  <c r="Q107" i="10"/>
  <c r="Q55" i="10"/>
  <c r="Q190" i="10"/>
  <c r="Q100" i="10"/>
  <c r="Q142" i="10"/>
  <c r="Q197" i="10"/>
  <c r="Q94" i="10"/>
  <c r="Q135" i="10"/>
  <c r="Q121" i="10"/>
  <c r="Q203" i="10"/>
  <c r="Q149" i="10"/>
  <c r="Q156" i="10"/>
  <c r="Q157" i="10" s="1"/>
  <c r="Q27" i="10" s="1"/>
  <c r="O14" i="10"/>
  <c r="O15" i="10" s="1"/>
  <c r="C61" i="10"/>
  <c r="C63" i="10"/>
  <c r="F113" i="10"/>
  <c r="F176" i="10"/>
  <c r="F162" i="10"/>
  <c r="F169" i="10"/>
  <c r="F106" i="10"/>
  <c r="F54" i="10"/>
  <c r="F134" i="10"/>
  <c r="F120" i="10"/>
  <c r="F141" i="10"/>
  <c r="F127" i="10"/>
  <c r="F155" i="10"/>
  <c r="K88" i="10"/>
  <c r="K209" i="10" s="1"/>
  <c r="Q88" i="10"/>
  <c r="Q209" i="10" s="1"/>
  <c r="Q210" i="10" s="1"/>
  <c r="Q18" i="10" s="1"/>
  <c r="L88" i="10"/>
  <c r="L209" i="10" s="1"/>
  <c r="I88" i="10"/>
  <c r="I209" i="10" s="1"/>
  <c r="P88" i="10"/>
  <c r="P209" i="10" s="1"/>
  <c r="P210" i="10" s="1"/>
  <c r="P18" i="10" s="1"/>
  <c r="O88" i="10"/>
  <c r="O209" i="10" s="1"/>
  <c r="O210" i="10" s="1"/>
  <c r="O18" i="10" s="1"/>
  <c r="C88" i="10"/>
  <c r="C209" i="10" s="1"/>
  <c r="C210" i="10" s="1"/>
  <c r="C18" i="10" s="1"/>
  <c r="AP21" i="10"/>
  <c r="AP20" i="10"/>
  <c r="AQ17" i="10"/>
  <c r="AS16" i="10"/>
  <c r="AR26" i="10"/>
  <c r="AR25" i="10"/>
  <c r="AU27" i="10"/>
  <c r="AU29" i="10"/>
  <c r="AU26" i="10"/>
  <c r="AT29" i="10"/>
  <c r="AT28" i="10"/>
  <c r="AT21" i="10"/>
  <c r="AT20" i="10"/>
  <c r="AP22" i="10"/>
  <c r="AN30" i="10"/>
  <c r="AN22" i="10"/>
  <c r="AN21" i="10"/>
  <c r="AQ30" i="10"/>
  <c r="AQ23" i="10"/>
  <c r="AQ22" i="10"/>
  <c r="AM25" i="10"/>
  <c r="AM24" i="10"/>
  <c r="AS29" i="10"/>
  <c r="AS30" i="10"/>
  <c r="AS22" i="10"/>
  <c r="AS21" i="10"/>
  <c r="AO24" i="10"/>
  <c r="AO23" i="10"/>
  <c r="AL27" i="10"/>
  <c r="AL26" i="10"/>
  <c r="AT17" i="10"/>
  <c r="AP19" i="10"/>
  <c r="AS17" i="10"/>
  <c r="AR27" i="10"/>
  <c r="AR20" i="10"/>
  <c r="AU28" i="10"/>
  <c r="AU21" i="10"/>
  <c r="AU20" i="10"/>
  <c r="AT30" i="10"/>
  <c r="AT23" i="10"/>
  <c r="AT22" i="10"/>
  <c r="AN24" i="10"/>
  <c r="AN23" i="10"/>
  <c r="AQ25" i="10"/>
  <c r="AQ24" i="10"/>
  <c r="AM27" i="10"/>
  <c r="AM26" i="10"/>
  <c r="AS24" i="10"/>
  <c r="AS23" i="10"/>
  <c r="AO26" i="10"/>
  <c r="AO25" i="10"/>
  <c r="AL29" i="10"/>
  <c r="AL28" i="10"/>
  <c r="AL21" i="10"/>
  <c r="AL20" i="10"/>
  <c r="AR16" i="10"/>
  <c r="AL17" i="10"/>
  <c r="AR28" i="10"/>
  <c r="AR29" i="10"/>
  <c r="AR22" i="10"/>
  <c r="AR21" i="10"/>
  <c r="AU30" i="10"/>
  <c r="AU23" i="10"/>
  <c r="AU22" i="10"/>
  <c r="AT25" i="10"/>
  <c r="AT24" i="10"/>
  <c r="AN26" i="10"/>
  <c r="AN25" i="10"/>
  <c r="AQ27" i="10"/>
  <c r="AQ26" i="10"/>
  <c r="AM28" i="10"/>
  <c r="AM29" i="10"/>
  <c r="AM21" i="10"/>
  <c r="AM20" i="10"/>
  <c r="AS26" i="10"/>
  <c r="AS25" i="10"/>
  <c r="AO27" i="10"/>
  <c r="AO28" i="10"/>
  <c r="AO20" i="10"/>
  <c r="AL30" i="10"/>
  <c r="AL23" i="10"/>
  <c r="AL22" i="10"/>
  <c r="AR17" i="10"/>
  <c r="AM17" i="10"/>
  <c r="AR30" i="10"/>
  <c r="AR24" i="10"/>
  <c r="AR23" i="10"/>
  <c r="AU25" i="10"/>
  <c r="AU24" i="10"/>
  <c r="AT27" i="10"/>
  <c r="AT26" i="10"/>
  <c r="AN27" i="10"/>
  <c r="AN28" i="10"/>
  <c r="AN29" i="10"/>
  <c r="AN20" i="10"/>
  <c r="AQ28" i="10"/>
  <c r="AQ29" i="10"/>
  <c r="AQ21" i="10"/>
  <c r="AQ20" i="10"/>
  <c r="AM30" i="10"/>
  <c r="AM23" i="10"/>
  <c r="AM22" i="10"/>
  <c r="AS27" i="10"/>
  <c r="AS28" i="10"/>
  <c r="AS20" i="10"/>
  <c r="AO29" i="10"/>
  <c r="AO30" i="10"/>
  <c r="AO22" i="10"/>
  <c r="AO21" i="10"/>
  <c r="AL25" i="10"/>
  <c r="AL24" i="10"/>
  <c r="V157" i="10"/>
  <c r="V27" i="10" s="1"/>
  <c r="V150" i="10"/>
  <c r="V26" i="10" s="1"/>
  <c r="V122" i="10"/>
  <c r="V22" i="10" s="1"/>
  <c r="V129" i="10"/>
  <c r="V23" i="10" s="1"/>
  <c r="V178" i="10"/>
  <c r="V30" i="10" s="1"/>
  <c r="AK171" i="10"/>
  <c r="AK29" i="10" s="1"/>
  <c r="V108" i="10"/>
  <c r="V20" i="10" s="1"/>
  <c r="V164" i="10"/>
  <c r="V28" i="10" s="1"/>
  <c r="V171" i="10"/>
  <c r="V29" i="10" s="1"/>
  <c r="AK178" i="10"/>
  <c r="AK30" i="10" s="1"/>
  <c r="V115" i="10"/>
  <c r="V21" i="10" s="1"/>
  <c r="V143" i="10"/>
  <c r="V25" i="10" s="1"/>
  <c r="V136" i="10"/>
  <c r="V24" i="10" s="1"/>
  <c r="AF122" i="10"/>
  <c r="AF22" i="10" s="1"/>
  <c r="AA157" i="10"/>
  <c r="AA27" i="10" s="1"/>
  <c r="AC143" i="10"/>
  <c r="AC25" i="10" s="1"/>
  <c r="AC150" i="10"/>
  <c r="AC26" i="10" s="1"/>
  <c r="W143" i="10"/>
  <c r="W25" i="10" s="1"/>
  <c r="AJ143" i="10"/>
  <c r="AJ25" i="10" s="1"/>
  <c r="AG129" i="10"/>
  <c r="AG23" i="10" s="1"/>
  <c r="W136" i="10"/>
  <c r="W24" i="10" s="1"/>
  <c r="AC136" i="10"/>
  <c r="AC24" i="10" s="1"/>
  <c r="AA143" i="10"/>
  <c r="AA25" i="10" s="1"/>
  <c r="AJ108" i="10"/>
  <c r="AJ20" i="10" s="1"/>
  <c r="AJ157" i="10"/>
  <c r="AJ27" i="10" s="1"/>
  <c r="AF108" i="10"/>
  <c r="AF20" i="10" s="1"/>
  <c r="Y122" i="10"/>
  <c r="Y22" i="10" s="1"/>
  <c r="U122" i="10"/>
  <c r="U22" i="10" s="1"/>
  <c r="AA150" i="10"/>
  <c r="AA26" i="10" s="1"/>
  <c r="W115" i="10"/>
  <c r="W21" i="10" s="1"/>
  <c r="AJ150" i="10"/>
  <c r="AJ26" i="10" s="1"/>
  <c r="AE108" i="10"/>
  <c r="AE20" i="10" s="1"/>
  <c r="T143" i="10"/>
  <c r="T25" i="10" s="1"/>
  <c r="R143" i="10"/>
  <c r="R25" i="10" s="1"/>
  <c r="T157" i="10"/>
  <c r="T27" i="10" s="1"/>
  <c r="W157" i="10"/>
  <c r="W27" i="10" s="1"/>
  <c r="AC157" i="10"/>
  <c r="AC27" i="10" s="1"/>
  <c r="AC115" i="10"/>
  <c r="AC21" i="10" s="1"/>
  <c r="W150" i="10"/>
  <c r="W26" i="10" s="1"/>
  <c r="AC122" i="10"/>
  <c r="AC22" i="10" s="1"/>
  <c r="T150" i="10"/>
  <c r="T26" i="10" s="1"/>
  <c r="R150" i="10"/>
  <c r="R26" i="10" s="1"/>
  <c r="AJ136" i="10"/>
  <c r="AJ24" i="10" s="1"/>
  <c r="AA136" i="10"/>
  <c r="AA24" i="10" s="1"/>
  <c r="R122" i="10"/>
  <c r="R22" i="10" s="1"/>
  <c r="Z122" i="10"/>
  <c r="Z22" i="10" s="1"/>
  <c r="AJ122" i="10"/>
  <c r="AJ22" i="10" s="1"/>
  <c r="AE122" i="10"/>
  <c r="AE22" i="10" s="1"/>
  <c r="AC108" i="10"/>
  <c r="AC20" i="10" s="1"/>
  <c r="AB122" i="10"/>
  <c r="AB22" i="10" s="1"/>
  <c r="X122" i="10"/>
  <c r="X22" i="10" s="1"/>
  <c r="R157" i="10"/>
  <c r="R27" i="10" s="1"/>
  <c r="AB108" i="10"/>
  <c r="AB20" i="10" s="1"/>
  <c r="AK122" i="10"/>
  <c r="AK22" i="10" s="1"/>
  <c r="AA108" i="10"/>
  <c r="AA20" i="10" s="1"/>
  <c r="AI108" i="10"/>
  <c r="AI20" i="10" s="1"/>
  <c r="W108" i="10"/>
  <c r="W20" i="10" s="1"/>
  <c r="S108" i="10"/>
  <c r="S20" i="10" s="1"/>
  <c r="W122" i="10"/>
  <c r="W22" i="10" s="1"/>
  <c r="S122" i="10"/>
  <c r="S22" i="10" s="1"/>
  <c r="AG122" i="10"/>
  <c r="AG22" i="10" s="1"/>
  <c r="U108" i="10"/>
  <c r="U20" i="10" s="1"/>
  <c r="AD108" i="10"/>
  <c r="AD20" i="10" s="1"/>
  <c r="U115" i="10"/>
  <c r="U21" i="10" s="1"/>
  <c r="AA115" i="10"/>
  <c r="AA21" i="10" s="1"/>
  <c r="AA122" i="10"/>
  <c r="AA22" i="10" s="1"/>
  <c r="AJ129" i="10"/>
  <c r="AJ23" i="10" s="1"/>
  <c r="AK129" i="10"/>
  <c r="AK23" i="10" s="1"/>
  <c r="T136" i="10"/>
  <c r="T24" i="10" s="1"/>
  <c r="R136" i="10"/>
  <c r="R24" i="10" s="1"/>
  <c r="AH108" i="10"/>
  <c r="AH20" i="10" s="1"/>
  <c r="Z108" i="10"/>
  <c r="Z20" i="10" s="1"/>
  <c r="AI122" i="10"/>
  <c r="AI22" i="10" s="1"/>
  <c r="T122" i="10"/>
  <c r="T22" i="10" s="1"/>
  <c r="AK108" i="10"/>
  <c r="AK20" i="10" s="1"/>
  <c r="X108" i="10"/>
  <c r="X20" i="10" s="1"/>
  <c r="U150" i="10"/>
  <c r="U26" i="10" s="1"/>
  <c r="AD122" i="10"/>
  <c r="AD22" i="10" s="1"/>
  <c r="Y108" i="10"/>
  <c r="Y20" i="10" s="1"/>
  <c r="R108" i="10"/>
  <c r="R20" i="10" s="1"/>
  <c r="U157" i="10"/>
  <c r="U27" i="10" s="1"/>
  <c r="AB143" i="10"/>
  <c r="AB25" i="10" s="1"/>
  <c r="AH150" i="10"/>
  <c r="AH26" i="10" s="1"/>
  <c r="AF150" i="10"/>
  <c r="AF26" i="10" s="1"/>
  <c r="AI157" i="10"/>
  <c r="AI27" i="10" s="1"/>
  <c r="X150" i="10"/>
  <c r="X26" i="10" s="1"/>
  <c r="Z150" i="10"/>
  <c r="Z26" i="10" s="1"/>
  <c r="AG150" i="10"/>
  <c r="AG26" i="10" s="1"/>
  <c r="S157" i="10"/>
  <c r="S27" i="10" s="1"/>
  <c r="Y150" i="10"/>
  <c r="Y26" i="10" s="1"/>
  <c r="AD150" i="10"/>
  <c r="AD26" i="10" s="1"/>
  <c r="AE150" i="10"/>
  <c r="AE26" i="10" s="1"/>
  <c r="AK150" i="10"/>
  <c r="AK26" i="10" s="1"/>
  <c r="T115" i="10"/>
  <c r="T21" i="10" s="1"/>
  <c r="AJ115" i="10"/>
  <c r="AJ21" i="10" s="1"/>
  <c r="AB136" i="10"/>
  <c r="AB24" i="10" s="1"/>
  <c r="AH143" i="10"/>
  <c r="AH25" i="10" s="1"/>
  <c r="AF143" i="10"/>
  <c r="AF25" i="10" s="1"/>
  <c r="AI143" i="10"/>
  <c r="AI25" i="10" s="1"/>
  <c r="X143" i="10"/>
  <c r="X25" i="10" s="1"/>
  <c r="Z143" i="10"/>
  <c r="Z25" i="10" s="1"/>
  <c r="AG143" i="10"/>
  <c r="AG25" i="10" s="1"/>
  <c r="S143" i="10"/>
  <c r="S25" i="10" s="1"/>
  <c r="Y143" i="10"/>
  <c r="Y25" i="10" s="1"/>
  <c r="AD143" i="10"/>
  <c r="AD25" i="10" s="1"/>
  <c r="AE143" i="10"/>
  <c r="AE25" i="10" s="1"/>
  <c r="AK143" i="10"/>
  <c r="AK25" i="10" s="1"/>
  <c r="U143" i="10"/>
  <c r="U25" i="10" s="1"/>
  <c r="AB157" i="10"/>
  <c r="AB27" i="10" s="1"/>
  <c r="AH136" i="10"/>
  <c r="AH24" i="10" s="1"/>
  <c r="AF136" i="10"/>
  <c r="AF24" i="10" s="1"/>
  <c r="AI136" i="10"/>
  <c r="AI24" i="10" s="1"/>
  <c r="X136" i="10"/>
  <c r="X24" i="10" s="1"/>
  <c r="Z136" i="10"/>
  <c r="Z24" i="10" s="1"/>
  <c r="AG136" i="10"/>
  <c r="AG24" i="10" s="1"/>
  <c r="S136" i="10"/>
  <c r="S24" i="10" s="1"/>
  <c r="Y136" i="10"/>
  <c r="Y24" i="10" s="1"/>
  <c r="AD136" i="10"/>
  <c r="AD24" i="10" s="1"/>
  <c r="AE136" i="10"/>
  <c r="AE24" i="10" s="1"/>
  <c r="AK136" i="10"/>
  <c r="AK24" i="10" s="1"/>
  <c r="X129" i="10"/>
  <c r="X23" i="10" s="1"/>
  <c r="U136" i="10"/>
  <c r="U24" i="10" s="1"/>
  <c r="AB150" i="10"/>
  <c r="AB26" i="10" s="1"/>
  <c r="AH157" i="10"/>
  <c r="AH27" i="10" s="1"/>
  <c r="AF157" i="10"/>
  <c r="AF27" i="10" s="1"/>
  <c r="AI150" i="10"/>
  <c r="AI26" i="10" s="1"/>
  <c r="X157" i="10"/>
  <c r="X27" i="10" s="1"/>
  <c r="Z157" i="10"/>
  <c r="Z27" i="10" s="1"/>
  <c r="AG157" i="10"/>
  <c r="AG27" i="10" s="1"/>
  <c r="S150" i="10"/>
  <c r="S26" i="10" s="1"/>
  <c r="Y157" i="10"/>
  <c r="Y27" i="10" s="1"/>
  <c r="AD157" i="10"/>
  <c r="AD27" i="10" s="1"/>
  <c r="AE157" i="10"/>
  <c r="AE27" i="10" s="1"/>
  <c r="AK157" i="10"/>
  <c r="AK27" i="10" s="1"/>
  <c r="U129" i="10"/>
  <c r="U23" i="10" s="1"/>
  <c r="R129" i="10"/>
  <c r="R23" i="10" s="1"/>
  <c r="AC129" i="10"/>
  <c r="AC23" i="10" s="1"/>
  <c r="AG108" i="10"/>
  <c r="AG20" i="10" s="1"/>
  <c r="AB129" i="10"/>
  <c r="AB23" i="10" s="1"/>
  <c r="AA129" i="10"/>
  <c r="AA23" i="10" s="1"/>
  <c r="AI129" i="10"/>
  <c r="AI23" i="10" s="1"/>
  <c r="Z129" i="10"/>
  <c r="Z23" i="10" s="1"/>
  <c r="S129" i="10"/>
  <c r="S23" i="10" s="1"/>
  <c r="AD129" i="10"/>
  <c r="AD23" i="10" s="1"/>
  <c r="T129" i="10"/>
  <c r="T23" i="10" s="1"/>
  <c r="W129" i="10"/>
  <c r="W23" i="10" s="1"/>
  <c r="Y129" i="10"/>
  <c r="Y23" i="10" s="1"/>
  <c r="AE129" i="10"/>
  <c r="AE23" i="10" s="1"/>
  <c r="AK115" i="10"/>
  <c r="AK21" i="10" s="1"/>
  <c r="AF115" i="10"/>
  <c r="AF21" i="10" s="1"/>
  <c r="X115" i="10"/>
  <c r="X21" i="10" s="1"/>
  <c r="AG115" i="10"/>
  <c r="AG21" i="10" s="1"/>
  <c r="Y115" i="10"/>
  <c r="Y21" i="10" s="1"/>
  <c r="AE115" i="10"/>
  <c r="AE21" i="10" s="1"/>
  <c r="R115" i="10"/>
  <c r="R21" i="10" s="1"/>
  <c r="AB115" i="10"/>
  <c r="AB21" i="10" s="1"/>
  <c r="AH115" i="10"/>
  <c r="AH21" i="10" s="1"/>
  <c r="AI115" i="10"/>
  <c r="AI21" i="10" s="1"/>
  <c r="Z115" i="10"/>
  <c r="Z21" i="10" s="1"/>
  <c r="S115" i="10"/>
  <c r="S21" i="10" s="1"/>
  <c r="AD115" i="10"/>
  <c r="AD21" i="10" s="1"/>
  <c r="T108" i="10"/>
  <c r="T20" i="10" s="1"/>
  <c r="N210" i="10"/>
  <c r="N18" i="10" s="1"/>
  <c r="AI204" i="10"/>
  <c r="AI207" i="10" s="1"/>
  <c r="AJ78" i="10"/>
  <c r="AK101" i="10"/>
  <c r="AK19" i="10" s="1"/>
  <c r="AJ210" i="10"/>
  <c r="AJ18" i="10" s="1"/>
  <c r="AI210" i="10"/>
  <c r="AI18" i="10" s="1"/>
  <c r="AJ204" i="10"/>
  <c r="AJ207" i="10" s="1"/>
  <c r="AK191" i="10"/>
  <c r="AK206" i="10" s="1"/>
  <c r="AI191" i="10"/>
  <c r="AI206" i="10" s="1"/>
  <c r="AK204" i="10"/>
  <c r="AK207" i="10" s="1"/>
  <c r="AK210" i="10"/>
  <c r="AK18" i="10" s="1"/>
  <c r="AJ191" i="10"/>
  <c r="AJ206" i="10" s="1"/>
  <c r="AK71" i="10"/>
  <c r="AK57" i="10"/>
  <c r="AK56" i="10"/>
  <c r="AI85" i="10"/>
  <c r="AI86" i="10"/>
  <c r="AJ57" i="10"/>
  <c r="AJ56" i="10"/>
  <c r="AJ86" i="10"/>
  <c r="AJ85" i="10"/>
  <c r="AI56" i="10"/>
  <c r="AI57" i="10"/>
  <c r="AI71" i="10"/>
  <c r="AJ101" i="10"/>
  <c r="AJ19" i="10" s="1"/>
  <c r="AK78" i="10"/>
  <c r="AI101" i="10"/>
  <c r="AI19" i="10" s="1"/>
  <c r="AJ71" i="10"/>
  <c r="AK86" i="10"/>
  <c r="AK85" i="10"/>
  <c r="AI78" i="10"/>
  <c r="X78" i="10"/>
  <c r="V57" i="10"/>
  <c r="AG204" i="10"/>
  <c r="AG207" i="10" s="1"/>
  <c r="Y191" i="10"/>
  <c r="Y206" i="10" s="1"/>
  <c r="S56" i="10"/>
  <c r="AA56" i="10"/>
  <c r="AG57" i="10"/>
  <c r="AD57" i="10"/>
  <c r="AF56" i="10"/>
  <c r="X56" i="10"/>
  <c r="AE57" i="10"/>
  <c r="U57" i="10"/>
  <c r="AC57" i="10"/>
  <c r="Y101" i="10"/>
  <c r="Y19" i="10" s="1"/>
  <c r="AA101" i="10"/>
  <c r="AA19" i="10" s="1"/>
  <c r="AG191" i="10"/>
  <c r="AG206" i="10" s="1"/>
  <c r="Y204" i="10"/>
  <c r="Y207" i="10" s="1"/>
  <c r="X191" i="10"/>
  <c r="X206" i="10" s="1"/>
  <c r="AA191" i="10"/>
  <c r="AA206" i="10" s="1"/>
  <c r="X204" i="10"/>
  <c r="X207" i="10" s="1"/>
  <c r="AA57" i="10"/>
  <c r="Y210" i="10"/>
  <c r="Y18" i="10" s="1"/>
  <c r="AA210" i="10"/>
  <c r="AA18" i="10" s="1"/>
  <c r="AH210" i="10"/>
  <c r="AH18" i="10" s="1"/>
  <c r="T210" i="10"/>
  <c r="T18" i="10" s="1"/>
  <c r="AF210" i="10"/>
  <c r="AF18" i="10" s="1"/>
  <c r="AD204" i="10"/>
  <c r="AD207" i="10" s="1"/>
  <c r="R191" i="10"/>
  <c r="R206" i="10" s="1"/>
  <c r="Z204" i="10"/>
  <c r="Z207" i="10" s="1"/>
  <c r="AA204" i="10"/>
  <c r="AA207" i="10" s="1"/>
  <c r="W191" i="10"/>
  <c r="W206" i="10" s="1"/>
  <c r="AB204" i="10"/>
  <c r="AB207" i="10" s="1"/>
  <c r="T191" i="10"/>
  <c r="T206" i="10" s="1"/>
  <c r="U204" i="10"/>
  <c r="U207" i="10" s="1"/>
  <c r="AE204" i="10"/>
  <c r="AE207" i="10" s="1"/>
  <c r="AG56" i="10"/>
  <c r="Z210" i="10"/>
  <c r="Z18" i="10" s="1"/>
  <c r="W210" i="10"/>
  <c r="W18" i="10" s="1"/>
  <c r="V210" i="10"/>
  <c r="V18" i="10" s="1"/>
  <c r="U210" i="10"/>
  <c r="U18" i="10" s="1"/>
  <c r="AC204" i="10"/>
  <c r="AC207" i="10" s="1"/>
  <c r="S191" i="10"/>
  <c r="S206" i="10" s="1"/>
  <c r="AH204" i="10"/>
  <c r="AH207" i="10" s="1"/>
  <c r="V204" i="10"/>
  <c r="V207" i="10" s="1"/>
  <c r="AF191" i="10"/>
  <c r="AF206" i="10" s="1"/>
  <c r="AG210" i="10"/>
  <c r="AG18" i="10" s="1"/>
  <c r="AC210" i="10"/>
  <c r="AC18" i="10" s="1"/>
  <c r="X210" i="10"/>
  <c r="X18" i="10" s="1"/>
  <c r="AD191" i="10"/>
  <c r="AD206" i="10" s="1"/>
  <c r="R204" i="10"/>
  <c r="R207" i="10" s="1"/>
  <c r="Z191" i="10"/>
  <c r="Z206" i="10" s="1"/>
  <c r="W204" i="10"/>
  <c r="W207" i="10" s="1"/>
  <c r="AB191" i="10"/>
  <c r="AB206" i="10" s="1"/>
  <c r="T204" i="10"/>
  <c r="T207" i="10" s="1"/>
  <c r="AF204" i="10"/>
  <c r="AF207" i="10" s="1"/>
  <c r="U191" i="10"/>
  <c r="U206" i="10" s="1"/>
  <c r="AD210" i="10"/>
  <c r="AD18" i="10" s="1"/>
  <c r="R210" i="10"/>
  <c r="R18" i="10" s="1"/>
  <c r="S210" i="10"/>
  <c r="S18" i="10" s="1"/>
  <c r="AB210" i="10"/>
  <c r="AB18" i="10" s="1"/>
  <c r="AE210" i="10"/>
  <c r="AE18" i="10" s="1"/>
  <c r="AC191" i="10"/>
  <c r="AC206" i="10" s="1"/>
  <c r="S204" i="10"/>
  <c r="S207" i="10" s="1"/>
  <c r="AH191" i="10"/>
  <c r="AH206" i="10" s="1"/>
  <c r="V191" i="10"/>
  <c r="V206" i="10" s="1"/>
  <c r="AE191" i="10"/>
  <c r="AE206" i="10" s="1"/>
  <c r="AC56" i="10"/>
  <c r="R57" i="10"/>
  <c r="T56" i="10"/>
  <c r="AB57" i="10"/>
  <c r="Y57" i="10"/>
  <c r="AE56" i="10"/>
  <c r="Y78" i="10"/>
  <c r="AG85" i="10"/>
  <c r="AG86" i="10"/>
  <c r="AD101" i="10"/>
  <c r="AD19" i="10" s="1"/>
  <c r="AC101" i="10"/>
  <c r="AC19" i="10" s="1"/>
  <c r="R101" i="10"/>
  <c r="R19" i="10" s="1"/>
  <c r="S101" i="10"/>
  <c r="S19" i="10" s="1"/>
  <c r="X101" i="10"/>
  <c r="X19" i="10" s="1"/>
  <c r="U85" i="10"/>
  <c r="U86" i="10"/>
  <c r="AE86" i="10"/>
  <c r="AE85" i="10"/>
  <c r="W56" i="10"/>
  <c r="R56" i="10"/>
  <c r="AD85" i="10"/>
  <c r="AD86" i="10"/>
  <c r="AC85" i="10"/>
  <c r="AC86" i="10"/>
  <c r="R85" i="10"/>
  <c r="R86" i="10"/>
  <c r="AH101" i="10"/>
  <c r="AH19" i="10" s="1"/>
  <c r="X86" i="10"/>
  <c r="X85" i="10"/>
  <c r="AB101" i="10"/>
  <c r="AB19" i="10" s="1"/>
  <c r="AE101" i="10"/>
  <c r="AE19" i="10" s="1"/>
  <c r="T57" i="10"/>
  <c r="Y56" i="10"/>
  <c r="S57" i="10"/>
  <c r="Y85" i="10"/>
  <c r="Y86" i="10"/>
  <c r="S86" i="10"/>
  <c r="S85" i="10"/>
  <c r="Z101" i="10"/>
  <c r="Z19" i="10" s="1"/>
  <c r="AH85" i="10"/>
  <c r="AH86" i="10"/>
  <c r="W86" i="10"/>
  <c r="W85" i="10"/>
  <c r="AB86" i="10"/>
  <c r="AB85" i="10"/>
  <c r="V101" i="10"/>
  <c r="V19" i="10" s="1"/>
  <c r="T101" i="10"/>
  <c r="T19" i="10" s="1"/>
  <c r="AF101" i="10"/>
  <c r="AF19" i="10" s="1"/>
  <c r="AB56" i="10"/>
  <c r="Q71" i="10"/>
  <c r="R78" i="10"/>
  <c r="AF71" i="10"/>
  <c r="AE78" i="10"/>
  <c r="AG101" i="10"/>
  <c r="AG19" i="10" s="1"/>
  <c r="Z85" i="10"/>
  <c r="Z86" i="10"/>
  <c r="AA86" i="10"/>
  <c r="AA85" i="10"/>
  <c r="W101" i="10"/>
  <c r="W19" i="10" s="1"/>
  <c r="V85" i="10"/>
  <c r="V86" i="10"/>
  <c r="T86" i="10"/>
  <c r="T85" i="10"/>
  <c r="AF86" i="10"/>
  <c r="AF85" i="10"/>
  <c r="U101" i="10"/>
  <c r="U19" i="10" s="1"/>
  <c r="W78" i="10"/>
  <c r="T78" i="10"/>
  <c r="AC71" i="10"/>
  <c r="Q78" i="10"/>
  <c r="S78" i="10"/>
  <c r="V78" i="10"/>
  <c r="U78" i="10"/>
  <c r="AF57" i="10"/>
  <c r="AH56" i="10"/>
  <c r="Z56" i="10"/>
  <c r="W57" i="10"/>
  <c r="U56" i="10"/>
  <c r="X57" i="10"/>
  <c r="AE71" i="10"/>
  <c r="V71" i="10"/>
  <c r="W71" i="10"/>
  <c r="AD71" i="10"/>
  <c r="AG78" i="10"/>
  <c r="AC78" i="10"/>
  <c r="Z78" i="10"/>
  <c r="M78" i="10"/>
  <c r="AD56" i="10"/>
  <c r="T71" i="10"/>
  <c r="AB71" i="10"/>
  <c r="AD78" i="10"/>
  <c r="AA78" i="10"/>
  <c r="AH78" i="10"/>
  <c r="AB78" i="10"/>
  <c r="AF78" i="10"/>
  <c r="V56" i="10"/>
  <c r="Z71" i="10"/>
  <c r="X71" i="10"/>
  <c r="Y71" i="10"/>
  <c r="R71" i="10"/>
  <c r="AA71" i="10"/>
  <c r="U71" i="10"/>
  <c r="S71" i="10"/>
  <c r="AH71" i="10"/>
  <c r="AG71" i="10"/>
  <c r="AH57" i="10"/>
  <c r="Z57" i="10"/>
  <c r="M71" i="10"/>
  <c r="C101" i="10"/>
  <c r="C19" i="10" s="1"/>
  <c r="C78" i="10"/>
  <c r="F78" i="10"/>
  <c r="D78" i="10"/>
  <c r="E78" i="10"/>
  <c r="E85" i="10"/>
  <c r="D85" i="10"/>
  <c r="F85" i="10"/>
  <c r="C71" i="10"/>
  <c r="F71" i="10"/>
  <c r="BQ58" i="13"/>
  <c r="BQ53" i="13"/>
  <c r="BQ56" i="13"/>
  <c r="BQ55" i="13"/>
  <c r="BQ54" i="13"/>
  <c r="BQ57" i="13"/>
  <c r="C85" i="10"/>
  <c r="C86" i="10"/>
  <c r="F86" i="10"/>
  <c r="E86" i="10"/>
  <c r="D86" i="10"/>
  <c r="E71" i="10"/>
  <c r="D71" i="10"/>
  <c r="P101" i="10" l="1"/>
  <c r="P19" i="10" s="1"/>
  <c r="P157" i="10"/>
  <c r="P27" i="10" s="1"/>
  <c r="Q86" i="10"/>
  <c r="O57" i="10"/>
  <c r="P204" i="10"/>
  <c r="P207" i="10" s="1"/>
  <c r="K57" i="10"/>
  <c r="K85" i="10"/>
  <c r="K87" i="10" s="1"/>
  <c r="K17" i="10" s="1"/>
  <c r="Q150" i="10"/>
  <c r="Q26" i="10" s="1"/>
  <c r="Q129" i="10"/>
  <c r="Q23" i="10" s="1"/>
  <c r="O115" i="10"/>
  <c r="O21" i="10" s="1"/>
  <c r="I56" i="10"/>
  <c r="C108" i="10"/>
  <c r="C20" i="10" s="1"/>
  <c r="P56" i="10"/>
  <c r="I86" i="10"/>
  <c r="N129" i="10"/>
  <c r="N23" i="10" s="1"/>
  <c r="J56" i="10"/>
  <c r="M57" i="10"/>
  <c r="P122" i="10"/>
  <c r="P22" i="10" s="1"/>
  <c r="H85" i="10"/>
  <c r="J57" i="10"/>
  <c r="K71" i="10"/>
  <c r="N150" i="10"/>
  <c r="N26" i="10" s="1"/>
  <c r="O143" i="10"/>
  <c r="O25" i="10" s="1"/>
  <c r="Q143" i="10"/>
  <c r="Q25" i="10" s="1"/>
  <c r="Q108" i="10"/>
  <c r="Q20" i="10" s="1"/>
  <c r="O122" i="10"/>
  <c r="O22" i="10" s="1"/>
  <c r="P108" i="10"/>
  <c r="P20" i="10" s="1"/>
  <c r="H86" i="10"/>
  <c r="L71" i="10"/>
  <c r="M204" i="10"/>
  <c r="M207" i="10" s="1"/>
  <c r="H56" i="10"/>
  <c r="H58" i="10" s="1"/>
  <c r="H16" i="10" s="1"/>
  <c r="P143" i="10"/>
  <c r="P25" i="10" s="1"/>
  <c r="O101" i="10"/>
  <c r="O19" i="10" s="1"/>
  <c r="Q57" i="10"/>
  <c r="M122" i="10"/>
  <c r="M22" i="10" s="1"/>
  <c r="Q204" i="10"/>
  <c r="Q207" i="10" s="1"/>
  <c r="O71" i="10"/>
  <c r="P78" i="10"/>
  <c r="P57" i="10"/>
  <c r="G56" i="10"/>
  <c r="K78" i="10"/>
  <c r="I85" i="10"/>
  <c r="M56" i="10"/>
  <c r="Q56" i="10"/>
  <c r="G57" i="10"/>
  <c r="M101" i="10"/>
  <c r="M19" i="10" s="1"/>
  <c r="L56" i="10"/>
  <c r="E57" i="10"/>
  <c r="O157" i="10"/>
  <c r="O27" i="10" s="1"/>
  <c r="F56" i="10"/>
  <c r="P191" i="10"/>
  <c r="P206" i="10" s="1"/>
  <c r="G78" i="10"/>
  <c r="M143" i="10"/>
  <c r="M25" i="10" s="1"/>
  <c r="O86" i="10"/>
  <c r="O87" i="10" s="1"/>
  <c r="O17" i="10" s="1"/>
  <c r="M191" i="10"/>
  <c r="M206" i="10" s="1"/>
  <c r="N85" i="10"/>
  <c r="O129" i="10"/>
  <c r="O23" i="10" s="1"/>
  <c r="K56" i="10"/>
  <c r="Q101" i="10"/>
  <c r="Q19" i="10" s="1"/>
  <c r="D115" i="10"/>
  <c r="D21" i="10" s="1"/>
  <c r="I57" i="10"/>
  <c r="P150" i="10"/>
  <c r="P26" i="10" s="1"/>
  <c r="N115" i="10"/>
  <c r="N21" i="10" s="1"/>
  <c r="N157" i="10"/>
  <c r="N27" i="10" s="1"/>
  <c r="N108" i="10"/>
  <c r="N20" i="10" s="1"/>
  <c r="L57" i="10"/>
  <c r="N71" i="10"/>
  <c r="M108" i="10"/>
  <c r="M20" i="10" s="1"/>
  <c r="C178" i="10"/>
  <c r="C30" i="10" s="1"/>
  <c r="M85" i="10"/>
  <c r="N191" i="10"/>
  <c r="N206" i="10" s="1"/>
  <c r="O150" i="10"/>
  <c r="O26" i="10" s="1"/>
  <c r="G85" i="10"/>
  <c r="G87" i="10" s="1"/>
  <c r="G17" i="10" s="1"/>
  <c r="P129" i="10"/>
  <c r="P23" i="10" s="1"/>
  <c r="M86" i="10"/>
  <c r="O78" i="10"/>
  <c r="J78" i="10"/>
  <c r="G71" i="10"/>
  <c r="D56" i="10"/>
  <c r="N57" i="10"/>
  <c r="N143" i="10"/>
  <c r="N25" i="10" s="1"/>
  <c r="M129" i="10"/>
  <c r="M23" i="10" s="1"/>
  <c r="M115" i="10"/>
  <c r="M21" i="10" s="1"/>
  <c r="N204" i="10"/>
  <c r="N207" i="10" s="1"/>
  <c r="N122" i="10"/>
  <c r="N22" i="10" s="1"/>
  <c r="L85" i="10"/>
  <c r="L78" i="10"/>
  <c r="H78" i="10"/>
  <c r="H71" i="10"/>
  <c r="E56" i="10"/>
  <c r="C171" i="10"/>
  <c r="C29" i="10" s="1"/>
  <c r="C115" i="10"/>
  <c r="C21" i="10" s="1"/>
  <c r="O204" i="10"/>
  <c r="O207" i="10" s="1"/>
  <c r="O191" i="10"/>
  <c r="O206" i="10" s="1"/>
  <c r="J71" i="10"/>
  <c r="P86" i="10"/>
  <c r="P115" i="10"/>
  <c r="P21" i="10" s="1"/>
  <c r="Q191" i="10"/>
  <c r="Q206" i="10" s="1"/>
  <c r="P71" i="10"/>
  <c r="I71" i="10"/>
  <c r="N78" i="10"/>
  <c r="I78" i="10"/>
  <c r="N86" i="10"/>
  <c r="J86" i="10"/>
  <c r="J87" i="10" s="1"/>
  <c r="J17" i="10" s="1"/>
  <c r="Q85" i="10"/>
  <c r="Q122" i="10"/>
  <c r="Q22" i="10" s="1"/>
  <c r="M150" i="10"/>
  <c r="M26" i="10" s="1"/>
  <c r="N101" i="10"/>
  <c r="N19" i="10" s="1"/>
  <c r="C56" i="10"/>
  <c r="D57" i="10"/>
  <c r="F57" i="10"/>
  <c r="P85" i="10"/>
  <c r="L86" i="10"/>
  <c r="N56" i="10"/>
  <c r="C57" i="10"/>
  <c r="O56" i="10"/>
  <c r="AT16" i="10"/>
  <c r="AO17" i="10"/>
  <c r="AN16" i="10"/>
  <c r="AR19" i="10"/>
  <c r="AS19" i="10"/>
  <c r="AO19" i="10"/>
  <c r="AQ19" i="10"/>
  <c r="AM19" i="10"/>
  <c r="AQ16" i="10"/>
  <c r="AU17" i="10"/>
  <c r="AT19" i="10"/>
  <c r="AP17" i="10"/>
  <c r="AL19" i="10"/>
  <c r="AU19" i="10"/>
  <c r="AN19" i="10"/>
  <c r="AO16" i="10"/>
  <c r="AP16" i="10"/>
  <c r="AM16" i="10"/>
  <c r="AL16" i="10"/>
  <c r="AN17" i="10"/>
  <c r="AU16" i="10"/>
  <c r="V58" i="10"/>
  <c r="V16" i="10" s="1"/>
  <c r="AK205" i="10"/>
  <c r="AK208" i="10" s="1"/>
  <c r="Y205" i="10"/>
  <c r="Y208" i="10" s="1"/>
  <c r="AJ205" i="10"/>
  <c r="AJ208" i="10" s="1"/>
  <c r="AI205" i="10"/>
  <c r="AI208" i="10" s="1"/>
  <c r="AJ58" i="10"/>
  <c r="AJ16" i="10" s="1"/>
  <c r="AK58" i="10"/>
  <c r="AK16" i="10" s="1"/>
  <c r="AI87" i="10"/>
  <c r="AI17" i="10" s="1"/>
  <c r="AK87" i="10"/>
  <c r="AK17" i="10" s="1"/>
  <c r="AI58" i="10"/>
  <c r="AI16" i="10" s="1"/>
  <c r="AJ87" i="10"/>
  <c r="AJ17" i="10" s="1"/>
  <c r="S58" i="10"/>
  <c r="S16" i="10" s="1"/>
  <c r="AC58" i="10"/>
  <c r="AC16" i="10" s="1"/>
  <c r="AB58" i="10"/>
  <c r="AB16" i="10" s="1"/>
  <c r="AG58" i="10"/>
  <c r="AG16" i="10" s="1"/>
  <c r="AE58" i="10"/>
  <c r="AE16" i="10" s="1"/>
  <c r="X58" i="10"/>
  <c r="X16" i="10" s="1"/>
  <c r="Y58" i="10"/>
  <c r="Y16" i="10" s="1"/>
  <c r="R58" i="10"/>
  <c r="R16" i="10" s="1"/>
  <c r="U58" i="10"/>
  <c r="U16" i="10" s="1"/>
  <c r="AF58" i="10"/>
  <c r="AF16" i="10" s="1"/>
  <c r="AA58" i="10"/>
  <c r="AA16" i="10" s="1"/>
  <c r="AD58" i="10"/>
  <c r="AD16" i="10" s="1"/>
  <c r="T58" i="10"/>
  <c r="T16" i="10" s="1"/>
  <c r="AA205" i="10"/>
  <c r="AA208" i="10" s="1"/>
  <c r="AH58" i="10"/>
  <c r="AH16" i="10" s="1"/>
  <c r="W58" i="10"/>
  <c r="W16" i="10" s="1"/>
  <c r="Z58" i="10"/>
  <c r="Z16" i="10" s="1"/>
  <c r="U205" i="10"/>
  <c r="U208" i="10" s="1"/>
  <c r="W205" i="10"/>
  <c r="W208" i="10" s="1"/>
  <c r="T205" i="10"/>
  <c r="T208" i="10" s="1"/>
  <c r="Z205" i="10"/>
  <c r="Z208" i="10" s="1"/>
  <c r="AH205" i="10"/>
  <c r="AH208" i="10" s="1"/>
  <c r="S205" i="10"/>
  <c r="S208" i="10" s="1"/>
  <c r="V205" i="10"/>
  <c r="V208" i="10" s="1"/>
  <c r="AB205" i="10"/>
  <c r="AB208" i="10" s="1"/>
  <c r="R205" i="10"/>
  <c r="R208" i="10" s="1"/>
  <c r="AD205" i="10"/>
  <c r="AD208" i="10" s="1"/>
  <c r="AC205" i="10"/>
  <c r="AC208" i="10" s="1"/>
  <c r="AG205" i="10"/>
  <c r="AG208" i="10" s="1"/>
  <c r="AF205" i="10"/>
  <c r="AF208" i="10" s="1"/>
  <c r="AE205" i="10"/>
  <c r="AE208" i="10" s="1"/>
  <c r="X205" i="10"/>
  <c r="X208" i="10" s="1"/>
  <c r="V87" i="10"/>
  <c r="V17" i="10" s="1"/>
  <c r="S87" i="10"/>
  <c r="S17" i="10" s="1"/>
  <c r="AF87" i="10"/>
  <c r="AF17" i="10" s="1"/>
  <c r="AA87" i="10"/>
  <c r="AA17" i="10" s="1"/>
  <c r="AH87" i="10"/>
  <c r="AH17" i="10" s="1"/>
  <c r="U87" i="10"/>
  <c r="U17" i="10" s="1"/>
  <c r="T87" i="10"/>
  <c r="T17" i="10" s="1"/>
  <c r="Z87" i="10"/>
  <c r="Z17" i="10" s="1"/>
  <c r="AB87" i="10"/>
  <c r="AB17" i="10" s="1"/>
  <c r="AC87" i="10"/>
  <c r="AC17" i="10" s="1"/>
  <c r="AD87" i="10"/>
  <c r="AD17" i="10" s="1"/>
  <c r="AE87" i="10"/>
  <c r="AE17" i="10" s="1"/>
  <c r="AG87" i="10"/>
  <c r="AG17" i="10" s="1"/>
  <c r="W87" i="10"/>
  <c r="W17" i="10" s="1"/>
  <c r="Y87" i="10"/>
  <c r="Y17" i="10" s="1"/>
  <c r="X87" i="10"/>
  <c r="X17" i="10" s="1"/>
  <c r="R87" i="10"/>
  <c r="R17" i="10" s="1"/>
  <c r="H210" i="10"/>
  <c r="H18" i="10" s="1"/>
  <c r="C87" i="10"/>
  <c r="C17" i="10" s="1"/>
  <c r="L210" i="10"/>
  <c r="L18" i="10" s="1"/>
  <c r="F210" i="10"/>
  <c r="F18" i="10" s="1"/>
  <c r="D210" i="10"/>
  <c r="D18" i="10" s="1"/>
  <c r="I210" i="10"/>
  <c r="I18" i="10" s="1"/>
  <c r="J210" i="10"/>
  <c r="J18" i="10" s="1"/>
  <c r="G210" i="10"/>
  <c r="G18" i="10" s="1"/>
  <c r="E210" i="10"/>
  <c r="E18" i="10" s="1"/>
  <c r="K210" i="10"/>
  <c r="K18" i="10" s="1"/>
  <c r="K101" i="10"/>
  <c r="K19" i="10" s="1"/>
  <c r="H101" i="10"/>
  <c r="H19" i="10" s="1"/>
  <c r="E101" i="10"/>
  <c r="E19" i="10" s="1"/>
  <c r="I101" i="10"/>
  <c r="I19" i="10" s="1"/>
  <c r="E87" i="10"/>
  <c r="E17" i="10" s="1"/>
  <c r="D87" i="10"/>
  <c r="D17" i="10" s="1"/>
  <c r="F87" i="10"/>
  <c r="F17" i="10" s="1"/>
  <c r="BQ60" i="13"/>
  <c r="K58" i="10" l="1"/>
  <c r="K16" i="10" s="1"/>
  <c r="I87" i="10"/>
  <c r="I17" i="10" s="1"/>
  <c r="P87" i="10"/>
  <c r="P17" i="10" s="1"/>
  <c r="P205" i="10"/>
  <c r="P208" i="10" s="1"/>
  <c r="O58" i="10"/>
  <c r="O16" i="10" s="1"/>
  <c r="J58" i="10"/>
  <c r="J16" i="10" s="1"/>
  <c r="H87" i="10"/>
  <c r="H17" i="10" s="1"/>
  <c r="M58" i="10"/>
  <c r="M16" i="10" s="1"/>
  <c r="Q87" i="10"/>
  <c r="Q17" i="10" s="1"/>
  <c r="P58" i="10"/>
  <c r="P16" i="10" s="1"/>
  <c r="I58" i="10"/>
  <c r="I16" i="10" s="1"/>
  <c r="L58" i="10"/>
  <c r="L16" i="10" s="1"/>
  <c r="F58" i="10"/>
  <c r="F16" i="10" s="1"/>
  <c r="L87" i="10"/>
  <c r="L17" i="10" s="1"/>
  <c r="M205" i="10"/>
  <c r="M208" i="10" s="1"/>
  <c r="Q58" i="10"/>
  <c r="Q16" i="10" s="1"/>
  <c r="M87" i="10"/>
  <c r="M17" i="10" s="1"/>
  <c r="O205" i="10"/>
  <c r="O208" i="10" s="1"/>
  <c r="Q205" i="10"/>
  <c r="Q208" i="10" s="1"/>
  <c r="D58" i="10"/>
  <c r="D16" i="10" s="1"/>
  <c r="N87" i="10"/>
  <c r="N17" i="10" s="1"/>
  <c r="E58" i="10"/>
  <c r="E16" i="10" s="1"/>
  <c r="G58" i="10"/>
  <c r="G16" i="10" s="1"/>
  <c r="N205" i="10"/>
  <c r="N208" i="10" s="1"/>
  <c r="N58" i="10"/>
  <c r="N16" i="10" s="1"/>
  <c r="N136" i="10" s="1"/>
  <c r="N24" i="10" s="1"/>
  <c r="C58" i="10"/>
  <c r="C16" i="10" s="1"/>
  <c r="M136" i="10"/>
  <c r="M24" i="10" s="1"/>
  <c r="P136" i="10"/>
  <c r="P24" i="10" s="1"/>
  <c r="O136" i="10"/>
  <c r="O24" i="10" s="1"/>
  <c r="Q136" i="10"/>
  <c r="Q24" i="10" s="1"/>
  <c r="AI178" i="10"/>
  <c r="AI30" i="10" s="1"/>
  <c r="W178" i="10"/>
  <c r="W30" i="10" s="1"/>
  <c r="AF178" i="10"/>
  <c r="AF30" i="10" s="1"/>
  <c r="AD178" i="10"/>
  <c r="AD30" i="10" s="1"/>
  <c r="R178" i="10"/>
  <c r="R30" i="10" s="1"/>
  <c r="Q178" i="10"/>
  <c r="Q30" i="10" s="1"/>
  <c r="Z178" i="10"/>
  <c r="Z30" i="10" s="1"/>
  <c r="T178" i="10"/>
  <c r="T30" i="10" s="1"/>
  <c r="P178" i="10"/>
  <c r="P30" i="10" s="1"/>
  <c r="N178" i="10"/>
  <c r="N30" i="10" s="1"/>
  <c r="O178" i="10"/>
  <c r="O30" i="10" s="1"/>
  <c r="AA178" i="10"/>
  <c r="AA30" i="10" s="1"/>
  <c r="AB178" i="10"/>
  <c r="AB30" i="10" s="1"/>
  <c r="AC178" i="10"/>
  <c r="AC30" i="10" s="1"/>
  <c r="M178" i="10"/>
  <c r="M30" i="10" s="1"/>
  <c r="AH178" i="10"/>
  <c r="AH30" i="10" s="1"/>
  <c r="U178" i="10"/>
  <c r="U30" i="10" s="1"/>
  <c r="Y178" i="10"/>
  <c r="Y30" i="10" s="1"/>
  <c r="X178" i="10"/>
  <c r="X30" i="10" s="1"/>
  <c r="AE178" i="10"/>
  <c r="AE30" i="10" s="1"/>
  <c r="AG178" i="10"/>
  <c r="AG30" i="10" s="1"/>
  <c r="S178" i="10"/>
  <c r="S30" i="10" s="1"/>
  <c r="AJ178" i="10"/>
  <c r="AJ30" i="10" s="1"/>
  <c r="AI171" i="10"/>
  <c r="AI29" i="10" s="1"/>
  <c r="W171" i="10"/>
  <c r="W29" i="10" s="1"/>
  <c r="AD171" i="10"/>
  <c r="AD29" i="10" s="1"/>
  <c r="AF171" i="10"/>
  <c r="AF29" i="10" s="1"/>
  <c r="R171" i="10"/>
  <c r="R29" i="10" s="1"/>
  <c r="Q171" i="10"/>
  <c r="Q29" i="10" s="1"/>
  <c r="Z171" i="10"/>
  <c r="Z29" i="10" s="1"/>
  <c r="T171" i="10"/>
  <c r="T29" i="10" s="1"/>
  <c r="P171" i="10"/>
  <c r="P29" i="10" s="1"/>
  <c r="N171" i="10"/>
  <c r="N29" i="10" s="1"/>
  <c r="O171" i="10"/>
  <c r="O29" i="10" s="1"/>
  <c r="AA171" i="10"/>
  <c r="AA29" i="10" s="1"/>
  <c r="AB171" i="10"/>
  <c r="AB29" i="10" s="1"/>
  <c r="AC171" i="10"/>
  <c r="AC29" i="10" s="1"/>
  <c r="M171" i="10"/>
  <c r="M29" i="10" s="1"/>
  <c r="AH171" i="10"/>
  <c r="AH29" i="10" s="1"/>
  <c r="U171" i="10"/>
  <c r="U29" i="10" s="1"/>
  <c r="Y171" i="10"/>
  <c r="Y29" i="10" s="1"/>
  <c r="X171" i="10"/>
  <c r="X29" i="10" s="1"/>
  <c r="AE171" i="10"/>
  <c r="AE29" i="10" s="1"/>
  <c r="AG171" i="10"/>
  <c r="AG29" i="10" s="1"/>
  <c r="S171" i="10"/>
  <c r="S29" i="10" s="1"/>
  <c r="AJ171" i="10"/>
  <c r="AJ29" i="10" s="1"/>
  <c r="Q164" i="10"/>
  <c r="Q28" i="10" s="1"/>
  <c r="AJ164" i="10"/>
  <c r="AJ28" i="10" s="1"/>
  <c r="AI164" i="10"/>
  <c r="AI28" i="10" s="1"/>
  <c r="U164" i="10"/>
  <c r="U28" i="10" s="1"/>
  <c r="W164" i="10"/>
  <c r="W28" i="10" s="1"/>
  <c r="AD164" i="10"/>
  <c r="AD28" i="10" s="1"/>
  <c r="AF164" i="10"/>
  <c r="AF28" i="10" s="1"/>
  <c r="R164" i="10"/>
  <c r="R28" i="10" s="1"/>
  <c r="AK164" i="10"/>
  <c r="AK28" i="10" s="1"/>
  <c r="AH164" i="10"/>
  <c r="AH28" i="10" s="1"/>
  <c r="Y164" i="10"/>
  <c r="Y28" i="10" s="1"/>
  <c r="X164" i="10"/>
  <c r="X28" i="10" s="1"/>
  <c r="AE164" i="10"/>
  <c r="AE28" i="10" s="1"/>
  <c r="AG164" i="10"/>
  <c r="AG28" i="10" s="1"/>
  <c r="S164" i="10"/>
  <c r="S28" i="10" s="1"/>
  <c r="AA164" i="10"/>
  <c r="AA28" i="10" s="1"/>
  <c r="AB164" i="10"/>
  <c r="AB28" i="10" s="1"/>
  <c r="AC164" i="10"/>
  <c r="AC28" i="10" s="1"/>
  <c r="M164" i="10"/>
  <c r="M28" i="10" s="1"/>
  <c r="Z164" i="10"/>
  <c r="Z28" i="10" s="1"/>
  <c r="T164" i="10"/>
  <c r="T28" i="10" s="1"/>
  <c r="P164" i="10"/>
  <c r="P28" i="10" s="1"/>
  <c r="N164" i="10"/>
  <c r="N28" i="10" s="1"/>
  <c r="O164" i="10"/>
  <c r="O28" i="10" s="1"/>
  <c r="I205" i="10"/>
  <c r="E205" i="10"/>
  <c r="D101" i="10"/>
  <c r="D19" i="10" s="1"/>
  <c r="K205" i="10"/>
  <c r="H205" i="10"/>
  <c r="L101" i="10"/>
  <c r="L19" i="10" s="1"/>
  <c r="J101" i="10"/>
  <c r="J19" i="10" s="1"/>
  <c r="F101" i="10"/>
  <c r="F19" i="10" s="1"/>
  <c r="G101" i="10"/>
  <c r="G19" i="10" s="1"/>
  <c r="D14" i="10"/>
  <c r="E14" i="10"/>
  <c r="I14" i="10"/>
  <c r="H14" i="10"/>
  <c r="K14" i="10"/>
  <c r="L14" i="10"/>
  <c r="F14" i="10"/>
  <c r="J14" i="10"/>
  <c r="G14" i="10"/>
  <c r="F205" i="10" l="1"/>
  <c r="J205" i="10"/>
  <c r="D205" i="10"/>
  <c r="G205" i="10"/>
  <c r="C205" i="10"/>
  <c r="L205" i="10"/>
  <c r="G15" i="10"/>
  <c r="F15" i="10"/>
  <c r="K15" i="10"/>
  <c r="I15" i="10"/>
  <c r="D15" i="10"/>
  <c r="J15" i="10"/>
  <c r="L15" i="10"/>
  <c r="H15" i="10"/>
  <c r="E15" i="10"/>
  <c r="C14" i="10"/>
  <c r="C15" i="10" s="1"/>
  <c r="J178" i="10" l="1"/>
  <c r="J30" i="10" s="1"/>
  <c r="F178" i="10"/>
  <c r="F30" i="10" s="1"/>
  <c r="K178" i="10"/>
  <c r="K30" i="10" s="1"/>
  <c r="I178" i="10"/>
  <c r="I30" i="10" s="1"/>
  <c r="L178" i="10"/>
  <c r="L30" i="10" s="1"/>
  <c r="H178" i="10"/>
  <c r="H30" i="10" s="1"/>
  <c r="E178" i="10"/>
  <c r="E30" i="10" s="1"/>
  <c r="D178" i="10"/>
  <c r="D30" i="10" s="1"/>
  <c r="G178" i="10"/>
  <c r="G30" i="10" s="1"/>
  <c r="G164" i="10"/>
  <c r="G28" i="10" s="1"/>
  <c r="G171" i="10"/>
  <c r="G29" i="10" s="1"/>
  <c r="D164" i="10"/>
  <c r="D28" i="10" s="1"/>
  <c r="D171" i="10"/>
  <c r="D29" i="10" s="1"/>
  <c r="J164" i="10"/>
  <c r="J28" i="10" s="1"/>
  <c r="J171" i="10"/>
  <c r="J29" i="10" s="1"/>
  <c r="F164" i="10"/>
  <c r="F28" i="10" s="1"/>
  <c r="F171" i="10"/>
  <c r="F29" i="10" s="1"/>
  <c r="E164" i="10"/>
  <c r="E28" i="10" s="1"/>
  <c r="E171" i="10"/>
  <c r="E29" i="10" s="1"/>
  <c r="L164" i="10"/>
  <c r="L28" i="10" s="1"/>
  <c r="L171" i="10"/>
  <c r="L29" i="10" s="1"/>
  <c r="K164" i="10"/>
  <c r="K28" i="10" s="1"/>
  <c r="K171" i="10"/>
  <c r="K29" i="10" s="1"/>
  <c r="H164" i="10"/>
  <c r="H28" i="10" s="1"/>
  <c r="H171" i="10"/>
  <c r="H29" i="10" s="1"/>
  <c r="I164" i="10"/>
  <c r="I28" i="10" s="1"/>
  <c r="I171" i="10"/>
  <c r="I29" i="10" s="1"/>
  <c r="C164" i="10"/>
  <c r="C28" i="10" s="1"/>
  <c r="D157" i="10"/>
  <c r="D27" i="10" s="1"/>
  <c r="G157" i="10"/>
  <c r="G27" i="10" s="1"/>
  <c r="H157" i="10"/>
  <c r="H27" i="10" s="1"/>
  <c r="I157" i="10"/>
  <c r="I27" i="10" s="1"/>
  <c r="E157" i="10"/>
  <c r="E27" i="10" s="1"/>
  <c r="L157" i="10"/>
  <c r="L27" i="10" s="1"/>
  <c r="K157" i="10"/>
  <c r="K27" i="10" s="1"/>
  <c r="J157" i="10"/>
  <c r="J27" i="10" s="1"/>
  <c r="F157" i="10"/>
  <c r="F27" i="10" s="1"/>
  <c r="D150" i="10"/>
  <c r="D26" i="10" s="1"/>
  <c r="G150" i="10"/>
  <c r="G26" i="10" s="1"/>
  <c r="E150" i="10"/>
  <c r="E26" i="10" s="1"/>
  <c r="I150" i="10"/>
  <c r="I26" i="10" s="1"/>
  <c r="H150" i="10"/>
  <c r="H26" i="10" s="1"/>
  <c r="L150" i="10"/>
  <c r="L26" i="10" s="1"/>
  <c r="K150" i="10"/>
  <c r="K26" i="10" s="1"/>
  <c r="J150" i="10"/>
  <c r="J26" i="10" s="1"/>
  <c r="F150" i="10"/>
  <c r="F26" i="10" s="1"/>
  <c r="D136" i="10"/>
  <c r="D24" i="10" s="1"/>
  <c r="D143" i="10"/>
  <c r="D25" i="10" s="1"/>
  <c r="H136" i="10"/>
  <c r="H24" i="10" s="1"/>
  <c r="H143" i="10"/>
  <c r="H25" i="10" s="1"/>
  <c r="E136" i="10"/>
  <c r="E24" i="10" s="1"/>
  <c r="E143" i="10"/>
  <c r="E25" i="10" s="1"/>
  <c r="L136" i="10"/>
  <c r="L24" i="10" s="1"/>
  <c r="L143" i="10"/>
  <c r="L25" i="10" s="1"/>
  <c r="G136" i="10"/>
  <c r="G24" i="10" s="1"/>
  <c r="G143" i="10"/>
  <c r="G25" i="10" s="1"/>
  <c r="I136" i="10"/>
  <c r="I24" i="10" s="1"/>
  <c r="I143" i="10"/>
  <c r="I25" i="10" s="1"/>
  <c r="K136" i="10"/>
  <c r="K24" i="10" s="1"/>
  <c r="K143" i="10"/>
  <c r="K25" i="10" s="1"/>
  <c r="J136" i="10"/>
  <c r="J24" i="10" s="1"/>
  <c r="J143" i="10"/>
  <c r="J25" i="10" s="1"/>
  <c r="F136" i="10"/>
  <c r="F24" i="10" s="1"/>
  <c r="F143" i="10"/>
  <c r="F25" i="10" s="1"/>
  <c r="D122" i="10"/>
  <c r="D22" i="10" s="1"/>
  <c r="D129" i="10"/>
  <c r="D23" i="10" s="1"/>
  <c r="H122" i="10"/>
  <c r="H22" i="10" s="1"/>
  <c r="H129" i="10"/>
  <c r="H23" i="10" s="1"/>
  <c r="I122" i="10"/>
  <c r="I22" i="10" s="1"/>
  <c r="I129" i="10"/>
  <c r="I23" i="10" s="1"/>
  <c r="J122" i="10"/>
  <c r="J22" i="10" s="1"/>
  <c r="J129" i="10"/>
  <c r="J23" i="10" s="1"/>
  <c r="G122" i="10"/>
  <c r="G22" i="10" s="1"/>
  <c r="G129" i="10"/>
  <c r="G23" i="10" s="1"/>
  <c r="L122" i="10"/>
  <c r="L22" i="10" s="1"/>
  <c r="L129" i="10"/>
  <c r="L23" i="10" s="1"/>
  <c r="K122" i="10"/>
  <c r="K22" i="10" s="1"/>
  <c r="K129" i="10"/>
  <c r="K23" i="10" s="1"/>
  <c r="F122" i="10"/>
  <c r="F22" i="10" s="1"/>
  <c r="F129" i="10"/>
  <c r="F23" i="10" s="1"/>
  <c r="E122" i="10"/>
  <c r="E22" i="10" s="1"/>
  <c r="E129" i="10"/>
  <c r="E23" i="10" s="1"/>
  <c r="J115" i="10"/>
  <c r="J21" i="10" s="1"/>
  <c r="E115" i="10"/>
  <c r="E21" i="10" s="1"/>
  <c r="G115" i="10"/>
  <c r="G21" i="10" s="1"/>
  <c r="H115" i="10"/>
  <c r="H21" i="10" s="1"/>
  <c r="I115" i="10"/>
  <c r="I21" i="10" s="1"/>
  <c r="L115" i="10"/>
  <c r="L21" i="10" s="1"/>
  <c r="K115" i="10"/>
  <c r="K21" i="10" s="1"/>
  <c r="F115" i="10"/>
  <c r="F21" i="10" s="1"/>
  <c r="D108" i="10"/>
  <c r="D20" i="10" s="1"/>
  <c r="I108" i="10"/>
  <c r="I20" i="10" s="1"/>
  <c r="E108" i="10"/>
  <c r="E20" i="10" s="1"/>
  <c r="C143" i="10"/>
  <c r="C25" i="10" s="1"/>
  <c r="J191" i="10"/>
  <c r="J206" i="10" s="1"/>
  <c r="G191" i="10"/>
  <c r="G206" i="10" s="1"/>
  <c r="K191" i="10"/>
  <c r="K206" i="10" s="1"/>
  <c r="H191" i="10"/>
  <c r="H206" i="10" s="1"/>
  <c r="L191" i="10"/>
  <c r="L206" i="10" s="1"/>
  <c r="AL5" i="13"/>
  <c r="C150" i="10" l="1"/>
  <c r="C26" i="10" s="1"/>
  <c r="C157" i="10"/>
  <c r="C27" i="10" s="1"/>
  <c r="C129" i="10"/>
  <c r="C23" i="10" s="1"/>
  <c r="C136" i="10"/>
  <c r="C24" i="10" s="1"/>
  <c r="C122" i="10"/>
  <c r="C22" i="10" s="1"/>
  <c r="L108" i="10"/>
  <c r="L20" i="10" s="1"/>
  <c r="G108" i="10"/>
  <c r="G20" i="10" s="1"/>
  <c r="J108" i="10"/>
  <c r="J20" i="10" s="1"/>
  <c r="H108" i="10"/>
  <c r="H20" i="10" s="1"/>
  <c r="K108" i="10"/>
  <c r="K20" i="10" s="1"/>
  <c r="F108" i="10"/>
  <c r="F20" i="10" s="1"/>
  <c r="I191" i="10"/>
  <c r="I206" i="10" s="1"/>
  <c r="D191" i="10"/>
  <c r="D206" i="10" s="1"/>
  <c r="E191" i="10"/>
  <c r="E206" i="10" s="1"/>
  <c r="F191" i="10"/>
  <c r="F206" i="10" s="1"/>
  <c r="BP66" i="13"/>
  <c r="BP68" i="13"/>
  <c r="BP70" i="13"/>
  <c r="BP65" i="13"/>
  <c r="BP67" i="13"/>
  <c r="BP69" i="13"/>
  <c r="BP64" i="13"/>
  <c r="K204" i="10" l="1"/>
  <c r="L204" i="10"/>
  <c r="J204" i="10"/>
  <c r="H204" i="10"/>
  <c r="G204" i="10"/>
  <c r="BP71" i="13"/>
  <c r="BQ64" i="13" s="1"/>
  <c r="G207" i="10" l="1"/>
  <c r="G208" i="10" s="1"/>
  <c r="H207" i="10"/>
  <c r="H208" i="10" s="1"/>
  <c r="L207" i="10"/>
  <c r="L208" i="10" s="1"/>
  <c r="J207" i="10"/>
  <c r="J208" i="10" s="1"/>
  <c r="K207" i="10"/>
  <c r="K208" i="10" s="1"/>
  <c r="F204" i="10"/>
  <c r="E204" i="10"/>
  <c r="D204" i="10"/>
  <c r="I204" i="10"/>
  <c r="C191" i="10"/>
  <c r="C206" i="10" s="1"/>
  <c r="BQ69" i="13"/>
  <c r="BQ68" i="13"/>
  <c r="BQ65" i="13"/>
  <c r="BQ66" i="13"/>
  <c r="BQ67" i="13"/>
  <c r="BQ70" i="13"/>
  <c r="E207" i="10" l="1"/>
  <c r="E208" i="10" s="1"/>
  <c r="D207" i="10"/>
  <c r="D208" i="10" s="1"/>
  <c r="F207" i="10"/>
  <c r="F208" i="10" s="1"/>
  <c r="I207" i="10"/>
  <c r="I208" i="10" s="1"/>
  <c r="BQ71" i="13"/>
  <c r="C204" i="10" l="1"/>
  <c r="C207" i="10" l="1"/>
  <c r="C208" i="10" s="1"/>
  <c r="CX31" i="10" l="1"/>
  <c r="AH31" i="10" s="1"/>
  <c r="CY31" i="10"/>
  <c r="AI31" i="10" s="1"/>
  <c r="CW31" i="10"/>
  <c r="AG31" i="10" s="1"/>
  <c r="CZ31" i="10"/>
  <c r="AJ31" i="10" s="1"/>
  <c r="DA31" i="10"/>
  <c r="AK31" i="10" s="1"/>
  <c r="CV31" i="10"/>
  <c r="AF31" i="10" s="1"/>
  <c r="BO31" i="10" l="1"/>
  <c r="O31" i="10" s="1"/>
  <c r="BQ31" i="10"/>
  <c r="Q31" i="10" s="1"/>
  <c r="BR31" i="10"/>
  <c r="R31" i="10" s="1"/>
  <c r="BP31" i="10"/>
  <c r="P31" i="10" s="1"/>
  <c r="BS31" i="10"/>
  <c r="S31" i="10" s="1"/>
  <c r="BN31" i="10"/>
  <c r="N31" i="10" s="1"/>
  <c r="BT31" i="10"/>
  <c r="T31" i="10" s="1"/>
  <c r="BU31" i="10"/>
  <c r="U31" i="10" s="1"/>
  <c r="BM31" i="10" l="1"/>
  <c r="M31" i="10" s="1"/>
  <c r="BL31" i="10" l="1"/>
  <c r="L31" i="10" s="1"/>
  <c r="BK31" i="10" l="1"/>
  <c r="K31" i="10" s="1"/>
  <c r="CP31" i="10" l="1"/>
  <c r="AD31" i="10" s="1"/>
  <c r="CB31" i="10"/>
  <c r="AB31" i="10" s="1"/>
  <c r="BX31" i="10"/>
  <c r="X31" i="10" s="1"/>
  <c r="CC31" i="10"/>
  <c r="AC31" i="10" s="1"/>
  <c r="CU31" i="10"/>
  <c r="AE31" i="10" s="1"/>
  <c r="BY31" i="10"/>
  <c r="Y31" i="10" s="1"/>
  <c r="BW31" i="10"/>
  <c r="W31" i="10" s="1"/>
  <c r="BZ31" i="10"/>
  <c r="Z31" i="10" s="1"/>
  <c r="CA31" i="10"/>
  <c r="AA31" i="10" s="1"/>
  <c r="BV31" i="10"/>
  <c r="V31" i="10" s="1"/>
  <c r="BJ31" i="10" l="1"/>
  <c r="J31" i="10" s="1"/>
  <c r="BI31" i="10" l="1"/>
  <c r="I31" i="10" s="1"/>
  <c r="BH31" i="10" l="1"/>
  <c r="H31" i="10" s="1"/>
  <c r="BG31" i="10" l="1"/>
  <c r="G31" i="10" s="1"/>
  <c r="BF31" i="10" l="1"/>
  <c r="F31" i="10" s="1"/>
  <c r="BE31" i="10" l="1"/>
  <c r="E31" i="10" s="1"/>
  <c r="BD31" i="10" l="1"/>
  <c r="D31" i="10" s="1"/>
  <c r="BC31" i="10" l="1"/>
  <c r="C31" i="10" s="1"/>
  <c r="B31" i="10" l="1"/>
</calcChain>
</file>

<file path=xl/sharedStrings.xml><?xml version="1.0" encoding="utf-8"?>
<sst xmlns="http://schemas.openxmlformats.org/spreadsheetml/2006/main" count="1334" uniqueCount="1089">
  <si>
    <t>2tns</t>
  </si>
  <si>
    <t>3tns</t>
  </si>
  <si>
    <t>4tns</t>
  </si>
  <si>
    <t>5tns</t>
  </si>
  <si>
    <t>6tns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</si>
  <si>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</si>
  <si>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</si>
  <si>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</si>
  <si>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</si>
  <si>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</si>
  <si>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</si>
  <si>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</si>
  <si>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</si>
  <si>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</si>
  <si>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</si>
  <si>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</si>
  <si>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</si>
  <si>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</si>
  <si>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2.pattern</t>
  </si>
  <si>
    <t>3.pattern</t>
  </si>
  <si>
    <t>회차별 추첨결과</t>
  </si>
  <si>
    <t>년도</t>
  </si>
  <si>
    <t>1등</t>
  </si>
  <si>
    <t>2등</t>
  </si>
  <si>
    <t>3등</t>
  </si>
  <si>
    <t>4등</t>
  </si>
  <si>
    <t>5등</t>
  </si>
  <si>
    <t>당첨번호</t>
  </si>
  <si>
    <t>당첨자수</t>
  </si>
  <si>
    <t>당첨금액</t>
  </si>
  <si>
    <t>보너스</t>
  </si>
  <si>
    <t>2002.12.07</t>
  </si>
  <si>
    <t>2002.12.14</t>
  </si>
  <si>
    <t>2002.12.21</t>
  </si>
  <si>
    <t>2002.12.28</t>
  </si>
  <si>
    <t>2003.01.04</t>
  </si>
  <si>
    <t>2003.01.11</t>
  </si>
  <si>
    <t>2003.01.18</t>
  </si>
  <si>
    <t>2003.01.25</t>
  </si>
  <si>
    <t>2003.02.01</t>
  </si>
  <si>
    <t>2003.02.08</t>
  </si>
  <si>
    <t>2003.02.15</t>
  </si>
  <si>
    <t>2003.02.22</t>
  </si>
  <si>
    <t>2003.03.01</t>
  </si>
  <si>
    <t>2003.03.08</t>
  </si>
  <si>
    <t>2003.03.15</t>
  </si>
  <si>
    <t>2003.03.22</t>
  </si>
  <si>
    <t>2003.03.29</t>
  </si>
  <si>
    <t>2003.04.05</t>
  </si>
  <si>
    <t>2003.04.12</t>
  </si>
  <si>
    <t>2003.04.19</t>
  </si>
  <si>
    <t>2003.04.26</t>
  </si>
  <si>
    <t>2003.05.03</t>
  </si>
  <si>
    <t>2003.05.10</t>
  </si>
  <si>
    <t>2003.05.17</t>
  </si>
  <si>
    <t>2003.05.24</t>
  </si>
  <si>
    <t>2003.05.31</t>
  </si>
  <si>
    <t>2003.06.07</t>
  </si>
  <si>
    <t>2003.06.14</t>
  </si>
  <si>
    <t>2003.06.21</t>
  </si>
  <si>
    <t>2003.06.28</t>
  </si>
  <si>
    <t>2003.07.05</t>
  </si>
  <si>
    <t>2003.07.12</t>
  </si>
  <si>
    <t>2003.07.19</t>
  </si>
  <si>
    <t>2003.07.26</t>
  </si>
  <si>
    <t>2003.08.02</t>
  </si>
  <si>
    <t>2003.08.09</t>
  </si>
  <si>
    <t>2003.08.16</t>
  </si>
  <si>
    <t>2003.08.23</t>
  </si>
  <si>
    <t>2003.08.30</t>
  </si>
  <si>
    <t>2003.09.06</t>
  </si>
  <si>
    <t>2003.09.13</t>
  </si>
  <si>
    <t>2003.09.20</t>
  </si>
  <si>
    <t>2003.09.27</t>
  </si>
  <si>
    <t>2003.10.04</t>
  </si>
  <si>
    <t>2003.10.11</t>
  </si>
  <si>
    <t>2003.10.18</t>
  </si>
  <si>
    <t>2003.10.25</t>
  </si>
  <si>
    <t>2003.11.01</t>
  </si>
  <si>
    <t>2003.11.08</t>
  </si>
  <si>
    <t>2003.11.15</t>
  </si>
  <si>
    <t>2003.11.22</t>
  </si>
  <si>
    <t>2003.11.29</t>
  </si>
  <si>
    <t>2003.12.06</t>
  </si>
  <si>
    <t>2003.12.13</t>
  </si>
  <si>
    <t>2003.12.20</t>
  </si>
  <si>
    <t>2003.12.27</t>
  </si>
  <si>
    <t>2004.01.03</t>
  </si>
  <si>
    <t>2004.01.10</t>
  </si>
  <si>
    <t>2004.01.17</t>
  </si>
  <si>
    <t>2004.01.24</t>
  </si>
  <si>
    <t>2004.01.31</t>
  </si>
  <si>
    <t>2004.02.07</t>
  </si>
  <si>
    <t>2004.02.14</t>
  </si>
  <si>
    <t>2004.02.21</t>
  </si>
  <si>
    <t>2004.02.28</t>
  </si>
  <si>
    <t>2004.03.06</t>
  </si>
  <si>
    <t>2004.03.13</t>
  </si>
  <si>
    <t>2004.03.20</t>
  </si>
  <si>
    <t>2004.03.27</t>
  </si>
  <si>
    <t>2004.04.03</t>
  </si>
  <si>
    <t>2004.04.10</t>
  </si>
  <si>
    <t>2004.04.17</t>
  </si>
  <si>
    <t>2004.04.24</t>
  </si>
  <si>
    <t>2004.05.01</t>
  </si>
  <si>
    <t>2004.05.08</t>
  </si>
  <si>
    <t>2004.05.15</t>
  </si>
  <si>
    <t>2004.05.22</t>
  </si>
  <si>
    <t>2004.05.29</t>
  </si>
  <si>
    <t>2004.06.05</t>
  </si>
  <si>
    <t>2004.06.12</t>
  </si>
  <si>
    <t>2004.06.19</t>
  </si>
  <si>
    <t>2004.06.26</t>
  </si>
  <si>
    <t>2004.07.03</t>
  </si>
  <si>
    <t>2004.07.10</t>
  </si>
  <si>
    <t>2004.07.17</t>
  </si>
  <si>
    <t>2004.07.24</t>
  </si>
  <si>
    <t>2004.07.31</t>
  </si>
  <si>
    <t>2004.08.07</t>
  </si>
  <si>
    <t>2004.08.14</t>
  </si>
  <si>
    <t>2004.08.21</t>
  </si>
  <si>
    <t>2004.08.28</t>
  </si>
  <si>
    <t>2004.09.04</t>
  </si>
  <si>
    <t>2004.09.11</t>
  </si>
  <si>
    <t>2004.09.18</t>
  </si>
  <si>
    <t>2004.09.25</t>
  </si>
  <si>
    <t>2004.10.02</t>
  </si>
  <si>
    <t>2004.10.09</t>
  </si>
  <si>
    <t>2004.10.16</t>
  </si>
  <si>
    <t>2004.10.23</t>
  </si>
  <si>
    <t>2004.10.30</t>
  </si>
  <si>
    <t>2004.11.06</t>
  </si>
  <si>
    <t>2004.11.13</t>
  </si>
  <si>
    <t>2004.11.20</t>
  </si>
  <si>
    <t>2004.11.27</t>
  </si>
  <si>
    <t>2004.12.04</t>
  </si>
  <si>
    <t>2004.12.11</t>
  </si>
  <si>
    <t>2004.12.18</t>
  </si>
  <si>
    <t>2004.12.25</t>
  </si>
  <si>
    <t>2005.01.01</t>
  </si>
  <si>
    <t>2005.01.08</t>
  </si>
  <si>
    <t>2005.01.15</t>
  </si>
  <si>
    <t>2005.01.22</t>
  </si>
  <si>
    <t>2005.01.29</t>
  </si>
  <si>
    <t>2005.02.05</t>
  </si>
  <si>
    <t>2005.02.12</t>
  </si>
  <si>
    <t>2005.02.19</t>
  </si>
  <si>
    <t>2005.02.26</t>
  </si>
  <si>
    <t>2005.03.05</t>
  </si>
  <si>
    <t>2005.03.12</t>
  </si>
  <si>
    <t>2005.03.19</t>
  </si>
  <si>
    <t>2005.03.26</t>
  </si>
  <si>
    <t>2005.04.02</t>
  </si>
  <si>
    <t>2005.04.09</t>
  </si>
  <si>
    <t>2005.04.16</t>
  </si>
  <si>
    <t>2005.04.23</t>
  </si>
  <si>
    <t>2005.04.30</t>
  </si>
  <si>
    <t>2005.05.07</t>
  </si>
  <si>
    <t>2005.05.14</t>
  </si>
  <si>
    <t>2005.05.21</t>
  </si>
  <si>
    <t>2005.05.28</t>
  </si>
  <si>
    <t>2005.06.04</t>
  </si>
  <si>
    <t>2005.06.11</t>
  </si>
  <si>
    <t>2005.06.18</t>
  </si>
  <si>
    <t>2005.06.25</t>
  </si>
  <si>
    <t>2005.07.02</t>
  </si>
  <si>
    <t>2005.07.09</t>
  </si>
  <si>
    <t>2005.07.16</t>
  </si>
  <si>
    <t>2005.07.23</t>
  </si>
  <si>
    <t>2005.07.30</t>
  </si>
  <si>
    <t>2005.08.06</t>
  </si>
  <si>
    <t>2005.08.13</t>
  </si>
  <si>
    <t>2005.08.20</t>
  </si>
  <si>
    <t>2005.08.27</t>
  </si>
  <si>
    <t>2005.09.03</t>
  </si>
  <si>
    <t>2005.09.10</t>
  </si>
  <si>
    <t>2005.09.17</t>
  </si>
  <si>
    <t>2005.09.24</t>
  </si>
  <si>
    <t>2005.10.01</t>
  </si>
  <si>
    <t>2005.10.08</t>
  </si>
  <si>
    <t>2005.10.15</t>
  </si>
  <si>
    <t>2005.10.22</t>
  </si>
  <si>
    <t>2005.10.29</t>
  </si>
  <si>
    <t>2005.11.05</t>
  </si>
  <si>
    <t>2005.11.12</t>
  </si>
  <si>
    <t>2005.11.19</t>
  </si>
  <si>
    <t>2005.11.26</t>
  </si>
  <si>
    <t>2005.12.03</t>
  </si>
  <si>
    <t>2005.12.10</t>
  </si>
  <si>
    <t>2005.12.17</t>
  </si>
  <si>
    <t>2005.12.24</t>
  </si>
  <si>
    <t>2005.12.31</t>
  </si>
  <si>
    <t>2006.01.07</t>
  </si>
  <si>
    <t>2006.01.14</t>
  </si>
  <si>
    <t>2006.01.21</t>
  </si>
  <si>
    <t>2006.01.28</t>
  </si>
  <si>
    <t>2006.02.04</t>
  </si>
  <si>
    <t>2006.02.11</t>
  </si>
  <si>
    <t>2006.02.18</t>
  </si>
  <si>
    <t>2006.02.25</t>
  </si>
  <si>
    <t>2006.03.04</t>
  </si>
  <si>
    <t>2006.03.11</t>
  </si>
  <si>
    <t>2006.03.18</t>
  </si>
  <si>
    <t>2006.03.25</t>
  </si>
  <si>
    <t>2006.04.01</t>
  </si>
  <si>
    <t>2006.04.08</t>
  </si>
  <si>
    <t>2006.04.15</t>
  </si>
  <si>
    <t>2006.04.22</t>
  </si>
  <si>
    <t>2006.04.29</t>
  </si>
  <si>
    <t>2006.05.06</t>
  </si>
  <si>
    <t>2006.05.13</t>
  </si>
  <si>
    <t>2006.05.20</t>
  </si>
  <si>
    <t>2006.05.27</t>
  </si>
  <si>
    <t>2006.06.03</t>
  </si>
  <si>
    <t>2006.06.10</t>
  </si>
  <si>
    <t>2006.06.17</t>
  </si>
  <si>
    <t>2006.06.24</t>
  </si>
  <si>
    <t>2006.07.01</t>
  </si>
  <si>
    <t>2006.07.08</t>
  </si>
  <si>
    <t>2006.07.15</t>
  </si>
  <si>
    <t>2006.07.22</t>
  </si>
  <si>
    <t>2006.07.29</t>
  </si>
  <si>
    <t>2006.08.05</t>
  </si>
  <si>
    <t>2006.08.12</t>
  </si>
  <si>
    <t>2006.08.19</t>
  </si>
  <si>
    <t>2006.08.26</t>
  </si>
  <si>
    <t>2006.09.02</t>
  </si>
  <si>
    <t>2006.09.09</t>
  </si>
  <si>
    <t>2006.09.16</t>
  </si>
  <si>
    <t>2006.09.23</t>
  </si>
  <si>
    <t>2006.09.30</t>
  </si>
  <si>
    <t>2006.10.07</t>
  </si>
  <si>
    <t>2006.10.14</t>
  </si>
  <si>
    <t>2006.10.21</t>
  </si>
  <si>
    <t>2006.10.28</t>
  </si>
  <si>
    <t>2006.11.04</t>
  </si>
  <si>
    <t>2006.11.11</t>
  </si>
  <si>
    <t>2006.11.18</t>
  </si>
  <si>
    <t>2006.11.25</t>
  </si>
  <si>
    <t>2006.12.02</t>
  </si>
  <si>
    <t>2006.12.09</t>
  </si>
  <si>
    <t>2006.12.16</t>
  </si>
  <si>
    <t>2006.12.23</t>
  </si>
  <si>
    <t>2006.12.30</t>
  </si>
  <si>
    <t>2007.01.06</t>
  </si>
  <si>
    <t>2007.01.13</t>
  </si>
  <si>
    <t>2007.01.20</t>
  </si>
  <si>
    <t>2007.01.27</t>
  </si>
  <si>
    <t>2007.02.03</t>
  </si>
  <si>
    <t>2007.02.10</t>
  </si>
  <si>
    <t>2007.02.17</t>
  </si>
  <si>
    <t>2007.02.24</t>
  </si>
  <si>
    <t>2007.03.03</t>
  </si>
  <si>
    <t>2007.03.10</t>
  </si>
  <si>
    <t>2007.03.17</t>
  </si>
  <si>
    <t>2007.03.24</t>
  </si>
  <si>
    <t>2007.03.31</t>
  </si>
  <si>
    <t>2007.04.07</t>
  </si>
  <si>
    <t>2007.04.14</t>
  </si>
  <si>
    <t>2007.04.21</t>
  </si>
  <si>
    <t>2007.04.28</t>
  </si>
  <si>
    <t>2007.05.05</t>
  </si>
  <si>
    <t>2007.05.12</t>
  </si>
  <si>
    <t>2007.05.19</t>
  </si>
  <si>
    <t>2007.05.26</t>
  </si>
  <si>
    <t>2007.06.02</t>
  </si>
  <si>
    <t>2007.06.09</t>
  </si>
  <si>
    <t>2007.06.16</t>
  </si>
  <si>
    <t>2007.06.23</t>
  </si>
  <si>
    <t>2007.06.30</t>
  </si>
  <si>
    <t>2007.07.07</t>
  </si>
  <si>
    <t>2007.07.14</t>
  </si>
  <si>
    <t>2007.07.21</t>
  </si>
  <si>
    <t>2007.07.28</t>
  </si>
  <si>
    <t>2007.08.04</t>
  </si>
  <si>
    <t>2007.08.11</t>
  </si>
  <si>
    <t>2007.08.18</t>
  </si>
  <si>
    <t>2007.08.25</t>
  </si>
  <si>
    <t>2007.09.01</t>
  </si>
  <si>
    <t>2007.09.08</t>
  </si>
  <si>
    <t>2007.09.15</t>
  </si>
  <si>
    <t>2007.09.22</t>
  </si>
  <si>
    <t>2007.09.29</t>
  </si>
  <si>
    <t>2007.10.06</t>
  </si>
  <si>
    <t>2007.10.13</t>
  </si>
  <si>
    <t>2007.10.20</t>
  </si>
  <si>
    <t>2007.10.27</t>
  </si>
  <si>
    <t>2007.11.03</t>
  </si>
  <si>
    <t>2007.11.10</t>
  </si>
  <si>
    <t>2007.11.17</t>
  </si>
  <si>
    <t>2007.11.24</t>
  </si>
  <si>
    <t>2007.12.01</t>
  </si>
  <si>
    <t>2007.12.08</t>
  </si>
  <si>
    <t>2007.12.15</t>
  </si>
  <si>
    <t>2007.12.22</t>
  </si>
  <si>
    <t>2007.12.29</t>
  </si>
  <si>
    <t>2008.01.05</t>
  </si>
  <si>
    <t>2008.01.12</t>
  </si>
  <si>
    <t>2008.01.19</t>
  </si>
  <si>
    <t>2008.01.26</t>
  </si>
  <si>
    <t>2008.02.02</t>
  </si>
  <si>
    <t>2008.02.09</t>
  </si>
  <si>
    <t>2008.02.16</t>
  </si>
  <si>
    <t>2008.02.23</t>
  </si>
  <si>
    <t>2008.03.01</t>
  </si>
  <si>
    <t>2008.03.08</t>
  </si>
  <si>
    <t>2008.03.15</t>
  </si>
  <si>
    <t>2008.03.22</t>
  </si>
  <si>
    <t>2008.03.29</t>
  </si>
  <si>
    <t>2008.04.05</t>
  </si>
  <si>
    <t>2008.04.12</t>
  </si>
  <si>
    <t>2008.04.19</t>
  </si>
  <si>
    <t>2008.04.26</t>
  </si>
  <si>
    <t>2008.05.03</t>
  </si>
  <si>
    <t>2008.05.10</t>
  </si>
  <si>
    <t>2008.05.17</t>
  </si>
  <si>
    <t>2008.05.24</t>
  </si>
  <si>
    <t>2008.05.31</t>
  </si>
  <si>
    <t>2008.06.07</t>
  </si>
  <si>
    <t>2008.06.14</t>
  </si>
  <si>
    <t>2008.06.21</t>
  </si>
  <si>
    <t>2008.06.28</t>
  </si>
  <si>
    <t>2008.07.05</t>
  </si>
  <si>
    <t>2008.07.12</t>
  </si>
  <si>
    <t>2008.07.19</t>
  </si>
  <si>
    <t>2008.07.26</t>
  </si>
  <si>
    <t>2008.08.02</t>
  </si>
  <si>
    <t>2008.08.09</t>
  </si>
  <si>
    <t>2008.08.16</t>
  </si>
  <si>
    <t>2008.08.23</t>
  </si>
  <si>
    <t>2008.08.30</t>
  </si>
  <si>
    <t>2008.09.06</t>
  </si>
  <si>
    <t>2008.09.13</t>
  </si>
  <si>
    <t>2008.09.20</t>
  </si>
  <si>
    <t>2008.09.27</t>
  </si>
  <si>
    <t>2008.10.04</t>
  </si>
  <si>
    <t>2008.10.11</t>
  </si>
  <si>
    <t>2008.10.18</t>
  </si>
  <si>
    <t>2008.10.25</t>
  </si>
  <si>
    <t>2008.11.01</t>
  </si>
  <si>
    <t>2008.11.08</t>
  </si>
  <si>
    <t>2008.11.15</t>
  </si>
  <si>
    <t>2008.11.22</t>
  </si>
  <si>
    <t>2008.11.29</t>
  </si>
  <si>
    <t>2008.12.06</t>
  </si>
  <si>
    <t>2008.12.13</t>
  </si>
  <si>
    <t>2008.12.20</t>
  </si>
  <si>
    <t>2008.12.27</t>
  </si>
  <si>
    <t>2009.01.03</t>
  </si>
  <si>
    <t>2009.01.10</t>
  </si>
  <si>
    <t>2009.01.17</t>
  </si>
  <si>
    <t>2009.01.24</t>
  </si>
  <si>
    <t>2009.01.31</t>
  </si>
  <si>
    <t>2009.02.07</t>
  </si>
  <si>
    <t>2009.02.14</t>
  </si>
  <si>
    <t>2009.02.21</t>
  </si>
  <si>
    <t>2009.02.28</t>
  </si>
  <si>
    <t>2009.03.07</t>
  </si>
  <si>
    <t>2009.03.14</t>
  </si>
  <si>
    <t>2009.03.21</t>
  </si>
  <si>
    <t>2009.03.28</t>
  </si>
  <si>
    <t>2009.04.04</t>
  </si>
  <si>
    <t>2009.04.11</t>
  </si>
  <si>
    <t>2009.04.18</t>
  </si>
  <si>
    <t>2009.04.25</t>
  </si>
  <si>
    <t>2009.05.02</t>
  </si>
  <si>
    <t>2009.05.09</t>
  </si>
  <si>
    <t>2009.05.16</t>
  </si>
  <si>
    <t>2009.05.23</t>
  </si>
  <si>
    <t>2009.05.30</t>
  </si>
  <si>
    <t>2009.06.06</t>
  </si>
  <si>
    <t>2009.06.13</t>
  </si>
  <si>
    <t>2009.06.20</t>
  </si>
  <si>
    <t>2009.06.27</t>
  </si>
  <si>
    <t>2009.07.04</t>
  </si>
  <si>
    <t>2009.07.11</t>
  </si>
  <si>
    <t>2009.07.18</t>
  </si>
  <si>
    <t>2009.07.25</t>
  </si>
  <si>
    <t>2009.08.01</t>
  </si>
  <si>
    <t>2009.08.08</t>
  </si>
  <si>
    <t>2009.08.15</t>
  </si>
  <si>
    <t>2009.08.22</t>
  </si>
  <si>
    <t>2009.08.29</t>
  </si>
  <si>
    <t>2009.09.05</t>
  </si>
  <si>
    <t>2009.09.12</t>
  </si>
  <si>
    <t>2009.09.19</t>
  </si>
  <si>
    <t>2009.09.26</t>
  </si>
  <si>
    <t>2009.10.03</t>
  </si>
  <si>
    <t>2009.10.10</t>
  </si>
  <si>
    <t>2009.10.17</t>
  </si>
  <si>
    <t>2009.10.24</t>
  </si>
  <si>
    <t>2009.10.31</t>
  </si>
  <si>
    <t>2009.11.07</t>
  </si>
  <si>
    <t>2009.11.14</t>
  </si>
  <si>
    <t>2009.11.21</t>
  </si>
  <si>
    <t>2009.11.28</t>
  </si>
  <si>
    <t>2009.12.05</t>
  </si>
  <si>
    <t>2009.12.12</t>
  </si>
  <si>
    <t>2009.12.19</t>
  </si>
  <si>
    <t>2009.12.26</t>
  </si>
  <si>
    <t>2010.01.02</t>
  </si>
  <si>
    <t>2010.01.09</t>
  </si>
  <si>
    <t>2010.01.16</t>
  </si>
  <si>
    <t>2010.01.23</t>
  </si>
  <si>
    <t>2010.01.30</t>
  </si>
  <si>
    <t>2010.02.06</t>
  </si>
  <si>
    <t>2010.02.13</t>
  </si>
  <si>
    <t>2010.02.20</t>
  </si>
  <si>
    <t>2010.02.27</t>
  </si>
  <si>
    <t>2010.03.06</t>
  </si>
  <si>
    <t>2010.03.13</t>
  </si>
  <si>
    <t>2010.03.20</t>
  </si>
  <si>
    <t>2010.03.27</t>
  </si>
  <si>
    <t>2010.04.03</t>
  </si>
  <si>
    <t>2010.04.10</t>
  </si>
  <si>
    <t>2010.04.17</t>
  </si>
  <si>
    <t>2010.04.24</t>
  </si>
  <si>
    <t>2010.05.01</t>
  </si>
  <si>
    <t>2010.05.08</t>
  </si>
  <si>
    <t>2010.05.15</t>
  </si>
  <si>
    <t>2010.05.22</t>
  </si>
  <si>
    <t>2010.05.29</t>
  </si>
  <si>
    <t>2010.06.05</t>
  </si>
  <si>
    <t>2010.06.12</t>
  </si>
  <si>
    <t>2010.06.19</t>
  </si>
  <si>
    <t>2010.06.26</t>
  </si>
  <si>
    <t>2010.07.03</t>
  </si>
  <si>
    <t>2010.07.10</t>
  </si>
  <si>
    <t>2010.07.17</t>
  </si>
  <si>
    <t>2010.07.24</t>
  </si>
  <si>
    <t>2010.07.31</t>
  </si>
  <si>
    <t>2010.08.07</t>
  </si>
  <si>
    <t>2010.08.14</t>
  </si>
  <si>
    <t>2010.08.21</t>
  </si>
  <si>
    <t>2010.08.28</t>
  </si>
  <si>
    <t>2010.09.04</t>
  </si>
  <si>
    <t>2010.09.11</t>
  </si>
  <si>
    <t>2010.09.18</t>
  </si>
  <si>
    <t>2010.09.25</t>
  </si>
  <si>
    <t>2010.10.02</t>
  </si>
  <si>
    <t>2010.10.09</t>
  </si>
  <si>
    <t>2010.10.16</t>
  </si>
  <si>
    <t>2010.10.23</t>
  </si>
  <si>
    <t>2010.10.30</t>
  </si>
  <si>
    <t>2010.11.06</t>
  </si>
  <si>
    <t>2010.11.13</t>
  </si>
  <si>
    <t>2010.11.20</t>
  </si>
  <si>
    <t>2010.11.27</t>
  </si>
  <si>
    <t>2010.12.04</t>
  </si>
  <si>
    <t>2010.12.11</t>
  </si>
  <si>
    <t>2010.12.18</t>
  </si>
  <si>
    <t>2010.12.25</t>
  </si>
  <si>
    <t>2011.01.01</t>
  </si>
  <si>
    <t>2011.01.08</t>
  </si>
  <si>
    <t>2011.01.15</t>
  </si>
  <si>
    <t>2011.01.22</t>
  </si>
  <si>
    <t>2011.01.29</t>
  </si>
  <si>
    <t>2011.02.05</t>
  </si>
  <si>
    <t>2011.02.12</t>
  </si>
  <si>
    <t>2011.02.19</t>
  </si>
  <si>
    <t>2011.02.26</t>
  </si>
  <si>
    <t>2011.03.05</t>
  </si>
  <si>
    <t>2011.03.12</t>
  </si>
  <si>
    <t>2011.03.19</t>
  </si>
  <si>
    <t>2011.03.26</t>
  </si>
  <si>
    <t>2011.04.02</t>
  </si>
  <si>
    <t>2011.04.09</t>
  </si>
  <si>
    <t>2011.04.16</t>
  </si>
  <si>
    <t>번호</t>
    <phoneticPr fontId="2" type="noConversion"/>
  </si>
  <si>
    <t>당첨횟수</t>
    <phoneticPr fontId="2" type="noConversion"/>
  </si>
  <si>
    <t>순위</t>
    <phoneticPr fontId="2" type="noConversion"/>
  </si>
  <si>
    <t>no15</t>
  </si>
  <si>
    <t>2011.08.06</t>
  </si>
  <si>
    <t>2011.08.13</t>
  </si>
  <si>
    <t>2011.08.20</t>
  </si>
  <si>
    <t>2011.08.27</t>
  </si>
  <si>
    <t>2011.09.03</t>
  </si>
  <si>
    <t>2011.09.10</t>
  </si>
  <si>
    <t>2011.09.17</t>
  </si>
  <si>
    <t>2011.09.24</t>
  </si>
  <si>
    <t>2011.10.01</t>
  </si>
  <si>
    <t>2011.10.08</t>
  </si>
  <si>
    <t>2011.10.15</t>
  </si>
  <si>
    <t>2011.10.22</t>
  </si>
  <si>
    <t>2011.10.29</t>
  </si>
  <si>
    <t>2011.11.05</t>
  </si>
  <si>
    <t>2011.11.12</t>
  </si>
  <si>
    <t>2011.11.19</t>
  </si>
  <si>
    <t>2011.11.26</t>
  </si>
  <si>
    <t>2011.12.03</t>
  </si>
  <si>
    <t>2011.12.10</t>
  </si>
  <si>
    <t>2011.12.17</t>
  </si>
  <si>
    <t>2011.12.24</t>
  </si>
  <si>
    <t>2011.12.31</t>
  </si>
  <si>
    <t>2012.01.07</t>
  </si>
  <si>
    <t>2012.01.14</t>
  </si>
  <si>
    <t>2012.01.21</t>
  </si>
  <si>
    <t>2011.04.23</t>
  </si>
  <si>
    <t>2011.04.30</t>
  </si>
  <si>
    <t>2011.05.07</t>
  </si>
  <si>
    <t>2011.05.14</t>
  </si>
  <si>
    <t>2011.05.21</t>
  </si>
  <si>
    <t>2011.05.28</t>
  </si>
  <si>
    <t>2011.06.04</t>
  </si>
  <si>
    <t>2011.06.11</t>
  </si>
  <si>
    <t>2011.06.18</t>
  </si>
  <si>
    <t>2011.06.25</t>
  </si>
  <si>
    <t>2011.07.02</t>
  </si>
  <si>
    <t>2011.07.09</t>
  </si>
  <si>
    <t>2011.07.16</t>
  </si>
  <si>
    <t>2011.07.23</t>
  </si>
  <si>
    <t>2011.07.30</t>
  </si>
  <si>
    <t>2012.01.28</t>
  </si>
  <si>
    <t>2012.02.04</t>
  </si>
  <si>
    <t>2012.02.11</t>
  </si>
  <si>
    <t>2012.02.18</t>
  </si>
  <si>
    <t>2012.02.25</t>
  </si>
  <si>
    <t>2012.03.03</t>
  </si>
  <si>
    <t>2012.03.10</t>
  </si>
  <si>
    <t>합계</t>
    <phoneticPr fontId="2" type="noConversion"/>
  </si>
  <si>
    <t>번호</t>
    <phoneticPr fontId="2" type="noConversion"/>
  </si>
  <si>
    <t>1열</t>
    <phoneticPr fontId="2" type="noConversion"/>
  </si>
  <si>
    <t>2열</t>
  </si>
  <si>
    <t>3열</t>
  </si>
  <si>
    <t>4열</t>
  </si>
  <si>
    <t>5열</t>
  </si>
  <si>
    <t>6열</t>
  </si>
  <si>
    <t>5회출현</t>
    <phoneticPr fontId="2" type="noConversion"/>
  </si>
  <si>
    <t>누계</t>
    <phoneticPr fontId="2" type="noConversion"/>
  </si>
  <si>
    <t>확률수</t>
    <phoneticPr fontId="2" type="noConversion"/>
  </si>
  <si>
    <t>당첨</t>
  </si>
  <si>
    <t>10회</t>
    <phoneticPr fontId="2" type="noConversion"/>
  </si>
  <si>
    <t>5회</t>
    <phoneticPr fontId="2" type="noConversion"/>
  </si>
  <si>
    <t>번호</t>
    <phoneticPr fontId="2" type="noConversion"/>
  </si>
  <si>
    <t>홀짝수</t>
    <phoneticPr fontId="2" type="noConversion"/>
  </si>
  <si>
    <t>출현순위</t>
    <phoneticPr fontId="2" type="noConversion"/>
  </si>
  <si>
    <r>
      <t>1-2열</t>
    </r>
    <r>
      <rPr>
        <sz val="11"/>
        <color theme="1"/>
        <rFont val="돋움"/>
        <family val="3"/>
        <charset val="129"/>
      </rPr>
      <t/>
    </r>
  </si>
  <si>
    <r>
      <t>1-3열</t>
    </r>
    <r>
      <rPr>
        <sz val="11"/>
        <color theme="1"/>
        <rFont val="돋움"/>
        <family val="3"/>
        <charset val="129"/>
      </rPr>
      <t/>
    </r>
  </si>
  <si>
    <r>
      <t>1-4열</t>
    </r>
    <r>
      <rPr>
        <sz val="11"/>
        <color theme="1"/>
        <rFont val="돋움"/>
        <family val="3"/>
        <charset val="129"/>
      </rPr>
      <t/>
    </r>
  </si>
  <si>
    <r>
      <t>1-5열</t>
    </r>
    <r>
      <rPr>
        <sz val="11"/>
        <color theme="1"/>
        <rFont val="돋움"/>
        <family val="3"/>
        <charset val="129"/>
      </rPr>
      <t/>
    </r>
  </si>
  <si>
    <r>
      <t>1-6열</t>
    </r>
    <r>
      <rPr>
        <sz val="11"/>
        <color theme="1"/>
        <rFont val="돋움"/>
        <family val="3"/>
        <charset val="129"/>
      </rPr>
      <t/>
    </r>
  </si>
  <si>
    <t>2012.03.17</t>
    <phoneticPr fontId="2" type="noConversion"/>
  </si>
  <si>
    <t xml:space="preserve">- DATE : 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</si>
  <si>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</si>
  <si>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</si>
  <si>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</si>
  <si>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</si>
  <si>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</si>
  <si>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</si>
  <si>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</si>
  <si>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1tns</t>
    <phoneticPr fontId="2" type="noConversion"/>
  </si>
  <si>
    <t>sum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</si>
  <si>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</si>
  <si>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</si>
  <si>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</si>
  <si>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</si>
  <si>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r>
      <rPr>
        <sz val="11"/>
        <color theme="1"/>
        <rFont val="맑은 고딕"/>
        <family val="2"/>
        <charset val="129"/>
      </rPr>
      <t>구분</t>
    </r>
    <phoneticPr fontId="2" type="noConversion"/>
  </si>
  <si>
    <r>
      <rPr>
        <sz val="11"/>
        <color theme="1"/>
        <rFont val="돋움"/>
        <family val="3"/>
        <charset val="129"/>
      </rPr>
      <t>분류</t>
    </r>
    <phoneticPr fontId="2" type="noConversion"/>
  </si>
  <si>
    <r>
      <rPr>
        <sz val="11"/>
        <color theme="1"/>
        <rFont val="맑은 고딕"/>
        <family val="2"/>
        <charset val="129"/>
      </rPr>
      <t>우선순위</t>
    </r>
    <phoneticPr fontId="2" type="noConversion"/>
  </si>
  <si>
    <r>
      <rPr>
        <sz val="11"/>
        <color theme="1"/>
        <rFont val="돋움"/>
        <family val="3"/>
        <charset val="129"/>
      </rPr>
      <t>랜덤숫자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</si>
  <si>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</si>
  <si>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rPr>
        <sz val="11"/>
        <color theme="1"/>
        <rFont val="돋움"/>
        <family val="3"/>
        <charset val="129"/>
      </rPr>
      <t>홀짝수</t>
    </r>
    <phoneticPr fontId="2" type="noConversion"/>
  </si>
  <si>
    <r>
      <rPr>
        <sz val="11"/>
        <color theme="1"/>
        <rFont val="돋움"/>
        <family val="3"/>
        <charset val="129"/>
      </rPr>
      <t>홀수누계</t>
    </r>
    <phoneticPr fontId="2" type="noConversion"/>
  </si>
  <si>
    <r>
      <rPr>
        <sz val="11"/>
        <color theme="1"/>
        <rFont val="돋움"/>
        <family val="3"/>
        <charset val="129"/>
      </rPr>
      <t>짝수누계</t>
    </r>
    <phoneticPr fontId="2" type="noConversion"/>
  </si>
  <si>
    <r>
      <rPr>
        <sz val="11"/>
        <color theme="1"/>
        <rFont val="돋움"/>
        <family val="3"/>
        <charset val="129"/>
      </rPr>
      <t>당첨확율누계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</si>
  <si>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</si>
  <si>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</si>
  <si>
    <r>
      <t>1-3</t>
    </r>
    <r>
      <rPr>
        <sz val="11"/>
        <color theme="1"/>
        <rFont val="돋움"/>
        <family val="3"/>
        <charset val="129"/>
      </rPr>
      <t>열</t>
    </r>
  </si>
  <si>
    <r>
      <t>1-4</t>
    </r>
    <r>
      <rPr>
        <sz val="11"/>
        <color theme="1"/>
        <rFont val="돋움"/>
        <family val="3"/>
        <charset val="129"/>
      </rPr>
      <t>열</t>
    </r>
  </si>
  <si>
    <r>
      <t>1-5</t>
    </r>
    <r>
      <rPr>
        <sz val="11"/>
        <color theme="1"/>
        <rFont val="돋움"/>
        <family val="3"/>
        <charset val="129"/>
      </rPr>
      <t>열</t>
    </r>
  </si>
  <si>
    <r>
      <rPr>
        <sz val="11"/>
        <color theme="1"/>
        <rFont val="맑은 고딕"/>
        <family val="2"/>
        <charset val="129"/>
      </rPr>
      <t>ㅁ</t>
    </r>
    <r>
      <rPr>
        <sz val="11"/>
        <color theme="1"/>
        <rFont val="Arial Black"/>
        <family val="2"/>
      </rPr>
      <t>.3</t>
    </r>
    <r>
      <rPr>
        <sz val="11"/>
        <color theme="1"/>
        <rFont val="맑은 고딕"/>
        <family val="2"/>
        <charset val="129"/>
      </rPr>
      <t>집단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맑은 고딕"/>
        <family val="2"/>
        <charset val="129"/>
      </rPr>
      <t>분류</t>
    </r>
    <phoneticPr fontId="2" type="noConversion"/>
  </si>
  <si>
    <t>4.pattern</t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</si>
  <si>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</si>
  <si>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</si>
  <si>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3열</t>
    </r>
    <r>
      <rPr>
        <sz val="10"/>
        <color theme="1"/>
        <rFont val="돋움"/>
        <family val="3"/>
        <charset val="129"/>
      </rPr>
      <t/>
    </r>
  </si>
  <si>
    <r>
      <t>4열</t>
    </r>
    <r>
      <rPr>
        <sz val="10"/>
        <color theme="1"/>
        <rFont val="돋움"/>
        <family val="3"/>
        <charset val="129"/>
      </rPr>
      <t/>
    </r>
  </si>
  <si>
    <r>
      <t>5열</t>
    </r>
    <r>
      <rPr>
        <sz val="10"/>
        <color theme="1"/>
        <rFont val="돋움"/>
        <family val="3"/>
        <charset val="129"/>
      </rPr>
      <t/>
    </r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</si>
  <si>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</si>
  <si>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연번확율</t>
    <phoneticPr fontId="2" type="noConversion"/>
  </si>
  <si>
    <t>끝번확율</t>
    <phoneticPr fontId="2" type="noConversion"/>
  </si>
  <si>
    <t>5.pattern</t>
  </si>
  <si>
    <t>2012.03.24</t>
    <phoneticPr fontId="2" type="noConversion"/>
  </si>
  <si>
    <t>2012.3.31</t>
    <phoneticPr fontId="2" type="noConversion"/>
  </si>
  <si>
    <t>2012.04.07</t>
    <phoneticPr fontId="2" type="noConversion"/>
  </si>
  <si>
    <t>필히 출현 숫자 정렬 할것</t>
    <phoneticPr fontId="2" type="noConversion"/>
  </si>
  <si>
    <t>2012.04.14</t>
    <phoneticPr fontId="2" type="noConversion"/>
  </si>
  <si>
    <t>비율</t>
    <phoneticPr fontId="2" type="noConversion"/>
  </si>
  <si>
    <t>홀수</t>
    <phoneticPr fontId="2" type="noConversion"/>
  </si>
  <si>
    <t>짝수</t>
    <phoneticPr fontId="2" type="noConversion"/>
  </si>
  <si>
    <t>홀1열</t>
    <phoneticPr fontId="2" type="noConversion"/>
  </si>
  <si>
    <t>홀2열</t>
  </si>
  <si>
    <t>홀3열</t>
  </si>
  <si>
    <t>홀4열</t>
  </si>
  <si>
    <t>홀5열</t>
  </si>
  <si>
    <t>홀6열</t>
  </si>
  <si>
    <t>홀비율</t>
    <phoneticPr fontId="2" type="noConversion"/>
  </si>
  <si>
    <t>저1열</t>
    <phoneticPr fontId="2" type="noConversion"/>
  </si>
  <si>
    <t>저2열</t>
  </si>
  <si>
    <t>저3열</t>
  </si>
  <si>
    <t>저4열</t>
  </si>
  <si>
    <t>저5열</t>
  </si>
  <si>
    <t>저6열</t>
  </si>
  <si>
    <t>저비율</t>
    <phoneticPr fontId="2" type="noConversion"/>
  </si>
  <si>
    <t>저수</t>
    <phoneticPr fontId="2" type="noConversion"/>
  </si>
  <si>
    <t>고수</t>
    <phoneticPr fontId="2" type="noConversion"/>
  </si>
  <si>
    <t>끝수분석</t>
    <phoneticPr fontId="2" type="noConversion"/>
  </si>
  <si>
    <t>홀짝비 분석(3:3,2:4,4:2)</t>
    <phoneticPr fontId="2" type="noConversion"/>
  </si>
  <si>
    <t>저고비 분석(3:3,2:4,4:2)</t>
    <phoneticPr fontId="2" type="noConversion"/>
  </si>
  <si>
    <t>끝수</t>
    <phoneticPr fontId="2" type="noConversion"/>
  </si>
  <si>
    <t>0:6</t>
    <phoneticPr fontId="2" type="noConversion"/>
  </si>
  <si>
    <t>1:5</t>
    <phoneticPr fontId="2" type="noConversion"/>
  </si>
  <si>
    <t>2:4</t>
    <phoneticPr fontId="2" type="noConversion"/>
  </si>
  <si>
    <t>3:3</t>
    <phoneticPr fontId="2" type="noConversion"/>
  </si>
  <si>
    <t>4:2</t>
    <phoneticPr fontId="2" type="noConversion"/>
  </si>
  <si>
    <t>5:1</t>
    <phoneticPr fontId="2" type="noConversion"/>
  </si>
  <si>
    <t>6:0</t>
    <phoneticPr fontId="2" type="noConversion"/>
  </si>
  <si>
    <t>비율</t>
    <phoneticPr fontId="2" type="noConversion"/>
  </si>
  <si>
    <t>횟수</t>
    <phoneticPr fontId="2" type="noConversion"/>
  </si>
  <si>
    <t>합계</t>
    <phoneticPr fontId="2" type="noConversion"/>
  </si>
  <si>
    <t>- 홀짝비율</t>
    <phoneticPr fontId="2" type="noConversion"/>
  </si>
  <si>
    <t>- 저고비율</t>
    <phoneticPr fontId="2" type="noConversion"/>
  </si>
  <si>
    <t>출현수</t>
    <phoneticPr fontId="2" type="noConversion"/>
  </si>
  <si>
    <t>순위</t>
    <phoneticPr fontId="2" type="noConversion"/>
  </si>
  <si>
    <t>구분</t>
    <phoneticPr fontId="2" type="noConversion"/>
  </si>
  <si>
    <t>홀짝집계</t>
    <phoneticPr fontId="2" type="noConversion"/>
  </si>
  <si>
    <t>저고확율</t>
    <phoneticPr fontId="2" type="noConversion"/>
  </si>
  <si>
    <t>당첨확율누계</t>
    <phoneticPr fontId="2" type="noConversion"/>
  </si>
  <si>
    <t>저수집계</t>
    <phoneticPr fontId="2" type="noConversion"/>
  </si>
  <si>
    <t>고수집계</t>
    <phoneticPr fontId="2" type="noConversion"/>
  </si>
  <si>
    <t>6.pattern</t>
  </si>
  <si>
    <r>
      <rPr>
        <b/>
        <sz val="10"/>
        <color theme="1"/>
        <rFont val="돋움"/>
        <family val="3"/>
        <charset val="129"/>
      </rPr>
      <t>저고수</t>
    </r>
    <r>
      <rPr>
        <b/>
        <sz val="10"/>
        <color theme="1"/>
        <rFont val="Arial Black"/>
        <family val="2"/>
      </rPr>
      <t>(3:3</t>
    </r>
    <r>
      <rPr>
        <b/>
        <sz val="10"/>
        <color theme="1"/>
        <rFont val="돋움"/>
        <family val="3"/>
        <charset val="129"/>
      </rPr>
      <t>비</t>
    </r>
    <r>
      <rPr>
        <b/>
        <sz val="10"/>
        <color theme="1"/>
        <rFont val="Arial Black"/>
        <family val="2"/>
      </rPr>
      <t>)</t>
    </r>
    <phoneticPr fontId="2" type="noConversion"/>
  </si>
  <si>
    <t>홀짝비(3:3비)</t>
    <phoneticPr fontId="2" type="noConversion"/>
  </si>
  <si>
    <t>홀짝비율</t>
    <phoneticPr fontId="2" type="noConversion"/>
  </si>
  <si>
    <t>저고비율</t>
    <phoneticPr fontId="2" type="noConversion"/>
  </si>
  <si>
    <t>끝수합계</t>
    <phoneticPr fontId="2" type="noConversion"/>
  </si>
  <si>
    <t>솟수 출현 분석(0.1.2.3회)</t>
    <phoneticPr fontId="2" type="noConversion"/>
  </si>
  <si>
    <t>소1열</t>
    <phoneticPr fontId="2" type="noConversion"/>
  </si>
  <si>
    <t>소2열</t>
  </si>
  <si>
    <t>소3열</t>
  </si>
  <si>
    <t>소4열</t>
  </si>
  <si>
    <t>소5열</t>
  </si>
  <si>
    <t>소6열</t>
  </si>
  <si>
    <t>수1열</t>
    <phoneticPr fontId="2" type="noConversion"/>
  </si>
  <si>
    <t>수2열</t>
  </si>
  <si>
    <t>수3열</t>
  </si>
  <si>
    <t>수4열</t>
  </si>
  <si>
    <t>수5열</t>
  </si>
  <si>
    <t>수6열</t>
  </si>
  <si>
    <t>집계</t>
    <phoneticPr fontId="2" type="noConversion"/>
  </si>
  <si>
    <t>솟수집계</t>
    <phoneticPr fontId="2" type="noConversion"/>
  </si>
  <si>
    <t>구분</t>
    <phoneticPr fontId="2" type="noConversion"/>
  </si>
  <si>
    <t>합계</t>
    <phoneticPr fontId="2" type="noConversion"/>
  </si>
  <si>
    <t>합계</t>
    <phoneticPr fontId="2" type="noConversion"/>
  </si>
  <si>
    <t>솟수확율</t>
    <phoneticPr fontId="2" type="noConversion"/>
  </si>
  <si>
    <r>
      <t>2-1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</si>
  <si>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2-2열</t>
    </r>
    <r>
      <rPr>
        <sz val="11"/>
        <color theme="1"/>
        <rFont val="돋움"/>
        <family val="3"/>
        <charset val="129"/>
      </rPr>
      <t/>
    </r>
  </si>
  <si>
    <r>
      <t>2-3열</t>
    </r>
    <r>
      <rPr>
        <sz val="11"/>
        <color theme="1"/>
        <rFont val="돋움"/>
        <family val="3"/>
        <charset val="129"/>
      </rPr>
      <t/>
    </r>
  </si>
  <si>
    <r>
      <t>2-4열</t>
    </r>
    <r>
      <rPr>
        <sz val="11"/>
        <color theme="1"/>
        <rFont val="돋움"/>
        <family val="3"/>
        <charset val="129"/>
      </rPr>
      <t/>
    </r>
  </si>
  <si>
    <r>
      <t>2-5열</t>
    </r>
    <r>
      <rPr>
        <sz val="11"/>
        <color theme="1"/>
        <rFont val="돋움"/>
        <family val="3"/>
        <charset val="129"/>
      </rPr>
      <t/>
    </r>
  </si>
  <si>
    <r>
      <t>2-6열</t>
    </r>
    <r>
      <rPr>
        <sz val="11"/>
        <color theme="1"/>
        <rFont val="돋움"/>
        <family val="3"/>
        <charset val="129"/>
      </rPr>
      <t/>
    </r>
  </si>
  <si>
    <t>최근출현숫자순서</t>
    <phoneticPr fontId="2" type="noConversion"/>
  </si>
  <si>
    <r>
      <t>F9</t>
    </r>
    <r>
      <rPr>
        <sz val="11"/>
        <color rgb="FFFFFF00"/>
        <rFont val="돋움"/>
        <family val="3"/>
        <charset val="129"/>
      </rPr>
      <t>를</t>
    </r>
    <r>
      <rPr>
        <sz val="11"/>
        <color rgb="FFFFFF00"/>
        <rFont val="Arial Black"/>
        <family val="2"/>
      </rPr>
      <t xml:space="preserve"> </t>
    </r>
    <r>
      <rPr>
        <sz val="11"/>
        <color rgb="FFFFFF00"/>
        <rFont val="돋움"/>
        <family val="3"/>
        <charset val="129"/>
      </rPr>
      <t>눌러</t>
    </r>
    <r>
      <rPr>
        <sz val="11"/>
        <color rgb="FFFFFF00"/>
        <rFont val="Arial Black"/>
        <family val="2"/>
      </rPr>
      <t xml:space="preserve"> </t>
    </r>
    <r>
      <rPr>
        <sz val="11"/>
        <color rgb="FFFFFF00"/>
        <rFont val="돋움"/>
        <family val="3"/>
        <charset val="129"/>
      </rPr>
      <t>추첨하세요</t>
    </r>
    <phoneticPr fontId="2" type="noConversion"/>
  </si>
  <si>
    <t>- 정렬시트 중복제거후 붙여넣기</t>
    <phoneticPr fontId="2" type="noConversion"/>
  </si>
  <si>
    <t>제외수누계</t>
    <phoneticPr fontId="2" type="noConversion"/>
  </si>
  <si>
    <t>2012.04.22</t>
    <phoneticPr fontId="2" type="noConversion"/>
  </si>
  <si>
    <t>3배수</t>
    <phoneticPr fontId="2" type="noConversion"/>
  </si>
  <si>
    <t>3배수비율</t>
    <phoneticPr fontId="2" type="noConversion"/>
  </si>
  <si>
    <t>소수비율</t>
    <phoneticPr fontId="2" type="noConversion"/>
  </si>
  <si>
    <t>합성수</t>
    <phoneticPr fontId="2" type="noConversion"/>
  </si>
  <si>
    <t>합성수비율</t>
    <phoneticPr fontId="2" type="noConversion"/>
  </si>
  <si>
    <t>끝수분석(22~28)</t>
    <phoneticPr fontId="2" type="noConversion"/>
  </si>
  <si>
    <r>
      <rPr>
        <sz val="11"/>
        <color theme="1"/>
        <rFont val="돋움"/>
        <family val="3"/>
        <charset val="129"/>
      </rPr>
      <t>소수</t>
    </r>
    <r>
      <rPr>
        <sz val="11"/>
        <color theme="1"/>
        <rFont val="Arial Black"/>
        <family val="2"/>
      </rPr>
      <t>,3</t>
    </r>
    <r>
      <rPr>
        <sz val="11"/>
        <color theme="1"/>
        <rFont val="돋움"/>
        <family val="3"/>
        <charset val="129"/>
      </rPr>
      <t>배수</t>
    </r>
    <r>
      <rPr>
        <sz val="11"/>
        <color theme="1"/>
        <rFont val="Arial Black"/>
        <family val="2"/>
      </rPr>
      <t>,</t>
    </r>
    <r>
      <rPr>
        <sz val="11"/>
        <color theme="1"/>
        <rFont val="돋움"/>
        <family val="3"/>
        <charset val="129"/>
      </rPr>
      <t>합성수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누계</t>
    </r>
    <phoneticPr fontId="2" type="noConversion"/>
  </si>
  <si>
    <t>2012.04.28</t>
    <phoneticPr fontId="2" type="noConversion"/>
  </si>
  <si>
    <t>3배수누계-2</t>
    <phoneticPr fontId="2" type="noConversion"/>
  </si>
  <si>
    <t>소수누계-2</t>
    <phoneticPr fontId="2" type="noConversion"/>
  </si>
  <si>
    <t>합성수누계-2</t>
    <phoneticPr fontId="2" type="noConversion"/>
  </si>
  <si>
    <t>2012.05.05</t>
    <phoneticPr fontId="2" type="noConversion"/>
  </si>
  <si>
    <t>소수출현(3이하)</t>
    <phoneticPr fontId="2" type="noConversion"/>
  </si>
  <si>
    <t>끝수합계(RK_14)</t>
    <phoneticPr fontId="2" type="noConversion"/>
  </si>
  <si>
    <t>7.pattern</t>
  </si>
  <si>
    <t>good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</si>
  <si>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</si>
  <si>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</si>
  <si>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</si>
  <si>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</si>
  <si>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</si>
  <si>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</si>
  <si>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</si>
  <si>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</si>
  <si>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</si>
  <si>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</si>
  <si>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</si>
  <si>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</si>
  <si>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</si>
  <si>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</t>
    </r>
    <r>
      <rPr>
        <sz val="11"/>
        <color theme="1"/>
        <rFont val="맑은 고딕"/>
        <family val="2"/>
        <charset val="129"/>
        <scheme val="minor"/>
      </rPr>
      <t/>
    </r>
  </si>
  <si>
    <t>끝수합계</t>
    <phoneticPr fontId="2" type="noConversion"/>
  </si>
  <si>
    <t>RANK=14</t>
    <phoneticPr fontId="2" type="noConversion"/>
  </si>
  <si>
    <t>END-1</t>
    <phoneticPr fontId="2" type="noConversion"/>
  </si>
  <si>
    <t>전체평균</t>
    <phoneticPr fontId="2" type="noConversion"/>
  </si>
  <si>
    <t>최근평균</t>
    <phoneticPr fontId="2" type="noConversion"/>
  </si>
  <si>
    <t>당첨누계</t>
    <phoneticPr fontId="2" type="noConversion"/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</si>
  <si>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</si>
  <si>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>2012.05.12</t>
    <phoneticPr fontId="2" type="noConversion"/>
  </si>
  <si>
    <t>2012.05.19</t>
    <phoneticPr fontId="2" type="noConversion"/>
  </si>
  <si>
    <t>◈조건표조정◈</t>
    <phoneticPr fontId="2" type="noConversion"/>
  </si>
  <si>
    <t>2012.05.26</t>
    <phoneticPr fontId="2" type="noConversion"/>
  </si>
  <si>
    <t>1G</t>
    <phoneticPr fontId="2" type="noConversion"/>
  </si>
  <si>
    <t>2G</t>
  </si>
  <si>
    <t>3G</t>
  </si>
  <si>
    <t>2G</t>
    <phoneticPr fontId="2" type="noConversion"/>
  </si>
  <si>
    <t>3G</t>
    <phoneticPr fontId="2" type="noConversion"/>
  </si>
  <si>
    <t>GR</t>
    <phoneticPr fontId="2" type="noConversion"/>
  </si>
  <si>
    <t>구성비</t>
    <phoneticPr fontId="2" type="noConversion"/>
  </si>
  <si>
    <t>123</t>
  </si>
  <si>
    <t>222</t>
  </si>
  <si>
    <t>141</t>
  </si>
  <si>
    <t>033</t>
  </si>
  <si>
    <t>231</t>
  </si>
  <si>
    <t>204</t>
  </si>
  <si>
    <t>303</t>
  </si>
  <si>
    <t>213</t>
  </si>
  <si>
    <t>312</t>
  </si>
  <si>
    <t>114</t>
  </si>
  <si>
    <t>240</t>
  </si>
  <si>
    <t>411</t>
  </si>
  <si>
    <t>330</t>
  </si>
  <si>
    <t>132</t>
  </si>
  <si>
    <t>042</t>
  </si>
  <si>
    <t>051</t>
  </si>
  <si>
    <t>105</t>
  </si>
  <si>
    <t>321</t>
  </si>
  <si>
    <t>024</t>
  </si>
  <si>
    <t>402</t>
  </si>
  <si>
    <t>060</t>
  </si>
  <si>
    <t>015</t>
  </si>
  <si>
    <t>501</t>
  </si>
  <si>
    <t>420</t>
  </si>
  <si>
    <t>510</t>
  </si>
  <si>
    <t>006</t>
  </si>
  <si>
    <t>150</t>
  </si>
  <si>
    <t>TTL</t>
    <phoneticPr fontId="2" type="noConversion"/>
  </si>
  <si>
    <t>순위</t>
    <phoneticPr fontId="2" type="noConversion"/>
  </si>
  <si>
    <t>8.pattern</t>
  </si>
  <si>
    <t>구분</t>
    <phoneticPr fontId="2" type="noConversion"/>
  </si>
  <si>
    <t>횟수</t>
    <phoneticPr fontId="2" type="noConversion"/>
  </si>
  <si>
    <t>비율</t>
    <phoneticPr fontId="2" type="noConversion"/>
  </si>
  <si>
    <t>삼그룹</t>
    <phoneticPr fontId="2" type="noConversion"/>
  </si>
  <si>
    <t>최근출현10회,5회 이름정의에서 업데이트 할것</t>
    <phoneticPr fontId="2" type="noConversion"/>
  </si>
  <si>
    <t>1.pattern</t>
    <phoneticPr fontId="2" type="noConversion"/>
  </si>
  <si>
    <t>&lt;=BR~BV복사후 CD로 내림정렬</t>
    <phoneticPr fontId="2" type="noConversion"/>
  </si>
  <si>
    <t>회차</t>
    <phoneticPr fontId="2" type="noConversion"/>
  </si>
  <si>
    <t>추첨일</t>
    <phoneticPr fontId="2" type="noConversion"/>
  </si>
  <si>
    <t>9.pattern</t>
  </si>
  <si>
    <t>AC값분석</t>
  </si>
  <si>
    <t>구분</t>
  </si>
  <si>
    <t>COUNT</t>
  </si>
  <si>
    <t>점유율(%)</t>
  </si>
  <si>
    <t>TTL</t>
  </si>
  <si>
    <t>AC값순서</t>
    <phoneticPr fontId="2" type="noConversion"/>
  </si>
  <si>
    <t>RANK1</t>
    <phoneticPr fontId="2" type="noConversion"/>
  </si>
  <si>
    <t>RANK2</t>
  </si>
  <si>
    <t>RANK3</t>
  </si>
  <si>
    <t>RANK4</t>
  </si>
  <si>
    <t>RANK5</t>
  </si>
  <si>
    <t>RANK6</t>
  </si>
  <si>
    <t>합계</t>
    <phoneticPr fontId="2" type="noConversion"/>
  </si>
  <si>
    <t>범위</t>
    <phoneticPr fontId="2" type="noConversion"/>
  </si>
  <si>
    <t>구분</t>
    <phoneticPr fontId="2" type="noConversion"/>
  </si>
  <si>
    <t>회수</t>
    <phoneticPr fontId="2" type="noConversion"/>
  </si>
  <si>
    <t>점유율</t>
    <phoneticPr fontId="2" type="noConversion"/>
  </si>
  <si>
    <t>계</t>
    <phoneticPr fontId="2" type="noConversion"/>
  </si>
  <si>
    <t>최근 출현수</t>
    <phoneticPr fontId="2" type="noConversion"/>
  </si>
  <si>
    <t>2012.06.02</t>
    <phoneticPr fontId="2" type="noConversion"/>
  </si>
  <si>
    <t>2012.06.09</t>
    <phoneticPr fontId="2" type="noConversion"/>
  </si>
  <si>
    <t>2012.06.16</t>
    <phoneticPr fontId="2" type="noConversion"/>
  </si>
  <si>
    <t>2012.06.23</t>
    <phoneticPr fontId="2" type="noConversion"/>
  </si>
  <si>
    <t>2012.06.30</t>
    <phoneticPr fontId="2" type="noConversion"/>
  </si>
  <si>
    <t>2012.07.07</t>
    <phoneticPr fontId="2" type="noConversion"/>
  </si>
  <si>
    <t>0:6</t>
    <phoneticPr fontId="2" type="noConversion"/>
  </si>
  <si>
    <t>2012.07.14</t>
    <phoneticPr fontId="2" type="noConversion"/>
  </si>
  <si>
    <t>2012.07.21</t>
    <phoneticPr fontId="2" type="noConversion"/>
  </si>
  <si>
    <t>2012.07.28</t>
    <phoneticPr fontId="2" type="noConversion"/>
  </si>
  <si>
    <t>2012.08.04</t>
    <phoneticPr fontId="2" type="noConversion"/>
  </si>
  <si>
    <t>2012.08.11</t>
    <phoneticPr fontId="2" type="noConversion"/>
  </si>
  <si>
    <t>2012.08.18</t>
    <phoneticPr fontId="2" type="noConversion"/>
  </si>
  <si>
    <t>2012.08.25</t>
    <phoneticPr fontId="2" type="noConversion"/>
  </si>
  <si>
    <t>2012.09.01</t>
    <phoneticPr fontId="2" type="noConversion"/>
  </si>
  <si>
    <t>2012.09.08</t>
    <phoneticPr fontId="2" type="noConversion"/>
  </si>
  <si>
    <t>2012.09.15</t>
    <phoneticPr fontId="2" type="noConversion"/>
  </si>
  <si>
    <t>2012.09.22</t>
    <phoneticPr fontId="2" type="noConversion"/>
  </si>
  <si>
    <t>2012.09.29</t>
    <phoneticPr fontId="2" type="noConversion"/>
  </si>
  <si>
    <t>2012.10.06</t>
    <phoneticPr fontId="2" type="noConversion"/>
  </si>
  <si>
    <t>2012.10.13</t>
    <phoneticPr fontId="2" type="noConversion"/>
  </si>
  <si>
    <t>2012.10.20</t>
    <phoneticPr fontId="2" type="noConversion"/>
  </si>
  <si>
    <t>2012.10.27</t>
    <phoneticPr fontId="2" type="noConversion"/>
  </si>
  <si>
    <t>2012.11.03</t>
    <phoneticPr fontId="2" type="noConversion"/>
  </si>
  <si>
    <t>2012.11.10</t>
    <phoneticPr fontId="2" type="noConversion"/>
  </si>
  <si>
    <t>2012.11.17</t>
    <phoneticPr fontId="2" type="noConversion"/>
  </si>
  <si>
    <t>2012.11.24</t>
    <phoneticPr fontId="2" type="noConversion"/>
  </si>
  <si>
    <t>2012.12.01</t>
    <phoneticPr fontId="2" type="noConversion"/>
  </si>
  <si>
    <t>2012.12.08</t>
    <phoneticPr fontId="2" type="noConversion"/>
  </si>
  <si>
    <t>2012.12.15</t>
    <phoneticPr fontId="2" type="noConversion"/>
  </si>
  <si>
    <t>10회출현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</si>
  <si>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</si>
  <si>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</si>
  <si>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</si>
  <si>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</si>
  <si>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</si>
  <si>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</si>
  <si>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</si>
  <si>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</si>
  <si>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13-1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</si>
  <si>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14-1</t>
    </r>
    <phoneticPr fontId="2" type="noConversion"/>
  </si>
  <si>
    <t>2012.12.22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</si>
  <si>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</si>
  <si>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</si>
  <si>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</si>
  <si>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26</t>
    </r>
    <r>
      <rPr>
        <sz val="11"/>
        <color theme="1"/>
        <rFont val="맑은 고딕"/>
        <family val="2"/>
        <charset val="129"/>
        <scheme val="minor"/>
      </rPr>
      <t/>
    </r>
  </si>
  <si>
    <t>10.pattern</t>
  </si>
  <si>
    <t>11.pattern</t>
  </si>
  <si>
    <t>12.pattern</t>
  </si>
  <si>
    <t>13.pattern</t>
  </si>
  <si>
    <t>14.pattern</t>
  </si>
  <si>
    <t>15.pattern</t>
  </si>
  <si>
    <t>2012.12.29</t>
    <phoneticPr fontId="2" type="noConversion"/>
  </si>
  <si>
    <t>1G</t>
    <phoneticPr fontId="2" type="noConversion"/>
  </si>
  <si>
    <t>3G</t>
    <phoneticPr fontId="2" type="noConversion"/>
  </si>
  <si>
    <t>2013.01.05</t>
    <phoneticPr fontId="2" type="noConversion"/>
  </si>
  <si>
    <t>2013.01.12</t>
    <phoneticPr fontId="2" type="noConversion"/>
  </si>
  <si>
    <t>529ok</t>
    <phoneticPr fontId="2" type="noConversion"/>
  </si>
  <si>
    <t>2013.01.19</t>
    <phoneticPr fontId="2" type="noConversion"/>
  </si>
  <si>
    <t>2013.01.26</t>
    <phoneticPr fontId="2" type="noConversion"/>
  </si>
  <si>
    <t>2013.02.02</t>
    <phoneticPr fontId="2" type="noConversion"/>
  </si>
  <si>
    <t>2013.02.09</t>
    <phoneticPr fontId="2" type="noConversion"/>
  </si>
  <si>
    <t>2:4</t>
    <phoneticPr fontId="2" type="noConversion"/>
  </si>
  <si>
    <t>3:3</t>
    <phoneticPr fontId="2" type="noConversion"/>
  </si>
  <si>
    <t>4:2</t>
    <phoneticPr fontId="2" type="noConversion"/>
  </si>
  <si>
    <t>2013.02.16</t>
    <phoneticPr fontId="2" type="noConversion"/>
  </si>
  <si>
    <t>2013.02.23</t>
    <phoneticPr fontId="2" type="noConversion"/>
  </si>
  <si>
    <t>제외수1</t>
    <phoneticPr fontId="2" type="noConversion"/>
  </si>
  <si>
    <t>제외수3</t>
    <phoneticPr fontId="2" type="noConversion"/>
  </si>
  <si>
    <t>제외수6</t>
    <phoneticPr fontId="2" type="noConversion"/>
  </si>
  <si>
    <t>제외수7</t>
    <phoneticPr fontId="2" type="noConversion"/>
  </si>
  <si>
    <t>제외수4</t>
    <phoneticPr fontId="2" type="noConversion"/>
  </si>
  <si>
    <t>제외수5</t>
    <phoneticPr fontId="2" type="noConversion"/>
  </si>
  <si>
    <t>제외수8</t>
    <phoneticPr fontId="2" type="noConversion"/>
  </si>
  <si>
    <t>2013.03.02</t>
    <phoneticPr fontId="2" type="noConversion"/>
  </si>
  <si>
    <r>
      <rPr>
        <sz val="11"/>
        <color theme="1"/>
        <rFont val="돋움"/>
        <family val="3"/>
        <charset val="129"/>
      </rPr>
      <t>같은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호기의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숫자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출현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빈도에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따라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우선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순위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배정해야함</t>
    </r>
    <r>
      <rPr>
        <sz val="11"/>
        <color theme="1"/>
        <rFont val="Arial Black"/>
        <family val="2"/>
      </rPr>
      <t>(1~40</t>
    </r>
    <r>
      <rPr>
        <sz val="11"/>
        <color theme="1"/>
        <rFont val="돋움"/>
        <family val="3"/>
        <charset val="129"/>
      </rPr>
      <t>순위까지</t>
    </r>
    <r>
      <rPr>
        <sz val="11"/>
        <color theme="1"/>
        <rFont val="Arial Black"/>
        <family val="2"/>
      </rPr>
      <t xml:space="preserve">), </t>
    </r>
    <r>
      <rPr>
        <sz val="11"/>
        <color theme="1"/>
        <rFont val="돋움"/>
        <family val="3"/>
        <charset val="129"/>
      </rPr>
      <t>나머지</t>
    </r>
    <r>
      <rPr>
        <sz val="11"/>
        <color theme="1"/>
        <rFont val="Arial Black"/>
        <family val="2"/>
      </rPr>
      <t xml:space="preserve"> 5</t>
    </r>
    <r>
      <rPr>
        <sz val="11"/>
        <color theme="1"/>
        <rFont val="돋움"/>
        <family val="3"/>
        <charset val="129"/>
      </rPr>
      <t>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수는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제외수로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활용</t>
    </r>
    <phoneticPr fontId="2" type="noConversion"/>
  </si>
  <si>
    <t>4:2</t>
    <phoneticPr fontId="2" type="noConversion"/>
  </si>
  <si>
    <t>2013.03.09</t>
    <phoneticPr fontId="2" type="noConversion"/>
  </si>
  <si>
    <r>
      <rPr>
        <sz val="11"/>
        <color theme="1"/>
        <rFont val="돋움"/>
        <family val="3"/>
        <charset val="129"/>
      </rPr>
      <t>집계</t>
    </r>
    <r>
      <rPr>
        <sz val="11"/>
        <color theme="1"/>
        <rFont val="Arial Black"/>
        <family val="2"/>
      </rPr>
      <t>(6M)</t>
    </r>
    <r>
      <rPr>
        <sz val="11"/>
        <color theme="1"/>
        <rFont val="돋움"/>
        <family val="3"/>
        <charset val="129"/>
      </rPr>
      <t>에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기초하여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작성</t>
    </r>
    <phoneticPr fontId="2" type="noConversion"/>
  </si>
  <si>
    <t>1:5</t>
    <phoneticPr fontId="2" type="noConversion"/>
  </si>
  <si>
    <r>
      <rPr>
        <sz val="11"/>
        <color theme="1"/>
        <rFont val="돋움"/>
        <family val="3"/>
        <charset val="129"/>
      </rPr>
      <t>삼그룹은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총집계에서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산출</t>
    </r>
    <phoneticPr fontId="2" type="noConversion"/>
  </si>
  <si>
    <r>
      <rPr>
        <sz val="11"/>
        <color theme="1"/>
        <rFont val="돋움"/>
        <family val="3"/>
        <charset val="129"/>
      </rPr>
      <t>색있는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곳에서</t>
    </r>
    <r>
      <rPr>
        <sz val="11"/>
        <color theme="1"/>
        <rFont val="Arial Black"/>
        <family val="2"/>
      </rPr>
      <t>2</t>
    </r>
    <r>
      <rPr>
        <sz val="11"/>
        <color theme="1"/>
        <rFont val="돋움"/>
        <family val="3"/>
        <charset val="129"/>
      </rPr>
      <t>개이하면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합격</t>
    </r>
    <r>
      <rPr>
        <sz val="11"/>
        <color theme="1"/>
        <rFont val="Arial Black"/>
        <family val="2"/>
      </rPr>
      <t>(</t>
    </r>
    <r>
      <rPr>
        <sz val="11"/>
        <color theme="1"/>
        <rFont val="돋움"/>
        <family val="3"/>
        <charset val="129"/>
      </rPr>
      <t>단</t>
    </r>
    <r>
      <rPr>
        <sz val="11"/>
        <color theme="1"/>
        <rFont val="Arial Black"/>
        <family val="2"/>
      </rPr>
      <t xml:space="preserve"> AC</t>
    </r>
    <r>
      <rPr>
        <sz val="11"/>
        <color theme="1"/>
        <rFont val="돋움"/>
        <family val="3"/>
        <charset val="129"/>
      </rPr>
      <t>값은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합격이어야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함</t>
    </r>
    <r>
      <rPr>
        <sz val="11"/>
        <color theme="1"/>
        <rFont val="Arial Black"/>
        <family val="2"/>
      </rPr>
      <t>)</t>
    </r>
    <phoneticPr fontId="2" type="noConversion"/>
  </si>
  <si>
    <t>2013.03.16</t>
    <phoneticPr fontId="2" type="noConversion"/>
  </si>
  <si>
    <t>2013.03.23</t>
    <phoneticPr fontId="2" type="noConversion"/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</si>
  <si>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</si>
  <si>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</si>
  <si>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</si>
  <si>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</si>
  <si>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</si>
  <si>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</si>
  <si>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</si>
  <si>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</si>
  <si>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</si>
  <si>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no25</t>
  </si>
  <si>
    <t>no26</t>
  </si>
  <si>
    <t>no27</t>
  </si>
  <si>
    <t>no28</t>
  </si>
  <si>
    <t>no29</t>
  </si>
  <si>
    <t>no30</t>
  </si>
  <si>
    <t>no31</t>
  </si>
  <si>
    <t>no32</t>
  </si>
  <si>
    <t>no33</t>
  </si>
  <si>
    <t>no34</t>
  </si>
  <si>
    <t>no35</t>
  </si>
  <si>
    <r>
      <t>1~10 AC</t>
    </r>
    <r>
      <rPr>
        <sz val="11"/>
        <color theme="1"/>
        <rFont val="돋움"/>
        <family val="3"/>
        <charset val="129"/>
      </rPr>
      <t>값은</t>
    </r>
    <r>
      <rPr>
        <sz val="11"/>
        <color theme="1"/>
        <rFont val="Arial Black"/>
        <family val="2"/>
      </rPr>
      <t xml:space="preserve"> +1</t>
    </r>
    <r>
      <rPr>
        <sz val="11"/>
        <color theme="1"/>
        <rFont val="돋움"/>
        <family val="3"/>
        <charset val="129"/>
      </rPr>
      <t>자리임</t>
    </r>
    <r>
      <rPr>
        <sz val="11"/>
        <color theme="1"/>
        <rFont val="Arial Black"/>
        <family val="2"/>
      </rPr>
      <t>…</t>
    </r>
    <phoneticPr fontId="2" type="noConversion"/>
  </si>
  <si>
    <t>2013.03.30</t>
    <phoneticPr fontId="2" type="noConversion"/>
  </si>
  <si>
    <t>2013.04.06</t>
    <phoneticPr fontId="2" type="noConversion"/>
  </si>
  <si>
    <t>2013.04.13</t>
    <phoneticPr fontId="2" type="noConversion"/>
  </si>
  <si>
    <t>2013.04.20</t>
    <phoneticPr fontId="2" type="noConversion"/>
  </si>
  <si>
    <t>2013.04.27</t>
    <phoneticPr fontId="2" type="noConversion"/>
  </si>
  <si>
    <t>제외수9</t>
    <phoneticPr fontId="2" type="noConversion"/>
  </si>
  <si>
    <t>2013.05.04</t>
    <phoneticPr fontId="2" type="noConversion"/>
  </si>
  <si>
    <t>2013.05.11</t>
    <phoneticPr fontId="2" type="noConversion"/>
  </si>
  <si>
    <t>2013.05.18</t>
    <phoneticPr fontId="2" type="noConversion"/>
  </si>
  <si>
    <t>2013.05.25</t>
    <phoneticPr fontId="2" type="noConversion"/>
  </si>
  <si>
    <t>제외수11</t>
    <phoneticPr fontId="2" type="noConversion"/>
  </si>
  <si>
    <t>제외수10</t>
    <phoneticPr fontId="2" type="noConversion"/>
  </si>
  <si>
    <t>2013.06.01</t>
    <phoneticPr fontId="2" type="noConversion"/>
  </si>
  <si>
    <t>2013.06.08</t>
    <phoneticPr fontId="2" type="noConversion"/>
  </si>
  <si>
    <t>2013.06.15</t>
    <phoneticPr fontId="2" type="noConversion"/>
  </si>
  <si>
    <t>2013.06.22</t>
    <phoneticPr fontId="2" type="noConversion"/>
  </si>
  <si>
    <r>
      <rPr>
        <sz val="11"/>
        <color theme="1"/>
        <rFont val="돋움"/>
        <family val="3"/>
        <charset val="129"/>
      </rPr>
      <t>집계에서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홀짝</t>
    </r>
    <r>
      <rPr>
        <sz val="11"/>
        <color theme="1"/>
        <rFont val="Arial Black"/>
        <family val="2"/>
      </rPr>
      <t>,</t>
    </r>
    <r>
      <rPr>
        <sz val="11"/>
        <color theme="1"/>
        <rFont val="돋움"/>
        <family val="3"/>
        <charset val="129"/>
      </rPr>
      <t>저고</t>
    </r>
    <r>
      <rPr>
        <sz val="11"/>
        <color theme="1"/>
        <rFont val="Arial Black"/>
        <family val="2"/>
      </rPr>
      <t>,</t>
    </r>
    <r>
      <rPr>
        <sz val="11"/>
        <color theme="1"/>
        <rFont val="돋움"/>
        <family val="3"/>
        <charset val="129"/>
      </rPr>
      <t>소수는</t>
    </r>
    <r>
      <rPr>
        <sz val="11"/>
        <color theme="1"/>
        <rFont val="Arial Black"/>
        <family val="2"/>
      </rPr>
      <t xml:space="preserve"> 3</t>
    </r>
    <r>
      <rPr>
        <sz val="11"/>
        <color theme="1"/>
        <rFont val="돋움"/>
        <family val="3"/>
        <charset val="129"/>
      </rPr>
      <t>개만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적용</t>
    </r>
    <r>
      <rPr>
        <sz val="11"/>
        <color theme="1"/>
        <rFont val="Arial Black"/>
        <family val="2"/>
      </rPr>
      <t xml:space="preserve">, </t>
    </r>
    <r>
      <rPr>
        <sz val="11"/>
        <color theme="1"/>
        <rFont val="돋움"/>
        <family val="3"/>
        <charset val="129"/>
      </rPr>
      <t>삼그룹은</t>
    </r>
    <r>
      <rPr>
        <sz val="11"/>
        <color theme="1"/>
        <rFont val="Arial Black"/>
        <family val="2"/>
      </rPr>
      <t xml:space="preserve"> 5</t>
    </r>
    <r>
      <rPr>
        <sz val="11"/>
        <color theme="1"/>
        <rFont val="돋움"/>
        <family val="3"/>
        <charset val="129"/>
      </rPr>
      <t>개만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적용</t>
    </r>
    <phoneticPr fontId="2" type="noConversion"/>
  </si>
  <si>
    <r>
      <rPr>
        <sz val="10"/>
        <rFont val="돋움"/>
        <family val="3"/>
        <charset val="129"/>
      </rPr>
      <t>수합계</t>
    </r>
    <r>
      <rPr>
        <sz val="10"/>
        <rFont val="Arial Black"/>
        <family val="2"/>
      </rPr>
      <t>90~180</t>
    </r>
    <phoneticPr fontId="2" type="noConversion"/>
  </si>
  <si>
    <t>2013.06.29</t>
    <phoneticPr fontId="2" type="noConversion"/>
  </si>
  <si>
    <t>2013.07.06</t>
    <phoneticPr fontId="2" type="noConversion"/>
  </si>
  <si>
    <t>2013.07.13</t>
    <phoneticPr fontId="2" type="noConversion"/>
  </si>
  <si>
    <t>2013.07.20</t>
    <phoneticPr fontId="2" type="noConversion"/>
  </si>
  <si>
    <t>2013.07.27</t>
    <phoneticPr fontId="2" type="noConversion"/>
  </si>
  <si>
    <t>2013.08.03</t>
    <phoneticPr fontId="2" type="noConversion"/>
  </si>
  <si>
    <t>2013.08.10</t>
    <phoneticPr fontId="2" type="noConversion"/>
  </si>
  <si>
    <t>2013.08.17</t>
    <phoneticPr fontId="2" type="noConversion"/>
  </si>
  <si>
    <t>수합계</t>
  </si>
  <si>
    <t>홀짝비</t>
  </si>
  <si>
    <t>저고수비</t>
  </si>
  <si>
    <t>끝수합계</t>
  </si>
  <si>
    <t>소수출현비</t>
  </si>
  <si>
    <t>5회 낙수</t>
    <phoneticPr fontId="2" type="noConversion"/>
  </si>
  <si>
    <t>2013.08.24</t>
    <phoneticPr fontId="2" type="noConversion"/>
  </si>
  <si>
    <t>2013.08.31</t>
    <phoneticPr fontId="2" type="noConversion"/>
  </si>
  <si>
    <t>2013.09.07</t>
    <phoneticPr fontId="2" type="noConversion"/>
  </si>
  <si>
    <t>2013.09.14</t>
    <phoneticPr fontId="2" type="noConversion"/>
  </si>
  <si>
    <t>2013.09.21</t>
    <phoneticPr fontId="2" type="noConversion"/>
  </si>
  <si>
    <t>2013.09.28</t>
    <phoneticPr fontId="2" type="noConversion"/>
  </si>
  <si>
    <t>2013.10.05</t>
    <phoneticPr fontId="2" type="noConversion"/>
  </si>
  <si>
    <t>2013.10.12</t>
    <phoneticPr fontId="2" type="noConversion"/>
  </si>
  <si>
    <t>2013.10.19</t>
    <phoneticPr fontId="2" type="noConversion"/>
  </si>
  <si>
    <t>2013.10.26</t>
    <phoneticPr fontId="2" type="noConversion"/>
  </si>
  <si>
    <t>2013.11.02</t>
    <phoneticPr fontId="2" type="noConversion"/>
  </si>
  <si>
    <t>2013.11.09</t>
    <phoneticPr fontId="2" type="noConversion"/>
  </si>
  <si>
    <t>2013.11.16</t>
    <phoneticPr fontId="2" type="noConversion"/>
  </si>
  <si>
    <t>집계(6M)</t>
    <phoneticPr fontId="2" type="noConversion"/>
  </si>
  <si>
    <t>23수</t>
    <phoneticPr fontId="2" type="noConversion"/>
  </si>
  <si>
    <t>2013.11.23</t>
    <phoneticPr fontId="2" type="noConversion"/>
  </si>
  <si>
    <t>15회 이상 출</t>
    <phoneticPr fontId="2" type="noConversion"/>
  </si>
  <si>
    <t>5회 이상 출</t>
    <phoneticPr fontId="2" type="noConversion"/>
  </si>
  <si>
    <t>총집계수</t>
    <phoneticPr fontId="2" type="noConversion"/>
  </si>
  <si>
    <t>1~4주 당번</t>
    <phoneticPr fontId="2" type="noConversion"/>
  </si>
  <si>
    <t>6M 집계수</t>
    <phoneticPr fontId="2" type="noConversion"/>
  </si>
  <si>
    <t>20주 집계수</t>
    <phoneticPr fontId="2" type="noConversion"/>
  </si>
  <si>
    <t>1~3주 당번</t>
    <phoneticPr fontId="2" type="noConversion"/>
  </si>
  <si>
    <t>1주 당번</t>
    <phoneticPr fontId="2" type="noConversion"/>
  </si>
  <si>
    <t>1~2주 당번</t>
    <phoneticPr fontId="2" type="noConversion"/>
  </si>
  <si>
    <t>5-15중복수</t>
    <phoneticPr fontId="2" type="noConversion"/>
  </si>
  <si>
    <t>2014.08.02</t>
    <phoneticPr fontId="2" type="noConversion"/>
  </si>
  <si>
    <t>2014.07.26</t>
    <phoneticPr fontId="2" type="noConversion"/>
  </si>
  <si>
    <t>2014.07.19</t>
    <phoneticPr fontId="2" type="noConversion"/>
  </si>
  <si>
    <t>2014.07.12</t>
    <phoneticPr fontId="2" type="noConversion"/>
  </si>
  <si>
    <t>2014.07.05</t>
    <phoneticPr fontId="2" type="noConversion"/>
  </si>
  <si>
    <t>2014.06.28</t>
    <phoneticPr fontId="2" type="noConversion"/>
  </si>
  <si>
    <t>2014.06.21</t>
    <phoneticPr fontId="2" type="noConversion"/>
  </si>
  <si>
    <t>2014.06.14</t>
    <phoneticPr fontId="2" type="noConversion"/>
  </si>
  <si>
    <t>2014.06.07</t>
    <phoneticPr fontId="2" type="noConversion"/>
  </si>
  <si>
    <t>2014.05.31</t>
    <phoneticPr fontId="2" type="noConversion"/>
  </si>
  <si>
    <t>2014.05.24</t>
    <phoneticPr fontId="2" type="noConversion"/>
  </si>
  <si>
    <t>2014.05.17</t>
    <phoneticPr fontId="2" type="noConversion"/>
  </si>
  <si>
    <t>2014.05.10</t>
    <phoneticPr fontId="2" type="noConversion"/>
  </si>
  <si>
    <t>2014.05.03</t>
    <phoneticPr fontId="2" type="noConversion"/>
  </si>
  <si>
    <t>2014.04.26</t>
    <phoneticPr fontId="2" type="noConversion"/>
  </si>
  <si>
    <t>2014.04.19</t>
    <phoneticPr fontId="2" type="noConversion"/>
  </si>
  <si>
    <t>2014.04.12</t>
    <phoneticPr fontId="2" type="noConversion"/>
  </si>
  <si>
    <t>2014.04.05</t>
    <phoneticPr fontId="2" type="noConversion"/>
  </si>
  <si>
    <t>2014.03.29</t>
    <phoneticPr fontId="2" type="noConversion"/>
  </si>
  <si>
    <t>2014.03.22</t>
    <phoneticPr fontId="2" type="noConversion"/>
  </si>
  <si>
    <t>2014.03.15</t>
    <phoneticPr fontId="2" type="noConversion"/>
  </si>
  <si>
    <t>2014.03.08</t>
    <phoneticPr fontId="2" type="noConversion"/>
  </si>
  <si>
    <t>2014.03.01</t>
    <phoneticPr fontId="2" type="noConversion"/>
  </si>
  <si>
    <t>2014.06.28</t>
    <phoneticPr fontId="2" type="noConversion"/>
  </si>
  <si>
    <t>2014.07.05</t>
    <phoneticPr fontId="2" type="noConversion"/>
  </si>
  <si>
    <t>2014.07.12</t>
    <phoneticPr fontId="2" type="noConversion"/>
  </si>
  <si>
    <t>2014.07.19</t>
    <phoneticPr fontId="2" type="noConversion"/>
  </si>
  <si>
    <t>2014.07.26</t>
    <phoneticPr fontId="2" type="noConversion"/>
  </si>
  <si>
    <t>2014.08.02</t>
    <phoneticPr fontId="2" type="noConversion"/>
  </si>
  <si>
    <t>2014.08.09</t>
    <phoneticPr fontId="2" type="noConversion"/>
  </si>
  <si>
    <t>2014.08.16</t>
    <phoneticPr fontId="2" type="noConversion"/>
  </si>
  <si>
    <t>2014.08.23</t>
    <phoneticPr fontId="2" type="noConversion"/>
  </si>
  <si>
    <t>2014.08.30</t>
    <phoneticPr fontId="2" type="noConversion"/>
  </si>
  <si>
    <t>2014.09.06</t>
    <phoneticPr fontId="2" type="noConversion"/>
  </si>
  <si>
    <t>2014.09.13</t>
    <phoneticPr fontId="2" type="noConversion"/>
  </si>
  <si>
    <t>2014.09.20</t>
    <phoneticPr fontId="2" type="noConversion"/>
  </si>
  <si>
    <t>2014.09.27</t>
    <phoneticPr fontId="2" type="noConversion"/>
  </si>
  <si>
    <t>2014.10.04</t>
    <phoneticPr fontId="2" type="noConversion"/>
  </si>
  <si>
    <t>2014.10.11</t>
    <phoneticPr fontId="2" type="noConversion"/>
  </si>
  <si>
    <t>2014.10.18</t>
    <phoneticPr fontId="2" type="noConversion"/>
  </si>
  <si>
    <t>2014.10.25</t>
    <phoneticPr fontId="2" type="noConversion"/>
  </si>
  <si>
    <t>2014.11.01</t>
    <phoneticPr fontId="2" type="noConversion"/>
  </si>
  <si>
    <t>5회 이상 수</t>
  </si>
  <si>
    <t>15회 이상 수</t>
  </si>
  <si>
    <t>1~4주 당번</t>
  </si>
  <si>
    <t>6M 집계수</t>
  </si>
  <si>
    <t>20주 집계수</t>
  </si>
  <si>
    <t>1~3주 당번</t>
  </si>
  <si>
    <t>1주 당번</t>
  </si>
  <si>
    <t>1~2주 당번</t>
  </si>
  <si>
    <t>5-15중복수</t>
  </si>
  <si>
    <t>5회낙수</t>
  </si>
  <si>
    <t>2014.11.08</t>
    <phoneticPr fontId="2" type="noConversion"/>
  </si>
  <si>
    <t>2014.11.15</t>
  </si>
  <si>
    <t>2014.11.22</t>
  </si>
  <si>
    <t>총집계</t>
  </si>
  <si>
    <t>2014.11.29</t>
    <phoneticPr fontId="2" type="noConversion"/>
  </si>
  <si>
    <t>2014.12.06</t>
    <phoneticPr fontId="2" type="noConversion"/>
  </si>
  <si>
    <t>2014.12.13</t>
    <phoneticPr fontId="2" type="noConversion"/>
  </si>
  <si>
    <t>2014.12.20</t>
    <phoneticPr fontId="2" type="noConversion"/>
  </si>
  <si>
    <t>2014.12.27</t>
    <phoneticPr fontId="2" type="noConversion"/>
  </si>
  <si>
    <t>2015.01.03</t>
    <phoneticPr fontId="2" type="noConversion"/>
  </si>
  <si>
    <t>2015.01.10</t>
    <phoneticPr fontId="2" type="noConversion"/>
  </si>
  <si>
    <t>2015.01.17</t>
    <phoneticPr fontId="2" type="noConversion"/>
  </si>
  <si>
    <t>2015.01.24</t>
    <phoneticPr fontId="2" type="noConversion"/>
  </si>
  <si>
    <t>2015.01.31</t>
    <phoneticPr fontId="2" type="noConversion"/>
  </si>
  <si>
    <t>2015.02.07</t>
    <phoneticPr fontId="2" type="noConversion"/>
  </si>
  <si>
    <t>2015.02.14</t>
    <phoneticPr fontId="2" type="noConversion"/>
  </si>
  <si>
    <t>2015.02.21</t>
    <phoneticPr fontId="2" type="noConversion"/>
  </si>
  <si>
    <t>2015.02.28</t>
    <phoneticPr fontId="2" type="noConversion"/>
  </si>
  <si>
    <t>2015.03.07</t>
    <phoneticPr fontId="2" type="noConversion"/>
  </si>
  <si>
    <t>2015.03.14</t>
    <phoneticPr fontId="2" type="noConversion"/>
  </si>
  <si>
    <t>2015.03.21</t>
    <phoneticPr fontId="2" type="noConversion"/>
  </si>
  <si>
    <t>2015.03.27</t>
    <phoneticPr fontId="2" type="noConversion"/>
  </si>
  <si>
    <t>2015.04.04</t>
    <phoneticPr fontId="2" type="noConversion"/>
  </si>
  <si>
    <t>2015.04.11</t>
    <phoneticPr fontId="2" type="noConversion"/>
  </si>
  <si>
    <t>2015.04.18</t>
    <phoneticPr fontId="2" type="noConversion"/>
  </si>
  <si>
    <t>2015.04.25</t>
    <phoneticPr fontId="2" type="noConversion"/>
  </si>
  <si>
    <t>2015.05.02</t>
    <phoneticPr fontId="2" type="noConversion"/>
  </si>
  <si>
    <t>2015.05.09</t>
    <phoneticPr fontId="2" type="noConversion"/>
  </si>
  <si>
    <t>2015.05.16</t>
  </si>
  <si>
    <t>2015.05.23</t>
  </si>
  <si>
    <t>2015.05.30</t>
  </si>
  <si>
    <t>2015.06.06</t>
    <phoneticPr fontId="2" type="noConversion"/>
  </si>
  <si>
    <t>2015.06.13</t>
    <phoneticPr fontId="2" type="noConversion"/>
  </si>
  <si>
    <t>2015.06.20</t>
  </si>
  <si>
    <t>2015.06.27</t>
  </si>
  <si>
    <t>2015.07.04</t>
    <phoneticPr fontId="2" type="noConversion"/>
  </si>
  <si>
    <t>2015.07.11</t>
    <phoneticPr fontId="2" type="noConversion"/>
  </si>
  <si>
    <t>2015.07.18</t>
  </si>
  <si>
    <t>01</t>
    <phoneticPr fontId="2" type="noConversion"/>
  </si>
  <si>
    <t>2015.07.25</t>
  </si>
  <si>
    <t>2015.08.01</t>
    <phoneticPr fontId="2" type="noConversion"/>
  </si>
  <si>
    <t>2015.08.08</t>
    <phoneticPr fontId="2" type="noConversion"/>
  </si>
  <si>
    <t>2015.08.15</t>
  </si>
  <si>
    <t>2015.08.22</t>
  </si>
  <si>
    <t>2015.08.29</t>
  </si>
  <si>
    <t>2015.09.05</t>
    <phoneticPr fontId="2" type="noConversion"/>
  </si>
  <si>
    <t>2015.09.12</t>
    <phoneticPr fontId="2" type="noConversion"/>
  </si>
  <si>
    <t>2015.09.19</t>
  </si>
  <si>
    <t>2015.09.26</t>
  </si>
  <si>
    <t>2015.10.03</t>
    <phoneticPr fontId="2" type="noConversion"/>
  </si>
  <si>
    <t>2015.10.10</t>
    <phoneticPr fontId="2" type="noConversion"/>
  </si>
  <si>
    <t>2015.10.17</t>
    <phoneticPr fontId="2" type="noConversion"/>
  </si>
  <si>
    <t>2015.10.24</t>
  </si>
  <si>
    <t>2015.10.31</t>
  </si>
  <si>
    <t>2015.11.07</t>
    <phoneticPr fontId="2" type="noConversion"/>
  </si>
  <si>
    <t>2015.11.14</t>
    <phoneticPr fontId="2" type="noConversion"/>
  </si>
  <si>
    <t>2015.11.21</t>
  </si>
  <si>
    <t>2015.11.28</t>
  </si>
  <si>
    <t>2015.12.05</t>
    <phoneticPr fontId="2" type="noConversion"/>
  </si>
  <si>
    <t>2015.12.12</t>
    <phoneticPr fontId="2" type="noConversion"/>
  </si>
  <si>
    <t>2015.12.19</t>
  </si>
  <si>
    <t>2015.12.26</t>
  </si>
  <si>
    <t>2016.01.02</t>
    <phoneticPr fontId="2" type="noConversion"/>
  </si>
  <si>
    <t>2016.01.09</t>
    <phoneticPr fontId="2" type="noConversion"/>
  </si>
  <si>
    <t>2016.01.16</t>
  </si>
  <si>
    <t>2016.01.23</t>
  </si>
  <si>
    <t>2016.01.30</t>
  </si>
  <si>
    <t>2016.02.06</t>
    <phoneticPr fontId="2" type="noConversion"/>
  </si>
  <si>
    <t>2016.02.13</t>
    <phoneticPr fontId="2" type="noConversion"/>
  </si>
  <si>
    <t>2016.02.20</t>
  </si>
  <si>
    <t>2016.02.27</t>
  </si>
  <si>
    <t>2016.03.05</t>
    <phoneticPr fontId="2" type="noConversion"/>
  </si>
  <si>
    <t>2016.03.12</t>
    <phoneticPr fontId="2" type="noConversion"/>
  </si>
  <si>
    <t>2016.03.19</t>
  </si>
  <si>
    <t>2016.03.26</t>
  </si>
  <si>
    <t>2016.04.02</t>
    <phoneticPr fontId="2" type="noConversion"/>
  </si>
  <si>
    <t>2016.04.09</t>
    <phoneticPr fontId="2" type="noConversion"/>
  </si>
  <si>
    <t>2016.04.16</t>
    <phoneticPr fontId="2" type="noConversion"/>
  </si>
  <si>
    <t>2016.04.23</t>
  </si>
  <si>
    <t>2016.04.30</t>
  </si>
  <si>
    <t>2016.05.07</t>
    <phoneticPr fontId="2" type="noConversion"/>
  </si>
  <si>
    <t>2016.05.14</t>
    <phoneticPr fontId="2" type="noConversion"/>
  </si>
  <si>
    <t>2016.05.21</t>
  </si>
  <si>
    <t>2016.05.28</t>
  </si>
  <si>
    <t>2016.06.04</t>
    <phoneticPr fontId="2" type="noConversion"/>
  </si>
  <si>
    <t>2016.06.11</t>
    <phoneticPr fontId="2" type="noConversion"/>
  </si>
  <si>
    <t>2016.06.18</t>
    <phoneticPr fontId="2" type="noConversion"/>
  </si>
  <si>
    <t>2016.06.25</t>
  </si>
  <si>
    <t>2016.07.02</t>
    <phoneticPr fontId="2" type="noConversion"/>
  </si>
  <si>
    <t>2016.07.09</t>
    <phoneticPr fontId="2" type="noConversion"/>
  </si>
  <si>
    <t>2016.07.16</t>
  </si>
  <si>
    <t>2016.07.23</t>
  </si>
  <si>
    <t>2016.07.30</t>
  </si>
  <si>
    <t>2016.08.06</t>
    <phoneticPr fontId="2" type="noConversion"/>
  </si>
  <si>
    <t>2016.08.13</t>
    <phoneticPr fontId="2" type="noConversion"/>
  </si>
  <si>
    <t>2016.08.20</t>
    <phoneticPr fontId="2" type="noConversion"/>
  </si>
  <si>
    <t>2016.08.27</t>
  </si>
  <si>
    <t>2016.09.03</t>
    <phoneticPr fontId="2" type="noConversion"/>
  </si>
  <si>
    <t>2016.09.10</t>
    <phoneticPr fontId="2" type="noConversion"/>
  </si>
  <si>
    <t>2016.09.17</t>
  </si>
  <si>
    <t>2016.09.24</t>
  </si>
  <si>
    <t>2016.10.01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</si>
</sst>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_ "/>
    <numFmt numFmtId="177" formatCode="0.0%"/>
    <numFmt numFmtId="178" formatCode="0_);[Red]\(0\)"/>
  </numFmts>
  <fonts count="6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theme="1"/>
      <name val="Arial Black"/>
      <family val="2"/>
    </font>
    <font>
      <sz val="14"/>
      <color theme="1"/>
      <name val="맑은 고딕"/>
      <family val="3"/>
      <charset val="129"/>
    </font>
    <font>
      <sz val="10"/>
      <color theme="1"/>
      <name val="Arial Black"/>
      <family val="2"/>
    </font>
    <font>
      <sz val="11"/>
      <color theme="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color theme="1"/>
      <name val="HY헤드라인M"/>
      <family val="1"/>
      <charset val="129"/>
    </font>
    <font>
      <sz val="9"/>
      <color theme="0"/>
      <name val="맑은 고딕"/>
      <family val="3"/>
      <charset val="129"/>
      <scheme val="minor"/>
    </font>
    <font>
      <sz val="14"/>
      <color theme="1"/>
      <name val="Arial Black"/>
      <family val="2"/>
    </font>
    <font>
      <sz val="9"/>
      <color theme="1"/>
      <name val="Arial Black"/>
      <family val="2"/>
    </font>
    <font>
      <b/>
      <sz val="9"/>
      <color theme="0"/>
      <name val="맑은 고딕"/>
      <family val="3"/>
      <charset val="129"/>
      <scheme val="minor"/>
    </font>
    <font>
      <sz val="9"/>
      <color theme="0" tint="-4.9989318521683403E-2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FF00"/>
      <name val="돋움"/>
      <family val="3"/>
      <charset val="129"/>
    </font>
    <font>
      <sz val="11"/>
      <color rgb="FFFFFF00"/>
      <name val="Arial Black"/>
      <family val="2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11"/>
      <color theme="1"/>
      <name val="돋움"/>
      <family val="3"/>
      <charset val="129"/>
    </font>
    <font>
      <b/>
      <sz val="11"/>
      <color rgb="FFFFFF00"/>
      <name val="Arial Black"/>
      <family val="2"/>
    </font>
    <font>
      <b/>
      <sz val="11"/>
      <color rgb="FFFFFF00"/>
      <name val="돋움"/>
      <family val="3"/>
      <charset val="129"/>
    </font>
    <font>
      <b/>
      <sz val="9"/>
      <color rgb="FFFFFF0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10"/>
      <color theme="0" tint="-4.9989318521683403E-2"/>
      <name val="Arial Black"/>
      <family val="2"/>
    </font>
    <font>
      <sz val="10"/>
      <color theme="1"/>
      <name val="맑은 고딕"/>
      <family val="3"/>
      <charset val="129"/>
      <scheme val="major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Arial Black"/>
      <family val="2"/>
    </font>
    <font>
      <b/>
      <sz val="10"/>
      <name val="돋움"/>
      <family val="3"/>
      <charset val="129"/>
    </font>
    <font>
      <sz val="11"/>
      <name val="Arial Black"/>
      <family val="2"/>
    </font>
    <font>
      <sz val="10"/>
      <name val="돋움"/>
      <family val="3"/>
      <charset val="129"/>
    </font>
    <font>
      <sz val="11"/>
      <color rgb="FFFF0000"/>
      <name val="Arial Black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Arial Unicode MS"/>
      <family val="3"/>
      <charset val="129"/>
    </font>
    <font>
      <sz val="11"/>
      <name val="돋움"/>
      <family val="3"/>
      <charset val="129"/>
    </font>
  </fonts>
  <fills count="4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6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1450">
    <xf numFmtId="0" fontId="0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26" fillId="0" borderId="28" applyNumberFormat="0" applyFill="0" applyAlignment="0" applyProtection="0">
      <alignment vertical="center"/>
    </xf>
    <xf numFmtId="0" fontId="27" fillId="0" borderId="29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30" applyNumberFormat="0" applyAlignment="0" applyProtection="0">
      <alignment vertical="center"/>
    </xf>
    <xf numFmtId="0" fontId="32" fillId="18" borderId="31" applyNumberFormat="0" applyAlignment="0" applyProtection="0">
      <alignment vertical="center"/>
    </xf>
    <xf numFmtId="0" fontId="33" fillId="18" borderId="30" applyNumberFormat="0" applyAlignment="0" applyProtection="0">
      <alignment vertical="center"/>
    </xf>
    <xf numFmtId="0" fontId="34" fillId="0" borderId="32" applyNumberFormat="0" applyFill="0" applyAlignment="0" applyProtection="0">
      <alignment vertical="center"/>
    </xf>
    <xf numFmtId="0" fontId="35" fillId="19" borderId="33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6" fillId="20" borderId="34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35" applyNumberFormat="0" applyFill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39" fillId="44" borderId="0" applyNumberFormat="0" applyBorder="0" applyAlignment="0" applyProtection="0">
      <alignment vertical="center"/>
    </xf>
    <xf numFmtId="0" fontId="52" fillId="0" borderId="0"/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64" fillId="0" borderId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</cellStyleXfs>
  <cellXfs count="54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176" fontId="4" fillId="0" borderId="0" xfId="0" applyNumberFormat="1" applyFont="1">
      <alignment vertical="center"/>
    </xf>
    <xf numFmtId="0" fontId="8" fillId="0" borderId="0" xfId="0" quotePrefix="1" applyFont="1" applyFill="1">
      <alignment vertical="center"/>
    </xf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2" borderId="2" xfId="0" applyFont="1" applyFill="1" applyBorder="1">
      <alignment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Border="1">
      <alignment vertical="center"/>
    </xf>
    <xf numFmtId="0" fontId="11" fillId="0" borderId="0" xfId="0" applyFont="1">
      <alignment vertical="center"/>
    </xf>
    <xf numFmtId="3" fontId="11" fillId="0" borderId="0" xfId="0" applyNumberFormat="1" applyFont="1" applyBorder="1">
      <alignment vertical="center"/>
    </xf>
    <xf numFmtId="3" fontId="11" fillId="0" borderId="0" xfId="0" applyNumberFormat="1" applyFont="1">
      <alignment vertical="center"/>
    </xf>
    <xf numFmtId="0" fontId="8" fillId="0" borderId="18" xfId="0" applyFont="1" applyFill="1" applyBorder="1" applyAlignment="1">
      <alignment horizontal="center" vertical="center"/>
    </xf>
    <xf numFmtId="0" fontId="11" fillId="0" borderId="0" xfId="0" applyFont="1" applyBorder="1">
      <alignment vertical="center"/>
    </xf>
    <xf numFmtId="14" fontId="4" fillId="0" borderId="0" xfId="0" applyNumberFormat="1" applyFont="1" applyFill="1">
      <alignment vertical="center"/>
    </xf>
    <xf numFmtId="176" fontId="8" fillId="0" borderId="19" xfId="0" applyNumberFormat="1" applyFont="1" applyBorder="1" applyAlignment="1">
      <alignment horizontal="center" vertical="center"/>
    </xf>
    <xf numFmtId="176" fontId="8" fillId="0" borderId="20" xfId="0" applyNumberFormat="1" applyFont="1" applyBorder="1" applyAlignment="1">
      <alignment horizontal="center" vertical="center"/>
    </xf>
    <xf numFmtId="176" fontId="8" fillId="0" borderId="20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vertical="center" shrinkToFit="1"/>
    </xf>
    <xf numFmtId="41" fontId="11" fillId="0" borderId="0" xfId="1" applyFont="1" applyAlignment="1">
      <alignment vertical="center" shrinkToFit="1"/>
    </xf>
    <xf numFmtId="41" fontId="11" fillId="0" borderId="0" xfId="0" applyNumberFormat="1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2" fillId="3" borderId="10" xfId="0" applyFont="1" applyFill="1" applyBorder="1" applyAlignment="1">
      <alignment horizontal="center" vertical="center" shrinkToFit="1"/>
    </xf>
    <xf numFmtId="0" fontId="12" fillId="3" borderId="16" xfId="0" applyFont="1" applyFill="1" applyBorder="1" applyAlignment="1">
      <alignment horizontal="center" vertical="center" shrinkToFit="1"/>
    </xf>
    <xf numFmtId="0" fontId="12" fillId="3" borderId="1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2" fillId="4" borderId="9" xfId="0" applyFont="1" applyFill="1" applyBorder="1" applyAlignment="1">
      <alignment horizontal="center" vertical="center" shrinkToFit="1"/>
    </xf>
    <xf numFmtId="0" fontId="12" fillId="4" borderId="13" xfId="0" applyFont="1" applyFill="1" applyBorder="1" applyAlignment="1">
      <alignment horizontal="center" vertical="center" shrinkToFit="1"/>
    </xf>
    <xf numFmtId="0" fontId="12" fillId="3" borderId="12" xfId="0" applyFont="1" applyFill="1" applyBorder="1" applyAlignment="1">
      <alignment horizontal="center" vertical="center" shrinkToFit="1"/>
    </xf>
    <xf numFmtId="0" fontId="12" fillId="3" borderId="9" xfId="0" applyFont="1" applyFill="1" applyBorder="1" applyAlignment="1">
      <alignment horizontal="center" vertical="center" shrinkToFit="1"/>
    </xf>
    <xf numFmtId="0" fontId="12" fillId="3" borderId="13" xfId="0" applyFont="1" applyFill="1" applyBorder="1" applyAlignment="1">
      <alignment horizontal="center" vertical="center" shrinkToFit="1"/>
    </xf>
    <xf numFmtId="0" fontId="12" fillId="8" borderId="12" xfId="0" applyFont="1" applyFill="1" applyBorder="1" applyAlignment="1">
      <alignment horizontal="center" vertical="center" shrinkToFit="1"/>
    </xf>
    <xf numFmtId="0" fontId="12" fillId="8" borderId="9" xfId="0" applyFont="1" applyFill="1" applyBorder="1" applyAlignment="1">
      <alignment horizontal="center" vertical="center" shrinkToFit="1"/>
    </xf>
    <xf numFmtId="0" fontId="12" fillId="8" borderId="13" xfId="0" applyFont="1" applyFill="1" applyBorder="1" applyAlignment="1">
      <alignment horizontal="center" vertical="center" shrinkToFit="1"/>
    </xf>
    <xf numFmtId="0" fontId="12" fillId="6" borderId="12" xfId="0" applyFont="1" applyFill="1" applyBorder="1" applyAlignment="1">
      <alignment horizontal="center" vertical="center" shrinkToFit="1"/>
    </xf>
    <xf numFmtId="0" fontId="12" fillId="6" borderId="9" xfId="0" applyFont="1" applyFill="1" applyBorder="1" applyAlignment="1">
      <alignment horizontal="center" vertical="center" shrinkToFit="1"/>
    </xf>
    <xf numFmtId="0" fontId="12" fillId="6" borderId="13" xfId="0" applyFont="1" applyFill="1" applyBorder="1" applyAlignment="1">
      <alignment horizontal="center" vertical="center" shrinkToFit="1"/>
    </xf>
    <xf numFmtId="0" fontId="12" fillId="6" borderId="14" xfId="0" applyFont="1" applyFill="1" applyBorder="1" applyAlignment="1">
      <alignment horizontal="center" vertical="center" shrinkToFit="1"/>
    </xf>
    <xf numFmtId="0" fontId="12" fillId="6" borderId="17" xfId="0" applyFont="1" applyFill="1" applyBorder="1" applyAlignment="1">
      <alignment horizontal="center" vertical="center" shrinkToFit="1"/>
    </xf>
    <xf numFmtId="0" fontId="12" fillId="6" borderId="15" xfId="0" applyFont="1" applyFill="1" applyBorder="1" applyAlignment="1">
      <alignment horizontal="center" vertical="center" shrinkToFit="1"/>
    </xf>
    <xf numFmtId="0" fontId="4" fillId="0" borderId="9" xfId="0" applyFont="1" applyBorder="1">
      <alignment vertical="center"/>
    </xf>
    <xf numFmtId="0" fontId="17" fillId="5" borderId="0" xfId="0" applyFont="1" applyFill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4" fillId="7" borderId="9" xfId="0" applyFont="1" applyFill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41" fontId="19" fillId="10" borderId="0" xfId="1" applyFont="1" applyFill="1" applyAlignment="1">
      <alignment horizontal="center" vertical="center" shrinkToFit="1"/>
    </xf>
    <xf numFmtId="0" fontId="19" fillId="10" borderId="0" xfId="0" applyFont="1" applyFill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1" fillId="0" borderId="9" xfId="0" applyFont="1" applyBorder="1" applyAlignment="1">
      <alignment horizontal="center" vertical="center" shrinkToFit="1"/>
    </xf>
    <xf numFmtId="0" fontId="11" fillId="3" borderId="0" xfId="0" applyFont="1" applyFill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9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 shrinkToFit="1"/>
    </xf>
    <xf numFmtId="0" fontId="11" fillId="6" borderId="0" xfId="0" applyFont="1" applyFill="1" applyAlignment="1">
      <alignment horizontal="center" vertical="center" shrinkToFit="1"/>
    </xf>
    <xf numFmtId="0" fontId="11" fillId="0" borderId="9" xfId="0" quotePrefix="1" applyFont="1" applyBorder="1" applyAlignment="1">
      <alignment horizontal="center" vertical="center" shrinkToFit="1"/>
    </xf>
    <xf numFmtId="9" fontId="11" fillId="0" borderId="9" xfId="2" applyFont="1" applyBorder="1" applyAlignment="1">
      <alignment horizontal="center" vertical="center" shrinkToFit="1"/>
    </xf>
    <xf numFmtId="9" fontId="11" fillId="0" borderId="9" xfId="0" applyNumberFormat="1" applyFont="1" applyBorder="1" applyAlignment="1">
      <alignment horizontal="center" vertical="center" shrinkToFit="1"/>
    </xf>
    <xf numFmtId="177" fontId="11" fillId="0" borderId="9" xfId="2" applyNumberFormat="1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21" xfId="0" applyFont="1" applyBorder="1" applyAlignment="1">
      <alignment horizontal="center" vertical="center"/>
    </xf>
    <xf numFmtId="0" fontId="11" fillId="0" borderId="9" xfId="0" applyFont="1" applyBorder="1" applyAlignment="1">
      <alignment vertical="center" shrinkToFit="1"/>
    </xf>
    <xf numFmtId="177" fontId="11" fillId="0" borderId="9" xfId="2" applyNumberFormat="1" applyFont="1" applyBorder="1" applyAlignment="1">
      <alignment vertical="center" shrinkToFit="1"/>
    </xf>
    <xf numFmtId="0" fontId="11" fillId="4" borderId="9" xfId="0" applyFont="1" applyFill="1" applyBorder="1" applyAlignment="1">
      <alignment horizontal="center" vertical="center" shrinkToFit="1"/>
    </xf>
    <xf numFmtId="0" fontId="11" fillId="4" borderId="9" xfId="0" applyFont="1" applyFill="1" applyBorder="1" applyAlignment="1">
      <alignment vertical="center" shrinkToFit="1"/>
    </xf>
    <xf numFmtId="177" fontId="11" fillId="4" borderId="9" xfId="2" applyNumberFormat="1" applyFont="1" applyFill="1" applyBorder="1" applyAlignment="1">
      <alignment vertical="center" shrinkToFit="1"/>
    </xf>
    <xf numFmtId="0" fontId="11" fillId="4" borderId="9" xfId="0" quotePrefix="1" applyFont="1" applyFill="1" applyBorder="1" applyAlignment="1">
      <alignment horizontal="center" vertical="center" shrinkToFit="1"/>
    </xf>
    <xf numFmtId="9" fontId="11" fillId="4" borderId="9" xfId="2" applyFont="1" applyFill="1" applyBorder="1" applyAlignment="1">
      <alignment horizontal="center" vertical="center" shrinkToFit="1"/>
    </xf>
    <xf numFmtId="177" fontId="11" fillId="4" borderId="9" xfId="2" applyNumberFormat="1" applyFont="1" applyFill="1" applyBorder="1" applyAlignment="1">
      <alignment horizontal="center" vertical="center" shrinkToFit="1"/>
    </xf>
    <xf numFmtId="0" fontId="9" fillId="0" borderId="9" xfId="0" applyFont="1" applyFill="1" applyBorder="1">
      <alignment vertical="center"/>
    </xf>
    <xf numFmtId="0" fontId="4" fillId="3" borderId="9" xfId="0" applyFont="1" applyFill="1" applyBorder="1">
      <alignment vertical="center"/>
    </xf>
    <xf numFmtId="0" fontId="4" fillId="4" borderId="9" xfId="0" applyFont="1" applyFill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1" fillId="0" borderId="9" xfId="0" applyFont="1" applyFill="1" applyBorder="1" applyAlignment="1">
      <alignment horizontal="center" vertical="center" shrinkToFit="1"/>
    </xf>
    <xf numFmtId="0" fontId="11" fillId="3" borderId="9" xfId="0" applyFont="1" applyFill="1" applyBorder="1" applyAlignment="1">
      <alignment horizontal="center" vertical="center" shrinkToFit="1"/>
    </xf>
    <xf numFmtId="0" fontId="42" fillId="0" borderId="0" xfId="0" applyFont="1" applyFill="1" applyAlignment="1">
      <alignment horizontal="center" vertical="center" shrinkToFit="1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 shrinkToFit="1"/>
    </xf>
    <xf numFmtId="0" fontId="4" fillId="10" borderId="9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9" fillId="0" borderId="0" xfId="0" applyFont="1" applyFill="1" applyBorder="1">
      <alignment vertical="center"/>
    </xf>
    <xf numFmtId="0" fontId="4" fillId="0" borderId="40" xfId="0" applyFont="1" applyFill="1" applyBorder="1" applyAlignment="1">
      <alignment horizontal="center" vertical="center"/>
    </xf>
    <xf numFmtId="0" fontId="9" fillId="0" borderId="38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38" xfId="0" applyFont="1" applyFill="1" applyBorder="1">
      <alignment vertical="center"/>
    </xf>
    <xf numFmtId="0" fontId="4" fillId="3" borderId="9" xfId="0" quotePrefix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 shrinkToFit="1"/>
    </xf>
    <xf numFmtId="0" fontId="43" fillId="0" borderId="9" xfId="0" applyFont="1" applyFill="1" applyBorder="1" applyAlignment="1">
      <alignment horizontal="center" vertical="center" shrinkToFit="1"/>
    </xf>
    <xf numFmtId="0" fontId="43" fillId="3" borderId="9" xfId="0" applyFont="1" applyFill="1" applyBorder="1">
      <alignment vertical="center"/>
    </xf>
    <xf numFmtId="0" fontId="4" fillId="4" borderId="9" xfId="0" applyFont="1" applyFill="1" applyBorder="1">
      <alignment vertical="center"/>
    </xf>
    <xf numFmtId="0" fontId="43" fillId="4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23" fillId="10" borderId="0" xfId="0" applyFont="1" applyFill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11" fillId="4" borderId="0" xfId="0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7" fillId="5" borderId="0" xfId="0" applyFont="1" applyFill="1" applyAlignment="1">
      <alignment horizontal="center" vertical="center" shrinkToFit="1"/>
    </xf>
    <xf numFmtId="0" fontId="17" fillId="5" borderId="9" xfId="0" applyFont="1" applyFill="1" applyBorder="1" applyAlignment="1">
      <alignment horizontal="center" vertical="center" shrinkToFit="1"/>
    </xf>
    <xf numFmtId="0" fontId="4" fillId="3" borderId="9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177" fontId="11" fillId="0" borderId="9" xfId="0" applyNumberFormat="1" applyFont="1" applyBorder="1" applyAlignment="1">
      <alignment horizontal="center" vertical="center" shrinkToFit="1"/>
    </xf>
    <xf numFmtId="0" fontId="42" fillId="0" borderId="0" xfId="0" applyFont="1" applyFill="1" applyBorder="1" applyAlignment="1">
      <alignment horizontal="center" vertical="center" shrinkToFit="1"/>
    </xf>
    <xf numFmtId="9" fontId="11" fillId="0" borderId="9" xfId="2" applyFont="1" applyBorder="1" applyAlignment="1">
      <alignment vertical="center" shrinkToFit="1"/>
    </xf>
    <xf numFmtId="0" fontId="0" fillId="0" borderId="9" xfId="0" applyBorder="1">
      <alignment vertical="center"/>
    </xf>
    <xf numFmtId="0" fontId="11" fillId="3" borderId="9" xfId="0" applyFont="1" applyFill="1" applyBorder="1" applyAlignment="1">
      <alignment vertical="center" shrinkToFit="1"/>
    </xf>
    <xf numFmtId="0" fontId="11" fillId="0" borderId="21" xfId="0" applyFont="1" applyBorder="1" applyAlignment="1">
      <alignment vertical="center" shrinkToFit="1"/>
    </xf>
    <xf numFmtId="9" fontId="11" fillId="0" borderId="21" xfId="2" applyFont="1" applyBorder="1" applyAlignment="1">
      <alignment vertical="center" shrinkToFit="1"/>
    </xf>
    <xf numFmtId="0" fontId="11" fillId="0" borderId="23" xfId="0" applyFont="1" applyBorder="1" applyAlignment="1">
      <alignment vertical="center" shrinkToFit="1"/>
    </xf>
    <xf numFmtId="9" fontId="11" fillId="0" borderId="23" xfId="2" applyFont="1" applyBorder="1" applyAlignment="1">
      <alignment vertical="center" shrinkToFit="1"/>
    </xf>
    <xf numFmtId="0" fontId="11" fillId="48" borderId="0" xfId="0" applyFont="1" applyFill="1" applyAlignment="1">
      <alignment horizontal="center" vertical="center" shrinkToFit="1"/>
    </xf>
    <xf numFmtId="0" fontId="11" fillId="45" borderId="0" xfId="0" applyFont="1" applyFill="1" applyAlignment="1">
      <alignment horizontal="center" vertical="center" shrinkToFit="1"/>
    </xf>
    <xf numFmtId="0" fontId="11" fillId="3" borderId="22" xfId="0" applyFont="1" applyFill="1" applyBorder="1" applyAlignment="1">
      <alignment horizontal="center" vertical="center" shrinkToFit="1"/>
    </xf>
    <xf numFmtId="0" fontId="11" fillId="45" borderId="22" xfId="0" applyFont="1" applyFill="1" applyBorder="1" applyAlignment="1">
      <alignment horizontal="center" vertical="center" shrinkToFit="1"/>
    </xf>
    <xf numFmtId="0" fontId="11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11" fillId="45" borderId="0" xfId="0" applyFont="1" applyFill="1" applyBorder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50" fillId="0" borderId="0" xfId="0" applyFont="1" applyAlignment="1">
      <alignment vertical="center" shrinkToFit="1"/>
    </xf>
    <xf numFmtId="178" fontId="50" fillId="0" borderId="0" xfId="0" applyNumberFormat="1" applyFont="1" applyAlignment="1">
      <alignment vertical="center" shrinkToFit="1"/>
    </xf>
    <xf numFmtId="0" fontId="50" fillId="0" borderId="0" xfId="0" applyFont="1" applyFill="1" applyBorder="1">
      <alignment vertical="center"/>
    </xf>
    <xf numFmtId="0" fontId="50" fillId="0" borderId="0" xfId="0" applyNumberFormat="1" applyFont="1" applyFill="1" applyBorder="1" applyAlignment="1">
      <alignment vertical="center"/>
    </xf>
    <xf numFmtId="49" fontId="50" fillId="0" borderId="0" xfId="0" applyNumberFormat="1" applyFont="1" applyFill="1" applyBorder="1" applyAlignment="1">
      <alignment vertical="center"/>
    </xf>
    <xf numFmtId="178" fontId="50" fillId="0" borderId="0" xfId="0" applyNumberFormat="1" applyFont="1" applyFill="1" applyBorder="1" applyAlignment="1">
      <alignment vertical="center"/>
    </xf>
    <xf numFmtId="178" fontId="0" fillId="0" borderId="0" xfId="0" applyNumberFormat="1" applyFill="1" applyBorder="1" applyAlignment="1">
      <alignment vertical="center"/>
    </xf>
    <xf numFmtId="178" fontId="50" fillId="0" borderId="0" xfId="0" applyNumberFormat="1" applyFont="1" applyFill="1" applyBorder="1" applyAlignment="1">
      <alignment vertical="center" shrinkToFit="1"/>
    </xf>
    <xf numFmtId="0" fontId="51" fillId="0" borderId="0" xfId="0" applyFont="1" applyFill="1" applyBorder="1" applyAlignment="1">
      <alignment vertical="center" shrinkToFit="1"/>
    </xf>
    <xf numFmtId="0" fontId="0" fillId="0" borderId="0" xfId="0" applyFont="1" applyFill="1" applyBorder="1">
      <alignment vertical="center"/>
    </xf>
    <xf numFmtId="0" fontId="0" fillId="0" borderId="0" xfId="0" applyFont="1" applyFill="1" applyAlignment="1">
      <alignment vertical="center" shrinkToFit="1"/>
    </xf>
    <xf numFmtId="0" fontId="0" fillId="0" borderId="0" xfId="0" applyFill="1">
      <alignment vertical="center"/>
    </xf>
    <xf numFmtId="0" fontId="11" fillId="0" borderId="0" xfId="0" applyFont="1" applyFill="1" applyAlignment="1">
      <alignment vertical="center" shrinkToFit="1"/>
    </xf>
    <xf numFmtId="0" fontId="53" fillId="0" borderId="0" xfId="0" applyFont="1" applyFill="1" applyBorder="1">
      <alignment vertical="center"/>
    </xf>
    <xf numFmtId="0" fontId="0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50" fillId="0" borderId="0" xfId="0" applyFont="1" applyFill="1" applyAlignment="1">
      <alignment vertical="center" shrinkToFit="1"/>
    </xf>
    <xf numFmtId="0" fontId="4" fillId="3" borderId="9" xfId="0" applyFont="1" applyFill="1" applyBorder="1" applyAlignment="1">
      <alignment horizontal="center" vertical="center"/>
    </xf>
    <xf numFmtId="0" fontId="43" fillId="3" borderId="9" xfId="0" applyFont="1" applyFill="1" applyBorder="1" applyAlignment="1">
      <alignment horizontal="center" vertical="center" shrinkToFit="1"/>
    </xf>
    <xf numFmtId="0" fontId="43" fillId="3" borderId="9" xfId="0" applyFont="1" applyFill="1" applyBorder="1" applyAlignment="1">
      <alignment vertical="center" shrinkToFit="1"/>
    </xf>
    <xf numFmtId="41" fontId="43" fillId="3" borderId="9" xfId="0" applyNumberFormat="1" applyFont="1" applyFill="1" applyBorder="1" applyAlignment="1">
      <alignment horizontal="center" vertical="center" shrinkToFit="1"/>
    </xf>
    <xf numFmtId="20" fontId="43" fillId="3" borderId="9" xfId="0" quotePrefix="1" applyNumberFormat="1" applyFont="1" applyFill="1" applyBorder="1" applyAlignment="1">
      <alignment horizontal="center" vertical="center" shrinkToFit="1"/>
    </xf>
    <xf numFmtId="0" fontId="43" fillId="3" borderId="9" xfId="0" quotePrefix="1" applyFont="1" applyFill="1" applyBorder="1" applyAlignment="1">
      <alignment horizontal="center" vertical="center" shrinkToFit="1"/>
    </xf>
    <xf numFmtId="0" fontId="4" fillId="0" borderId="0" xfId="0" applyFont="1" applyFill="1" applyBorder="1">
      <alignment vertical="center"/>
    </xf>
    <xf numFmtId="0" fontId="9" fillId="0" borderId="21" xfId="0" applyFont="1" applyFill="1" applyBorder="1" applyAlignment="1">
      <alignment vertical="center"/>
    </xf>
    <xf numFmtId="0" fontId="9" fillId="0" borderId="22" xfId="0" applyFont="1" applyFill="1" applyBorder="1" applyAlignment="1">
      <alignment vertical="center"/>
    </xf>
    <xf numFmtId="0" fontId="9" fillId="0" borderId="23" xfId="0" applyFont="1" applyFill="1" applyBorder="1" applyAlignment="1">
      <alignment vertical="center"/>
    </xf>
    <xf numFmtId="0" fontId="53" fillId="0" borderId="0" xfId="0" applyFont="1" applyFill="1" applyAlignment="1">
      <alignment horizontal="center" vertical="center"/>
    </xf>
    <xf numFmtId="0" fontId="53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shrinkToFit="1"/>
    </xf>
    <xf numFmtId="0" fontId="56" fillId="0" borderId="0" xfId="0" applyFont="1" applyFill="1">
      <alignment vertical="center"/>
    </xf>
    <xf numFmtId="0" fontId="43" fillId="3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12" xfId="0" applyFont="1" applyBorder="1" applyAlignment="1">
      <alignment vertical="center" shrinkToFit="1"/>
    </xf>
    <xf numFmtId="0" fontId="11" fillId="0" borderId="14" xfId="0" applyFont="1" applyBorder="1" applyAlignment="1">
      <alignment vertical="center" shrinkToFit="1"/>
    </xf>
    <xf numFmtId="0" fontId="11" fillId="0" borderId="10" xfId="0" applyFont="1" applyBorder="1" applyAlignment="1">
      <alignment vertical="center" shrinkToFit="1"/>
    </xf>
    <xf numFmtId="0" fontId="11" fillId="0" borderId="17" xfId="0" applyFont="1" applyBorder="1" applyAlignment="1">
      <alignment vertical="center" shrinkToFit="1"/>
    </xf>
    <xf numFmtId="0" fontId="11" fillId="0" borderId="16" xfId="0" applyFont="1" applyBorder="1" applyAlignment="1">
      <alignment vertical="center" shrinkToFit="1"/>
    </xf>
    <xf numFmtId="9" fontId="11" fillId="3" borderId="9" xfId="2" applyFont="1" applyFill="1" applyBorder="1" applyAlignment="1">
      <alignment vertical="center" shrinkToFit="1"/>
    </xf>
    <xf numFmtId="9" fontId="11" fillId="0" borderId="13" xfId="2" applyFont="1" applyBorder="1" applyAlignment="1">
      <alignment vertical="center" shrinkToFit="1"/>
    </xf>
    <xf numFmtId="9" fontId="11" fillId="0" borderId="15" xfId="2" applyFont="1" applyBorder="1" applyAlignment="1">
      <alignment vertical="center" shrinkToFit="1"/>
    </xf>
    <xf numFmtId="9" fontId="11" fillId="0" borderId="11" xfId="2" applyFont="1" applyBorder="1" applyAlignment="1">
      <alignment vertical="center" shrinkToFit="1"/>
    </xf>
    <xf numFmtId="41" fontId="43" fillId="46" borderId="9" xfId="0" applyNumberFormat="1" applyFont="1" applyFill="1" applyBorder="1" applyAlignment="1">
      <alignment horizontal="center" vertical="center" shrinkToFit="1"/>
    </xf>
    <xf numFmtId="0" fontId="6" fillId="3" borderId="43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11" borderId="4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178" fontId="50" fillId="0" borderId="0" xfId="0" applyNumberFormat="1" applyFont="1" applyFill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shrinkToFit="1"/>
    </xf>
    <xf numFmtId="176" fontId="4" fillId="11" borderId="0" xfId="0" applyNumberFormat="1" applyFont="1" applyFill="1">
      <alignment vertical="center"/>
    </xf>
    <xf numFmtId="0" fontId="11" fillId="0" borderId="0" xfId="0" applyFont="1" applyAlignment="1">
      <alignment horizontal="center" vertical="center" shrinkToFit="1"/>
    </xf>
    <xf numFmtId="0" fontId="55" fillId="0" borderId="0" xfId="0" applyFont="1" applyFill="1" applyBorder="1">
      <alignment vertical="center"/>
    </xf>
    <xf numFmtId="0" fontId="55" fillId="0" borderId="0" xfId="0" applyFont="1" applyFill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8" fillId="6" borderId="46" xfId="0" applyFont="1" applyFill="1" applyBorder="1">
      <alignment vertical="center"/>
    </xf>
    <xf numFmtId="0" fontId="18" fillId="0" borderId="0" xfId="0" applyFont="1" applyFill="1" applyAlignment="1">
      <alignment vertical="center" shrinkToFit="1"/>
    </xf>
    <xf numFmtId="0" fontId="50" fillId="0" borderId="0" xfId="0" applyNumberFormat="1" applyFont="1" applyFill="1" applyAlignment="1">
      <alignment vertical="center" shrinkToFit="1"/>
    </xf>
    <xf numFmtId="49" fontId="50" fillId="0" borderId="0" xfId="0" applyNumberFormat="1" applyFont="1" applyFill="1" applyAlignment="1">
      <alignment vertical="center" shrinkToFit="1"/>
    </xf>
    <xf numFmtId="178" fontId="11" fillId="0" borderId="0" xfId="0" applyNumberFormat="1" applyFont="1" applyFill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5" fillId="0" borderId="9" xfId="0" applyFont="1" applyBorder="1" applyAlignment="1">
      <alignment horizontal="center" vertical="center" shrinkToFit="1"/>
    </xf>
    <xf numFmtId="0" fontId="0" fillId="4" borderId="0" xfId="0" quotePrefix="1" applyFill="1">
      <alignment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0" fillId="0" borderId="0" xfId="0" applyFill="1">
      <alignment vertical="center"/>
    </xf>
    <xf numFmtId="0" fontId="11" fillId="0" borderId="0" xfId="0" applyFont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56" fillId="0" borderId="0" xfId="0" applyFont="1" applyFill="1" applyBorder="1">
      <alignment vertical="center"/>
    </xf>
    <xf numFmtId="0" fontId="11" fillId="0" borderId="0" xfId="0" applyFont="1" applyAlignment="1">
      <alignment horizontal="center" vertical="center" shrinkToFit="1"/>
    </xf>
    <xf numFmtId="0" fontId="0" fillId="3" borderId="0" xfId="0" applyFill="1">
      <alignment vertical="center"/>
    </xf>
    <xf numFmtId="0" fontId="4" fillId="0" borderId="9" xfId="0" applyFont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8" fillId="3" borderId="48" xfId="0" applyFont="1" applyFill="1" applyBorder="1" applyAlignment="1">
      <alignment horizontal="center" vertical="center"/>
    </xf>
    <xf numFmtId="0" fontId="8" fillId="3" borderId="47" xfId="0" applyFont="1" applyFill="1" applyBorder="1" applyAlignment="1">
      <alignment horizontal="center" vertical="center"/>
    </xf>
    <xf numFmtId="0" fontId="8" fillId="3" borderId="49" xfId="0" applyFont="1" applyFill="1" applyBorder="1" applyAlignment="1">
      <alignment horizontal="center" vertical="center"/>
    </xf>
    <xf numFmtId="0" fontId="4" fillId="7" borderId="9" xfId="0" applyFont="1" applyFill="1" applyBorder="1">
      <alignment vertical="center"/>
    </xf>
    <xf numFmtId="176" fontId="8" fillId="0" borderId="0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2" borderId="0" xfId="0" applyFont="1" applyFill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4" fillId="7" borderId="0" xfId="0" applyFont="1" applyFill="1" applyBorder="1">
      <alignment vertical="center"/>
    </xf>
    <xf numFmtId="176" fontId="4" fillId="0" borderId="0" xfId="0" applyNumberFormat="1" applyFont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59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 shrinkToFit="1"/>
    </xf>
    <xf numFmtId="0" fontId="4" fillId="3" borderId="0" xfId="0" applyFont="1" applyFill="1" applyBorder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53" fillId="3" borderId="0" xfId="0" applyFont="1" applyFill="1" applyBorder="1">
      <alignment vertical="center"/>
    </xf>
    <xf numFmtId="0" fontId="56" fillId="3" borderId="0" xfId="0" applyFont="1" applyFill="1">
      <alignment vertical="center"/>
    </xf>
    <xf numFmtId="0" fontId="56" fillId="3" borderId="0" xfId="0" applyFont="1" applyFill="1" applyBorder="1">
      <alignment vertical="center"/>
    </xf>
    <xf numFmtId="0" fontId="11" fillId="0" borderId="0" xfId="0" applyFont="1" applyAlignment="1">
      <alignment horizontal="center" vertical="center" shrinkToFit="1"/>
    </xf>
    <xf numFmtId="0" fontId="0" fillId="3" borderId="0" xfId="0" applyFill="1">
      <alignment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4" fillId="4" borderId="9" xfId="0" applyFont="1" applyFill="1" applyBorder="1" applyAlignment="1">
      <alignment horizontal="center" vertical="center" shrinkToFit="1"/>
    </xf>
    <xf numFmtId="0" fontId="54" fillId="0" borderId="9" xfId="0" applyFont="1" applyBorder="1" applyAlignment="1">
      <alignment horizontal="center" vertical="center" shrinkToFit="1"/>
    </xf>
    <xf numFmtId="0" fontId="55" fillId="4" borderId="9" xfId="0" applyFont="1" applyFill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58" fillId="0" borderId="45" xfId="0" applyFont="1" applyFill="1" applyBorder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12" fillId="0" borderId="0" xfId="0" applyFont="1" applyFill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55" fillId="0" borderId="0" xfId="0" applyFont="1">
      <alignment vertical="center"/>
    </xf>
    <xf numFmtId="0" fontId="53" fillId="0" borderId="0" xfId="0" applyFont="1" applyFill="1" applyBorder="1">
      <alignment vertical="center"/>
    </xf>
    <xf numFmtId="0" fontId="11" fillId="0" borderId="0" xfId="0" applyFont="1" applyAlignment="1">
      <alignment horizontal="center" vertical="center" shrinkToFit="1"/>
    </xf>
    <xf numFmtId="0" fontId="56" fillId="0" borderId="0" xfId="0" applyFont="1" applyFill="1" applyBorder="1">
      <alignment vertical="center"/>
    </xf>
    <xf numFmtId="0" fontId="11" fillId="0" borderId="0" xfId="0" applyFont="1" applyAlignment="1">
      <alignment horizontal="center" vertical="center" shrinkToFit="1"/>
    </xf>
    <xf numFmtId="0" fontId="61" fillId="7" borderId="9" xfId="0" applyFont="1" applyFill="1" applyBorder="1" applyAlignment="1">
      <alignment horizontal="center" vertical="center"/>
    </xf>
    <xf numFmtId="0" fontId="59" fillId="0" borderId="0" xfId="0" applyFont="1" applyFill="1" applyBorder="1">
      <alignment vertical="center"/>
    </xf>
    <xf numFmtId="0" fontId="4" fillId="7" borderId="9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4" fillId="3" borderId="36" xfId="0" applyFont="1" applyFill="1" applyBorder="1" applyAlignment="1">
      <alignment vertical="center" shrinkToFit="1"/>
    </xf>
    <xf numFmtId="177" fontId="11" fillId="0" borderId="0" xfId="0" applyNumberFormat="1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0" fillId="0" borderId="0" xfId="0" applyFill="1">
      <alignment vertical="center"/>
    </xf>
    <xf numFmtId="0" fontId="4" fillId="7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vertical="center" shrinkToFit="1"/>
    </xf>
    <xf numFmtId="0" fontId="43" fillId="0" borderId="9" xfId="0" applyFont="1" applyFill="1" applyBorder="1" applyAlignment="1">
      <alignment horizontal="center" vertical="center"/>
    </xf>
    <xf numFmtId="0" fontId="6" fillId="0" borderId="4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3" fillId="0" borderId="0" xfId="0" applyFont="1" applyFill="1" applyBorder="1" applyAlignment="1">
      <alignment vertical="center" shrinkToFit="1"/>
    </xf>
    <xf numFmtId="0" fontId="43" fillId="0" borderId="0" xfId="0" applyFont="1" applyFill="1" applyBorder="1">
      <alignment vertical="center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41" fontId="43" fillId="46" borderId="9" xfId="0" quotePrefix="1" applyNumberFormat="1" applyFont="1" applyFill="1" applyBorder="1" applyAlignment="1">
      <alignment horizontal="center" vertical="center" shrinkToFit="1"/>
    </xf>
    <xf numFmtId="0" fontId="4" fillId="3" borderId="9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3" borderId="23" xfId="0" applyFont="1" applyFill="1" applyBorder="1" applyAlignment="1">
      <alignment horizontal="center" vertical="center" shrinkToFit="1"/>
    </xf>
    <xf numFmtId="0" fontId="11" fillId="3" borderId="21" xfId="0" applyFont="1" applyFill="1" applyBorder="1" applyAlignment="1">
      <alignment horizontal="center" vertical="center" shrinkToFit="1"/>
    </xf>
    <xf numFmtId="0" fontId="15" fillId="0" borderId="0" xfId="0" applyFont="1" applyAlignment="1">
      <alignment vertical="center" shrinkToFit="1"/>
    </xf>
    <xf numFmtId="0" fontId="42" fillId="0" borderId="0" xfId="0" applyFont="1" applyFill="1" applyAlignment="1">
      <alignment horizontal="center" vertical="center" shrinkToFit="1"/>
    </xf>
    <xf numFmtId="0" fontId="15" fillId="0" borderId="0" xfId="0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55" fillId="0" borderId="0" xfId="0" applyFont="1">
      <alignment vertical="center"/>
    </xf>
    <xf numFmtId="0" fontId="42" fillId="0" borderId="0" xfId="0" applyFont="1" applyFill="1" applyAlignment="1">
      <alignment horizontal="center" vertical="center" shrinkToFit="1"/>
    </xf>
    <xf numFmtId="0" fontId="15" fillId="0" borderId="0" xfId="0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62" fillId="4" borderId="12" xfId="0" applyFont="1" applyFill="1" applyBorder="1" applyAlignment="1">
      <alignment horizontal="center" vertical="center" shrinkToFit="1"/>
    </xf>
    <xf numFmtId="0" fontId="62" fillId="3" borderId="12" xfId="0" applyFont="1" applyFill="1" applyBorder="1" applyAlignment="1">
      <alignment horizontal="center" vertical="center" shrinkToFit="1"/>
    </xf>
    <xf numFmtId="0" fontId="62" fillId="8" borderId="12" xfId="0" applyFont="1" applyFill="1" applyBorder="1" applyAlignment="1">
      <alignment horizontal="center" vertical="center" shrinkToFit="1"/>
    </xf>
    <xf numFmtId="0" fontId="62" fillId="6" borderId="12" xfId="0" applyFont="1" applyFill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54" fillId="0" borderId="0" xfId="0" applyFont="1" applyFill="1" applyBorder="1">
      <alignment vertical="center"/>
    </xf>
    <xf numFmtId="0" fontId="4" fillId="0" borderId="9" xfId="0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1" fillId="0" borderId="0" xfId="0" applyFont="1" applyBorder="1" applyAlignment="1">
      <alignment vertical="center" shrinkToFit="1"/>
    </xf>
    <xf numFmtId="0" fontId="10" fillId="0" borderId="0" xfId="0" applyFont="1" applyBorder="1" applyAlignment="1">
      <alignment vertical="center" shrinkToFit="1"/>
    </xf>
    <xf numFmtId="0" fontId="15" fillId="0" borderId="0" xfId="0" applyFont="1" applyBorder="1" applyAlignment="1">
      <alignment horizontal="center" vertical="center" shrinkToFi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9" fillId="10" borderId="50" xfId="0" applyFont="1" applyFill="1" applyBorder="1">
      <alignment vertical="center"/>
    </xf>
    <xf numFmtId="0" fontId="8" fillId="0" borderId="51" xfId="0" applyFont="1" applyBorder="1">
      <alignment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8" fillId="2" borderId="55" xfId="0" applyFont="1" applyFill="1" applyBorder="1">
      <alignment vertical="center"/>
    </xf>
    <xf numFmtId="0" fontId="58" fillId="0" borderId="56" xfId="0" applyFont="1" applyFill="1" applyBorder="1" applyAlignment="1">
      <alignment vertical="center" shrinkToFit="1"/>
    </xf>
    <xf numFmtId="0" fontId="6" fillId="0" borderId="56" xfId="0" applyFont="1" applyBorder="1" applyAlignment="1">
      <alignment horizontal="center" vertical="center"/>
    </xf>
    <xf numFmtId="0" fontId="57" fillId="4" borderId="57" xfId="0" applyFont="1" applyFill="1" applyBorder="1" applyAlignment="1">
      <alignment vertical="center" shrinkToFit="1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14" fillId="4" borderId="60" xfId="0" applyFont="1" applyFill="1" applyBorder="1" applyAlignment="1">
      <alignment vertical="center" shrinkToFit="1"/>
    </xf>
    <xf numFmtId="0" fontId="6" fillId="0" borderId="61" xfId="0" applyFont="1" applyBorder="1" applyAlignment="1">
      <alignment horizontal="center" vertical="center"/>
    </xf>
    <xf numFmtId="0" fontId="6" fillId="4" borderId="60" xfId="0" applyFont="1" applyFill="1" applyBorder="1" applyAlignment="1">
      <alignment vertical="center" shrinkToFit="1"/>
    </xf>
    <xf numFmtId="0" fontId="14" fillId="4" borderId="62" xfId="0" applyFont="1" applyFill="1" applyBorder="1" applyAlignment="1">
      <alignment vertical="center" shrinkToFit="1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4" fillId="0" borderId="0" xfId="0" quotePrefix="1" applyFont="1">
      <alignment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8" fillId="3" borderId="48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63" fillId="3" borderId="36" xfId="0" applyFont="1" applyFill="1" applyBorder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0" fillId="0" borderId="9" xfId="0" applyBorder="1">
      <alignment vertical="center"/>
    </xf>
    <xf numFmtId="0" fontId="63" fillId="0" borderId="9" xfId="0" applyFont="1" applyBorder="1" applyAlignment="1">
      <alignment horizontal="center" vertical="center"/>
    </xf>
    <xf numFmtId="0" fontId="63" fillId="0" borderId="9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63" fillId="3" borderId="9" xfId="0" applyNumberFormat="1" applyFont="1" applyFill="1" applyBorder="1" applyAlignment="1">
      <alignment horizontal="center" vertical="center"/>
    </xf>
    <xf numFmtId="0" fontId="63" fillId="3" borderId="9" xfId="0" applyNumberFormat="1" applyFont="1" applyFill="1" applyBorder="1" applyAlignment="1">
      <alignment horizontal="center" vertical="center" shrinkToFit="1"/>
    </xf>
    <xf numFmtId="178" fontId="63" fillId="0" borderId="9" xfId="0" applyNumberFormat="1" applyFont="1" applyFill="1" applyBorder="1" applyAlignment="1">
      <alignment horizontal="center" vertical="center"/>
    </xf>
    <xf numFmtId="178" fontId="63" fillId="3" borderId="9" xfId="0" applyNumberFormat="1" applyFont="1" applyFill="1" applyBorder="1" applyAlignment="1">
      <alignment horizontal="center" vertical="center"/>
    </xf>
    <xf numFmtId="0" fontId="63" fillId="3" borderId="9" xfId="0" quotePrefix="1" applyNumberFormat="1" applyFont="1" applyFill="1" applyBorder="1" applyAlignment="1">
      <alignment horizontal="center" vertical="center"/>
    </xf>
    <xf numFmtId="0" fontId="63" fillId="0" borderId="9" xfId="0" applyNumberFormat="1" applyFont="1" applyFill="1" applyBorder="1" applyAlignment="1">
      <alignment horizontal="center" vertical="center"/>
    </xf>
    <xf numFmtId="176" fontId="41" fillId="5" borderId="9" xfId="0" quotePrefix="1" applyNumberFormat="1" applyFont="1" applyFill="1" applyBorder="1" applyAlignment="1">
      <alignment horizontal="center" vertical="center"/>
    </xf>
    <xf numFmtId="176" fontId="41" fillId="5" borderId="9" xfId="0" applyNumberFormat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9" fontId="4" fillId="4" borderId="9" xfId="2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9" fontId="4" fillId="0" borderId="9" xfId="2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4" fillId="4" borderId="9" xfId="0" applyFont="1" applyFill="1" applyBorder="1" applyAlignment="1">
      <alignment horizontal="center" vertical="center" shrinkToFit="1"/>
    </xf>
    <xf numFmtId="0" fontId="43" fillId="4" borderId="9" xfId="0" applyFont="1" applyFill="1" applyBorder="1" applyAlignment="1">
      <alignment horizontal="center" vertical="center" shrinkToFit="1"/>
    </xf>
    <xf numFmtId="0" fontId="43" fillId="4" borderId="36" xfId="0" applyFont="1" applyFill="1" applyBorder="1" applyAlignment="1">
      <alignment horizontal="center" vertical="center" shrinkToFit="1"/>
    </xf>
    <xf numFmtId="0" fontId="9" fillId="3" borderId="42" xfId="0" applyFont="1" applyFill="1" applyBorder="1" applyAlignment="1">
      <alignment horizontal="center" vertical="center" shrinkToFit="1"/>
    </xf>
    <xf numFmtId="0" fontId="9" fillId="3" borderId="37" xfId="0" applyFont="1" applyFill="1" applyBorder="1" applyAlignment="1">
      <alignment horizontal="center" vertical="center" shrinkToFit="1"/>
    </xf>
    <xf numFmtId="0" fontId="40" fillId="5" borderId="23" xfId="0" applyFont="1" applyFill="1" applyBorder="1" applyAlignment="1">
      <alignment horizontal="center" vertical="center"/>
    </xf>
    <xf numFmtId="0" fontId="41" fillId="5" borderId="23" xfId="0" applyFont="1" applyFill="1" applyBorder="1" applyAlignment="1">
      <alignment horizontal="center" vertical="center"/>
    </xf>
    <xf numFmtId="0" fontId="46" fillId="5" borderId="38" xfId="0" applyFont="1" applyFill="1" applyBorder="1" applyAlignment="1">
      <alignment horizontal="left" vertical="center" shrinkToFit="1"/>
    </xf>
    <xf numFmtId="0" fontId="45" fillId="5" borderId="38" xfId="0" applyFont="1" applyFill="1" applyBorder="1" applyAlignment="1">
      <alignment horizontal="left" vertical="center" shrinkToFit="1"/>
    </xf>
    <xf numFmtId="0" fontId="45" fillId="5" borderId="26" xfId="0" applyFont="1" applyFill="1" applyBorder="1" applyAlignment="1">
      <alignment horizontal="left" vertical="center" shrinkToFit="1"/>
    </xf>
    <xf numFmtId="0" fontId="63" fillId="3" borderId="42" xfId="0" applyFont="1" applyFill="1" applyBorder="1" applyAlignment="1">
      <alignment horizontal="center" vertical="center" shrinkToFit="1"/>
    </xf>
    <xf numFmtId="0" fontId="63" fillId="3" borderId="37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9" fillId="0" borderId="25" xfId="0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/>
    </xf>
    <xf numFmtId="0" fontId="4" fillId="10" borderId="36" xfId="0" applyFont="1" applyFill="1" applyBorder="1" applyAlignment="1">
      <alignment horizontal="center" vertical="center"/>
    </xf>
    <xf numFmtId="0" fontId="4" fillId="10" borderId="37" xfId="0" applyFont="1" applyFill="1" applyBorder="1" applyAlignment="1">
      <alignment horizontal="center" vertical="center"/>
    </xf>
    <xf numFmtId="0" fontId="9" fillId="0" borderId="36" xfId="0" applyFont="1" applyFill="1" applyBorder="1" applyAlignment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23" fillId="13" borderId="9" xfId="0" quotePrefix="1" applyFont="1" applyFill="1" applyBorder="1" applyAlignment="1">
      <alignment horizontal="center" vertical="center" shrinkToFit="1"/>
    </xf>
    <xf numFmtId="0" fontId="22" fillId="10" borderId="0" xfId="0" applyFont="1" applyFill="1" applyAlignment="1">
      <alignment horizontal="center" vertical="center" shrinkToFit="1"/>
    </xf>
    <xf numFmtId="0" fontId="11" fillId="0" borderId="0" xfId="0" quotePrefix="1" applyFont="1" applyAlignment="1">
      <alignment horizontal="center" vertical="center" shrinkToFit="1"/>
    </xf>
    <xf numFmtId="0" fontId="23" fillId="10" borderId="0" xfId="0" applyFont="1" applyFill="1" applyAlignment="1">
      <alignment horizontal="center" vertical="center" shrinkToFit="1"/>
    </xf>
    <xf numFmtId="41" fontId="11" fillId="3" borderId="9" xfId="1" applyFont="1" applyFill="1" applyBorder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23" fillId="5" borderId="9" xfId="0" quotePrefix="1" applyFont="1" applyFill="1" applyBorder="1" applyAlignment="1">
      <alignment horizontal="center" vertical="center" shrinkToFit="1"/>
    </xf>
    <xf numFmtId="41" fontId="11" fillId="4" borderId="9" xfId="1" applyFont="1" applyFill="1" applyBorder="1" applyAlignment="1">
      <alignment horizontal="center" vertical="center" shrinkToFit="1"/>
    </xf>
    <xf numFmtId="0" fontId="17" fillId="47" borderId="38" xfId="0" applyFont="1" applyFill="1" applyBorder="1" applyAlignment="1">
      <alignment horizontal="center" vertical="center" shrinkToFit="1"/>
    </xf>
    <xf numFmtId="0" fontId="48" fillId="10" borderId="0" xfId="0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38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23" fillId="5" borderId="0" xfId="0" applyFont="1" applyFill="1" applyAlignment="1">
      <alignment horizontal="center" vertical="center" shrinkToFit="1"/>
    </xf>
    <xf numFmtId="0" fontId="23" fillId="9" borderId="0" xfId="0" applyFont="1" applyFill="1" applyAlignment="1">
      <alignment horizontal="center" vertical="center" shrinkToFit="1"/>
    </xf>
    <xf numFmtId="0" fontId="23" fillId="12" borderId="0" xfId="0" applyFont="1" applyFill="1" applyAlignment="1">
      <alignment horizontal="center" vertical="center" shrinkToFit="1"/>
    </xf>
  </cellXfs>
  <cellStyles count="11450">
    <cellStyle name="20% - 강조색1" xfId="21" builtinId="30" customBuiltin="1"/>
    <cellStyle name="20% - 강조색1 10" xfId="108"/>
    <cellStyle name="20% - 강조색1 11" xfId="121"/>
    <cellStyle name="20% - 강조색1 12" xfId="134"/>
    <cellStyle name="20% - 강조색1 13" xfId="147"/>
    <cellStyle name="20% - 강조색1 14" xfId="160"/>
    <cellStyle name="20% - 강조색1 15" xfId="173"/>
    <cellStyle name="20% - 강조색1 16" xfId="186"/>
    <cellStyle name="20% - 강조색1 17" xfId="199"/>
    <cellStyle name="20% - 강조색1 18" xfId="212"/>
    <cellStyle name="20% - 강조색1 19" xfId="225"/>
    <cellStyle name="20% - 강조색1 2" xfId="46"/>
    <cellStyle name="20% - 강조색1 20" xfId="238"/>
    <cellStyle name="20% - 강조색1 21" xfId="251"/>
    <cellStyle name="20% - 강조색1 22" xfId="264"/>
    <cellStyle name="20% - 강조색1 23" xfId="277"/>
    <cellStyle name="20% - 강조색1 24" xfId="290"/>
    <cellStyle name="20% - 강조색1 25" xfId="303"/>
    <cellStyle name="20% - 강조색1 26" xfId="316"/>
    <cellStyle name="20% - 강조색1 27" xfId="329"/>
    <cellStyle name="20% - 강조색1 28" xfId="342"/>
    <cellStyle name="20% - 강조색1 29" xfId="355"/>
    <cellStyle name="20% - 강조색1 3" xfId="69"/>
    <cellStyle name="20% - 강조색1 30" xfId="368"/>
    <cellStyle name="20% - 강조색1 31" xfId="381"/>
    <cellStyle name="20% - 강조색1 32" xfId="394"/>
    <cellStyle name="20% - 강조색1 33" xfId="407"/>
    <cellStyle name="20% - 강조색1 34" xfId="420"/>
    <cellStyle name="20% - 강조색1 35" xfId="433"/>
    <cellStyle name="20% - 강조색1 36" xfId="445"/>
    <cellStyle name="20% - 강조색1 37" xfId="457"/>
    <cellStyle name="20% - 강조색1 38" xfId="469"/>
    <cellStyle name="20% - 강조색1 39" xfId="481"/>
    <cellStyle name="20% - 강조색1 4" xfId="65"/>
    <cellStyle name="20% - 강조색1 40" xfId="545"/>
    <cellStyle name="20% - 강조색1 40 10" xfId="3217"/>
    <cellStyle name="20% - 강조색1 40 11" xfId="3170"/>
    <cellStyle name="20% - 강조색1 40 12" xfId="1829"/>
    <cellStyle name="20% - 강조색1 40 13" xfId="1982"/>
    <cellStyle name="20% - 강조색1 40 14" xfId="4693"/>
    <cellStyle name="20% - 강조색1 40 15" xfId="4820"/>
    <cellStyle name="20% - 강조색1 40 16" xfId="5505"/>
    <cellStyle name="20% - 강조색1 40 17" xfId="763"/>
    <cellStyle name="20% - 강조색1 40 18" xfId="3462"/>
    <cellStyle name="20% - 강조색1 40 19" xfId="3974"/>
    <cellStyle name="20% - 강조색1 40 2" xfId="593"/>
    <cellStyle name="20% - 강조색1 40 20" xfId="7241"/>
    <cellStyle name="20% - 강조색1 40 21" xfId="6230"/>
    <cellStyle name="20% - 강조색1 40 22" xfId="7628"/>
    <cellStyle name="20% - 강조색1 40 23" xfId="7934"/>
    <cellStyle name="20% - 강조색1 40 24" xfId="8419"/>
    <cellStyle name="20% - 강조색1 40 25" xfId="8853"/>
    <cellStyle name="20% - 강조색1 40 26" xfId="9378"/>
    <cellStyle name="20% - 강조색1 40 27" xfId="3553"/>
    <cellStyle name="20% - 강조색1 40 28" xfId="4886"/>
    <cellStyle name="20% - 강조색1 40 29" xfId="10244"/>
    <cellStyle name="20% - 강조색1 40 3" xfId="1004"/>
    <cellStyle name="20% - 강조색1 40 30" xfId="6516"/>
    <cellStyle name="20% - 강조색1 40 31" xfId="10208"/>
    <cellStyle name="20% - 강조색1 40 32" xfId="11050"/>
    <cellStyle name="20% - 강조색1 40 33" xfId="11315"/>
    <cellStyle name="20% - 강조색1 40 34" xfId="583"/>
    <cellStyle name="20% - 강조색1 40 35" xfId="11376"/>
    <cellStyle name="20% - 강조색1 40 36" xfId="11349"/>
    <cellStyle name="20% - 강조색1 40 4" xfId="1268"/>
    <cellStyle name="20% - 강조색1 40 5" xfId="1655"/>
    <cellStyle name="20% - 강조색1 40 6" xfId="721"/>
    <cellStyle name="20% - 강조색1 40 7" xfId="1479"/>
    <cellStyle name="20% - 강조색1 40 8" xfId="2158"/>
    <cellStyle name="20% - 강조색1 40 9" xfId="2971"/>
    <cellStyle name="20% - 강조색1 41" xfId="671"/>
    <cellStyle name="20% - 강조색1 41 10" xfId="3207"/>
    <cellStyle name="20% - 강조색1 41 11" xfId="3642"/>
    <cellStyle name="20% - 강조색1 41 12" xfId="3947"/>
    <cellStyle name="20% - 강조색1 41 13" xfId="2771"/>
    <cellStyle name="20% - 강조색1 41 14" xfId="4615"/>
    <cellStyle name="20% - 강조색1 41 15" xfId="5554"/>
    <cellStyle name="20% - 강조색1 41 16" xfId="5711"/>
    <cellStyle name="20% - 강조색1 41 17" xfId="4953"/>
    <cellStyle name="20% - 강조색1 41 18" xfId="5817"/>
    <cellStyle name="20% - 강조색1 41 19" xfId="6483"/>
    <cellStyle name="20% - 강조색1 41 2" xfId="1174"/>
    <cellStyle name="20% - 강조색1 41 20" xfId="7258"/>
    <cellStyle name="20% - 강조색1 41 21" xfId="3504"/>
    <cellStyle name="20% - 강조색1 41 22" xfId="7780"/>
    <cellStyle name="20% - 강조색1 41 23" xfId="8165"/>
    <cellStyle name="20% - 강조색1 41 24" xfId="8561"/>
    <cellStyle name="20% - 강조색1 41 25" xfId="770"/>
    <cellStyle name="20% - 강조색1 41 26" xfId="9245"/>
    <cellStyle name="20% - 강조색1 41 27" xfId="5013"/>
    <cellStyle name="20% - 강조색1 41 28" xfId="10027"/>
    <cellStyle name="20% - 강조색1 41 29" xfId="10168"/>
    <cellStyle name="20% - 강조색1 41 3" xfId="1254"/>
    <cellStyle name="20% - 강조색1 41 30" xfId="9204"/>
    <cellStyle name="20% - 강조색1 41 31" xfId="4814"/>
    <cellStyle name="20% - 강조색1 41 32" xfId="10746"/>
    <cellStyle name="20% - 강조색1 41 4" xfId="1346"/>
    <cellStyle name="20% - 강조색1 41 5" xfId="1692"/>
    <cellStyle name="20% - 강조색1 41 6" xfId="2030"/>
    <cellStyle name="20% - 강조색1 41 7" xfId="2279"/>
    <cellStyle name="20% - 강조색1 41 8" xfId="2645"/>
    <cellStyle name="20% - 강조색1 41 9" xfId="2947"/>
    <cellStyle name="20% - 강조색1 42" xfId="659"/>
    <cellStyle name="20% - 강조색1 42 10" xfId="3270"/>
    <cellStyle name="20% - 강조색1 42 11" xfId="3623"/>
    <cellStyle name="20% - 강조색1 42 12" xfId="3906"/>
    <cellStyle name="20% - 강조색1 42 13" xfId="3895"/>
    <cellStyle name="20% - 강조색1 42 14" xfId="4708"/>
    <cellStyle name="20% - 강조색1 42 15" xfId="5584"/>
    <cellStyle name="20% - 강조색1 42 16" xfId="5494"/>
    <cellStyle name="20% - 강조색1 42 17" xfId="5666"/>
    <cellStyle name="20% - 강조색1 42 18" xfId="5762"/>
    <cellStyle name="20% - 강조색1 42 19" xfId="3615"/>
    <cellStyle name="20% - 강조색1 42 2" xfId="1162"/>
    <cellStyle name="20% - 강조색1 42 20" xfId="7197"/>
    <cellStyle name="20% - 강조색1 42 21" xfId="7361"/>
    <cellStyle name="20% - 강조색1 42 22" xfId="7832"/>
    <cellStyle name="20% - 강조색1 42 23" xfId="6383"/>
    <cellStyle name="20% - 강조색1 42 24" xfId="8487"/>
    <cellStyle name="20% - 강조색1 42 25" xfId="8990"/>
    <cellStyle name="20% - 강조색1 42 26" xfId="9115"/>
    <cellStyle name="20% - 강조색1 42 27" xfId="7497"/>
    <cellStyle name="20% - 강조색1 42 28" xfId="9764"/>
    <cellStyle name="20% - 강조색1 42 29" xfId="5254"/>
    <cellStyle name="20% - 강조색1 42 3" xfId="1242"/>
    <cellStyle name="20% - 강조색1 42 30" xfId="10597"/>
    <cellStyle name="20% - 강조색1 42 31" xfId="6708"/>
    <cellStyle name="20% - 강조색1 42 32" xfId="6002"/>
    <cellStyle name="20% - 강조색1 42 4" xfId="1334"/>
    <cellStyle name="20% - 강조색1 42 5" xfId="1708"/>
    <cellStyle name="20% - 강조색1 42 6" xfId="959"/>
    <cellStyle name="20% - 강조색1 42 7" xfId="800"/>
    <cellStyle name="20% - 강조색1 42 8" xfId="2442"/>
    <cellStyle name="20% - 강조색1 42 9" xfId="884"/>
    <cellStyle name="20% - 강조색1 43" xfId="654"/>
    <cellStyle name="20% - 강조색1 43 10" xfId="3264"/>
    <cellStyle name="20% - 강조색1 43 11" xfId="2721"/>
    <cellStyle name="20% - 강조색1 43 12" xfId="1998"/>
    <cellStyle name="20% - 강조색1 43 13" xfId="878"/>
    <cellStyle name="20% - 강조색1 43 14" xfId="4549"/>
    <cellStyle name="20% - 강조색1 43 15" xfId="5595"/>
    <cellStyle name="20% - 강조색1 43 16" xfId="5816"/>
    <cellStyle name="20% - 강조색1 43 17" xfId="5896"/>
    <cellStyle name="20% - 강조색1 43 18" xfId="5954"/>
    <cellStyle name="20% - 강조색1 43 19" xfId="6162"/>
    <cellStyle name="20% - 강조색1 43 2" xfId="1157"/>
    <cellStyle name="20% - 강조색1 43 20" xfId="2104"/>
    <cellStyle name="20% - 강조색1 43 21" xfId="6792"/>
    <cellStyle name="20% - 강조색1 43 22" xfId="7567"/>
    <cellStyle name="20% - 강조색1 43 23" xfId="8177"/>
    <cellStyle name="20% - 강조색1 43 24" xfId="8354"/>
    <cellStyle name="20% - 강조색1 43 25" xfId="8891"/>
    <cellStyle name="20% - 강조색1 43 26" xfId="7817"/>
    <cellStyle name="20% - 강조색1 43 27" xfId="6721"/>
    <cellStyle name="20% - 강조색1 43 28" xfId="9932"/>
    <cellStyle name="20% - 강조색1 43 29" xfId="10226"/>
    <cellStyle name="20% - 강조색1 43 3" xfId="1237"/>
    <cellStyle name="20% - 강조색1 43 30" xfId="10433"/>
    <cellStyle name="20% - 강조색1 43 31" xfId="10805"/>
    <cellStyle name="20% - 강조색1 43 32" xfId="11231"/>
    <cellStyle name="20% - 강조색1 43 4" xfId="1329"/>
    <cellStyle name="20% - 강조색1 43 5" xfId="1672"/>
    <cellStyle name="20% - 강조색1 43 6" xfId="905"/>
    <cellStyle name="20% - 강조색1 43 7" xfId="2272"/>
    <cellStyle name="20% - 강조색1 43 8" xfId="2673"/>
    <cellStyle name="20% - 강조색1 43 9" xfId="2928"/>
    <cellStyle name="20% - 강조색1 44" xfId="622"/>
    <cellStyle name="20% - 강조색1 44 10" xfId="3125"/>
    <cellStyle name="20% - 강조색1 44 11" xfId="3635"/>
    <cellStyle name="20% - 강조색1 44 12" xfId="4029"/>
    <cellStyle name="20% - 강조색1 44 13" xfId="4371"/>
    <cellStyle name="20% - 강조색1 44 14" xfId="4638"/>
    <cellStyle name="20% - 강조색1 44 15" xfId="4895"/>
    <cellStyle name="20% - 강조색1 44 16" xfId="933"/>
    <cellStyle name="20% - 강조색1 44 17" xfId="5364"/>
    <cellStyle name="20% - 강조색1 44 18" xfId="4855"/>
    <cellStyle name="20% - 강조색1 44 19" xfId="6221"/>
    <cellStyle name="20% - 강조색1 44 2" xfId="1125"/>
    <cellStyle name="20% - 강조색1 44 20" xfId="7135"/>
    <cellStyle name="20% - 강조색1 44 21" xfId="3930"/>
    <cellStyle name="20% - 강조색1 44 22" xfId="6323"/>
    <cellStyle name="20% - 강조색1 44 23" xfId="6767"/>
    <cellStyle name="20% - 강조색1 44 24" xfId="8488"/>
    <cellStyle name="20% - 강조색1 44 25" xfId="8924"/>
    <cellStyle name="20% - 강조색1 44 26" xfId="5241"/>
    <cellStyle name="20% - 강조색1 44 27" xfId="9357"/>
    <cellStyle name="20% - 강조색1 44 28" xfId="6504"/>
    <cellStyle name="20% - 강조색1 44 29" xfId="10255"/>
    <cellStyle name="20% - 강조색1 44 3" xfId="1205"/>
    <cellStyle name="20% - 강조색1 44 30" xfId="10660"/>
    <cellStyle name="20% - 강조색1 44 31" xfId="2780"/>
    <cellStyle name="20% - 강조색1 44 32" xfId="5192"/>
    <cellStyle name="20% - 강조색1 44 4" xfId="1297"/>
    <cellStyle name="20% - 강조색1 44 5" xfId="1719"/>
    <cellStyle name="20% - 강조색1 44 6" xfId="1841"/>
    <cellStyle name="20% - 강조색1 44 7" xfId="852"/>
    <cellStyle name="20% - 강조색1 44 8" xfId="719"/>
    <cellStyle name="20% - 강조색1 44 9" xfId="2738"/>
    <cellStyle name="20% - 강조색1 45" xfId="678"/>
    <cellStyle name="20% - 강조색1 45 10" xfId="3206"/>
    <cellStyle name="20% - 강조색1 45 11" xfId="3671"/>
    <cellStyle name="20% - 강조색1 45 12" xfId="1410"/>
    <cellStyle name="20% - 강조색1 45 13" xfId="4341"/>
    <cellStyle name="20% - 강조색1 45 14" xfId="3858"/>
    <cellStyle name="20% - 강조색1 45 15" xfId="4213"/>
    <cellStyle name="20% - 강조색1 45 16" xfId="5677"/>
    <cellStyle name="20% - 강조색1 45 17" xfId="863"/>
    <cellStyle name="20% - 강조색1 45 18" xfId="5333"/>
    <cellStyle name="20% - 강조색1 45 19" xfId="5450"/>
    <cellStyle name="20% - 강조색1 45 2" xfId="1181"/>
    <cellStyle name="20% - 강조색1 45 20" xfId="7223"/>
    <cellStyle name="20% - 강조색1 45 21" xfId="7215"/>
    <cellStyle name="20% - 강조색1 45 22" xfId="4235"/>
    <cellStyle name="20% - 강조색1 45 23" xfId="6610"/>
    <cellStyle name="20% - 강조색1 45 24" xfId="8539"/>
    <cellStyle name="20% - 강조색1 45 25" xfId="4538"/>
    <cellStyle name="20% - 강조색1 45 26" xfId="9126"/>
    <cellStyle name="20% - 강조색1 45 27" xfId="9557"/>
    <cellStyle name="20% - 강조색1 45 28" xfId="9818"/>
    <cellStyle name="20% - 강조색1 45 29" xfId="5186"/>
    <cellStyle name="20% - 강조색1 45 3" xfId="1261"/>
    <cellStyle name="20% - 강조색1 45 30" xfId="10435"/>
    <cellStyle name="20% - 강조색1 45 31" xfId="10824"/>
    <cellStyle name="20% - 강조색1 45 32" xfId="10778"/>
    <cellStyle name="20% - 강조색1 45 4" xfId="1353"/>
    <cellStyle name="20% - 강조색1 45 5" xfId="1706"/>
    <cellStyle name="20% - 강조색1 45 6" xfId="973"/>
    <cellStyle name="20% - 강조색1 45 7" xfId="1480"/>
    <cellStyle name="20% - 강조색1 45 8" xfId="2632"/>
    <cellStyle name="20% - 강조색1 45 9" xfId="2868"/>
    <cellStyle name="20% - 강조색1 46" xfId="638"/>
    <cellStyle name="20% - 강조색1 46 10" xfId="850"/>
    <cellStyle name="20% - 강조색1 46 11" xfId="3660"/>
    <cellStyle name="20% - 강조색1 46 12" xfId="3896"/>
    <cellStyle name="20% - 강조색1 46 13" xfId="4366"/>
    <cellStyle name="20% - 강조색1 46 14" xfId="2839"/>
    <cellStyle name="20% - 강조색1 46 15" xfId="699"/>
    <cellStyle name="20% - 강조색1 46 16" xfId="5164"/>
    <cellStyle name="20% - 강조색1 46 17" xfId="1504"/>
    <cellStyle name="20% - 강조색1 46 18" xfId="5508"/>
    <cellStyle name="20% - 강조색1 46 19" xfId="4835"/>
    <cellStyle name="20% - 강조색1 46 2" xfId="1141"/>
    <cellStyle name="20% - 강조색1 46 20" xfId="4477"/>
    <cellStyle name="20% - 강조색1 46 21" xfId="7095"/>
    <cellStyle name="20% - 강조색1 46 22" xfId="7800"/>
    <cellStyle name="20% - 강조색1 46 23" xfId="8254"/>
    <cellStyle name="20% - 강조색1 46 24" xfId="8588"/>
    <cellStyle name="20% - 강조색1 46 25" xfId="8677"/>
    <cellStyle name="20% - 강조색1 46 26" xfId="9097"/>
    <cellStyle name="20% - 강조색1 46 27" xfId="9183"/>
    <cellStyle name="20% - 강조색1 46 28" xfId="9850"/>
    <cellStyle name="20% - 강조색1 46 29" xfId="10132"/>
    <cellStyle name="20% - 강조색1 46 3" xfId="1221"/>
    <cellStyle name="20% - 강조색1 46 30" xfId="10517"/>
    <cellStyle name="20% - 강조색1 46 31" xfId="4139"/>
    <cellStyle name="20% - 강조색1 46 32" xfId="11149"/>
    <cellStyle name="20% - 강조색1 46 4" xfId="1313"/>
    <cellStyle name="20% - 강조색1 46 5" xfId="1738"/>
    <cellStyle name="20% - 강조색1 46 6" xfId="2049"/>
    <cellStyle name="20% - 강조색1 46 7" xfId="2342"/>
    <cellStyle name="20% - 강조색1 46 8" xfId="2574"/>
    <cellStyle name="20% - 강조색1 46 9" xfId="2772"/>
    <cellStyle name="20% - 강조색1 47" xfId="564"/>
    <cellStyle name="20% - 강조색1 47 10" xfId="4194"/>
    <cellStyle name="20% - 강조색1 47 11" xfId="4617"/>
    <cellStyle name="20% - 강조색1 47 12" xfId="4811"/>
    <cellStyle name="20% - 강조색1 47 13" xfId="5639"/>
    <cellStyle name="20% - 강조색1 47 14" xfId="5447"/>
    <cellStyle name="20% - 강조색1 47 15" xfId="5242"/>
    <cellStyle name="20% - 강조색1 47 16" xfId="4661"/>
    <cellStyle name="20% - 강조색1 47 17" xfId="1826"/>
    <cellStyle name="20% - 강조색1 47 18" xfId="7364"/>
    <cellStyle name="20% - 강조색1 47 19" xfId="4158"/>
    <cellStyle name="20% - 강조색1 47 2" xfId="1061"/>
    <cellStyle name="20% - 강조색1 47 20" xfId="8241"/>
    <cellStyle name="20% - 강조색1 47 21" xfId="2852"/>
    <cellStyle name="20% - 강조색1 47 22" xfId="854"/>
    <cellStyle name="20% - 강조색1 47 23" xfId="9301"/>
    <cellStyle name="20% - 강조색1 47 24" xfId="9665"/>
    <cellStyle name="20% - 강조색1 47 25" xfId="9268"/>
    <cellStyle name="20% - 강조색1 47 26" xfId="10294"/>
    <cellStyle name="20% - 강조색1 47 27" xfId="10142"/>
    <cellStyle name="20% - 강조색1 47 28" xfId="6235"/>
    <cellStyle name="20% - 강조색1 47 29" xfId="11228"/>
    <cellStyle name="20% - 강조색1 47 3" xfId="2046"/>
    <cellStyle name="20% - 강조색1 47 30" xfId="11332"/>
    <cellStyle name="20% - 강조색1 47 31" xfId="11382"/>
    <cellStyle name="20% - 강조색1 47 32" xfId="11405"/>
    <cellStyle name="20% - 강조색1 47 33" xfId="11368"/>
    <cellStyle name="20% - 강조색1 47 4" xfId="2295"/>
    <cellStyle name="20% - 강조색1 47 5" xfId="2686"/>
    <cellStyle name="20% - 강조색1 47 6" xfId="2865"/>
    <cellStyle name="20% - 강조색1 47 7" xfId="3195"/>
    <cellStyle name="20% - 강조색1 47 8" xfId="2156"/>
    <cellStyle name="20% - 강조색1 47 9" xfId="3861"/>
    <cellStyle name="20% - 강조색1 48" xfId="1078"/>
    <cellStyle name="20% - 강조색1 48 10" xfId="4117"/>
    <cellStyle name="20% - 강조색1 48 11" xfId="4684"/>
    <cellStyle name="20% - 강조색1 48 12" xfId="2862"/>
    <cellStyle name="20% - 강조색1 48 13" xfId="5393"/>
    <cellStyle name="20% - 강조색1 48 14" xfId="5514"/>
    <cellStyle name="20% - 강조색1 48 15" xfId="5093"/>
    <cellStyle name="20% - 강조색1 48 16" xfId="5066"/>
    <cellStyle name="20% - 강조색1 48 17" xfId="2542"/>
    <cellStyle name="20% - 강조색1 48 18" xfId="7136"/>
    <cellStyle name="20% - 강조색1 48 19" xfId="7706"/>
    <cellStyle name="20% - 강조색1 48 2" xfId="1778"/>
    <cellStyle name="20% - 강조색1 48 20" xfId="6293"/>
    <cellStyle name="20% - 강조색1 48 21" xfId="5057"/>
    <cellStyle name="20% - 강조색1 48 22" xfId="8351"/>
    <cellStyle name="20% - 강조색1 48 23" xfId="9302"/>
    <cellStyle name="20% - 강조색1 48 24" xfId="9616"/>
    <cellStyle name="20% - 강조색1 48 25" xfId="2970"/>
    <cellStyle name="20% - 강조색1 48 26" xfId="8940"/>
    <cellStyle name="20% - 강조색1 48 27" xfId="10654"/>
    <cellStyle name="20% - 강조색1 48 28" xfId="976"/>
    <cellStyle name="20% - 강조색1 48 29" xfId="11256"/>
    <cellStyle name="20% - 강조색1 48 3" xfId="776"/>
    <cellStyle name="20% - 강조색1 48 4" xfId="1494"/>
    <cellStyle name="20% - 강조색1 48 5" xfId="2611"/>
    <cellStyle name="20% - 강조색1 48 6" xfId="2817"/>
    <cellStyle name="20% - 강조색1 48 7" xfId="3243"/>
    <cellStyle name="20% - 강조색1 48 8" xfId="706"/>
    <cellStyle name="20% - 강조색1 48 9" xfId="3835"/>
    <cellStyle name="20% - 강조색1 49" xfId="1022"/>
    <cellStyle name="20% - 강조색1 49 10" xfId="1375"/>
    <cellStyle name="20% - 강조색1 49 11" xfId="4739"/>
    <cellStyle name="20% - 강조색1 49 12" xfId="5041"/>
    <cellStyle name="20% - 강조색1 49 13" xfId="5349"/>
    <cellStyle name="20% - 강조색1 49 14" xfId="5289"/>
    <cellStyle name="20% - 강조색1 49 15" xfId="5703"/>
    <cellStyle name="20% - 강조색1 49 16" xfId="6260"/>
    <cellStyle name="20% - 강조색1 49 17" xfId="958"/>
    <cellStyle name="20% - 강조색1 49 18" xfId="4177"/>
    <cellStyle name="20% - 강조색1 49 19" xfId="6366"/>
    <cellStyle name="20% - 강조색1 49 2" xfId="1675"/>
    <cellStyle name="20% - 강조색1 49 20" xfId="6136"/>
    <cellStyle name="20% - 강조색1 49 21" xfId="8336"/>
    <cellStyle name="20% - 강조색1 49 22" xfId="7467"/>
    <cellStyle name="20% - 강조색1 49 23" xfId="9367"/>
    <cellStyle name="20% - 강조색1 49 24" xfId="9619"/>
    <cellStyle name="20% - 강조색1 49 25" xfId="4494"/>
    <cellStyle name="20% - 강조색1 49 26" xfId="10264"/>
    <cellStyle name="20% - 강조색1 49 27" xfId="9427"/>
    <cellStyle name="20% - 강조색1 49 28" xfId="10848"/>
    <cellStyle name="20% - 강조색1 49 29" xfId="11172"/>
    <cellStyle name="20% - 강조색1 49 3" xfId="2019"/>
    <cellStyle name="20% - 강조색1 49 4" xfId="2293"/>
    <cellStyle name="20% - 강조색1 49 5" xfId="2656"/>
    <cellStyle name="20% - 강조색1 49 6" xfId="2912"/>
    <cellStyle name="20% - 강조색1 49 7" xfId="3276"/>
    <cellStyle name="20% - 강조색1 49 8" xfId="782"/>
    <cellStyle name="20% - 강조색1 49 9" xfId="4030"/>
    <cellStyle name="20% - 강조색1 5" xfId="61"/>
    <cellStyle name="20% - 강조색1 50" xfId="1095"/>
    <cellStyle name="20% - 강조색1 50 10" xfId="4154"/>
    <cellStyle name="20% - 강조색1 50 11" xfId="3291"/>
    <cellStyle name="20% - 강조색1 50 12" xfId="5359"/>
    <cellStyle name="20% - 강조색1 50 13" xfId="5620"/>
    <cellStyle name="20% - 강조색1 50 14" xfId="5490"/>
    <cellStyle name="20% - 강조색1 50 15" xfId="5175"/>
    <cellStyle name="20% - 강조색1 50 16" xfId="3238"/>
    <cellStyle name="20% - 강조색1 50 17" xfId="6719"/>
    <cellStyle name="20% - 강조색1 50 18" xfId="2759"/>
    <cellStyle name="20% - 강조색1 50 19" xfId="7147"/>
    <cellStyle name="20% - 강조색1 50 2" xfId="1809"/>
    <cellStyle name="20% - 강조색1 50 20" xfId="6813"/>
    <cellStyle name="20% - 강조색1 50 21" xfId="8576"/>
    <cellStyle name="20% - 강조색1 50 22" xfId="2828"/>
    <cellStyle name="20% - 강조색1 50 23" xfId="6890"/>
    <cellStyle name="20% - 강조색1 50 24" xfId="9656"/>
    <cellStyle name="20% - 강조색1 50 25" xfId="9985"/>
    <cellStyle name="20% - 강조색1 50 26" xfId="10369"/>
    <cellStyle name="20% - 강조색1 50 27" xfId="6784"/>
    <cellStyle name="20% - 강조색1 50 28" xfId="8100"/>
    <cellStyle name="20% - 강조색1 50 29" xfId="11216"/>
    <cellStyle name="20% - 강조색1 50 3" xfId="955"/>
    <cellStyle name="20% - 강조색1 50 4" xfId="1569"/>
    <cellStyle name="20% - 강조색1 50 5" xfId="2489"/>
    <cellStyle name="20% - 강조색1 50 6" xfId="2986"/>
    <cellStyle name="20% - 강조색1 50 7" xfId="3126"/>
    <cellStyle name="20% - 강조색1 50 8" xfId="2508"/>
    <cellStyle name="20% - 강조색1 50 9" xfId="4028"/>
    <cellStyle name="20% - 강조색1 51" xfId="1018"/>
    <cellStyle name="20% - 강조색1 51 10" xfId="4038"/>
    <cellStyle name="20% - 강조색1 51 11" xfId="1833"/>
    <cellStyle name="20% - 강조색1 51 12" xfId="2560"/>
    <cellStyle name="20% - 강조색1 51 13" xfId="5837"/>
    <cellStyle name="20% - 강조색1 51 14" xfId="5914"/>
    <cellStyle name="20% - 강조색1 51 15" xfId="5970"/>
    <cellStyle name="20% - 강조색1 51 16" xfId="6341"/>
    <cellStyle name="20% - 강조색1 51 17" xfId="7097"/>
    <cellStyle name="20% - 강조색1 51 18" xfId="2570"/>
    <cellStyle name="20% - 강조색1 51 19" xfId="7753"/>
    <cellStyle name="20% - 강조색1 51 2" xfId="1669"/>
    <cellStyle name="20% - 강조색1 51 20" xfId="2597"/>
    <cellStyle name="20% - 강조색1 51 21" xfId="6096"/>
    <cellStyle name="20% - 강조색1 51 22" xfId="2144"/>
    <cellStyle name="20% - 강조색1 51 23" xfId="8778"/>
    <cellStyle name="20% - 강조색1 51 24" xfId="9639"/>
    <cellStyle name="20% - 강조색1 51 25" xfId="10040"/>
    <cellStyle name="20% - 강조색1 51 26" xfId="5360"/>
    <cellStyle name="20% - 강조색1 51 27" xfId="8690"/>
    <cellStyle name="20% - 강조색1 51 28" xfId="10248"/>
    <cellStyle name="20% - 강조색1 51 29" xfId="8953"/>
    <cellStyle name="20% - 강조색1 51 3" xfId="1383"/>
    <cellStyle name="20% - 강조색1 51 4" xfId="2321"/>
    <cellStyle name="20% - 강조색1 51 5" xfId="2581"/>
    <cellStyle name="20% - 강조색1 51 6" xfId="793"/>
    <cellStyle name="20% - 강조색1 51 7" xfId="3292"/>
    <cellStyle name="20% - 강조색1 51 8" xfId="3461"/>
    <cellStyle name="20% - 강조색1 51 9" xfId="1929"/>
    <cellStyle name="20% - 강조색1 52" xfId="1063"/>
    <cellStyle name="20% - 강조색1 52 10" xfId="4294"/>
    <cellStyle name="20% - 강조색1 52 11" xfId="4747"/>
    <cellStyle name="20% - 강조색1 52 12" xfId="5429"/>
    <cellStyle name="20% - 강조색1 52 13" xfId="5034"/>
    <cellStyle name="20% - 강조색1 52 14" xfId="5091"/>
    <cellStyle name="20% - 강조색1 52 15" xfId="5303"/>
    <cellStyle name="20% - 강조색1 52 16" xfId="6388"/>
    <cellStyle name="20% - 강조색1 52 17" xfId="7218"/>
    <cellStyle name="20% - 강조색1 52 18" xfId="6853"/>
    <cellStyle name="20% - 강조색1 52 19" xfId="7848"/>
    <cellStyle name="20% - 강조색1 52 2" xfId="1746"/>
    <cellStyle name="20% - 강조색1 52 20" xfId="8227"/>
    <cellStyle name="20% - 강조색1 52 21" xfId="8340"/>
    <cellStyle name="20% - 강조색1 52 22" xfId="8730"/>
    <cellStyle name="20% - 강조색1 52 23" xfId="9101"/>
    <cellStyle name="20% - 강조색1 52 24" xfId="9442"/>
    <cellStyle name="20% - 강조색1 52 25" xfId="9976"/>
    <cellStyle name="20% - 강조색1 52 26" xfId="10341"/>
    <cellStyle name="20% - 강조색1 52 27" xfId="6768"/>
    <cellStyle name="20% - 강조색1 52 28" xfId="10976"/>
    <cellStyle name="20% - 강조색1 52 29" xfId="6132"/>
    <cellStyle name="20% - 강조색1 52 3" xfId="2029"/>
    <cellStyle name="20% - 강조색1 52 4" xfId="2343"/>
    <cellStyle name="20% - 강조색1 52 5" xfId="2680"/>
    <cellStyle name="20% - 강조색1 52 6" xfId="813"/>
    <cellStyle name="20% - 강조색1 52 7" xfId="3287"/>
    <cellStyle name="20% - 강조색1 52 8" xfId="3634"/>
    <cellStyle name="20% - 강조색1 52 9" xfId="1916"/>
    <cellStyle name="20% - 강조색1 53" xfId="1071"/>
    <cellStyle name="20% - 강조색1 53 10" xfId="4206"/>
    <cellStyle name="20% - 강조색1 53 11" xfId="4626"/>
    <cellStyle name="20% - 강조색1 53 12" xfId="5138"/>
    <cellStyle name="20% - 강조색1 53 13" xfId="5269"/>
    <cellStyle name="20% - 강조색1 53 14" xfId="4656"/>
    <cellStyle name="20% - 강조색1 53 15" xfId="5106"/>
    <cellStyle name="20% - 강조색1 53 16" xfId="6571"/>
    <cellStyle name="20% - 강조색1 53 17" xfId="5992"/>
    <cellStyle name="20% - 강조색1 53 18" xfId="6355"/>
    <cellStyle name="20% - 강조색1 53 19" xfId="7812"/>
    <cellStyle name="20% - 강조색1 53 2" xfId="1760"/>
    <cellStyle name="20% - 강조색1 53 20" xfId="8080"/>
    <cellStyle name="20% - 강조색1 53 21" xfId="3841"/>
    <cellStyle name="20% - 강조색1 53 22" xfId="8884"/>
    <cellStyle name="20% - 강조색1 53 23" xfId="7420"/>
    <cellStyle name="20% - 강조색1 53 24" xfId="6265"/>
    <cellStyle name="20% - 강조색1 53 25" xfId="6925"/>
    <cellStyle name="20% - 강조색1 53 26" xfId="2106"/>
    <cellStyle name="20% - 강조색1 53 27" xfId="10432"/>
    <cellStyle name="20% - 강조색1 53 28" xfId="8832"/>
    <cellStyle name="20% - 강조색1 53 29" xfId="11048"/>
    <cellStyle name="20% - 강조색1 53 3" xfId="753"/>
    <cellStyle name="20% - 강조색1 53 4" xfId="2287"/>
    <cellStyle name="20% - 강조색1 53 5" xfId="998"/>
    <cellStyle name="20% - 강조색1 53 6" xfId="2953"/>
    <cellStyle name="20% - 강조색1 53 7" xfId="3266"/>
    <cellStyle name="20% - 강조색1 53 8" xfId="1423"/>
    <cellStyle name="20% - 강조색1 53 9" xfId="4026"/>
    <cellStyle name="20% - 강조색1 54" xfId="1575"/>
    <cellStyle name="20% - 강조색1 54 10" xfId="4702"/>
    <cellStyle name="20% - 강조색1 54 11" xfId="5050"/>
    <cellStyle name="20% - 강조색1 54 12" xfId="5243"/>
    <cellStyle name="20% - 강조색1 54 13" xfId="5517"/>
    <cellStyle name="20% - 강조색1 54 14" xfId="5202"/>
    <cellStyle name="20% - 강조색1 54 15" xfId="6541"/>
    <cellStyle name="20% - 강조색1 54 16" xfId="1958"/>
    <cellStyle name="20% - 강조색1 54 17" xfId="6757"/>
    <cellStyle name="20% - 강조색1 54 18" xfId="4573"/>
    <cellStyle name="20% - 강조색1 54 19" xfId="3960"/>
    <cellStyle name="20% - 강조색1 54 2" xfId="2085"/>
    <cellStyle name="20% - 강조색1 54 20" xfId="7947"/>
    <cellStyle name="20% - 강조색1 54 21" xfId="8880"/>
    <cellStyle name="20% - 강조색1 54 22" xfId="9208"/>
    <cellStyle name="20% - 강조색1 54 23" xfId="7741"/>
    <cellStyle name="20% - 강조색1 54 24" xfId="8443"/>
    <cellStyle name="20% - 강조색1 54 25" xfId="6723"/>
    <cellStyle name="20% - 강조색1 54 26" xfId="10666"/>
    <cellStyle name="20% - 강조색1 54 27" xfId="8505"/>
    <cellStyle name="20% - 강조색1 54 28" xfId="11260"/>
    <cellStyle name="20% - 강조색1 54 3" xfId="2367"/>
    <cellStyle name="20% - 강조색1 54 4" xfId="1549"/>
    <cellStyle name="20% - 강조색1 54 5" xfId="2941"/>
    <cellStyle name="20% - 강조색1 54 6" xfId="3096"/>
    <cellStyle name="20% - 강조색1 54 7" xfId="3453"/>
    <cellStyle name="20% - 강조색1 54 8" xfId="1851"/>
    <cellStyle name="20% - 강조색1 54 9" xfId="2838"/>
    <cellStyle name="20% - 강조색1 55" xfId="1421"/>
    <cellStyle name="20% - 강조색1 55 10" xfId="5403"/>
    <cellStyle name="20% - 강조색1 55 11" xfId="4794"/>
    <cellStyle name="20% - 강조색1 55 12" xfId="5203"/>
    <cellStyle name="20% - 강조색1 55 13" xfId="5673"/>
    <cellStyle name="20% - 강조색1 55 14" xfId="6590"/>
    <cellStyle name="20% - 강조색1 55 15" xfId="7023"/>
    <cellStyle name="20% - 강조색1 55 16" xfId="7322"/>
    <cellStyle name="20% - 강조색1 55 17" xfId="2391"/>
    <cellStyle name="20% - 강조색1 55 18" xfId="6484"/>
    <cellStyle name="20% - 강조색1 55 19" xfId="7761"/>
    <cellStyle name="20% - 강조색1 55 2" xfId="2362"/>
    <cellStyle name="20% - 강조색1 55 20" xfId="9003"/>
    <cellStyle name="20% - 강조색1 55 21" xfId="5999"/>
    <cellStyle name="20% - 강조색1 55 22" xfId="1836"/>
    <cellStyle name="20% - 강조색1 55 23" xfId="9919"/>
    <cellStyle name="20% - 강조색1 55 24" xfId="10379"/>
    <cellStyle name="20% - 강조색1 55 25" xfId="10489"/>
    <cellStyle name="20% - 강조색1 55 26" xfId="10858"/>
    <cellStyle name="20% - 강조색1 55 27" xfId="11054"/>
    <cellStyle name="20% - 강조색1 55 3" xfId="2615"/>
    <cellStyle name="20% - 강조색1 55 4" xfId="869"/>
    <cellStyle name="20% - 강조색1 55 5" xfId="3329"/>
    <cellStyle name="20% - 강조색1 55 6" xfId="2166"/>
    <cellStyle name="20% - 강조색1 55 7" xfId="4004"/>
    <cellStyle name="20% - 강조색1 55 8" xfId="1411"/>
    <cellStyle name="20% - 강조색1 55 9" xfId="4422"/>
    <cellStyle name="20% - 강조색1 56" xfId="2193"/>
    <cellStyle name="20% - 강조색1 56 10" xfId="5162"/>
    <cellStyle name="20% - 강조색1 56 11" xfId="5446"/>
    <cellStyle name="20% - 강조색1 56 12" xfId="5172"/>
    <cellStyle name="20% - 강조색1 56 13" xfId="6524"/>
    <cellStyle name="20% - 강조색1 56 14" xfId="7244"/>
    <cellStyle name="20% - 강조색1 56 15" xfId="7089"/>
    <cellStyle name="20% - 강조색1 56 16" xfId="1468"/>
    <cellStyle name="20% - 강조색1 56 17" xfId="8161"/>
    <cellStyle name="20% - 강조색1 56 18" xfId="6827"/>
    <cellStyle name="20% - 강조색1 56 19" xfId="8743"/>
    <cellStyle name="20% - 강조색1 56 2" xfId="2702"/>
    <cellStyle name="20% - 강조색1 56 20" xfId="1551"/>
    <cellStyle name="20% - 강조색1 56 21" xfId="9527"/>
    <cellStyle name="20% - 강조색1 56 22" xfId="9767"/>
    <cellStyle name="20% - 강조색1 56 23" xfId="8955"/>
    <cellStyle name="20% - 강조색1 56 24" xfId="6171"/>
    <cellStyle name="20% - 강조색1 56 25" xfId="6929"/>
    <cellStyle name="20% - 강조색1 56 26" xfId="11230"/>
    <cellStyle name="20% - 강조색1 56 3" xfId="3017"/>
    <cellStyle name="20% - 강조색1 56 4" xfId="1583"/>
    <cellStyle name="20% - 강조색1 56 5" xfId="1444"/>
    <cellStyle name="20% - 강조색1 56 6" xfId="3953"/>
    <cellStyle name="20% - 강조색1 56 7" xfId="4302"/>
    <cellStyle name="20% - 강조색1 56 8" xfId="2452"/>
    <cellStyle name="20% - 강조색1 56 9" xfId="5328"/>
    <cellStyle name="20% - 강조색1 57" xfId="1856"/>
    <cellStyle name="20% - 강조색1 57 10" xfId="5264"/>
    <cellStyle name="20% - 강조색1 57 11" xfId="5624"/>
    <cellStyle name="20% - 강조색1 57 12" xfId="6313"/>
    <cellStyle name="20% - 강조색1 57 13" xfId="6965"/>
    <cellStyle name="20% - 강조색1 57 14" xfId="7306"/>
    <cellStyle name="20% - 강조색1 57 15" xfId="7206"/>
    <cellStyle name="20% - 강조색1 57 16" xfId="4872"/>
    <cellStyle name="20% - 강조색1 57 17" xfId="1984"/>
    <cellStyle name="20% - 강조색1 57 18" xfId="8828"/>
    <cellStyle name="20% - 강조색1 57 19" xfId="9075"/>
    <cellStyle name="20% - 강조색1 57 2" xfId="3002"/>
    <cellStyle name="20% - 강조색1 57 20" xfId="1999"/>
    <cellStyle name="20% - 강조색1 57 21" xfId="6480"/>
    <cellStyle name="20% - 강조색1 57 22" xfId="8733"/>
    <cellStyle name="20% - 강조색1 57 23" xfId="6254"/>
    <cellStyle name="20% - 강조색1 57 24" xfId="8109"/>
    <cellStyle name="20% - 강조색1 57 25" xfId="3160"/>
    <cellStyle name="20% - 강조색1 57 3" xfId="2140"/>
    <cellStyle name="20% - 강조색1 57 4" xfId="3436"/>
    <cellStyle name="20% - 강조색1 57 5" xfId="3972"/>
    <cellStyle name="20% - 강조색1 57 6" xfId="4196"/>
    <cellStyle name="20% - 강조색1 57 7" xfId="4621"/>
    <cellStyle name="20% - 강조색1 57 8" xfId="5643"/>
    <cellStyle name="20% - 강조색1 57 9" xfId="5632"/>
    <cellStyle name="20% - 강조색1 58" xfId="2866"/>
    <cellStyle name="20% - 강조색1 58 10" xfId="4807"/>
    <cellStyle name="20% - 강조색1 58 11" xfId="6474"/>
    <cellStyle name="20% - 강조색1 58 12" xfId="6785"/>
    <cellStyle name="20% - 강조색1 58 13" xfId="7347"/>
    <cellStyle name="20% - 강조색1 58 14" xfId="3474"/>
    <cellStyle name="20% - 강조색1 58 15" xfId="2430"/>
    <cellStyle name="20% - 강조색1 58 16" xfId="3666"/>
    <cellStyle name="20% - 강조색1 58 17" xfId="8823"/>
    <cellStyle name="20% - 강조색1 58 18" xfId="9366"/>
    <cellStyle name="20% - 강조색1 58 19" xfId="6188"/>
    <cellStyle name="20% - 강조색1 58 2" xfId="3372"/>
    <cellStyle name="20% - 강조색1 58 20" xfId="6154"/>
    <cellStyle name="20% - 강조색1 58 21" xfId="10279"/>
    <cellStyle name="20% - 강조색1 58 22" xfId="9129"/>
    <cellStyle name="20% - 강조색1 58 23" xfId="10799"/>
    <cellStyle name="20% - 강조색1 58 24" xfId="10430"/>
    <cellStyle name="20% - 강조색1 58 3" xfId="3705"/>
    <cellStyle name="20% - 강조색1 58 4" xfId="4043"/>
    <cellStyle name="20% - 강조색1 58 5" xfId="3832"/>
    <cellStyle name="20% - 강조색1 58 6" xfId="4748"/>
    <cellStyle name="20% - 강조색1 58 7" xfId="5545"/>
    <cellStyle name="20% - 강조색1 58 8" xfId="4426"/>
    <cellStyle name="20% - 강조색1 58 9" xfId="5065"/>
    <cellStyle name="20% - 강조색1 59" xfId="730"/>
    <cellStyle name="20% - 강조색1 59 10" xfId="6473"/>
    <cellStyle name="20% - 강조색1 59 11" xfId="7122"/>
    <cellStyle name="20% - 강조색1 59 12" xfId="7363"/>
    <cellStyle name="20% - 강조색1 59 13" xfId="6161"/>
    <cellStyle name="20% - 강조색1 59 14" xfId="7919"/>
    <cellStyle name="20% - 강조색1 59 15" xfId="8396"/>
    <cellStyle name="20% - 강조색1 59 16" xfId="8773"/>
    <cellStyle name="20% - 강조색1 59 17" xfId="841"/>
    <cellStyle name="20% - 강조색1 59 18" xfId="886"/>
    <cellStyle name="20% - 강조색1 59 19" xfId="9988"/>
    <cellStyle name="20% - 강조색1 59 2" xfId="926"/>
    <cellStyle name="20% - 강조색1 59 20" xfId="4884"/>
    <cellStyle name="20% - 강조색1 59 21" xfId="10535"/>
    <cellStyle name="20% - 강조색1 59 22" xfId="10932"/>
    <cellStyle name="20% - 강조색1 59 23" xfId="4969"/>
    <cellStyle name="20% - 강조색1 59 3" xfId="3946"/>
    <cellStyle name="20% - 강조색1 59 4" xfId="3505"/>
    <cellStyle name="20% - 강조색1 59 5" xfId="3062"/>
    <cellStyle name="20% - 강조색1 59 6" xfId="848"/>
    <cellStyle name="20% - 강조색1 59 7" xfId="702"/>
    <cellStyle name="20% - 강조색1 59 8" xfId="1497"/>
    <cellStyle name="20% - 강조색1 59 9" xfId="1626"/>
    <cellStyle name="20% - 강조색1 6" xfId="60"/>
    <cellStyle name="20% - 강조색1 60" xfId="3532"/>
    <cellStyle name="20% - 강조색1 60 10" xfId="4102"/>
    <cellStyle name="20% - 강조색1 60 11" xfId="6309"/>
    <cellStyle name="20% - 강조색1 60 12" xfId="7457"/>
    <cellStyle name="20% - 강조색1 60 13" xfId="2410"/>
    <cellStyle name="20% - 강조색1 60 14" xfId="7419"/>
    <cellStyle name="20% - 강조색1 60 15" xfId="8687"/>
    <cellStyle name="20% - 강조색1 60 16" xfId="9371"/>
    <cellStyle name="20% - 강조색1 60 17" xfId="8369"/>
    <cellStyle name="20% - 강조색1 60 18" xfId="3616"/>
    <cellStyle name="20% - 강조색1 60 19" xfId="8064"/>
    <cellStyle name="20% - 강조색1 60 2" xfId="4062"/>
    <cellStyle name="20% - 강조색1 60 20" xfId="10459"/>
    <cellStyle name="20% - 강조색1 60 21" xfId="4844"/>
    <cellStyle name="20% - 강조색1 60 22" xfId="7141"/>
    <cellStyle name="20% - 강조색1 60 3" xfId="4398"/>
    <cellStyle name="20% - 강조색1 60 4" xfId="4751"/>
    <cellStyle name="20% - 강조색1 60 5" xfId="5596"/>
    <cellStyle name="20% - 강조색1 60 6" xfId="5705"/>
    <cellStyle name="20% - 강조색1 60 7" xfId="5601"/>
    <cellStyle name="20% - 강조색1 60 8" xfId="1900"/>
    <cellStyle name="20% - 강조색1 60 9" xfId="6573"/>
    <cellStyle name="20% - 강조색1 61" xfId="3842"/>
    <cellStyle name="20% - 강조색1 61 10" xfId="6782"/>
    <cellStyle name="20% - 강조색1 61 11" xfId="7619"/>
    <cellStyle name="20% - 강조색1 61 12" xfId="8032"/>
    <cellStyle name="20% - 강조색1 61 13" xfId="6076"/>
    <cellStyle name="20% - 강조색1 61 14" xfId="8734"/>
    <cellStyle name="20% - 강조색1 61 15" xfId="7707"/>
    <cellStyle name="20% - 강조색1 61 16" xfId="9663"/>
    <cellStyle name="20% - 강조색1 61 17" xfId="10004"/>
    <cellStyle name="20% - 강조색1 61 18" xfId="9804"/>
    <cellStyle name="20% - 강조색1 61 19" xfId="10580"/>
    <cellStyle name="20% - 강조색1 61 2" xfId="4407"/>
    <cellStyle name="20% - 강조색1 61 20" xfId="10916"/>
    <cellStyle name="20% - 강조색1 61 21" xfId="4845"/>
    <cellStyle name="20% - 강조색1 61 3" xfId="4760"/>
    <cellStyle name="20% - 강조색1 61 4" xfId="5653"/>
    <cellStyle name="20% - 강조색1 61 5" xfId="5003"/>
    <cellStyle name="20% - 강조색1 61 6" xfId="5569"/>
    <cellStyle name="20% - 강조색1 61 7" xfId="5618"/>
    <cellStyle name="20% - 강조색1 61 8" xfId="6549"/>
    <cellStyle name="20% - 강조색1 61 9" xfId="4090"/>
    <cellStyle name="20% - 강조색1 62" xfId="3222"/>
    <cellStyle name="20% - 강조색1 62 10" xfId="3518"/>
    <cellStyle name="20% - 강조색1 62 11" xfId="7921"/>
    <cellStyle name="20% - 강조색1 62 12" xfId="4989"/>
    <cellStyle name="20% - 강조색1 62 13" xfId="7062"/>
    <cellStyle name="20% - 강조색1 62 14" xfId="9273"/>
    <cellStyle name="20% - 강조색1 62 15" xfId="7587"/>
    <cellStyle name="20% - 강조색1 62 16" xfId="8416"/>
    <cellStyle name="20% - 강조색1 62 17" xfId="6713"/>
    <cellStyle name="20% - 강조색1 62 18" xfId="5109"/>
    <cellStyle name="20% - 강조색1 62 19" xfId="10783"/>
    <cellStyle name="20% - 강조색1 62 2" xfId="4675"/>
    <cellStyle name="20% - 강조색1 62 20" xfId="11136"/>
    <cellStyle name="20% - 강조색1 62 3" xfId="4943"/>
    <cellStyle name="20% - 강조색1 62 4" xfId="5563"/>
    <cellStyle name="20% - 강조색1 62 5" xfId="2562"/>
    <cellStyle name="20% - 강조색1 62 6" xfId="4963"/>
    <cellStyle name="20% - 강조색1 62 7" xfId="6292"/>
    <cellStyle name="20% - 강조색1 62 8" xfId="1452"/>
    <cellStyle name="20% - 강조색1 62 9" xfId="6026"/>
    <cellStyle name="20% - 강조색1 63" xfId="802"/>
    <cellStyle name="20% - 강조색1 63 10" xfId="2783"/>
    <cellStyle name="20% - 강조색1 63 11" xfId="3433"/>
    <cellStyle name="20% - 강조색1 63 12" xfId="8691"/>
    <cellStyle name="20% - 강조색1 63 13" xfId="6299"/>
    <cellStyle name="20% - 강조색1 63 14" xfId="1407"/>
    <cellStyle name="20% - 강조색1 63 15" xfId="10052"/>
    <cellStyle name="20% - 강조색1 63 16" xfId="6795"/>
    <cellStyle name="20% - 강조색1 63 17" xfId="9889"/>
    <cellStyle name="20% - 강조색1 63 18" xfId="10128"/>
    <cellStyle name="20% - 강조색1 63 19" xfId="11071"/>
    <cellStyle name="20% - 강조색1 63 2" xfId="2814"/>
    <cellStyle name="20% - 강조색1 63 3" xfId="5358"/>
    <cellStyle name="20% - 강조색1 63 4" xfId="5727"/>
    <cellStyle name="20% - 강조색1 63 5" xfId="4951"/>
    <cellStyle name="20% - 강조색1 63 6" xfId="6187"/>
    <cellStyle name="20% - 강조색1 63 7" xfId="7003"/>
    <cellStyle name="20% - 강조색1 63 8" xfId="6994"/>
    <cellStyle name="20% - 강조색1 63 9" xfId="3133"/>
    <cellStyle name="20% - 강조색1 64" xfId="5147"/>
    <cellStyle name="20% - 강조색1 64 10" xfId="9563"/>
    <cellStyle name="20% - 강조색1 64 11" xfId="9994"/>
    <cellStyle name="20% - 강조색1 64 12" xfId="10152"/>
    <cellStyle name="20% - 강조색1 64 13" xfId="10591"/>
    <cellStyle name="20% - 강조색1 64 14" xfId="10816"/>
    <cellStyle name="20% - 강조색1 64 15" xfId="11270"/>
    <cellStyle name="20% - 강조색1 64 2" xfId="6661"/>
    <cellStyle name="20% - 강조색1 64 3" xfId="7149"/>
    <cellStyle name="20% - 강조색1 64 4" xfId="4964"/>
    <cellStyle name="20% - 강조색1 64 5" xfId="7755"/>
    <cellStyle name="20% - 강조색1 64 6" xfId="4221"/>
    <cellStyle name="20% - 강조색1 64 7" xfId="6238"/>
    <cellStyle name="20% - 강조색1 64 8" xfId="6428"/>
    <cellStyle name="20% - 강조색1 64 9" xfId="3186"/>
    <cellStyle name="20% - 강조색1 65" xfId="5477"/>
    <cellStyle name="20% - 강조색1 65 10" xfId="9547"/>
    <cellStyle name="20% - 강조색1 65 11" xfId="7411"/>
    <cellStyle name="20% - 강조색1 65 12" xfId="7614"/>
    <cellStyle name="20% - 강조색1 65 13" xfId="7415"/>
    <cellStyle name="20% - 강조색1 65 14" xfId="10896"/>
    <cellStyle name="20% - 강조색1 65 15" xfId="11057"/>
    <cellStyle name="20% - 강조색1 65 2" xfId="6671"/>
    <cellStyle name="20% - 강조색1 65 3" xfId="7026"/>
    <cellStyle name="20% - 강조색1 65 4" xfId="5071"/>
    <cellStyle name="20% - 강조색1 65 5" xfId="7523"/>
    <cellStyle name="20% - 강조색1 65 6" xfId="8137"/>
    <cellStyle name="20% - 강조색1 65 7" xfId="4324"/>
    <cellStyle name="20% - 강조색1 65 8" xfId="8888"/>
    <cellStyle name="20% - 강조색1 65 9" xfId="4488"/>
    <cellStyle name="20% - 강조색1 66" xfId="5311"/>
    <cellStyle name="20% - 강조색1 66 10" xfId="9319"/>
    <cellStyle name="20% - 강조색1 66 11" xfId="9978"/>
    <cellStyle name="20% - 강조색1 66 12" xfId="10120"/>
    <cellStyle name="20% - 강조색1 66 13" xfId="10624"/>
    <cellStyle name="20% - 강조색1 66 14" xfId="10989"/>
    <cellStyle name="20% - 강조색1 66 15" xfId="9194"/>
    <cellStyle name="20% - 강조색1 66 2" xfId="6665"/>
    <cellStyle name="20% - 강조색1 66 3" xfId="7190"/>
    <cellStyle name="20% - 강조색1 66 4" xfId="4131"/>
    <cellStyle name="20% - 강조색1 66 5" xfId="3664"/>
    <cellStyle name="20% - 강조색1 66 6" xfId="7940"/>
    <cellStyle name="20% - 강조색1 66 7" xfId="8504"/>
    <cellStyle name="20% - 강조색1 66 8" xfId="1464"/>
    <cellStyle name="20% - 강조색1 66 9" xfId="9362"/>
    <cellStyle name="20% - 강조색1 67" xfId="4934"/>
    <cellStyle name="20% - 강조색1 67 10" xfId="9552"/>
    <cellStyle name="20% - 강조색1 67 11" xfId="3419"/>
    <cellStyle name="20% - 강조색1 67 12" xfId="8896"/>
    <cellStyle name="20% - 강조색1 67 13" xfId="2667"/>
    <cellStyle name="20% - 강조색1 67 14" xfId="9446"/>
    <cellStyle name="20% - 강조색1 67 15" xfId="7556"/>
    <cellStyle name="20% - 강조색1 67 2" xfId="6652"/>
    <cellStyle name="20% - 강조색1 67 3" xfId="2795"/>
    <cellStyle name="20% - 강조색1 67 4" xfId="6967"/>
    <cellStyle name="20% - 강조색1 67 5" xfId="7827"/>
    <cellStyle name="20% - 강조색1 67 6" xfId="8093"/>
    <cellStyle name="20% - 강조색1 67 7" xfId="6741"/>
    <cellStyle name="20% - 강조색1 67 8" xfId="3068"/>
    <cellStyle name="20% - 강조색1 67 9" xfId="8471"/>
    <cellStyle name="20% - 강조색1 68" xfId="6050"/>
    <cellStyle name="20% - 강조색1 68 10" xfId="10015"/>
    <cellStyle name="20% - 강조색1 68 11" xfId="10242"/>
    <cellStyle name="20% - 강조색1 68 12" xfId="10421"/>
    <cellStyle name="20% - 강조색1 68 13" xfId="10846"/>
    <cellStyle name="20% - 강조색1 68 14" xfId="6476"/>
    <cellStyle name="20% - 강조색1 68 2" xfId="7336"/>
    <cellStyle name="20% - 강조색1 68 3" xfId="7377"/>
    <cellStyle name="20% - 강조색1 68 4" xfId="7865"/>
    <cellStyle name="20% - 강조색1 68 5" xfId="6047"/>
    <cellStyle name="20% - 강조색1 68 6" xfId="3381"/>
    <cellStyle name="20% - 강조색1 68 7" xfId="8689"/>
    <cellStyle name="20% - 강조색1 68 8" xfId="2875"/>
    <cellStyle name="20% - 강조색1 68 9" xfId="9648"/>
    <cellStyle name="20% - 강조색1 69" xfId="3475"/>
    <cellStyle name="20% - 강조색1 69 10" xfId="10513"/>
    <cellStyle name="20% - 강조색1 69 11" xfId="10895"/>
    <cellStyle name="20% - 강조색1 69 12" xfId="11134"/>
    <cellStyle name="20% - 강조색1 69 2" xfId="5486"/>
    <cellStyle name="20% - 강조색1 69 3" xfId="8268"/>
    <cellStyle name="20% - 강조색1 69 4" xfId="8474"/>
    <cellStyle name="20% - 강조색1 69 5" xfId="8806"/>
    <cellStyle name="20% - 강조색1 69 6" xfId="7674"/>
    <cellStyle name="20% - 강조색1 69 7" xfId="9594"/>
    <cellStyle name="20% - 강조색1 69 8" xfId="6068"/>
    <cellStyle name="20% - 강조색1 69 9" xfId="10333"/>
    <cellStyle name="20% - 강조색1 7" xfId="59"/>
    <cellStyle name="20% - 강조색1 70" xfId="6123"/>
    <cellStyle name="20% - 강조색1 70 10" xfId="7548"/>
    <cellStyle name="20% - 강조색1 70 11" xfId="6013"/>
    <cellStyle name="20% - 강조색1 70 12" xfId="6358"/>
    <cellStyle name="20% - 강조색1 70 2" xfId="7867"/>
    <cellStyle name="20% - 강조색1 70 3" xfId="8039"/>
    <cellStyle name="20% - 강조색1 70 4" xfId="4803"/>
    <cellStyle name="20% - 강조색1 70 5" xfId="8435"/>
    <cellStyle name="20% - 강조색1 70 6" xfId="3871"/>
    <cellStyle name="20% - 강조색1 70 7" xfId="9706"/>
    <cellStyle name="20% - 강조색1 70 8" xfId="3739"/>
    <cellStyle name="20% - 강조색1 70 9" xfId="9230"/>
    <cellStyle name="20% - 강조색1 71" xfId="7708"/>
    <cellStyle name="20% - 강조색1 71 10" xfId="8484"/>
    <cellStyle name="20% - 강조색1 71 11" xfId="3432"/>
    <cellStyle name="20% - 강조색1 71 2" xfId="8297"/>
    <cellStyle name="20% - 강조색1 71 3" xfId="8659"/>
    <cellStyle name="20% - 강조색1 71 4" xfId="9023"/>
    <cellStyle name="20% - 강조색1 71 5" xfId="9223"/>
    <cellStyle name="20% - 강조색1 71 6" xfId="9651"/>
    <cellStyle name="20% - 강조색1 71 7" xfId="9915"/>
    <cellStyle name="20% - 강조색1 71 8" xfId="10269"/>
    <cellStyle name="20% - 강조색1 71 9" xfId="10477"/>
    <cellStyle name="20% - 강조색1 72" xfId="6314"/>
    <cellStyle name="20% - 강조색1 72 10" xfId="11150"/>
    <cellStyle name="20% - 강조색1 72 2" xfId="2770"/>
    <cellStyle name="20% - 강조색1 72 3" xfId="6345"/>
    <cellStyle name="20% - 강조색1 72 4" xfId="9265"/>
    <cellStyle name="20% - 강조색1 72 5" xfId="4816"/>
    <cellStyle name="20% - 강조색1 72 6" xfId="9908"/>
    <cellStyle name="20% - 강조색1 72 7" xfId="10184"/>
    <cellStyle name="20% - 강조색1 72 8" xfId="10650"/>
    <cellStyle name="20% - 강조색1 72 9" xfId="10931"/>
    <cellStyle name="20% - 강조색1 73" xfId="1606"/>
    <cellStyle name="20% - 강조색1 73 2" xfId="8725"/>
    <cellStyle name="20% - 강조색1 73 3" xfId="9196"/>
    <cellStyle name="20% - 강조색1 73 4" xfId="8328"/>
    <cellStyle name="20% - 강조색1 73 5" xfId="7460"/>
    <cellStyle name="20% - 강조색1 73 6" xfId="9072"/>
    <cellStyle name="20% - 강조색1 73 7" xfId="7941"/>
    <cellStyle name="20% - 강조색1 73 8" xfId="4114"/>
    <cellStyle name="20% - 강조색1 73 9" xfId="11212"/>
    <cellStyle name="20% - 강조색1 74" xfId="6145"/>
    <cellStyle name="20% - 강조색1 74 2" xfId="4782"/>
    <cellStyle name="20% - 강조색1 74 3" xfId="6303"/>
    <cellStyle name="20% - 강조색1 74 4" xfId="10047"/>
    <cellStyle name="20% - 강조색1 74 5" xfId="10187"/>
    <cellStyle name="20% - 강조색1 74 6" xfId="10618"/>
    <cellStyle name="20% - 강조색1 74 7" xfId="7555"/>
    <cellStyle name="20% - 강조색1 74 8" xfId="10813"/>
    <cellStyle name="20% - 강조색1 75" xfId="3851"/>
    <cellStyle name="20% - 강조색1 75 2" xfId="9139"/>
    <cellStyle name="20% - 강조색1 75 3" xfId="8452"/>
    <cellStyle name="20% - 강조색1 75 4" xfId="10126"/>
    <cellStyle name="20% - 강조색1 75 5" xfId="10623"/>
    <cellStyle name="20% - 강조색1 75 6" xfId="4478"/>
    <cellStyle name="20% - 강조색1 75 7" xfId="7459"/>
    <cellStyle name="20% - 강조색1 76" xfId="1559"/>
    <cellStyle name="20% - 강조색1 76 2" xfId="9882"/>
    <cellStyle name="20% - 강조색1 76 3" xfId="10377"/>
    <cellStyle name="20% - 강조색1 76 4" xfId="10670"/>
    <cellStyle name="20% - 강조색1 76 5" xfId="10940"/>
    <cellStyle name="20% - 강조색1 76 6" xfId="9579"/>
    <cellStyle name="20% - 강조색1 77" xfId="6381"/>
    <cellStyle name="20% - 강조색1 77 2" xfId="10295"/>
    <cellStyle name="20% - 강조색1 77 3" xfId="2869"/>
    <cellStyle name="20% - 강조색1 77 4" xfId="9179"/>
    <cellStyle name="20% - 강조색1 77 5" xfId="6766"/>
    <cellStyle name="20% - 강조색1 78" xfId="2427"/>
    <cellStyle name="20% - 강조색1 78 2" xfId="2466"/>
    <cellStyle name="20% - 강조색1 78 3" xfId="10913"/>
    <cellStyle name="20% - 강조색1 78 4" xfId="11062"/>
    <cellStyle name="20% - 강조색1 79" xfId="9763"/>
    <cellStyle name="20% - 강조색1 79 2" xfId="10998"/>
    <cellStyle name="20% - 강조색1 79 3" xfId="11205"/>
    <cellStyle name="20% - 강조색1 8" xfId="91"/>
    <cellStyle name="20% - 강조색1 80" xfId="10855"/>
    <cellStyle name="20% - 강조색1 80 2" xfId="11305"/>
    <cellStyle name="20% - 강조색1 81" xfId="11141"/>
    <cellStyle name="20% - 강조색1 82" xfId="574"/>
    <cellStyle name="20% - 강조색1 83" xfId="557"/>
    <cellStyle name="20% - 강조색1 84" xfId="11411"/>
    <cellStyle name="20% - 강조색1 85" xfId="11374"/>
    <cellStyle name="20% - 강조색1 86" xfId="11438"/>
    <cellStyle name="20% - 강조색1 9" xfId="95"/>
    <cellStyle name="20% - 강조색2" xfId="25" builtinId="34" customBuiltin="1"/>
    <cellStyle name="20% - 강조색2 10" xfId="149"/>
    <cellStyle name="20% - 강조색2 11" xfId="162"/>
    <cellStyle name="20% - 강조색2 12" xfId="175"/>
    <cellStyle name="20% - 강조색2 13" xfId="188"/>
    <cellStyle name="20% - 강조색2 14" xfId="201"/>
    <cellStyle name="20% - 강조색2 15" xfId="214"/>
    <cellStyle name="20% - 강조색2 16" xfId="227"/>
    <cellStyle name="20% - 강조색2 17" xfId="240"/>
    <cellStyle name="20% - 강조색2 18" xfId="253"/>
    <cellStyle name="20% - 강조색2 19" xfId="266"/>
    <cellStyle name="20% - 강조색2 2" xfId="48"/>
    <cellStyle name="20% - 강조색2 20" xfId="279"/>
    <cellStyle name="20% - 강조색2 21" xfId="292"/>
    <cellStyle name="20% - 강조색2 22" xfId="305"/>
    <cellStyle name="20% - 강조색2 23" xfId="318"/>
    <cellStyle name="20% - 강조색2 24" xfId="331"/>
    <cellStyle name="20% - 강조색2 25" xfId="344"/>
    <cellStyle name="20% - 강조색2 26" xfId="357"/>
    <cellStyle name="20% - 강조색2 27" xfId="370"/>
    <cellStyle name="20% - 강조색2 28" xfId="383"/>
    <cellStyle name="20% - 강조색2 29" xfId="396"/>
    <cellStyle name="20% - 강조색2 3" xfId="73"/>
    <cellStyle name="20% - 강조색2 30" xfId="409"/>
    <cellStyle name="20% - 강조색2 31" xfId="422"/>
    <cellStyle name="20% - 강조색2 32" xfId="435"/>
    <cellStyle name="20% - 강조색2 33" xfId="447"/>
    <cellStyle name="20% - 강조색2 34" xfId="459"/>
    <cellStyle name="20% - 강조색2 35" xfId="471"/>
    <cellStyle name="20% - 강조색2 36" xfId="483"/>
    <cellStyle name="20% - 강조색2 37" xfId="494"/>
    <cellStyle name="20% - 강조색2 38" xfId="505"/>
    <cellStyle name="20% - 강조색2 39" xfId="516"/>
    <cellStyle name="20% - 강조색2 4" xfId="76"/>
    <cellStyle name="20% - 강조색2 40" xfId="547"/>
    <cellStyle name="20% - 강조색2 40 10" xfId="3203"/>
    <cellStyle name="20% - 강조색2 40 11" xfId="3451"/>
    <cellStyle name="20% - 강조색2 40 12" xfId="2134"/>
    <cellStyle name="20% - 강조색2 40 13" xfId="3476"/>
    <cellStyle name="20% - 강조색2 40 14" xfId="4429"/>
    <cellStyle name="20% - 강조색2 40 15" xfId="4992"/>
    <cellStyle name="20% - 강조색2 40 16" xfId="5206"/>
    <cellStyle name="20% - 강조색2 40 17" xfId="5023"/>
    <cellStyle name="20% - 강조색2 40 18" xfId="5815"/>
    <cellStyle name="20% - 강조색2 40 19" xfId="6465"/>
    <cellStyle name="20% - 강조색2 40 2" xfId="595"/>
    <cellStyle name="20% - 강조색2 40 20" xfId="7068"/>
    <cellStyle name="20% - 강조색2 40 21" xfId="4595"/>
    <cellStyle name="20% - 강조색2 40 22" xfId="7756"/>
    <cellStyle name="20% - 강조색2 40 23" xfId="8151"/>
    <cellStyle name="20% - 강조색2 40 24" xfId="8606"/>
    <cellStyle name="20% - 강조색2 40 25" xfId="4437"/>
    <cellStyle name="20% - 강조색2 40 26" xfId="6102"/>
    <cellStyle name="20% - 강조색2 40 27" xfId="7954"/>
    <cellStyle name="20% - 강조색2 40 28" xfId="8810"/>
    <cellStyle name="20% - 강조색2 40 29" xfId="10150"/>
    <cellStyle name="20% - 강조색2 40 3" xfId="1006"/>
    <cellStyle name="20% - 강조색2 40 30" xfId="10519"/>
    <cellStyle name="20% - 강조색2 40 31" xfId="10736"/>
    <cellStyle name="20% - 강조색2 40 32" xfId="9089"/>
    <cellStyle name="20% - 강조색2 40 33" xfId="11317"/>
    <cellStyle name="20% - 강조색2 40 34" xfId="577"/>
    <cellStyle name="20% - 강조색2 40 35" xfId="11378"/>
    <cellStyle name="20% - 강조색2 40 36" xfId="11355"/>
    <cellStyle name="20% - 강조색2 40 4" xfId="1270"/>
    <cellStyle name="20% - 강조색2 40 5" xfId="1657"/>
    <cellStyle name="20% - 강조색2 40 6" xfId="794"/>
    <cellStyle name="20% - 강조색2 40 7" xfId="2190"/>
    <cellStyle name="20% - 강조색2 40 8" xfId="1964"/>
    <cellStyle name="20% - 강조색2 40 9" xfId="2891"/>
    <cellStyle name="20% - 강조색2 41" xfId="665"/>
    <cellStyle name="20% - 강조색2 41 10" xfId="3253"/>
    <cellStyle name="20% - 강조색2 41 11" xfId="3444"/>
    <cellStyle name="20% - 강조색2 41 12" xfId="2584"/>
    <cellStyle name="20% - 강조색2 41 13" xfId="4310"/>
    <cellStyle name="20% - 강조색2 41 14" xfId="1454"/>
    <cellStyle name="20% - 강조색2 41 15" xfId="3197"/>
    <cellStyle name="20% - 강조색2 41 16" xfId="5270"/>
    <cellStyle name="20% - 강조색2 41 17" xfId="4094"/>
    <cellStyle name="20% - 강조색2 41 18" xfId="2402"/>
    <cellStyle name="20% - 강조색2 41 19" xfId="6144"/>
    <cellStyle name="20% - 강조색2 41 2" xfId="1168"/>
    <cellStyle name="20% - 강조색2 41 20" xfId="7040"/>
    <cellStyle name="20% - 강조색2 41 21" xfId="6377"/>
    <cellStyle name="20% - 강조색2 41 22" xfId="7826"/>
    <cellStyle name="20% - 강조색2 41 23" xfId="907"/>
    <cellStyle name="20% - 강조색2 41 24" xfId="8562"/>
    <cellStyle name="20% - 강조색2 41 25" xfId="8959"/>
    <cellStyle name="20% - 강조색2 41 26" xfId="9176"/>
    <cellStyle name="20% - 강조색2 41 27" xfId="8881"/>
    <cellStyle name="20% - 강조색2 41 28" xfId="4609"/>
    <cellStyle name="20% - 강조색2 41 29" xfId="6360"/>
    <cellStyle name="20% - 강조색2 41 3" xfId="1248"/>
    <cellStyle name="20% - 강조색2 41 30" xfId="10480"/>
    <cellStyle name="20% - 강조색2 41 31" xfId="10880"/>
    <cellStyle name="20% - 강조색2 41 32" xfId="11151"/>
    <cellStyle name="20% - 강조색2 41 4" xfId="1340"/>
    <cellStyle name="20% - 강조색2 41 5" xfId="1790"/>
    <cellStyle name="20% - 강조색2 41 6" xfId="2040"/>
    <cellStyle name="20% - 강조색2 41 7" xfId="1404"/>
    <cellStyle name="20% - 강조색2 41 8" xfId="1646"/>
    <cellStyle name="20% - 강조색2 41 9" xfId="2539"/>
    <cellStyle name="20% - 강조색2 42" xfId="617"/>
    <cellStyle name="20% - 강조색2 42 10" xfId="3320"/>
    <cellStyle name="20% - 강조색2 42 11" xfId="2564"/>
    <cellStyle name="20% - 강조색2 42 12" xfId="3777"/>
    <cellStyle name="20% - 강조색2 42 13" xfId="2675"/>
    <cellStyle name="20% - 강조색2 42 14" xfId="3510"/>
    <cellStyle name="20% - 강조색2 42 15" xfId="5220"/>
    <cellStyle name="20% - 강조색2 42 16" xfId="5010"/>
    <cellStyle name="20% - 강조색2 42 17" xfId="3536"/>
    <cellStyle name="20% - 강조색2 42 18" xfId="5265"/>
    <cellStyle name="20% - 강조색2 42 19" xfId="6514"/>
    <cellStyle name="20% - 강조색2 42 2" xfId="1120"/>
    <cellStyle name="20% - 강조색2 42 20" xfId="6874"/>
    <cellStyle name="20% - 강조색2 42 21" xfId="6983"/>
    <cellStyle name="20% - 강조색2 42 22" xfId="2834"/>
    <cellStyle name="20% - 강조색2 42 23" xfId="4115"/>
    <cellStyle name="20% - 강조색2 42 24" xfId="8621"/>
    <cellStyle name="20% - 강조색2 42 25" xfId="8930"/>
    <cellStyle name="20% - 강조색2 42 26" xfId="7799"/>
    <cellStyle name="20% - 강조색2 42 27" xfId="7458"/>
    <cellStyle name="20% - 강조색2 42 28" xfId="10023"/>
    <cellStyle name="20% - 강조색2 42 29" xfId="6270"/>
    <cellStyle name="20% - 강조색2 42 3" xfId="1200"/>
    <cellStyle name="20% - 강조색2 42 30" xfId="10424"/>
    <cellStyle name="20% - 강조색2 42 31" xfId="10458"/>
    <cellStyle name="20% - 강조색2 42 32" xfId="6780"/>
    <cellStyle name="20% - 강조색2 42 4" xfId="1292"/>
    <cellStyle name="20% - 강조색2 42 5" xfId="1794"/>
    <cellStyle name="20% - 강조색2 42 6" xfId="2061"/>
    <cellStyle name="20% - 강조색2 42 7" xfId="882"/>
    <cellStyle name="20% - 강조색2 42 8" xfId="2554"/>
    <cellStyle name="20% - 강조색2 42 9" xfId="2921"/>
    <cellStyle name="20% - 강조색2 43" xfId="642"/>
    <cellStyle name="20% - 강조색2 43 10" xfId="1379"/>
    <cellStyle name="20% - 강조색2 43 11" xfId="3517"/>
    <cellStyle name="20% - 강조색2 43 12" xfId="2779"/>
    <cellStyle name="20% - 강조색2 43 13" xfId="4374"/>
    <cellStyle name="20% - 강조색2 43 14" xfId="4554"/>
    <cellStyle name="20% - 강조색2 43 15" xfId="4862"/>
    <cellStyle name="20% - 강조색2 43 16" xfId="5042"/>
    <cellStyle name="20% - 강조색2 43 17" xfId="5176"/>
    <cellStyle name="20% - 강조색2 43 18" xfId="4349"/>
    <cellStyle name="20% - 강조색2 43 19" xfId="6321"/>
    <cellStyle name="20% - 강조색2 43 2" xfId="1145"/>
    <cellStyle name="20% - 강조색2 43 20" xfId="6745"/>
    <cellStyle name="20% - 강조색2 43 21" xfId="7126"/>
    <cellStyle name="20% - 강조색2 43 22" xfId="6151"/>
    <cellStyle name="20% - 강조색2 43 23" xfId="7907"/>
    <cellStyle name="20% - 강조색2 43 24" xfId="8387"/>
    <cellStyle name="20% - 강조색2 43 25" xfId="7479"/>
    <cellStyle name="20% - 강조색2 43 26" xfId="9369"/>
    <cellStyle name="20% - 강조색2 43 27" xfId="1584"/>
    <cellStyle name="20% - 강조색2 43 28" xfId="7436"/>
    <cellStyle name="20% - 강조색2 43 29" xfId="10095"/>
    <cellStyle name="20% - 강조색2 43 3" xfId="1225"/>
    <cellStyle name="20% - 강조색2 43 30" xfId="10593"/>
    <cellStyle name="20% - 강조색2 43 31" xfId="10768"/>
    <cellStyle name="20% - 강조색2 43 32" xfId="11248"/>
    <cellStyle name="20% - 강조색2 43 4" xfId="1317"/>
    <cellStyle name="20% - 강조색2 43 5" xfId="1798"/>
    <cellStyle name="20% - 강조색2 43 6" xfId="2048"/>
    <cellStyle name="20% - 강조색2 43 7" xfId="2235"/>
    <cellStyle name="20% - 강조색2 43 8" xfId="1382"/>
    <cellStyle name="20% - 강조색2 43 9" xfId="2945"/>
    <cellStyle name="20% - 강조색2 44" xfId="631"/>
    <cellStyle name="20% - 강조색2 44 10" xfId="3289"/>
    <cellStyle name="20% - 강조색2 44 11" xfId="3583"/>
    <cellStyle name="20% - 강조색2 44 12" xfId="3821"/>
    <cellStyle name="20% - 강조색2 44 13" xfId="3252"/>
    <cellStyle name="20% - 강조색2 44 14" xfId="4160"/>
    <cellStyle name="20% - 강조색2 44 15" xfId="5436"/>
    <cellStyle name="20% - 강조색2 44 16" xfId="1866"/>
    <cellStyle name="20% - 강조색2 44 17" xfId="3576"/>
    <cellStyle name="20% - 강조색2 44 18" xfId="5792"/>
    <cellStyle name="20% - 강조색2 44 19" xfId="6481"/>
    <cellStyle name="20% - 강조색2 44 2" xfId="1134"/>
    <cellStyle name="20% - 강조색2 44 20" xfId="7274"/>
    <cellStyle name="20% - 강조색2 44 21" xfId="7323"/>
    <cellStyle name="20% - 강조색2 44 22" xfId="7431"/>
    <cellStyle name="20% - 강조색2 44 23" xfId="8057"/>
    <cellStyle name="20% - 강조색2 44 24" xfId="8626"/>
    <cellStyle name="20% - 강조색2 44 25" xfId="8915"/>
    <cellStyle name="20% - 강조색2 44 26" xfId="9311"/>
    <cellStyle name="20% - 강조색2 44 27" xfId="9535"/>
    <cellStyle name="20% - 강조색2 44 28" xfId="7421"/>
    <cellStyle name="20% - 강조색2 44 29" xfId="7404"/>
    <cellStyle name="20% - 강조색2 44 3" xfId="1214"/>
    <cellStyle name="20% - 강조색2 44 30" xfId="10646"/>
    <cellStyle name="20% - 강조색2 44 31" xfId="10114"/>
    <cellStyle name="20% - 강조색2 44 32" xfId="9793"/>
    <cellStyle name="20% - 강조색2 44 4" xfId="1306"/>
    <cellStyle name="20% - 강조색2 44 5" xfId="1802"/>
    <cellStyle name="20% - 강조색2 44 6" xfId="2005"/>
    <cellStyle name="20% - 강조색2 44 7" xfId="2355"/>
    <cellStyle name="20% - 강조색2 44 8" xfId="2518"/>
    <cellStyle name="20% - 강조색2 44 9" xfId="2761"/>
    <cellStyle name="20% - 강조색2 45" xfId="612"/>
    <cellStyle name="20% - 강조색2 45 10" xfId="3216"/>
    <cellStyle name="20% - 강조색2 45 11" xfId="3405"/>
    <cellStyle name="20% - 강조색2 45 12" xfId="4024"/>
    <cellStyle name="20% - 강조색2 45 13" xfId="4125"/>
    <cellStyle name="20% - 강조색2 45 14" xfId="1460"/>
    <cellStyle name="20% - 강조색2 45 15" xfId="4896"/>
    <cellStyle name="20% - 강조색2 45 16" xfId="4998"/>
    <cellStyle name="20% - 강조색2 45 17" xfId="5640"/>
    <cellStyle name="20% - 강조색2 45 18" xfId="5652"/>
    <cellStyle name="20% - 강조색2 45 19" xfId="6454"/>
    <cellStyle name="20% - 강조색2 45 2" xfId="1115"/>
    <cellStyle name="20% - 강조색2 45 20" xfId="7246"/>
    <cellStyle name="20% - 강조색2 45 21" xfId="5266"/>
    <cellStyle name="20% - 강조색2 45 22" xfId="2758"/>
    <cellStyle name="20% - 강조색2 45 23" xfId="8063"/>
    <cellStyle name="20% - 강조색2 45 24" xfId="8582"/>
    <cellStyle name="20% - 강조색2 45 25" xfId="6515"/>
    <cellStyle name="20% - 강조색2 45 26" xfId="6706"/>
    <cellStyle name="20% - 강조색2 45 27" xfId="9629"/>
    <cellStyle name="20% - 강조색2 45 28" xfId="9887"/>
    <cellStyle name="20% - 강조색2 45 29" xfId="10302"/>
    <cellStyle name="20% - 강조색2 45 3" xfId="1195"/>
    <cellStyle name="20% - 강조색2 45 30" xfId="10483"/>
    <cellStyle name="20% - 강조색2 45 31" xfId="3519"/>
    <cellStyle name="20% - 강조색2 45 32" xfId="5059"/>
    <cellStyle name="20% - 강조색2 45 4" xfId="1287"/>
    <cellStyle name="20% - 강조색2 45 5" xfId="1804"/>
    <cellStyle name="20% - 강조색2 45 6" xfId="799"/>
    <cellStyle name="20% - 강조색2 45 7" xfId="2320"/>
    <cellStyle name="20% - 강조색2 45 8" xfId="2260"/>
    <cellStyle name="20% - 강조색2 45 9" xfId="2973"/>
    <cellStyle name="20% - 강조색2 46" xfId="675"/>
    <cellStyle name="20% - 강조색2 46 10" xfId="3280"/>
    <cellStyle name="20% - 강조색2 46 11" xfId="785"/>
    <cellStyle name="20% - 강조색2 46 12" xfId="3540"/>
    <cellStyle name="20% - 강조색2 46 13" xfId="4369"/>
    <cellStyle name="20% - 강조색2 46 14" xfId="4623"/>
    <cellStyle name="20% - 강조색2 46 15" xfId="5154"/>
    <cellStyle name="20% - 강조색2 46 16" xfId="5571"/>
    <cellStyle name="20% - 강조색2 46 17" xfId="4446"/>
    <cellStyle name="20% - 강조색2 46 18" xfId="5532"/>
    <cellStyle name="20% - 강조색2 46 19" xfId="736"/>
    <cellStyle name="20% - 강조색2 46 2" xfId="1178"/>
    <cellStyle name="20% - 강조색2 46 20" xfId="2000"/>
    <cellStyle name="20% - 강조색2 46 21" xfId="7245"/>
    <cellStyle name="20% - 강조색2 46 22" xfId="4476"/>
    <cellStyle name="20% - 강조색2 46 23" xfId="8106"/>
    <cellStyle name="20% - 강조색2 46 24" xfId="8533"/>
    <cellStyle name="20% - 강조색2 46 25" xfId="6028"/>
    <cellStyle name="20% - 강조색2 46 26" xfId="9118"/>
    <cellStyle name="20% - 강조색2 46 27" xfId="6167"/>
    <cellStyle name="20% - 강조색2 46 28" xfId="9836"/>
    <cellStyle name="20% - 강조색2 46 29" xfId="10309"/>
    <cellStyle name="20% - 강조색2 46 3" xfId="1258"/>
    <cellStyle name="20% - 강조색2 46 30" xfId="9426"/>
    <cellStyle name="20% - 강조색2 46 31" xfId="10912"/>
    <cellStyle name="20% - 강조색2 46 32" xfId="11121"/>
    <cellStyle name="20% - 강조색2 46 4" xfId="1350"/>
    <cellStyle name="20% - 강조색2 46 5" xfId="1808"/>
    <cellStyle name="20% - 강조색2 46 6" xfId="914"/>
    <cellStyle name="20% - 강조색2 46 7" xfId="2305"/>
    <cellStyle name="20% - 강조색2 46 8" xfId="2533"/>
    <cellStyle name="20% - 강조색2 46 9" xfId="2853"/>
    <cellStyle name="20% - 강조색2 47" xfId="560"/>
    <cellStyle name="20% - 강조색2 47 10" xfId="4258"/>
    <cellStyle name="20% - 강조색2 47 11" xfId="4672"/>
    <cellStyle name="20% - 강조색2 47 12" xfId="5096"/>
    <cellStyle name="20% - 강조색2 47 13" xfId="5769"/>
    <cellStyle name="20% - 강조색2 47 14" xfId="5865"/>
    <cellStyle name="20% - 강조색2 47 15" xfId="5934"/>
    <cellStyle name="20% - 강조색2 47 16" xfId="6269"/>
    <cellStyle name="20% - 강조색2 47 17" xfId="6754"/>
    <cellStyle name="20% - 강조색2 47 18" xfId="3813"/>
    <cellStyle name="20% - 강조색2 47 19" xfId="3602"/>
    <cellStyle name="20% - 강조색2 47 2" xfId="1096"/>
    <cellStyle name="20% - 강조색2 47 20" xfId="4081"/>
    <cellStyle name="20% - 강조색2 47 21" xfId="8569"/>
    <cellStyle name="20% - 강조색2 47 22" xfId="3755"/>
    <cellStyle name="20% - 강조색2 47 23" xfId="1965"/>
    <cellStyle name="20% - 강조색2 47 24" xfId="9670"/>
    <cellStyle name="20% - 강조색2 47 25" xfId="9880"/>
    <cellStyle name="20% - 강조색2 47 26" xfId="10353"/>
    <cellStyle name="20% - 강조색2 47 27" xfId="10560"/>
    <cellStyle name="20% - 강조색2 47 28" xfId="10942"/>
    <cellStyle name="20% - 강조색2 47 29" xfId="6502"/>
    <cellStyle name="20% - 강조색2 47 3" xfId="1505"/>
    <cellStyle name="20% - 강조색2 47 30" xfId="11340"/>
    <cellStyle name="20% - 강조색2 47 31" xfId="11394"/>
    <cellStyle name="20% - 강조색2 47 32" xfId="11356"/>
    <cellStyle name="20% - 강조색2 47 33" xfId="11424"/>
    <cellStyle name="20% - 강조색2 47 4" xfId="2345"/>
    <cellStyle name="20% - 강조색2 47 5" xfId="2175"/>
    <cellStyle name="20% - 강조색2 47 6" xfId="1821"/>
    <cellStyle name="20% - 강조색2 47 7" xfId="3233"/>
    <cellStyle name="20% - 강조색2 47 8" xfId="3557"/>
    <cellStyle name="20% - 강조색2 47 9" xfId="4003"/>
    <cellStyle name="20% - 강조색2 48" xfId="1099"/>
    <cellStyle name="20% - 강조색2 48 10" xfId="1966"/>
    <cellStyle name="20% - 강조색2 48 11" xfId="4502"/>
    <cellStyle name="20% - 강조색2 48 12" xfId="5577"/>
    <cellStyle name="20% - 강조색2 48 13" xfId="5141"/>
    <cellStyle name="20% - 강조색2 48 14" xfId="5521"/>
    <cellStyle name="20% - 강조색2 48 15" xfId="5838"/>
    <cellStyle name="20% - 강조색2 48 16" xfId="6425"/>
    <cellStyle name="20% - 강조색2 48 17" xfId="3742"/>
    <cellStyle name="20% - 강조색2 48 18" xfId="6175"/>
    <cellStyle name="20% - 강조색2 48 19" xfId="7636"/>
    <cellStyle name="20% - 강조색2 48 2" xfId="1812"/>
    <cellStyle name="20% - 강조색2 48 20" xfId="8015"/>
    <cellStyle name="20% - 강조색2 48 21" xfId="8389"/>
    <cellStyle name="20% - 강조색2 48 22" xfId="7531"/>
    <cellStyle name="20% - 강조색2 48 23" xfId="7441"/>
    <cellStyle name="20% - 강조색2 48 24" xfId="9561"/>
    <cellStyle name="20% - 강조색2 48 25" xfId="7399"/>
    <cellStyle name="20% - 강조색2 48 26" xfId="10119"/>
    <cellStyle name="20% - 강조색2 48 27" xfId="4095"/>
    <cellStyle name="20% - 강조색2 48 28" xfId="10859"/>
    <cellStyle name="20% - 강조색2 48 29" xfId="11093"/>
    <cellStyle name="20% - 강조색2 48 3" xfId="772"/>
    <cellStyle name="20% - 강조색2 48 4" xfId="900"/>
    <cellStyle name="20% - 강조색2 48 5" xfId="2538"/>
    <cellStyle name="20% - 강조색2 48 6" xfId="948"/>
    <cellStyle name="20% - 강조색2 48 7" xfId="2512"/>
    <cellStyle name="20% - 강조색2 48 8" xfId="1457"/>
    <cellStyle name="20% - 강조색2 48 9" xfId="3961"/>
    <cellStyle name="20% - 강조색2 49" xfId="1101"/>
    <cellStyle name="20% - 강조색2 49 10" xfId="4269"/>
    <cellStyle name="20% - 강조색2 49 11" xfId="3099"/>
    <cellStyle name="20% - 강조색2 49 12" xfId="5638"/>
    <cellStyle name="20% - 강조색2 49 13" xfId="5609"/>
    <cellStyle name="20% - 강조색2 49 14" xfId="5131"/>
    <cellStyle name="20% - 강조색2 49 15" xfId="5256"/>
    <cellStyle name="20% - 강조색2 49 16" xfId="6182"/>
    <cellStyle name="20% - 강조색2 49 17" xfId="4960"/>
    <cellStyle name="20% - 강조색2 49 18" xfId="6843"/>
    <cellStyle name="20% - 강조색2 49 19" xfId="3890"/>
    <cellStyle name="20% - 강조색2 49 2" xfId="1814"/>
    <cellStyle name="20% - 강조색2 49 20" xfId="8079"/>
    <cellStyle name="20% - 강조색2 49 21" xfId="7950"/>
    <cellStyle name="20% - 강조색2 49 22" xfId="8933"/>
    <cellStyle name="20% - 강조색2 49 23" xfId="5218"/>
    <cellStyle name="20% - 강조색2 49 24" xfId="1509"/>
    <cellStyle name="20% - 강조색2 49 25" xfId="10025"/>
    <cellStyle name="20% - 강조색2 49 26" xfId="8922"/>
    <cellStyle name="20% - 강조색2 49 27" xfId="10118"/>
    <cellStyle name="20% - 강조색2 49 28" xfId="2434"/>
    <cellStyle name="20% - 강조색2 49 29" xfId="778"/>
    <cellStyle name="20% - 강조색2 49 3" xfId="731"/>
    <cellStyle name="20% - 강조색2 49 4" xfId="2304"/>
    <cellStyle name="20% - 강조색2 49 5" xfId="2481"/>
    <cellStyle name="20% - 강조색2 49 6" xfId="2724"/>
    <cellStyle name="20% - 강조색2 49 7" xfId="3168"/>
    <cellStyle name="20% - 강조색2 49 8" xfId="2723"/>
    <cellStyle name="20% - 강조색2 49 9" xfId="4010"/>
    <cellStyle name="20% - 강조색2 5" xfId="90"/>
    <cellStyle name="20% - 강조색2 50" xfId="1075"/>
    <cellStyle name="20% - 강조색2 50 10" xfId="4233"/>
    <cellStyle name="20% - 강조색2 50 11" xfId="1621"/>
    <cellStyle name="20% - 강조색2 50 12" xfId="5559"/>
    <cellStyle name="20% - 강조색2 50 13" xfId="5591"/>
    <cellStyle name="20% - 강조색2 50 14" xfId="5753"/>
    <cellStyle name="20% - 강조색2 50 15" xfId="5854"/>
    <cellStyle name="20% - 강조색2 50 16" xfId="6017"/>
    <cellStyle name="20% - 강조색2 50 17" xfId="7042"/>
    <cellStyle name="20% - 강조색2 50 18" xfId="6390"/>
    <cellStyle name="20% - 강조색2 50 19" xfId="7658"/>
    <cellStyle name="20% - 강조색2 50 2" xfId="1774"/>
    <cellStyle name="20% - 강조색2 50 20" xfId="8256"/>
    <cellStyle name="20% - 강조색2 50 21" xfId="7830"/>
    <cellStyle name="20% - 강조색2 50 22" xfId="2854"/>
    <cellStyle name="20% - 강조색2 50 23" xfId="9320"/>
    <cellStyle name="20% - 강조색2 50 24" xfId="9507"/>
    <cellStyle name="20% - 강조색2 50 25" xfId="10003"/>
    <cellStyle name="20% - 강조색2 50 26" xfId="9759"/>
    <cellStyle name="20% - 강조색2 50 27" xfId="10417"/>
    <cellStyle name="20% - 강조색2 50 28" xfId="7915"/>
    <cellStyle name="20% - 강조색2 50 29" xfId="11065"/>
    <cellStyle name="20% - 강조색2 50 3" xfId="1376"/>
    <cellStyle name="20% - 강조색2 50 4" xfId="1544"/>
    <cellStyle name="20% - 강조색2 50 5" xfId="2559"/>
    <cellStyle name="20% - 강조색2 50 6" xfId="2937"/>
    <cellStyle name="20% - 강조색2 50 7" xfId="3234"/>
    <cellStyle name="20% - 강조색2 50 8" xfId="3647"/>
    <cellStyle name="20% - 강조색2 50 9" xfId="961"/>
    <cellStyle name="20% - 강조색2 51" xfId="1104"/>
    <cellStyle name="20% - 강조색2 51 10" xfId="805"/>
    <cellStyle name="20% - 강조색2 51 11" xfId="2311"/>
    <cellStyle name="20% - 강조색2 51 12" xfId="5587"/>
    <cellStyle name="20% - 강조색2 51 13" xfId="5026"/>
    <cellStyle name="20% - 강조색2 51 14" xfId="5585"/>
    <cellStyle name="20% - 강조색2 51 15" xfId="746"/>
    <cellStyle name="20% - 강조색2 51 16" xfId="6080"/>
    <cellStyle name="20% - 강조색2 51 17" xfId="7226"/>
    <cellStyle name="20% - 강조색2 51 18" xfId="6794"/>
    <cellStyle name="20% - 강조색2 51 19" xfId="7748"/>
    <cellStyle name="20% - 강조색2 51 2" xfId="1817"/>
    <cellStyle name="20% - 강조색2 51 20" xfId="8004"/>
    <cellStyle name="20% - 강조색2 51 21" xfId="8565"/>
    <cellStyle name="20% - 강조색2 51 22" xfId="8526"/>
    <cellStyle name="20% - 강조색2 51 23" xfId="4112"/>
    <cellStyle name="20% - 강조색2 51 24" xfId="1597"/>
    <cellStyle name="20% - 강조색2 51 25" xfId="6756"/>
    <cellStyle name="20% - 강조색2 51 26" xfId="10254"/>
    <cellStyle name="20% - 강조색2 51 27" xfId="10493"/>
    <cellStyle name="20% - 강조색2 51 28" xfId="6705"/>
    <cellStyle name="20% - 강조색2 51 29" xfId="11266"/>
    <cellStyle name="20% - 강조색2 51 3" xfId="983"/>
    <cellStyle name="20% - 강조색2 51 4" xfId="2328"/>
    <cellStyle name="20% - 강조색2 51 5" xfId="2535"/>
    <cellStyle name="20% - 강조색2 51 6" xfId="1398"/>
    <cellStyle name="20% - 강조색2 51 7" xfId="3185"/>
    <cellStyle name="20% - 강조색2 51 8" xfId="3654"/>
    <cellStyle name="20% - 강조색2 51 9" xfId="3873"/>
    <cellStyle name="20% - 강조색2 52" xfId="1050"/>
    <cellStyle name="20% - 강조색2 52 10" xfId="4227"/>
    <cellStyle name="20% - 강조색2 52 11" xfId="766"/>
    <cellStyle name="20% - 강조색2 52 12" xfId="5212"/>
    <cellStyle name="20% - 강조색2 52 13" xfId="5348"/>
    <cellStyle name="20% - 강조색2 52 14" xfId="5072"/>
    <cellStyle name="20% - 강조색2 52 15" xfId="2052"/>
    <cellStyle name="20% - 강조색2 52 16" xfId="4200"/>
    <cellStyle name="20% - 강조색2 52 17" xfId="4323"/>
    <cellStyle name="20% - 강조색2 52 18" xfId="7044"/>
    <cellStyle name="20% - 강조색2 52 19" xfId="7810"/>
    <cellStyle name="20% - 강조색2 52 2" xfId="1727"/>
    <cellStyle name="20% - 강조색2 52 20" xfId="8072"/>
    <cellStyle name="20% - 강조색2 52 21" xfId="930"/>
    <cellStyle name="20% - 강조색2 52 22" xfId="8900"/>
    <cellStyle name="20% - 강조색2 52 23" xfId="6079"/>
    <cellStyle name="20% - 강조색2 52 24" xfId="8145"/>
    <cellStyle name="20% - 강조색2 52 25" xfId="8423"/>
    <cellStyle name="20% - 강조색2 52 26" xfId="10328"/>
    <cellStyle name="20% - 강조색2 52 27" xfId="9307"/>
    <cellStyle name="20% - 강조색2 52 28" xfId="5395"/>
    <cellStyle name="20% - 강조색2 52 29" xfId="11229"/>
    <cellStyle name="20% - 강조색2 52 3" xfId="712"/>
    <cellStyle name="20% - 강조색2 52 4" xfId="1973"/>
    <cellStyle name="20% - 강조색2 52 5" xfId="2573"/>
    <cellStyle name="20% - 강조색2 52 6" xfId="2746"/>
    <cellStyle name="20% - 강조색2 52 7" xfId="3132"/>
    <cellStyle name="20% - 강조색2 52 8" xfId="3658"/>
    <cellStyle name="20% - 강조색2 52 9" xfId="4034"/>
    <cellStyle name="20% - 강조색2 53" xfId="1049"/>
    <cellStyle name="20% - 강조색2 53 10" xfId="4368"/>
    <cellStyle name="20% - 강조색2 53 11" xfId="2404"/>
    <cellStyle name="20% - 강조색2 53 12" xfId="5060"/>
    <cellStyle name="20% - 강조색2 53 13" xfId="4929"/>
    <cellStyle name="20% - 강조색2 53 14" xfId="5767"/>
    <cellStyle name="20% - 강조색2 53 15" xfId="5864"/>
    <cellStyle name="20% - 강조색2 53 16" xfId="6499"/>
    <cellStyle name="20% - 강조색2 53 17" xfId="3848"/>
    <cellStyle name="20% - 강조색2 53 18" xfId="2963"/>
    <cellStyle name="20% - 강조색2 53 19" xfId="4685"/>
    <cellStyle name="20% - 강조색2 53 2" xfId="1726"/>
    <cellStyle name="20% - 강조색2 53 20" xfId="8053"/>
    <cellStyle name="20% - 강조색2 53 21" xfId="6267"/>
    <cellStyle name="20% - 강조색2 53 22" xfId="6829"/>
    <cellStyle name="20% - 강조색2 53 23" xfId="9274"/>
    <cellStyle name="20% - 강조색2 53 24" xfId="8395"/>
    <cellStyle name="20% - 강조색2 53 25" xfId="9947"/>
    <cellStyle name="20% - 강조색2 53 26" xfId="10271"/>
    <cellStyle name="20% - 강조색2 53 27" xfId="10543"/>
    <cellStyle name="20% - 강조색2 53 28" xfId="4925"/>
    <cellStyle name="20% - 강조색2 53 29" xfId="11039"/>
    <cellStyle name="20% - 강조색2 53 3" xfId="1369"/>
    <cellStyle name="20% - 강조색2 53 4" xfId="691"/>
    <cellStyle name="20% - 강조색2 53 5" xfId="2524"/>
    <cellStyle name="20% - 강조색2 53 6" xfId="2725"/>
    <cellStyle name="20% - 강조색2 53 7" xfId="2803"/>
    <cellStyle name="20% - 강조색2 53 8" xfId="3676"/>
    <cellStyle name="20% - 강조색2 53 9" xfId="3940"/>
    <cellStyle name="20% - 강조색2 54" xfId="856"/>
    <cellStyle name="20% - 강조색2 54 10" xfId="4697"/>
    <cellStyle name="20% - 강조색2 54 11" xfId="4507"/>
    <cellStyle name="20% - 강조색2 54 12" xfId="3761"/>
    <cellStyle name="20% - 강조색2 54 13" xfId="4977"/>
    <cellStyle name="20% - 강조색2 54 14" xfId="5768"/>
    <cellStyle name="20% - 강조색2 54 15" xfId="6554"/>
    <cellStyle name="20% - 강조색2 54 16" xfId="1835"/>
    <cellStyle name="20% - 강조색2 54 17" xfId="6078"/>
    <cellStyle name="20% - 강조색2 54 18" xfId="2446"/>
    <cellStyle name="20% - 강조색2 54 19" xfId="8060"/>
    <cellStyle name="20% - 강조색2 54 2" xfId="934"/>
    <cellStyle name="20% - 강조색2 54 20" xfId="7517"/>
    <cellStyle name="20% - 강조색2 54 21" xfId="7452"/>
    <cellStyle name="20% - 강조색2 54 22" xfId="9350"/>
    <cellStyle name="20% - 강조색2 54 23" xfId="8018"/>
    <cellStyle name="20% - 강조색2 54 24" xfId="6833"/>
    <cellStyle name="20% - 강조색2 54 25" xfId="10217"/>
    <cellStyle name="20% - 강조색2 54 26" xfId="10697"/>
    <cellStyle name="20% - 강조색2 54 27" xfId="10911"/>
    <cellStyle name="20% - 강조색2 54 28" xfId="11159"/>
    <cellStyle name="20% - 강조색2 54 3" xfId="2341"/>
    <cellStyle name="20% - 강조색2 54 4" xfId="1914"/>
    <cellStyle name="20% - 강조색2 54 5" xfId="2960"/>
    <cellStyle name="20% - 강조색2 54 6" xfId="1373"/>
    <cellStyle name="20% - 강조색2 54 7" xfId="3629"/>
    <cellStyle name="20% - 강조색2 54 8" xfId="3052"/>
    <cellStyle name="20% - 강조색2 54 9" xfId="2776"/>
    <cellStyle name="20% - 강조색2 55" xfId="1894"/>
    <cellStyle name="20% - 강조색2 55 10" xfId="3545"/>
    <cellStyle name="20% - 강조색2 55 11" xfId="4942"/>
    <cellStyle name="20% - 강조색2 55 12" xfId="5181"/>
    <cellStyle name="20% - 강조색2 55 13" xfId="5764"/>
    <cellStyle name="20% - 강조색2 55 14" xfId="6222"/>
    <cellStyle name="20% - 강조색2 55 15" xfId="7247"/>
    <cellStyle name="20% - 강조색2 55 16" xfId="7088"/>
    <cellStyle name="20% - 강조색2 55 17" xfId="4591"/>
    <cellStyle name="20% - 강조색2 55 18" xfId="6697"/>
    <cellStyle name="20% - 강조색2 55 19" xfId="7444"/>
    <cellStyle name="20% - 강조색2 55 2" xfId="2371"/>
    <cellStyle name="20% - 강조색2 55 20" xfId="1400"/>
    <cellStyle name="20% - 강조색2 55 21" xfId="8752"/>
    <cellStyle name="20% - 강조색2 55 22" xfId="7660"/>
    <cellStyle name="20% - 강조색2 55 23" xfId="5552"/>
    <cellStyle name="20% - 강조색2 55 24" xfId="9478"/>
    <cellStyle name="20% - 강조색2 55 25" xfId="1940"/>
    <cellStyle name="20% - 강조색2 55 26" xfId="7461"/>
    <cellStyle name="20% - 강조색2 55 27" xfId="2842"/>
    <cellStyle name="20% - 강조색2 55 3" xfId="2690"/>
    <cellStyle name="20% - 강조색2 55 4" xfId="3004"/>
    <cellStyle name="20% - 강조색2 55 5" xfId="3278"/>
    <cellStyle name="20% - 강조색2 55 6" xfId="1890"/>
    <cellStyle name="20% - 강조색2 55 7" xfId="4013"/>
    <cellStyle name="20% - 강조색2 55 8" xfId="4378"/>
    <cellStyle name="20% - 강조색2 55 9" xfId="4691"/>
    <cellStyle name="20% - 강조색2 56" xfId="2335"/>
    <cellStyle name="20% - 강조색2 56 10" xfId="5396"/>
    <cellStyle name="20% - 강조색2 56 11" xfId="2826"/>
    <cellStyle name="20% - 강조색2 56 12" xfId="4654"/>
    <cellStyle name="20% - 강조색2 56 13" xfId="6426"/>
    <cellStyle name="20% - 강조색2 56 14" xfId="7084"/>
    <cellStyle name="20% - 강조색2 56 15" xfId="6800"/>
    <cellStyle name="20% - 강조색2 56 16" xfId="7422"/>
    <cellStyle name="20% - 강조색2 56 17" xfId="8173"/>
    <cellStyle name="20% - 강조색2 56 18" xfId="3950"/>
    <cellStyle name="20% - 강조색2 56 19" xfId="9014"/>
    <cellStyle name="20% - 강조색2 56 2" xfId="2707"/>
    <cellStyle name="20% - 강조색2 56 20" xfId="7731"/>
    <cellStyle name="20% - 강조색2 56 21" xfId="6897"/>
    <cellStyle name="20% - 강조색2 56 22" xfId="7063"/>
    <cellStyle name="20% - 강조색2 56 23" xfId="10234"/>
    <cellStyle name="20% - 강조색2 56 24" xfId="7469"/>
    <cellStyle name="20% - 강조색2 56 25" xfId="10792"/>
    <cellStyle name="20% - 강조색2 56 26" xfId="10878"/>
    <cellStyle name="20% - 강조색2 56 3" xfId="3022"/>
    <cellStyle name="20% - 강조색2 56 4" xfId="3355"/>
    <cellStyle name="20% - 강조색2 56 5" xfId="2227"/>
    <cellStyle name="20% - 강조색2 56 6" xfId="4039"/>
    <cellStyle name="20% - 강조색2 56 7" xfId="4352"/>
    <cellStyle name="20% - 강조색2 56 8" xfId="1827"/>
    <cellStyle name="20% - 강조색2 56 9" xfId="5526"/>
    <cellStyle name="20% - 강조색2 57" xfId="2626"/>
    <cellStyle name="20% - 강조색2 57 10" xfId="5893"/>
    <cellStyle name="20% - 강조색2 57 11" xfId="5952"/>
    <cellStyle name="20% - 강조색2 57 12" xfId="6595"/>
    <cellStyle name="20% - 강조색2 57 13" xfId="6988"/>
    <cellStyle name="20% - 강조색2 57 14" xfId="7155"/>
    <cellStyle name="20% - 강조색2 57 15" xfId="7736"/>
    <cellStyle name="20% - 강조색2 57 16" xfId="7991"/>
    <cellStyle name="20% - 강조색2 57 17" xfId="7760"/>
    <cellStyle name="20% - 강조색2 57 18" xfId="8716"/>
    <cellStyle name="20% - 강조색2 57 19" xfId="7747"/>
    <cellStyle name="20% - 강조색2 57 2" xfId="3030"/>
    <cellStyle name="20% - 강조색2 57 20" xfId="6118"/>
    <cellStyle name="20% - 강조색2 57 21" xfId="9854"/>
    <cellStyle name="20% - 강조색2 57 22" xfId="6826"/>
    <cellStyle name="20% - 강조색2 57 23" xfId="2764"/>
    <cellStyle name="20% - 강조색2 57 24" xfId="10807"/>
    <cellStyle name="20% - 강조색2 57 25" xfId="9181"/>
    <cellStyle name="20% - 강조색2 57 3" xfId="3363"/>
    <cellStyle name="20% - 강조색2 57 4" xfId="3695"/>
    <cellStyle name="20% - 강조색2 57 5" xfId="3829"/>
    <cellStyle name="20% - 강조색2 57 6" xfId="4248"/>
    <cellStyle name="20% - 강조색2 57 7" xfId="4501"/>
    <cellStyle name="20% - 강조색2 57 8" xfId="4892"/>
    <cellStyle name="20% - 강조색2 57 9" xfId="5811"/>
    <cellStyle name="20% - 강조색2 58" xfId="3000"/>
    <cellStyle name="20% - 강조색2 58 10" xfId="5688"/>
    <cellStyle name="20% - 강조색2 58 11" xfId="3072"/>
    <cellStyle name="20% - 강조색2 58 12" xfId="6975"/>
    <cellStyle name="20% - 강조색2 58 13" xfId="6779"/>
    <cellStyle name="20% - 강조색2 58 14" xfId="7015"/>
    <cellStyle name="20% - 강조색2 58 15" xfId="3966"/>
    <cellStyle name="20% - 강조색2 58 16" xfId="8312"/>
    <cellStyle name="20% - 강조색2 58 17" xfId="8722"/>
    <cellStyle name="20% - 강조색2 58 18" xfId="9127"/>
    <cellStyle name="20% - 강조색2 58 19" xfId="8321"/>
    <cellStyle name="20% - 강조색2 58 2" xfId="3379"/>
    <cellStyle name="20% - 강조색2 58 20" xfId="9946"/>
    <cellStyle name="20% - 강조색2 58 21" xfId="10317"/>
    <cellStyle name="20% - 강조색2 58 22" xfId="10645"/>
    <cellStyle name="20% - 강조색2 58 23" xfId="7433"/>
    <cellStyle name="20% - 강조색2 58 24" xfId="6326"/>
    <cellStyle name="20% - 강조색2 58 3" xfId="3712"/>
    <cellStyle name="20% - 강조색2 58 4" xfId="4050"/>
    <cellStyle name="20% - 강조색2 58 5" xfId="4070"/>
    <cellStyle name="20% - 강조색2 58 6" xfId="4731"/>
    <cellStyle name="20% - 강조색2 58 7" xfId="5560"/>
    <cellStyle name="20% - 강조색2 58 8" xfId="5119"/>
    <cellStyle name="20% - 강조색2 58 9" xfId="5211"/>
    <cellStyle name="20% - 강조색2 59" xfId="3350"/>
    <cellStyle name="20% - 강조색2 59 10" xfId="5016"/>
    <cellStyle name="20% - 강조색2 59 11" xfId="745"/>
    <cellStyle name="20% - 강조색2 59 12" xfId="1537"/>
    <cellStyle name="20% - 강조색2 59 13" xfId="7667"/>
    <cellStyle name="20% - 강조색2 59 14" xfId="7903"/>
    <cellStyle name="20% - 강조색2 59 15" xfId="6405"/>
    <cellStyle name="20% - 강조색2 59 16" xfId="8841"/>
    <cellStyle name="20% - 강조색2 59 17" xfId="9292"/>
    <cellStyle name="20% - 강조색2 59 18" xfId="2670"/>
    <cellStyle name="20% - 강조색2 59 19" xfId="6057"/>
    <cellStyle name="20% - 강조색2 59 2" xfId="3721"/>
    <cellStyle name="20% - 강조색2 59 20" xfId="10350"/>
    <cellStyle name="20% - 강조색2 59 21" xfId="10378"/>
    <cellStyle name="20% - 강조색2 59 22" xfId="10465"/>
    <cellStyle name="20% - 강조색2 59 23" xfId="11190"/>
    <cellStyle name="20% - 강조색2 59 3" xfId="4060"/>
    <cellStyle name="20% - 강조색2 59 4" xfId="4396"/>
    <cellStyle name="20% - 강조색2 59 5" xfId="4717"/>
    <cellStyle name="20% - 강조색2 59 6" xfId="5617"/>
    <cellStyle name="20% - 강조색2 59 7" xfId="5087"/>
    <cellStyle name="20% - 강조색2 59 8" xfId="4932"/>
    <cellStyle name="20% - 강조색2 59 9" xfId="5650"/>
    <cellStyle name="20% - 강조색2 6" xfId="97"/>
    <cellStyle name="20% - 강조색2 60" xfId="3404"/>
    <cellStyle name="20% - 강조색2 60 10" xfId="6206"/>
    <cellStyle name="20% - 강조색2 60 11" xfId="6966"/>
    <cellStyle name="20% - 강조색2 60 12" xfId="7665"/>
    <cellStyle name="20% - 강조색2 60 13" xfId="5048"/>
    <cellStyle name="20% - 강조색2 60 14" xfId="6037"/>
    <cellStyle name="20% - 강조색2 60 15" xfId="8975"/>
    <cellStyle name="20% - 강조색2 60 16" xfId="9305"/>
    <cellStyle name="20% - 강조색2 60 17" xfId="9684"/>
    <cellStyle name="20% - 강조색2 60 18" xfId="9883"/>
    <cellStyle name="20% - 강조색2 60 19" xfId="10270"/>
    <cellStyle name="20% - 강조색2 60 2" xfId="4061"/>
    <cellStyle name="20% - 강조색2 60 20" xfId="10603"/>
    <cellStyle name="20% - 강조색2 60 21" xfId="10828"/>
    <cellStyle name="20% - 강조색2 60 22" xfId="8753"/>
    <cellStyle name="20% - 강조색2 60 3" xfId="4397"/>
    <cellStyle name="20% - 강조색2 60 4" xfId="2954"/>
    <cellStyle name="20% - 강조색2 60 5" xfId="4147"/>
    <cellStyle name="20% - 강조색2 60 6" xfId="5298"/>
    <cellStyle name="20% - 강조색2 60 7" xfId="5499"/>
    <cellStyle name="20% - 강조색2 60 8" xfId="5812"/>
    <cellStyle name="20% - 강조색2 60 9" xfId="6115"/>
    <cellStyle name="20% - 강조색2 61" xfId="4041"/>
    <cellStyle name="20% - 강조색2 61 10" xfId="6958"/>
    <cellStyle name="20% - 강조색2 61 11" xfId="7584"/>
    <cellStyle name="20% - 강조색2 61 12" xfId="8174"/>
    <cellStyle name="20% - 강조색2 61 13" xfId="8344"/>
    <cellStyle name="20% - 강조색2 61 14" xfId="8798"/>
    <cellStyle name="20% - 강조색2 61 15" xfId="4087"/>
    <cellStyle name="20% - 강조색2 61 16" xfId="9504"/>
    <cellStyle name="20% - 강조색2 61 17" xfId="6852"/>
    <cellStyle name="20% - 강조색2 61 18" xfId="10366"/>
    <cellStyle name="20% - 강조색2 61 19" xfId="10608"/>
    <cellStyle name="20% - 강조색2 61 2" xfId="4415"/>
    <cellStyle name="20% - 강조색2 61 20" xfId="9761"/>
    <cellStyle name="20% - 강조색2 61 21" xfId="11148"/>
    <cellStyle name="20% - 강조색2 61 3" xfId="4769"/>
    <cellStyle name="20% - 강조색2 61 4" xfId="5701"/>
    <cellStyle name="20% - 강조색2 61 5" xfId="5646"/>
    <cellStyle name="20% - 강조색2 61 6" xfId="4799"/>
    <cellStyle name="20% - 강조색2 61 7" xfId="5448"/>
    <cellStyle name="20% - 강조색2 61 8" xfId="6627"/>
    <cellStyle name="20% - 강조색2 61 9" xfId="7242"/>
    <cellStyle name="20% - 강조색2 62" xfId="4387"/>
    <cellStyle name="20% - 강조색2 62 10" xfId="7688"/>
    <cellStyle name="20% - 강조색2 62 11" xfId="8164"/>
    <cellStyle name="20% - 강조색2 62 12" xfId="8466"/>
    <cellStyle name="20% - 강조색2 62 13" xfId="8840"/>
    <cellStyle name="20% - 강조색2 62 14" xfId="8478"/>
    <cellStyle name="20% - 강조색2 62 15" xfId="1868"/>
    <cellStyle name="20% - 강조색2 62 16" xfId="1469"/>
    <cellStyle name="20% - 강조색2 62 17" xfId="10267"/>
    <cellStyle name="20% - 강조색2 62 18" xfId="10674"/>
    <cellStyle name="20% - 강조색2 62 19" xfId="10936"/>
    <cellStyle name="20% - 강조색2 62 2" xfId="4779"/>
    <cellStyle name="20% - 강조색2 62 20" xfId="11201"/>
    <cellStyle name="20% - 강조색2 62 3" xfId="5758"/>
    <cellStyle name="20% - 강조색2 62 4" xfId="5858"/>
    <cellStyle name="20% - 강조색2 62 5" xfId="5930"/>
    <cellStyle name="20% - 강조색2 62 6" xfId="5978"/>
    <cellStyle name="20% - 강조색2 62 7" xfId="6637"/>
    <cellStyle name="20% - 강조색2 62 8" xfId="7240"/>
    <cellStyle name="20% - 강조색2 62 9" xfId="7108"/>
    <cellStyle name="20% - 강조색2 63" xfId="4517"/>
    <cellStyle name="20% - 강조색2 63 10" xfId="6246"/>
    <cellStyle name="20% - 강조색2 63 11" xfId="8405"/>
    <cellStyle name="20% - 강조색2 63 12" xfId="1861"/>
    <cellStyle name="20% - 강조색2 63 13" xfId="9246"/>
    <cellStyle name="20% - 강조색2 63 14" xfId="9635"/>
    <cellStyle name="20% - 강조색2 63 15" xfId="4441"/>
    <cellStyle name="20% - 강조색2 63 16" xfId="10285"/>
    <cellStyle name="20% - 강조색2 63 17" xfId="10498"/>
    <cellStyle name="20% - 강조색2 63 18" xfId="10817"/>
    <cellStyle name="20% - 강조색2 63 19" xfId="11031"/>
    <cellStyle name="20% - 강조색2 63 2" xfId="5789"/>
    <cellStyle name="20% - 강조색2 63 3" xfId="5879"/>
    <cellStyle name="20% - 강조색2 63 4" xfId="5942"/>
    <cellStyle name="20% - 강조색2 63 5" xfId="5980"/>
    <cellStyle name="20% - 강조색2 63 6" xfId="6639"/>
    <cellStyle name="20% - 강조색2 63 7" xfId="7030"/>
    <cellStyle name="20% - 강조색2 63 8" xfId="7263"/>
    <cellStyle name="20% - 강조색2 63 9" xfId="6722"/>
    <cellStyle name="20% - 강조색2 64" xfId="5631"/>
    <cellStyle name="20% - 강조색2 64 10" xfId="3397"/>
    <cellStyle name="20% - 강조색2 64 11" xfId="9812"/>
    <cellStyle name="20% - 강조색2 64 12" xfId="8709"/>
    <cellStyle name="20% - 강조색2 64 13" xfId="7632"/>
    <cellStyle name="20% - 강조색2 64 14" xfId="10904"/>
    <cellStyle name="20% - 강조색2 64 15" xfId="4939"/>
    <cellStyle name="20% - 강조색2 64 2" xfId="6682"/>
    <cellStyle name="20% - 강조색2 64 3" xfId="7295"/>
    <cellStyle name="20% - 강조색2 64 4" xfId="7232"/>
    <cellStyle name="20% - 강조색2 64 5" xfId="4787"/>
    <cellStyle name="20% - 강조색2 64 6" xfId="6759"/>
    <cellStyle name="20% - 강조색2 64 7" xfId="8430"/>
    <cellStyle name="20% - 강조색2 64 8" xfId="7677"/>
    <cellStyle name="20% - 강조색2 64 9" xfId="1516"/>
    <cellStyle name="20% - 강조색2 65" xfId="5524"/>
    <cellStyle name="20% - 강조색2 65 10" xfId="9660"/>
    <cellStyle name="20% - 강조색2 65 11" xfId="6258"/>
    <cellStyle name="20% - 강조색2 65 12" xfId="10185"/>
    <cellStyle name="20% - 강조색2 65 13" xfId="10655"/>
    <cellStyle name="20% - 강조색2 65 14" xfId="10971"/>
    <cellStyle name="20% - 강조색2 65 15" xfId="10170"/>
    <cellStyle name="20% - 강조색2 65 2" xfId="6676"/>
    <cellStyle name="20% - 강조색2 65 3" xfId="6714"/>
    <cellStyle name="20% - 강조색2 65 4" xfId="6984"/>
    <cellStyle name="20% - 강조색2 65 5" xfId="6533"/>
    <cellStyle name="20% - 강조색2 65 6" xfId="7008"/>
    <cellStyle name="20% - 강조색2 65 7" xfId="8580"/>
    <cellStyle name="20% - 강조색2 65 8" xfId="8971"/>
    <cellStyle name="20% - 강조색2 65 9" xfId="9335"/>
    <cellStyle name="20% - 강조색2 66" xfId="5316"/>
    <cellStyle name="20% - 강조색2 66 10" xfId="6937"/>
    <cellStyle name="20% - 강조색2 66 11" xfId="4972"/>
    <cellStyle name="20% - 강조색2 66 12" xfId="10216"/>
    <cellStyle name="20% - 강조색2 66 13" xfId="10474"/>
    <cellStyle name="20% - 강조색2 66 14" xfId="8001"/>
    <cellStyle name="20% - 강조색2 66 15" xfId="11122"/>
    <cellStyle name="20% - 강조색2 66 2" xfId="6666"/>
    <cellStyle name="20% - 강조색2 66 3" xfId="6982"/>
    <cellStyle name="20% - 강조색2 66 4" xfId="4509"/>
    <cellStyle name="20% - 강조색2 66 5" xfId="7789"/>
    <cellStyle name="20% - 강조색2 66 6" xfId="8136"/>
    <cellStyle name="20% - 강조색2 66 7" xfId="8637"/>
    <cellStyle name="20% - 강조색2 66 8" xfId="4193"/>
    <cellStyle name="20% - 강조색2 66 9" xfId="8739"/>
    <cellStyle name="20% - 강조색2 67" xfId="5579"/>
    <cellStyle name="20% - 강조색2 67 10" xfId="9585"/>
    <cellStyle name="20% - 강조색2 67 11" xfId="10030"/>
    <cellStyle name="20% - 강조색2 67 12" xfId="10278"/>
    <cellStyle name="20% - 강조색2 67 13" xfId="10698"/>
    <cellStyle name="20% - 강조색2 67 14" xfId="4433"/>
    <cellStyle name="20% - 강조색2 67 15" xfId="4037"/>
    <cellStyle name="20% - 강조색2 67 2" xfId="6681"/>
    <cellStyle name="20% - 강조색2 67 3" xfId="7290"/>
    <cellStyle name="20% - 강조색2 67 4" xfId="7187"/>
    <cellStyle name="20% - 강조색2 67 5" xfId="7518"/>
    <cellStyle name="20% - 강조색2 67 6" xfId="979"/>
    <cellStyle name="20% - 강조색2 67 7" xfId="8597"/>
    <cellStyle name="20% - 강조색2 67 8" xfId="8772"/>
    <cellStyle name="20% - 강조색2 67 9" xfId="9279"/>
    <cellStyle name="20% - 강조색2 68" xfId="6304"/>
    <cellStyle name="20% - 강조색2 68 10" xfId="9855"/>
    <cellStyle name="20% - 강조색2 68 11" xfId="2146"/>
    <cellStyle name="20% - 강조색2 68 12" xfId="10690"/>
    <cellStyle name="20% - 강조색2 68 13" xfId="6574"/>
    <cellStyle name="20% - 강조색2 68 14" xfId="7216"/>
    <cellStyle name="20% - 강조색2 68 2" xfId="7342"/>
    <cellStyle name="20% - 강조색2 68 3" xfId="7379"/>
    <cellStyle name="20% - 강조색2 68 4" xfId="7868"/>
    <cellStyle name="20% - 강조색2 68 5" xfId="1582"/>
    <cellStyle name="20% - 강조색2 68 6" xfId="7418"/>
    <cellStyle name="20% - 강조색2 68 7" xfId="8963"/>
    <cellStyle name="20% - 강조색2 68 8" xfId="9283"/>
    <cellStyle name="20% - 강조색2 68 9" xfId="6579"/>
    <cellStyle name="20% - 강조색2 69" xfId="7277"/>
    <cellStyle name="20% - 강조색2 69 10" xfId="10437"/>
    <cellStyle name="20% - 강조색2 69 11" xfId="8083"/>
    <cellStyle name="20% - 강조색2 69 12" xfId="11245"/>
    <cellStyle name="20% - 강조색2 69 2" xfId="7892"/>
    <cellStyle name="20% - 강조색2 69 3" xfId="8286"/>
    <cellStyle name="20% - 강조색2 69 4" xfId="8648"/>
    <cellStyle name="20% - 강조색2 69 5" xfId="8834"/>
    <cellStyle name="20% - 강조색2 69 6" xfId="9267"/>
    <cellStyle name="20% - 강조색2 69 7" xfId="9511"/>
    <cellStyle name="20% - 강조색2 69 8" xfId="1546"/>
    <cellStyle name="20% - 강조색2 69 9" xfId="7911"/>
    <cellStyle name="20% - 강조색2 7" xfId="110"/>
    <cellStyle name="20% - 강조색2 70" xfId="7374"/>
    <cellStyle name="20% - 강조색2 70 10" xfId="10167"/>
    <cellStyle name="20% - 강조색2 70 11" xfId="6457"/>
    <cellStyle name="20% - 강조색2 70 12" xfId="11035"/>
    <cellStyle name="20% - 강조색2 70 2" xfId="7899"/>
    <cellStyle name="20% - 강조색2 70 3" xfId="8293"/>
    <cellStyle name="20% - 강조색2 70 4" xfId="8655"/>
    <cellStyle name="20% - 강조색2 70 5" xfId="9019"/>
    <cellStyle name="20% - 강조색2 70 6" xfId="2525"/>
    <cellStyle name="20% - 강조색2 70 7" xfId="9633"/>
    <cellStyle name="20% - 강조색2 70 8" xfId="8825"/>
    <cellStyle name="20% - 강조색2 70 9" xfId="9185"/>
    <cellStyle name="20% - 강조색2 71" xfId="7853"/>
    <cellStyle name="20% - 강조색2 71 10" xfId="4297"/>
    <cellStyle name="20% - 강조색2 71 11" xfId="11158"/>
    <cellStyle name="20% - 강조색2 71 2" xfId="8304"/>
    <cellStyle name="20% - 강조색2 71 3" xfId="8666"/>
    <cellStyle name="20% - 강조색2 71 4" xfId="9030"/>
    <cellStyle name="20% - 강조색2 71 5" xfId="9388"/>
    <cellStyle name="20% - 강조색2 71 6" xfId="9484"/>
    <cellStyle name="20% - 강조색2 71 7" xfId="9848"/>
    <cellStyle name="20% - 강조색2 71 8" xfId="10312"/>
    <cellStyle name="20% - 강조색2 71 9" xfId="10241"/>
    <cellStyle name="20% - 강조색2 72" xfId="8266"/>
    <cellStyle name="20% - 강조색2 72 10" xfId="11185"/>
    <cellStyle name="20% - 강조색2 72 2" xfId="8676"/>
    <cellStyle name="20% - 강조색2 72 3" xfId="9040"/>
    <cellStyle name="20% - 강조색2 72 4" xfId="9399"/>
    <cellStyle name="20% - 강조색2 72 5" xfId="9731"/>
    <cellStyle name="20% - 강조색2 72 6" xfId="6729"/>
    <cellStyle name="20% - 강조색2 72 7" xfId="10125"/>
    <cellStyle name="20% - 강조색2 72 8" xfId="9512"/>
    <cellStyle name="20% - 강조색2 72 9" xfId="9270"/>
    <cellStyle name="20% - 강조색2 73" xfId="8634"/>
    <cellStyle name="20% - 강조색2 73 2" xfId="9049"/>
    <cellStyle name="20% - 강조색2 73 3" xfId="9408"/>
    <cellStyle name="20% - 강조색2 73 4" xfId="9740"/>
    <cellStyle name="20% - 강조색2 73 5" xfId="10066"/>
    <cellStyle name="20% - 강조색2 73 6" xfId="4798"/>
    <cellStyle name="20% - 강조색2 73 7" xfId="7724"/>
    <cellStyle name="20% - 강조색2 73 8" xfId="2537"/>
    <cellStyle name="20% - 강조색2 73 9" xfId="7678"/>
    <cellStyle name="20% - 강조색2 74" xfId="9001"/>
    <cellStyle name="20% - 강조색2 74 2" xfId="9414"/>
    <cellStyle name="20% - 강조색2 74 3" xfId="9746"/>
    <cellStyle name="20% - 강조색2 74 4" xfId="10072"/>
    <cellStyle name="20% - 강조색2 74 5" xfId="10385"/>
    <cellStyle name="20% - 강조색2 74 6" xfId="9172"/>
    <cellStyle name="20% - 강조색2 74 7" xfId="10869"/>
    <cellStyle name="20% - 강조색2 74 8" xfId="9061"/>
    <cellStyle name="20% - 강조색2 75" xfId="9352"/>
    <cellStyle name="20% - 강조색2 75 2" xfId="9755"/>
    <cellStyle name="20% - 강조색2 75 3" xfId="10081"/>
    <cellStyle name="20% - 강조색2 75 4" xfId="10394"/>
    <cellStyle name="20% - 강조색2 75 5" xfId="10703"/>
    <cellStyle name="20% - 강조색2 75 6" xfId="10428"/>
    <cellStyle name="20% - 강조색2 75 7" xfId="9997"/>
    <cellStyle name="20% - 강조색2 76" xfId="9712"/>
    <cellStyle name="20% - 강조색2 76 2" xfId="10089"/>
    <cellStyle name="20% - 강조색2 76 3" xfId="10403"/>
    <cellStyle name="20% - 강조색2 76 4" xfId="10713"/>
    <cellStyle name="20% - 강조색2 76 5" xfId="10996"/>
    <cellStyle name="20% - 강조색2 76 6" xfId="8364"/>
    <cellStyle name="20% - 강조색2 77" xfId="9969"/>
    <cellStyle name="20% - 강조색2 77 2" xfId="10409"/>
    <cellStyle name="20% - 강조색2 77 3" xfId="10720"/>
    <cellStyle name="20% - 강조색2 77 4" xfId="11004"/>
    <cellStyle name="20% - 강조색2 77 5" xfId="11280"/>
    <cellStyle name="20% - 강조색2 78" xfId="10362"/>
    <cellStyle name="20% - 강조색2 78 2" xfId="10728"/>
    <cellStyle name="20% - 강조색2 78 3" xfId="11012"/>
    <cellStyle name="20% - 강조색2 78 4" xfId="11289"/>
    <cellStyle name="20% - 강조색2 79" xfId="10664"/>
    <cellStyle name="20% - 강조색2 79 2" xfId="11020"/>
    <cellStyle name="20% - 강조색2 79 3" xfId="11298"/>
    <cellStyle name="20% - 강조색2 8" xfId="123"/>
    <cellStyle name="20% - 강조색2 80" xfId="10970"/>
    <cellStyle name="20% - 강조색2 80 2" xfId="11308"/>
    <cellStyle name="20% - 강조색2 81" xfId="8534"/>
    <cellStyle name="20% - 강조색2 82" xfId="588"/>
    <cellStyle name="20% - 강조색2 83" xfId="567"/>
    <cellStyle name="20% - 강조색2 84" xfId="11373"/>
    <cellStyle name="20% - 강조색2 85" xfId="11413"/>
    <cellStyle name="20% - 강조색2 86" xfId="11440"/>
    <cellStyle name="20% - 강조색2 9" xfId="136"/>
    <cellStyle name="20% - 강조색3" xfId="29" builtinId="38" customBuiltin="1"/>
    <cellStyle name="20% - 강조색3 10" xfId="159"/>
    <cellStyle name="20% - 강조색3 11" xfId="172"/>
    <cellStyle name="20% - 강조색3 12" xfId="185"/>
    <cellStyle name="20% - 강조색3 13" xfId="198"/>
    <cellStyle name="20% - 강조색3 14" xfId="211"/>
    <cellStyle name="20% - 강조색3 15" xfId="224"/>
    <cellStyle name="20% - 강조색3 16" xfId="237"/>
    <cellStyle name="20% - 강조색3 17" xfId="250"/>
    <cellStyle name="20% - 강조색3 18" xfId="263"/>
    <cellStyle name="20% - 강조색3 19" xfId="276"/>
    <cellStyle name="20% - 강조색3 2" xfId="50"/>
    <cellStyle name="20% - 강조색3 20" xfId="289"/>
    <cellStyle name="20% - 강조색3 21" xfId="302"/>
    <cellStyle name="20% - 강조색3 22" xfId="315"/>
    <cellStyle name="20% - 강조색3 23" xfId="328"/>
    <cellStyle name="20% - 강조색3 24" xfId="341"/>
    <cellStyle name="20% - 강조색3 25" xfId="354"/>
    <cellStyle name="20% - 강조색3 26" xfId="367"/>
    <cellStyle name="20% - 강조색3 27" xfId="380"/>
    <cellStyle name="20% - 강조색3 28" xfId="393"/>
    <cellStyle name="20% - 강조색3 29" xfId="406"/>
    <cellStyle name="20% - 강조색3 3" xfId="77"/>
    <cellStyle name="20% - 강조색3 30" xfId="419"/>
    <cellStyle name="20% - 강조색3 31" xfId="432"/>
    <cellStyle name="20% - 강조색3 32" xfId="444"/>
    <cellStyle name="20% - 강조색3 33" xfId="456"/>
    <cellStyle name="20% - 강조색3 34" xfId="468"/>
    <cellStyle name="20% - 강조색3 35" xfId="480"/>
    <cellStyle name="20% - 강조색3 36" xfId="492"/>
    <cellStyle name="20% - 강조색3 37" xfId="503"/>
    <cellStyle name="20% - 강조색3 38" xfId="514"/>
    <cellStyle name="20% - 강조색3 39" xfId="525"/>
    <cellStyle name="20% - 강조색3 4" xfId="86"/>
    <cellStyle name="20% - 강조색3 40" xfId="549"/>
    <cellStyle name="20% - 강조색3 40 10" xfId="3205"/>
    <cellStyle name="20% - 강조색3 40 11" xfId="3395"/>
    <cellStyle name="20% - 강조색3 40 12" xfId="3799"/>
    <cellStyle name="20% - 강조색3 40 13" xfId="1993"/>
    <cellStyle name="20% - 강조색3 40 14" xfId="4198"/>
    <cellStyle name="20% - 강조색3 40 15" xfId="5413"/>
    <cellStyle name="20% - 강조색3 40 16" xfId="4910"/>
    <cellStyle name="20% - 강조색3 40 17" xfId="2486"/>
    <cellStyle name="20% - 강조색3 40 18" xfId="4839"/>
    <cellStyle name="20% - 강조색3 40 19" xfId="6190"/>
    <cellStyle name="20% - 강조색3 40 2" xfId="597"/>
    <cellStyle name="20% - 강조색3 40 20" xfId="6324"/>
    <cellStyle name="20% - 강조색3 40 21" xfId="3435"/>
    <cellStyle name="20% - 강조색3 40 22" xfId="7572"/>
    <cellStyle name="20% - 강조색3 40 23" xfId="6094"/>
    <cellStyle name="20% - 강조색3 40 24" xfId="8160"/>
    <cellStyle name="20% - 강조색3 40 25" xfId="8545"/>
    <cellStyle name="20% - 강조색3 40 26" xfId="9160"/>
    <cellStyle name="20% - 강조색3 40 27" xfId="2536"/>
    <cellStyle name="20% - 강조색3 40 28" xfId="9964"/>
    <cellStyle name="20% - 강조색3 40 29" xfId="7450"/>
    <cellStyle name="20% - 강조색3 40 3" xfId="1008"/>
    <cellStyle name="20% - 강조색3 40 30" xfId="7542"/>
    <cellStyle name="20% - 강조색3 40 31" xfId="4582"/>
    <cellStyle name="20% - 강조색3 40 32" xfId="3585"/>
    <cellStyle name="20% - 강조색3 40 33" xfId="11319"/>
    <cellStyle name="20% - 강조색3 40 34" xfId="579"/>
    <cellStyle name="20% - 강조색3 40 35" xfId="11370"/>
    <cellStyle name="20% - 강조색3 40 36" xfId="11401"/>
    <cellStyle name="20% - 강조색3 40 4" xfId="1272"/>
    <cellStyle name="20% - 강조색3 40 5" xfId="1659"/>
    <cellStyle name="20% - 강조색3 40 6" xfId="1594"/>
    <cellStyle name="20% - 강조색3 40 7" xfId="1589"/>
    <cellStyle name="20% - 강조색3 40 8" xfId="2510"/>
    <cellStyle name="20% - 강조색3 40 9" xfId="2930"/>
    <cellStyle name="20% - 강조색3 41" xfId="657"/>
    <cellStyle name="20% - 강조색3 41 10" xfId="3337"/>
    <cellStyle name="20% - 강조색3 41 11" xfId="3428"/>
    <cellStyle name="20% - 강조색3 41 12" xfId="3879"/>
    <cellStyle name="20% - 강조색3 41 13" xfId="4334"/>
    <cellStyle name="20% - 강조색3 41 14" xfId="4436"/>
    <cellStyle name="20% - 강조색3 41 15" xfId="4907"/>
    <cellStyle name="20% - 강조색3 41 16" xfId="4961"/>
    <cellStyle name="20% - 강조색3 41 17" xfId="5841"/>
    <cellStyle name="20% - 강조색3 41 18" xfId="5917"/>
    <cellStyle name="20% - 강조색3 41 19" xfId="6410"/>
    <cellStyle name="20% - 강조색3 41 2" xfId="1160"/>
    <cellStyle name="20% - 강조색3 41 20" xfId="4906"/>
    <cellStyle name="20% - 강조색3 41 21" xfId="7019"/>
    <cellStyle name="20% - 강조색3 41 22" xfId="7429"/>
    <cellStyle name="20% - 강조색3 41 23" xfId="7120"/>
    <cellStyle name="20% - 강조색3 41 24" xfId="8493"/>
    <cellStyle name="20% - 강조색3 41 25" xfId="8829"/>
    <cellStyle name="20% - 강조색3 41 26" xfId="9288"/>
    <cellStyle name="20% - 강조색3 41 27" xfId="9664"/>
    <cellStyle name="20% - 강조색3 41 28" xfId="9931"/>
    <cellStyle name="20% - 강조색3 41 29" xfId="10129"/>
    <cellStyle name="20% - 강조색3 41 3" xfId="1240"/>
    <cellStyle name="20% - 강조색3 41 30" xfId="3485"/>
    <cellStyle name="20% - 강조색3 41 31" xfId="10456"/>
    <cellStyle name="20% - 강조색3 41 32" xfId="3549"/>
    <cellStyle name="20% - 강조색3 41 4" xfId="1332"/>
    <cellStyle name="20% - 강조색3 41 5" xfId="1780"/>
    <cellStyle name="20% - 강조색3 41 6" xfId="1513"/>
    <cellStyle name="20% - 강조색3 41 7" xfId="825"/>
    <cellStyle name="20% - 강조색3 41 8" xfId="2568"/>
    <cellStyle name="20% - 강조색3 41 9" xfId="2867"/>
    <cellStyle name="20% - 강조색3 42" xfId="625"/>
    <cellStyle name="20% - 강조색3 42 10" xfId="3082"/>
    <cellStyle name="20% - 강조색3 42 11" xfId="3686"/>
    <cellStyle name="20% - 강조색3 42 12" xfId="3876"/>
    <cellStyle name="20% - 강조색3 42 13" xfId="3162"/>
    <cellStyle name="20% - 강조색3 42 14" xfId="4690"/>
    <cellStyle name="20% - 강조색3 42 15" xfId="4171"/>
    <cellStyle name="20% - 강조색3 42 16" xfId="5759"/>
    <cellStyle name="20% - 강조색3 42 17" xfId="5859"/>
    <cellStyle name="20% - 강조색3 42 18" xfId="5931"/>
    <cellStyle name="20% - 강조색3 42 19" xfId="3957"/>
    <cellStyle name="20% - 강조색3 42 2" xfId="1128"/>
    <cellStyle name="20% - 강조색3 42 20" xfId="7196"/>
    <cellStyle name="20% - 강조색3 42 21" xfId="7284"/>
    <cellStyle name="20% - 강조색3 42 22" xfId="7702"/>
    <cellStyle name="20% - 강조색3 42 23" xfId="8214"/>
    <cellStyle name="20% - 강조색3 42 24" xfId="8431"/>
    <cellStyle name="20% - 강조색3 42 25" xfId="6192"/>
    <cellStyle name="20% - 강조색3 42 26" xfId="9083"/>
    <cellStyle name="20% - 강조색3 42 27" xfId="1823"/>
    <cellStyle name="20% - 강조색3 42 28" xfId="6229"/>
    <cellStyle name="20% - 강조색3 42 29" xfId="6352"/>
    <cellStyle name="20% - 강조색3 42 3" xfId="1208"/>
    <cellStyle name="20% - 강조색3 42 30" xfId="8087"/>
    <cellStyle name="20% - 강조색3 42 31" xfId="10737"/>
    <cellStyle name="20% - 강조색3 42 32" xfId="11129"/>
    <cellStyle name="20% - 강조색3 42 4" xfId="1300"/>
    <cellStyle name="20% - 강조색3 42 5" xfId="1757"/>
    <cellStyle name="20% - 강조색3 42 6" xfId="1840"/>
    <cellStyle name="20% - 강조색3 42 7" xfId="2284"/>
    <cellStyle name="20% - 강조색3 42 8" xfId="2642"/>
    <cellStyle name="20% - 강조색3 42 9" xfId="2966"/>
    <cellStyle name="20% - 강조색3 43" xfId="672"/>
    <cellStyle name="20% - 강조색3 43 10" xfId="3113"/>
    <cellStyle name="20% - 강조색3 43 11" xfId="3675"/>
    <cellStyle name="20% - 강조색3 43 12" xfId="4011"/>
    <cellStyle name="20% - 강조색3 43 13" xfId="3187"/>
    <cellStyle name="20% - 강조색3 43 14" xfId="4092"/>
    <cellStyle name="20% - 강조색3 43 15" xfId="5079"/>
    <cellStyle name="20% - 강조색3 43 16" xfId="3249"/>
    <cellStyle name="20% - 강조색3 43 17" xfId="5334"/>
    <cellStyle name="20% - 강조색3 43 18" xfId="5444"/>
    <cellStyle name="20% - 강조색3 43 19" xfId="4122"/>
    <cellStyle name="20% - 강조색3 43 2" xfId="1175"/>
    <cellStyle name="20% - 강조색3 43 20" xfId="6878"/>
    <cellStyle name="20% - 강조색3 43 21" xfId="6356"/>
    <cellStyle name="20% - 강조색3 43 22" xfId="6158"/>
    <cellStyle name="20% - 강조색3 43 23" xfId="7906"/>
    <cellStyle name="20% - 강조색3 43 24" xfId="7695"/>
    <cellStyle name="20% - 강조색3 43 25" xfId="8973"/>
    <cellStyle name="20% - 강조색3 43 26" xfId="6053"/>
    <cellStyle name="20% - 강조색3 43 27" xfId="9644"/>
    <cellStyle name="20% - 강조색3 43 28" xfId="9865"/>
    <cellStyle name="20% - 강조색3 43 29" xfId="8469"/>
    <cellStyle name="20% - 강조색3 43 3" xfId="1255"/>
    <cellStyle name="20% - 강조색3 43 30" xfId="8827"/>
    <cellStyle name="20% - 강조색3 43 31" xfId="10974"/>
    <cellStyle name="20% - 강조색3 43 32" xfId="11251"/>
    <cellStyle name="20% - 강조색3 43 4" xfId="1347"/>
    <cellStyle name="20% - 강조색3 43 5" xfId="1711"/>
    <cellStyle name="20% - 강조색3 43 6" xfId="885"/>
    <cellStyle name="20% - 강조색3 43 7" xfId="2200"/>
    <cellStyle name="20% - 강조색3 43 8" xfId="2433"/>
    <cellStyle name="20% - 강조색3 43 9" xfId="2793"/>
    <cellStyle name="20% - 강조색3 44" xfId="656"/>
    <cellStyle name="20% - 강조색3 44 10" xfId="3069"/>
    <cellStyle name="20% - 강조색3 44 11" xfId="3079"/>
    <cellStyle name="20% - 강조색3 44 12" xfId="3923"/>
    <cellStyle name="20% - 강조색3 44 13" xfId="4223"/>
    <cellStyle name="20% - 강조색3 44 14" xfId="4738"/>
    <cellStyle name="20% - 강조색3 44 15" xfId="4924"/>
    <cellStyle name="20% - 강조색3 44 16" xfId="5598"/>
    <cellStyle name="20% - 강조색3 44 17" xfId="3156"/>
    <cellStyle name="20% - 강조색3 44 18" xfId="5467"/>
    <cellStyle name="20% - 강조색3 44 19" xfId="4452"/>
    <cellStyle name="20% - 강조색3 44 2" xfId="1159"/>
    <cellStyle name="20% - 강조색3 44 20" xfId="6951"/>
    <cellStyle name="20% - 강조색3 44 21" xfId="6980"/>
    <cellStyle name="20% - 강조색3 44 22" xfId="7687"/>
    <cellStyle name="20% - 강조색3 44 23" xfId="7912"/>
    <cellStyle name="20% - 강조색3 44 24" xfId="8375"/>
    <cellStyle name="20% - 강조색3 44 25" xfId="2423"/>
    <cellStyle name="20% - 강조색3 44 26" xfId="9310"/>
    <cellStyle name="20% - 강조색3 44 27" xfId="8105"/>
    <cellStyle name="20% - 강조색3 44 28" xfId="9968"/>
    <cellStyle name="20% - 강조색3 44 29" xfId="10235"/>
    <cellStyle name="20% - 강조색3 44 3" xfId="1239"/>
    <cellStyle name="20% - 강조색3 44 30" xfId="8835"/>
    <cellStyle name="20% - 강조색3 44 31" xfId="2095"/>
    <cellStyle name="20% - 강조색3 44 32" xfId="4875"/>
    <cellStyle name="20% - 강조색3 44 4" xfId="1331"/>
    <cellStyle name="20% - 강조색3 44 5" xfId="1761"/>
    <cellStyle name="20% - 강조색3 44 6" xfId="1450"/>
    <cellStyle name="20% - 강조색3 44 7" xfId="2270"/>
    <cellStyle name="20% - 강조색3 44 8" xfId="2509"/>
    <cellStyle name="20% - 강조색3 44 9" xfId="2915"/>
    <cellStyle name="20% - 강조색3 45" xfId="610"/>
    <cellStyle name="20% - 강조색3 45 10" xfId="3285"/>
    <cellStyle name="20% - 강조색3 45 11" xfId="1587"/>
    <cellStyle name="20% - 강조색3 45 12" xfId="3098"/>
    <cellStyle name="20% - 강조색3 45 13" xfId="1525"/>
    <cellStyle name="20% - 강조색3 45 14" xfId="4707"/>
    <cellStyle name="20% - 강조색3 45 15" xfId="5391"/>
    <cellStyle name="20% - 강조색3 45 16" xfId="5799"/>
    <cellStyle name="20% - 강조색3 45 17" xfId="5886"/>
    <cellStyle name="20% - 강조색3 45 18" xfId="5947"/>
    <cellStyle name="20% - 강조색3 45 19" xfId="6439"/>
    <cellStyle name="20% - 강조색3 45 2" xfId="1113"/>
    <cellStyle name="20% - 강조색3 45 20" xfId="7193"/>
    <cellStyle name="20% - 강조색3 45 21" xfId="7315"/>
    <cellStyle name="20% - 강조색3 45 22" xfId="7692"/>
    <cellStyle name="20% - 강조색3 45 23" xfId="6409"/>
    <cellStyle name="20% - 강조색3 45 24" xfId="7007"/>
    <cellStyle name="20% - 강조색3 45 25" xfId="8705"/>
    <cellStyle name="20% - 강조색3 45 26" xfId="8167"/>
    <cellStyle name="20% - 강조색3 45 27" xfId="9498"/>
    <cellStyle name="20% - 강조색3 45 28" xfId="9898"/>
    <cellStyle name="20% - 강조색3 45 29" xfId="10239"/>
    <cellStyle name="20% - 강조색3 45 3" xfId="1193"/>
    <cellStyle name="20% - 강조색3 45 30" xfId="10647"/>
    <cellStyle name="20% - 강조색3 45 31" xfId="10910"/>
    <cellStyle name="20% - 강조색3 45 32" xfId="11154"/>
    <cellStyle name="20% - 강조색3 45 4" xfId="1285"/>
    <cellStyle name="20% - 강조색3 45 5" xfId="1756"/>
    <cellStyle name="20% - 강조색3 45 6" xfId="808"/>
    <cellStyle name="20% - 강조색3 45 7" xfId="2303"/>
    <cellStyle name="20% - 강조색3 45 8" xfId="2623"/>
    <cellStyle name="20% - 강조색3 45 9" xfId="2981"/>
    <cellStyle name="20% - 강조색3 46" xfId="660"/>
    <cellStyle name="20% - 강조색3 46 10" xfId="3244"/>
    <cellStyle name="20% - 강조색3 46 11" xfId="3643"/>
    <cellStyle name="20% - 강조색3 46 12" xfId="3794"/>
    <cellStyle name="20% - 강조색3 46 13" xfId="4219"/>
    <cellStyle name="20% - 강조색3 46 14" xfId="3916"/>
    <cellStyle name="20% - 강조색3 46 15" xfId="1913"/>
    <cellStyle name="20% - 강조색3 46 16" xfId="4788"/>
    <cellStyle name="20% - 강조색3 46 17" xfId="4931"/>
    <cellStyle name="20% - 강조색3 46 18" xfId="5283"/>
    <cellStyle name="20% - 강조색3 46 19" xfId="6343"/>
    <cellStyle name="20% - 강조색3 46 2" xfId="1163"/>
    <cellStyle name="20% - 강조색3 46 20" xfId="6942"/>
    <cellStyle name="20% - 강조색3 46 21" xfId="2412"/>
    <cellStyle name="20% - 강조색3 46 22" xfId="1869"/>
    <cellStyle name="20% - 강조색3 46 23" xfId="8112"/>
    <cellStyle name="20% - 강조색3 46 24" xfId="6204"/>
    <cellStyle name="20% - 강조색3 46 25" xfId="8945"/>
    <cellStyle name="20% - 강조색3 46 26" xfId="9309"/>
    <cellStyle name="20% - 강조색3 46 27" xfId="9494"/>
    <cellStyle name="20% - 강조색3 46 28" xfId="9861"/>
    <cellStyle name="20% - 강조색3 46 29" xfId="6110"/>
    <cellStyle name="20% - 강조색3 46 3" xfId="1243"/>
    <cellStyle name="20% - 강조색3 46 30" xfId="10610"/>
    <cellStyle name="20% - 강조색3 46 31" xfId="10874"/>
    <cellStyle name="20% - 강조색3 46 32" xfId="11033"/>
    <cellStyle name="20% - 강조색3 46 4" xfId="1335"/>
    <cellStyle name="20% - 강조색3 46 5" xfId="1717"/>
    <cellStyle name="20% - 강조색3 46 6" xfId="1405"/>
    <cellStyle name="20% - 강조색3 46 7" xfId="1832"/>
    <cellStyle name="20% - 강조색3 46 8" xfId="1362"/>
    <cellStyle name="20% - 강조색3 46 9" xfId="2863"/>
    <cellStyle name="20% - 강조색3 47" xfId="586"/>
    <cellStyle name="20% - 강조색3 47 10" xfId="4231"/>
    <cellStyle name="20% - 강조색3 47 11" xfId="4439"/>
    <cellStyle name="20% - 강조색3 47 12" xfId="2118"/>
    <cellStyle name="20% - 강조색3 47 13" xfId="4783"/>
    <cellStyle name="20% - 강조색3 47 14" xfId="5394"/>
    <cellStyle name="20% - 강조색3 47 15" xfId="5405"/>
    <cellStyle name="20% - 강조색3 47 16" xfId="6448"/>
    <cellStyle name="20% - 강조색3 47 17" xfId="6927"/>
    <cellStyle name="20% - 강조색3 47 18" xfId="6799"/>
    <cellStyle name="20% - 강조색3 47 19" xfId="6004"/>
    <cellStyle name="20% - 강조색3 47 2" xfId="1048"/>
    <cellStyle name="20% - 강조색3 47 20" xfId="6720"/>
    <cellStyle name="20% - 강조색3 47 21" xfId="6214"/>
    <cellStyle name="20% - 강조색3 47 22" xfId="8903"/>
    <cellStyle name="20% - 강조색3 47 23" xfId="3887"/>
    <cellStyle name="20% - 강조색3 47 24" xfId="9432"/>
    <cellStyle name="20% - 강조색3 47 25" xfId="9907"/>
    <cellStyle name="20% - 강조색3 47 26" xfId="10351"/>
    <cellStyle name="20% - 강조색3 47 27" xfId="10115"/>
    <cellStyle name="20% - 강조색3 47 28" xfId="10892"/>
    <cellStyle name="20% - 강조색3 47 29" xfId="10266"/>
    <cellStyle name="20% - 강조색3 47 3" xfId="747"/>
    <cellStyle name="20% - 강조색3 47 30" xfId="11329"/>
    <cellStyle name="20% - 강조색3 47 31" xfId="11427"/>
    <cellStyle name="20% - 강조색3 47 32" xfId="11387"/>
    <cellStyle name="20% - 강조색3 47 33" xfId="11352"/>
    <cellStyle name="20% - 강조색3 47 4" xfId="1820"/>
    <cellStyle name="20% - 강조색3 47 5" xfId="734"/>
    <cellStyle name="20% - 강조색3 47 6" xfId="724"/>
    <cellStyle name="20% - 강조색3 47 7" xfId="3269"/>
    <cellStyle name="20% - 강조색3 47 8" xfId="925"/>
    <cellStyle name="20% - 강조색3 47 9" xfId="3763"/>
    <cellStyle name="20% - 강조색3 48" xfId="1073"/>
    <cellStyle name="20% - 강조색3 48 10" xfId="1377"/>
    <cellStyle name="20% - 강조색3 48 11" xfId="4741"/>
    <cellStyle name="20% - 강조색3 48 12" xfId="4531"/>
    <cellStyle name="20% - 강조색3 48 13" xfId="5680"/>
    <cellStyle name="20% - 강조색3 48 14" xfId="2102"/>
    <cellStyle name="20% - 강조색3 48 15" xfId="5426"/>
    <cellStyle name="20% - 강조색3 48 16" xfId="6500"/>
    <cellStyle name="20% - 강조색3 48 17" xfId="1371"/>
    <cellStyle name="20% - 강조색3 48 18" xfId="7156"/>
    <cellStyle name="20% - 강조색3 48 19" xfId="3776"/>
    <cellStyle name="20% - 강조색3 48 2" xfId="1768"/>
    <cellStyle name="20% - 강조색3 48 20" xfId="8043"/>
    <cellStyle name="20% - 강조색3 48 21" xfId="8425"/>
    <cellStyle name="20% - 강조색3 48 22" xfId="8793"/>
    <cellStyle name="20% - 강조색3 48 23" xfId="9291"/>
    <cellStyle name="20% - 강조색3 48 24" xfId="3830"/>
    <cellStyle name="20% - 강조색3 48 25" xfId="9773"/>
    <cellStyle name="20% - 강조색3 48 26" xfId="10277"/>
    <cellStyle name="20% - 강조색3 48 27" xfId="10611"/>
    <cellStyle name="20% - 강조색3 48 28" xfId="10102"/>
    <cellStyle name="20% - 강조색3 48 29" xfId="10481"/>
    <cellStyle name="20% - 강조색3 48 3" xfId="1380"/>
    <cellStyle name="20% - 강조색3 48 4" xfId="2191"/>
    <cellStyle name="20% - 강조색3 48 5" xfId="2608"/>
    <cellStyle name="20% - 강조색3 48 6" xfId="2939"/>
    <cellStyle name="20% - 강조색3 48 7" xfId="3210"/>
    <cellStyle name="20% - 강조색3 48 8" xfId="2492"/>
    <cellStyle name="20% - 강조색3 48 9" xfId="3874"/>
    <cellStyle name="20% - 강조색3 49" xfId="1031"/>
    <cellStyle name="20% - 강조색3 49 10" xfId="1530"/>
    <cellStyle name="20% - 강조색3 49 11" xfId="4719"/>
    <cellStyle name="20% - 강조색3 49 12" xfId="732"/>
    <cellStyle name="20% - 강조색3 49 13" xfId="5669"/>
    <cellStyle name="20% - 강조색3 49 14" xfId="5702"/>
    <cellStyle name="20% - 강조색3 49 15" xfId="5144"/>
    <cellStyle name="20% - 강조색3 49 16" xfId="6106"/>
    <cellStyle name="20% - 강조색3 49 17" xfId="1930"/>
    <cellStyle name="20% - 강조색3 49 18" xfId="4603"/>
    <cellStyle name="20% - 강조색3 49 19" xfId="7605"/>
    <cellStyle name="20% - 강조색3 49 2" xfId="1687"/>
    <cellStyle name="20% - 강조색3 49 20" xfId="8248"/>
    <cellStyle name="20% - 강조색3 49 21" xfId="7808"/>
    <cellStyle name="20% - 강조색3 49 22" xfId="9013"/>
    <cellStyle name="20% - 강조색3 49 23" xfId="8848"/>
    <cellStyle name="20% - 강조색3 49 24" xfId="9444"/>
    <cellStyle name="20% - 강조색3 49 25" xfId="8441"/>
    <cellStyle name="20% - 강조색3 49 26" xfId="10293"/>
    <cellStyle name="20% - 강조색3 49 27" xfId="9778"/>
    <cellStyle name="20% - 강조색3 49 28" xfId="2900"/>
    <cellStyle name="20% - 강조색3 49 29" xfId="10748"/>
    <cellStyle name="20% - 강조색3 49 3" xfId="2018"/>
    <cellStyle name="20% - 강조색3 49 4" xfId="2299"/>
    <cellStyle name="20% - 강조색3 49 5" xfId="2649"/>
    <cellStyle name="20% - 강조색3 49 6" xfId="2920"/>
    <cellStyle name="20% - 강조색3 49 7" xfId="3236"/>
    <cellStyle name="20% - 강조색3 49 8" xfId="3484"/>
    <cellStyle name="20% - 강조색3 49 9" xfId="3797"/>
    <cellStyle name="20% - 강조색3 5" xfId="94"/>
    <cellStyle name="20% - 강조색3 50" xfId="1083"/>
    <cellStyle name="20% - 강조색3 50 10" xfId="4166"/>
    <cellStyle name="20% - 강조색3 50 11" xfId="4710"/>
    <cellStyle name="20% - 강조색3 50 12" xfId="5409"/>
    <cellStyle name="20% - 강조색3 50 13" xfId="5204"/>
    <cellStyle name="20% - 강조색3 50 14" xfId="4915"/>
    <cellStyle name="20% - 강조색3 50 15" xfId="5582"/>
    <cellStyle name="20% - 강조색3 50 16" xfId="6276"/>
    <cellStyle name="20% - 강조색3 50 17" xfId="6952"/>
    <cellStyle name="20% - 강조색3 50 18" xfId="7355"/>
    <cellStyle name="20% - 강조색3 50 19" xfId="988"/>
    <cellStyle name="20% - 강조색3 50 2" xfId="1785"/>
    <cellStyle name="20% - 강조색3 50 20" xfId="8260"/>
    <cellStyle name="20% - 강조색3 50 21" xfId="8617"/>
    <cellStyle name="20% - 강조색3 50 22" xfId="4472"/>
    <cellStyle name="20% - 강조색3 50 23" xfId="9096"/>
    <cellStyle name="20% - 강조색3 50 24" xfId="6104"/>
    <cellStyle name="20% - 강조색3 50 25" xfId="8028"/>
    <cellStyle name="20% - 강조색3 50 26" xfId="4620"/>
    <cellStyle name="20% - 강조색3 50 27" xfId="7446"/>
    <cellStyle name="20% - 강조색3 50 28" xfId="6243"/>
    <cellStyle name="20% - 강조색3 50 29" xfId="5080"/>
    <cellStyle name="20% - 강조색3 50 3" xfId="2027"/>
    <cellStyle name="20% - 강조색3 50 4" xfId="711"/>
    <cellStyle name="20% - 강조색3 50 5" xfId="2567"/>
    <cellStyle name="20% - 강조색3 50 6" xfId="2750"/>
    <cellStyle name="20% - 강조색3 50 7" xfId="3127"/>
    <cellStyle name="20% - 강조색3 50 8" xfId="2465"/>
    <cellStyle name="20% - 강조색3 50 9" xfId="2217"/>
    <cellStyle name="20% - 강조색3 51" xfId="1039"/>
    <cellStyle name="20% - 강조색3 51 10" xfId="2223"/>
    <cellStyle name="20% - 강조색3 51 11" xfId="3070"/>
    <cellStyle name="20% - 강조색3 51 12" xfId="4958"/>
    <cellStyle name="20% - 강조색3 51 13" xfId="5539"/>
    <cellStyle name="20% - 강조색3 51 14" xfId="826"/>
    <cellStyle name="20% - 강조색3 51 15" xfId="5493"/>
    <cellStyle name="20% - 강조색3 51 16" xfId="1618"/>
    <cellStyle name="20% - 강조색3 51 17" xfId="6986"/>
    <cellStyle name="20% - 강조색3 51 18" xfId="7125"/>
    <cellStyle name="20% - 강조색3 51 19" xfId="7602"/>
    <cellStyle name="20% - 강조색3 51 2" xfId="1701"/>
    <cellStyle name="20% - 강조색3 51 20" xfId="7972"/>
    <cellStyle name="20% - 강조색3 51 21" xfId="8560"/>
    <cellStyle name="20% - 강조색3 51 22" xfId="8943"/>
    <cellStyle name="20% - 강조색3 51 23" xfId="6332"/>
    <cellStyle name="20% - 강조색3 51 24" xfId="9482"/>
    <cellStyle name="20% - 강조색3 51 25" xfId="9792"/>
    <cellStyle name="20% - 강조색3 51 26" xfId="7639"/>
    <cellStyle name="20% - 강조색3 51 27" xfId="10648"/>
    <cellStyle name="20% - 강조색3 51 28" xfId="8712"/>
    <cellStyle name="20% - 강조색3 51 29" xfId="2516"/>
    <cellStyle name="20% - 강조색3 51 3" xfId="1590"/>
    <cellStyle name="20% - 강조색3 51 4" xfId="1472"/>
    <cellStyle name="20% - 강조색3 51 5" xfId="2650"/>
    <cellStyle name="20% - 강조색3 51 6" xfId="2575"/>
    <cellStyle name="20% - 강조색3 51 7" xfId="909"/>
    <cellStyle name="20% - 강조색3 51 8" xfId="3178"/>
    <cellStyle name="20% - 강조색3 51 9" xfId="4022"/>
    <cellStyle name="20% - 강조색3 52" xfId="1062"/>
    <cellStyle name="20% - 강조색3 52 10" xfId="4252"/>
    <cellStyle name="20% - 강조색3 52 11" xfId="4749"/>
    <cellStyle name="20% - 강조색3 52 12" xfId="4837"/>
    <cellStyle name="20% - 강조색3 52 13" xfId="5404"/>
    <cellStyle name="20% - 강조색3 52 14" xfId="5305"/>
    <cellStyle name="20% - 강조색3 52 15" xfId="4786"/>
    <cellStyle name="20% - 강조색3 52 16" xfId="6130"/>
    <cellStyle name="20% - 강조색3 52 17" xfId="7165"/>
    <cellStyle name="20% - 강조색3 52 18" xfId="6893"/>
    <cellStyle name="20% - 강조색3 52 19" xfId="7623"/>
    <cellStyle name="20% - 강조색3 52 2" xfId="1744"/>
    <cellStyle name="20% - 강조색3 52 20" xfId="8208"/>
    <cellStyle name="20% - 강조색3 52 21" xfId="2893"/>
    <cellStyle name="20% - 강조색3 52 22" xfId="8844"/>
    <cellStyle name="20% - 강조색3 52 23" xfId="9087"/>
    <cellStyle name="20% - 강조색3 52 24" xfId="7745"/>
    <cellStyle name="20% - 강조색3 52 25" xfId="9975"/>
    <cellStyle name="20% - 강조색3 52 26" xfId="864"/>
    <cellStyle name="20% - 강조색3 52 27" xfId="10569"/>
    <cellStyle name="20% - 강조색3 52 28" xfId="9981"/>
    <cellStyle name="20% - 강조색3 52 29" xfId="11219"/>
    <cellStyle name="20% - 강조색3 52 3" xfId="2022"/>
    <cellStyle name="20% - 강조색3 52 4" xfId="2276"/>
    <cellStyle name="20% - 강조색3 52 5" xfId="2618"/>
    <cellStyle name="20% - 강조색3 52 6" xfId="2846"/>
    <cellStyle name="20% - 강조색3 52 7" xfId="3344"/>
    <cellStyle name="20% - 강조색3 52 8" xfId="3678"/>
    <cellStyle name="20% - 강조색3 52 9" xfId="3898"/>
    <cellStyle name="20% - 강조색3 53" xfId="1028"/>
    <cellStyle name="20% - 강조색3 53 10" xfId="4379"/>
    <cellStyle name="20% - 강조색3 53 11" xfId="4624"/>
    <cellStyle name="20% - 강조색3 53 12" xfId="5456"/>
    <cellStyle name="20% - 강조색3 53 13" xfId="5139"/>
    <cellStyle name="20% - 강조색3 53 14" xfId="4804"/>
    <cellStyle name="20% - 강조색3 53 15" xfId="4898"/>
    <cellStyle name="20% - 강조색3 53 16" xfId="2733"/>
    <cellStyle name="20% - 강조색3 53 17" xfId="5201"/>
    <cellStyle name="20% - 강조색3 53 18" xfId="7058"/>
    <cellStyle name="20% - 강조색3 53 19" xfId="7763"/>
    <cellStyle name="20% - 강조색3 53 2" xfId="1684"/>
    <cellStyle name="20% - 강조색3 53 20" xfId="1385"/>
    <cellStyle name="20% - 강조색3 53 21" xfId="8538"/>
    <cellStyle name="20% - 강조색3 53 22" xfId="8836"/>
    <cellStyle name="20% - 강조색3 53 23" xfId="8330"/>
    <cellStyle name="20% - 강조색3 53 24" xfId="4665"/>
    <cellStyle name="20% - 강조색3 53 25" xfId="9967"/>
    <cellStyle name="20% - 강조색3 53 26" xfId="10092"/>
    <cellStyle name="20% - 강조색3 53 27" xfId="10578"/>
    <cellStyle name="20% - 강조색3 53 28" xfId="4222"/>
    <cellStyle name="20% - 강조색3 53 29" xfId="11099"/>
    <cellStyle name="20% - 강조색3 53 3" xfId="2008"/>
    <cellStyle name="20% - 강조색3 53 4" xfId="2282"/>
    <cellStyle name="20% - 강조색3 53 5" xfId="2495"/>
    <cellStyle name="20% - 강조색3 53 6" xfId="2483"/>
    <cellStyle name="20% - 강조색3 53 7" xfId="3095"/>
    <cellStyle name="20% - 강조색3 53 8" xfId="3554"/>
    <cellStyle name="20% - 강조색3 53 9" xfId="1867"/>
    <cellStyle name="20% - 강조색3 54" xfId="1365"/>
    <cellStyle name="20% - 강조색3 54 10" xfId="3740"/>
    <cellStyle name="20% - 강조색3 54 11" xfId="4873"/>
    <cellStyle name="20% - 강조색3 54 12" xfId="5019"/>
    <cellStyle name="20% - 강조색3 54 13" xfId="5178"/>
    <cellStyle name="20% - 강조색3 54 14" xfId="5046"/>
    <cellStyle name="20% - 강조색3 54 15" xfId="6036"/>
    <cellStyle name="20% - 강조색3 54 16" xfId="6466"/>
    <cellStyle name="20% - 강조색3 54 17" xfId="6105"/>
    <cellStyle name="20% - 강조색3 54 18" xfId="4295"/>
    <cellStyle name="20% - 강조색3 54 19" xfId="7959"/>
    <cellStyle name="20% - 강조색3 54 2" xfId="2080"/>
    <cellStyle name="20% - 강조색3 54 20" xfId="8546"/>
    <cellStyle name="20% - 강조색3 54 21" xfId="8763"/>
    <cellStyle name="20% - 강조색3 54 22" xfId="3166"/>
    <cellStyle name="20% - 강조색3 54 23" xfId="9455"/>
    <cellStyle name="20% - 강조색3 54 24" xfId="7841"/>
    <cellStyle name="20% - 강조색3 54 25" xfId="10332"/>
    <cellStyle name="20% - 강조색3 54 26" xfId="4560"/>
    <cellStyle name="20% - 강조색3 54 27" xfId="6247"/>
    <cellStyle name="20% - 강조색3 54 28" xfId="8370"/>
    <cellStyle name="20% - 강조색3 54 3" xfId="2361"/>
    <cellStyle name="20% - 강조색3 54 4" xfId="2439"/>
    <cellStyle name="20% - 강조색3 54 5" xfId="1949"/>
    <cellStyle name="20% - 강조색3 54 6" xfId="3338"/>
    <cellStyle name="20% - 강조색3 54 7" xfId="3641"/>
    <cellStyle name="20% - 강조색3 54 8" xfId="3911"/>
    <cellStyle name="20% - 강조색3 54 9" xfId="3867"/>
    <cellStyle name="20% - 강조색3 55" xfId="2077"/>
    <cellStyle name="20% - 강조색3 55 10" xfId="4971"/>
    <cellStyle name="20% - 강조색3 55 11" xfId="5501"/>
    <cellStyle name="20% - 강조색3 55 12" xfId="5248"/>
    <cellStyle name="20% - 강조색3 55 13" xfId="4861"/>
    <cellStyle name="20% - 강조색3 55 14" xfId="6615"/>
    <cellStyle name="20% - 강조색3 55 15" xfId="6168"/>
    <cellStyle name="20% - 강조색3 55 16" xfId="7188"/>
    <cellStyle name="20% - 강조색3 55 17" xfId="7618"/>
    <cellStyle name="20% - 강조색3 55 18" xfId="4673"/>
    <cellStyle name="20% - 강조색3 55 19" xfId="8149"/>
    <cellStyle name="20% - 강조색3 55 2" xfId="2381"/>
    <cellStyle name="20% - 강조색3 55 20" xfId="8815"/>
    <cellStyle name="20% - 강조색3 55 21" xfId="7946"/>
    <cellStyle name="20% - 강조색3 55 22" xfId="8418"/>
    <cellStyle name="20% - 강조색3 55 23" xfId="10054"/>
    <cellStyle name="20% - 강조색3 55 24" xfId="8070"/>
    <cellStyle name="20% - 강조색3 55 25" xfId="9886"/>
    <cellStyle name="20% - 강조색3 55 26" xfId="10905"/>
    <cellStyle name="20% - 강조색3 55 27" xfId="11171"/>
    <cellStyle name="20% - 강조색3 55 3" xfId="2700"/>
    <cellStyle name="20% - 강조색3 55 4" xfId="3015"/>
    <cellStyle name="20% - 강조색3 55 5" xfId="3306"/>
    <cellStyle name="20% - 강조색3 55 6" xfId="3651"/>
    <cellStyle name="20% - 강조색3 55 7" xfId="4019"/>
    <cellStyle name="20% - 강조색3 55 8" xfId="4317"/>
    <cellStyle name="20% - 강조색3 55 9" xfId="4641"/>
    <cellStyle name="20% - 강조색3 56" xfId="2245"/>
    <cellStyle name="20% - 강조색3 56 10" xfId="4993"/>
    <cellStyle name="20% - 강조색3 56 11" xfId="5323"/>
    <cellStyle name="20% - 강조색3 56 12" xfId="5380"/>
    <cellStyle name="20% - 강조색3 56 13" xfId="2778"/>
    <cellStyle name="20% - 강조색3 56 14" xfId="7264"/>
    <cellStyle name="20% - 강조색3 56 15" xfId="1420"/>
    <cellStyle name="20% - 강조색3 56 16" xfId="7551"/>
    <cellStyle name="20% - 강조색3 56 17" xfId="8220"/>
    <cellStyle name="20% - 강조색3 56 18" xfId="3811"/>
    <cellStyle name="20% - 강조색3 56 19" xfId="8996"/>
    <cellStyle name="20% - 강조색3 56 2" xfId="2703"/>
    <cellStyle name="20% - 강조색3 56 20" xfId="6525"/>
    <cellStyle name="20% - 강조색3 56 21" xfId="8020"/>
    <cellStyle name="20% - 강조색3 56 22" xfId="6030"/>
    <cellStyle name="20% - 강조색3 56 23" xfId="6791"/>
    <cellStyle name="20% - 강조색3 56 24" xfId="3403"/>
    <cellStyle name="20% - 강조색3 56 25" xfId="10875"/>
    <cellStyle name="20% - 강조색3 56 26" xfId="11040"/>
    <cellStyle name="20% - 강조색3 56 3" xfId="3018"/>
    <cellStyle name="20% - 강조색3 56 4" xfId="3351"/>
    <cellStyle name="20% - 강조색3 56 5" xfId="3530"/>
    <cellStyle name="20% - 강조색3 56 6" xfId="3998"/>
    <cellStyle name="20% - 강조색3 56 7" xfId="4283"/>
    <cellStyle name="20% - 강조색3 56 8" xfId="915"/>
    <cellStyle name="20% - 강조색3 56 9" xfId="4921"/>
    <cellStyle name="20% - 강조색3 57" xfId="2651"/>
    <cellStyle name="20% - 강조색3 57 10" xfId="5118"/>
    <cellStyle name="20% - 강조색3 57 11" xfId="4300"/>
    <cellStyle name="20% - 강조색3 57 12" xfId="6543"/>
    <cellStyle name="20% - 강조색3 57 13" xfId="6945"/>
    <cellStyle name="20% - 강조색3 57 14" xfId="7337"/>
    <cellStyle name="20% - 강조색3 57 15" xfId="7757"/>
    <cellStyle name="20% - 강조색3 57 16" xfId="874"/>
    <cellStyle name="20% - 강조색3 57 17" xfId="5214"/>
    <cellStyle name="20% - 강조색3 57 18" xfId="8950"/>
    <cellStyle name="20% - 강조색3 57 19" xfId="9074"/>
    <cellStyle name="20% - 강조색3 57 2" xfId="3032"/>
    <cellStyle name="20% - 강조색3 57 20" xfId="5090"/>
    <cellStyle name="20% - 강조색3 57 21" xfId="9958"/>
    <cellStyle name="20% - 강조색3 57 22" xfId="8868"/>
    <cellStyle name="20% - 강조색3 57 23" xfId="10538"/>
    <cellStyle name="20% - 강조색3 57 24" xfId="10786"/>
    <cellStyle name="20% - 강조색3 57 25" xfId="2307"/>
    <cellStyle name="20% - 강조색3 57 3" xfId="3365"/>
    <cellStyle name="20% - 강조색3 57 4" xfId="3697"/>
    <cellStyle name="20% - 강조색3 57 5" xfId="1933"/>
    <cellStyle name="20% - 강조색3 57 6" xfId="4099"/>
    <cellStyle name="20% - 강조색3 57 7" xfId="779"/>
    <cellStyle name="20% - 강조색3 57 8" xfId="1902"/>
    <cellStyle name="20% - 강조색3 57 9" xfId="2113"/>
    <cellStyle name="20% - 강조색3 58" xfId="1968"/>
    <cellStyle name="20% - 강조색3 58 10" xfId="5169"/>
    <cellStyle name="20% - 강조색3 58 11" xfId="6223"/>
    <cellStyle name="20% - 강조색3 58 12" xfId="2741"/>
    <cellStyle name="20% - 강조색3 58 13" xfId="6059"/>
    <cellStyle name="20% - 강조색3 58 14" xfId="7524"/>
    <cellStyle name="20% - 강조색3 58 15" xfId="5636"/>
    <cellStyle name="20% - 강조색3 58 16" xfId="6822"/>
    <cellStyle name="20% - 강조색3 58 17" xfId="7699"/>
    <cellStyle name="20% - 강조색3 58 18" xfId="8102"/>
    <cellStyle name="20% - 강조색3 58 19" xfId="8426"/>
    <cellStyle name="20% - 강조색3 58 2" xfId="966"/>
    <cellStyle name="20% - 강조색3 58 20" xfId="7565"/>
    <cellStyle name="20% - 강조색3 58 21" xfId="10181"/>
    <cellStyle name="20% - 강조색3 58 22" xfId="9893"/>
    <cellStyle name="20% - 강조색3 58 23" xfId="6086"/>
    <cellStyle name="20% - 강조색3 58 24" xfId="11265"/>
    <cellStyle name="20% - 강조색3 58 3" xfId="3429"/>
    <cellStyle name="20% - 강조색3 58 4" xfId="2894"/>
    <cellStyle name="20% - 강조색3 58 5" xfId="2251"/>
    <cellStyle name="20% - 강조색3 58 6" xfId="4604"/>
    <cellStyle name="20% - 강조색3 58 7" xfId="1924"/>
    <cellStyle name="20% - 강조색3 58 8" xfId="4444"/>
    <cellStyle name="20% - 강조색3 58 9" xfId="5180"/>
    <cellStyle name="20% - 강조색3 59" xfId="3316"/>
    <cellStyle name="20% - 강조색3 59 10" xfId="6160"/>
    <cellStyle name="20% - 강조색3 59 11" xfId="7133"/>
    <cellStyle name="20% - 강조색3 59 12" xfId="7275"/>
    <cellStyle name="20% - 강조색3 59 13" xfId="7839"/>
    <cellStyle name="20% - 강조색3 59 14" xfId="7943"/>
    <cellStyle name="20% - 강조색3 59 15" xfId="3752"/>
    <cellStyle name="20% - 강조색3 59 16" xfId="5213"/>
    <cellStyle name="20% - 강조색3 59 17" xfId="8966"/>
    <cellStyle name="20% - 강조색3 59 18" xfId="6894"/>
    <cellStyle name="20% - 강조색3 59 19" xfId="2120"/>
    <cellStyle name="20% - 강조색3 59 2" xfId="3719"/>
    <cellStyle name="20% - 강조색3 59 20" xfId="10215"/>
    <cellStyle name="20% - 강조색3 59 21" xfId="10687"/>
    <cellStyle name="20% - 강조색3 59 22" xfId="10849"/>
    <cellStyle name="20% - 강조색3 59 23" xfId="3582"/>
    <cellStyle name="20% - 강조색3 59 3" xfId="4058"/>
    <cellStyle name="20% - 강조색3 59 4" xfId="4394"/>
    <cellStyle name="20% - 강조색3 59 5" xfId="999"/>
    <cellStyle name="20% - 강조색3 59 6" xfId="3525"/>
    <cellStyle name="20% - 강조색3 59 7" xfId="5238"/>
    <cellStyle name="20% - 강조색3 59 8" xfId="5077"/>
    <cellStyle name="20% - 강조색3 59 9" xfId="5726"/>
    <cellStyle name="20% - 강조색3 6" xfId="107"/>
    <cellStyle name="20% - 강조색3 60" xfId="3668"/>
    <cellStyle name="20% - 강조색3 60 10" xfId="5356"/>
    <cellStyle name="20% - 강조색3 60 11" xfId="7055"/>
    <cellStyle name="20% - 강조색3 60 12" xfId="7525"/>
    <cellStyle name="20% - 강조색3 60 13" xfId="8146"/>
    <cellStyle name="20% - 강조색3 60 14" xfId="6126"/>
    <cellStyle name="20% - 강조색3 60 15" xfId="8703"/>
    <cellStyle name="20% - 강조색3 60 16" xfId="6816"/>
    <cellStyle name="20% - 강조색3 60 17" xfId="2157"/>
    <cellStyle name="20% - 강조색3 60 18" xfId="9948"/>
    <cellStyle name="20% - 강조색3 60 19" xfId="4277"/>
    <cellStyle name="20% - 강조색3 60 2" xfId="4068"/>
    <cellStyle name="20% - 강조색3 60 20" xfId="10443"/>
    <cellStyle name="20% - 강조색3 60 21" xfId="10990"/>
    <cellStyle name="20% - 강조색3 60 22" xfId="5208"/>
    <cellStyle name="20% - 강조색3 60 3" xfId="4404"/>
    <cellStyle name="20% - 강조색3 60 4" xfId="4757"/>
    <cellStyle name="20% - 강조색3 60 5" xfId="5123"/>
    <cellStyle name="20% - 강조색3 60 6" xfId="5351"/>
    <cellStyle name="20% - 강조색3 60 7" xfId="2394"/>
    <cellStyle name="20% - 강조색3 60 8" xfId="5287"/>
    <cellStyle name="20% - 강조색3 60 9" xfId="6585"/>
    <cellStyle name="20% - 강조색3 61" xfId="4020"/>
    <cellStyle name="20% - 강조색3 61 10" xfId="3477"/>
    <cellStyle name="20% - 강조색3 61 11" xfId="7805"/>
    <cellStyle name="20% - 강조색3 61 12" xfId="8048"/>
    <cellStyle name="20% - 강조색3 61 13" xfId="8529"/>
    <cellStyle name="20% - 강조색3 61 14" xfId="8826"/>
    <cellStyle name="20% - 강조색3 61 15" xfId="9248"/>
    <cellStyle name="20% - 강조색3 61 16" xfId="9591"/>
    <cellStyle name="20% - 강조색3 61 17" xfId="8314"/>
    <cellStyle name="20% - 강조색3 61 18" xfId="10188"/>
    <cellStyle name="20% - 강조색3 61 19" xfId="10470"/>
    <cellStyle name="20% - 강조색3 61 2" xfId="4413"/>
    <cellStyle name="20% - 강조색3 61 20" xfId="10961"/>
    <cellStyle name="20% - 강조색3 61 21" xfId="11055"/>
    <cellStyle name="20% - 강조색3 61 3" xfId="4767"/>
    <cellStyle name="20% - 강조색3 61 4" xfId="5692"/>
    <cellStyle name="20% - 강조색3 61 5" xfId="3559"/>
    <cellStyle name="20% - 강조색3 61 6" xfId="4995"/>
    <cellStyle name="20% - 강조색3 61 7" xfId="4165"/>
    <cellStyle name="20% - 강조색3 61 8" xfId="6625"/>
    <cellStyle name="20% - 강조색3 61 9" xfId="3445"/>
    <cellStyle name="20% - 강조색3 62" xfId="4336"/>
    <cellStyle name="20% - 강조색3 62 10" xfId="7690"/>
    <cellStyle name="20% - 강조색3 62 11" xfId="5291"/>
    <cellStyle name="20% - 강조색3 62 12" xfId="8583"/>
    <cellStyle name="20% - 강조색3 62 13" xfId="4025"/>
    <cellStyle name="20% - 강조색3 62 14" xfId="5365"/>
    <cellStyle name="20% - 강조색3 62 15" xfId="9532"/>
    <cellStyle name="20% - 강조색3 62 16" xfId="9901"/>
    <cellStyle name="20% - 강조색3 62 17" xfId="8172"/>
    <cellStyle name="20% - 강조색3 62 18" xfId="10282"/>
    <cellStyle name="20% - 강조색3 62 19" xfId="9171"/>
    <cellStyle name="20% - 강조색3 62 2" xfId="4777"/>
    <cellStyle name="20% - 강조색3 62 20" xfId="7930"/>
    <cellStyle name="20% - 강조색3 62 3" xfId="5748"/>
    <cellStyle name="20% - 강조색3 62 4" xfId="5851"/>
    <cellStyle name="20% - 강조색3 62 5" xfId="5926"/>
    <cellStyle name="20% - 강조색3 62 6" xfId="5976"/>
    <cellStyle name="20% - 강조색3 62 7" xfId="6635"/>
    <cellStyle name="20% - 강조색3 62 8" xfId="1481"/>
    <cellStyle name="20% - 강조색3 62 9" xfId="6715"/>
    <cellStyle name="20% - 강조색3 63" xfId="4726"/>
    <cellStyle name="20% - 강조색3 63 10" xfId="8169"/>
    <cellStyle name="20% - 강조색3 63 11" xfId="5129"/>
    <cellStyle name="20% - 강조색3 63 12" xfId="6211"/>
    <cellStyle name="20% - 강조색3 63 13" xfId="9258"/>
    <cellStyle name="20% - 강조색3 63 14" xfId="3050"/>
    <cellStyle name="20% - 강조색3 63 15" xfId="8833"/>
    <cellStyle name="20% - 강조색3 63 16" xfId="7571"/>
    <cellStyle name="20% - 강조색3 63 17" xfId="6752"/>
    <cellStyle name="20% - 강조색3 63 18" xfId="9177"/>
    <cellStyle name="20% - 강조색3 63 19" xfId="11233"/>
    <cellStyle name="20% - 강조색3 63 2" xfId="5827"/>
    <cellStyle name="20% - 강조색3 63 3" xfId="5905"/>
    <cellStyle name="20% - 강조색3 63 4" xfId="5963"/>
    <cellStyle name="20% - 강조색3 63 5" xfId="5987"/>
    <cellStyle name="20% - 강조색3 63 6" xfId="6647"/>
    <cellStyle name="20% - 강조색3 63 7" xfId="7066"/>
    <cellStyle name="20% - 강조색3 63 8" xfId="7212"/>
    <cellStyle name="20% - 강조색3 63 9" xfId="7437"/>
    <cellStyle name="20% - 강조색3 64" xfId="5538"/>
    <cellStyle name="20% - 강조색3 64 10" xfId="9692"/>
    <cellStyle name="20% - 강조색3 64 11" xfId="9814"/>
    <cellStyle name="20% - 강조색3 64 12" xfId="10131"/>
    <cellStyle name="20% - 강조색3 64 13" xfId="9813"/>
    <cellStyle name="20% - 강조색3 64 14" xfId="8843"/>
    <cellStyle name="20% - 강조색3 64 15" xfId="11257"/>
    <cellStyle name="20% - 강조색3 64 2" xfId="6677"/>
    <cellStyle name="20% - 강조색3 64 3" xfId="7282"/>
    <cellStyle name="20% - 강조색3 64 4" xfId="7237"/>
    <cellStyle name="20% - 강조색3 64 5" xfId="7663"/>
    <cellStyle name="20% - 강조색3 64 6" xfId="8225"/>
    <cellStyle name="20% - 강조색3 64 7" xfId="8496"/>
    <cellStyle name="20% - 강조색3 64 8" xfId="2474"/>
    <cellStyle name="20% - 강조색3 64 9" xfId="7986"/>
    <cellStyle name="20% - 강조색3 65" xfId="5671"/>
    <cellStyle name="20% - 강조색3 65 10" xfId="4631"/>
    <cellStyle name="20% - 강조색3 65 11" xfId="5135"/>
    <cellStyle name="20% - 강조색3 65 12" xfId="10373"/>
    <cellStyle name="20% - 강조색3 65 13" xfId="6215"/>
    <cellStyle name="20% - 강조색3 65 14" xfId="6805"/>
    <cellStyle name="20% - 강조색3 65 15" xfId="10194"/>
    <cellStyle name="20% - 강조색3 65 2" xfId="6684"/>
    <cellStyle name="20% - 강조색3 65 3" xfId="7300"/>
    <cellStyle name="20% - 강조색3 65 4" xfId="4505"/>
    <cellStyle name="20% - 강조색3 65 5" xfId="7714"/>
    <cellStyle name="20% - 강조색3 65 6" xfId="4078"/>
    <cellStyle name="20% - 강조색3 65 7" xfId="8329"/>
    <cellStyle name="20% - 강조색3 65 8" xfId="3134"/>
    <cellStyle name="20% - 강조색3 65 9" xfId="735"/>
    <cellStyle name="20% - 강조색3 66" xfId="5738"/>
    <cellStyle name="20% - 강조색3 66 10" xfId="7018"/>
    <cellStyle name="20% - 강조색3 66 11" xfId="10056"/>
    <cellStyle name="20% - 강조색3 66 12" xfId="10252"/>
    <cellStyle name="20% - 강조색3 66 13" xfId="9466"/>
    <cellStyle name="20% - 강조색3 66 14" xfId="5221"/>
    <cellStyle name="20% - 강조색3 66 15" xfId="4667"/>
    <cellStyle name="20% - 강조색3 66 2" xfId="6686"/>
    <cellStyle name="20% - 강조색3 66 3" xfId="7309"/>
    <cellStyle name="20% - 강조색3 66 4" xfId="6934"/>
    <cellStyle name="20% - 강조색3 66 5" xfId="7854"/>
    <cellStyle name="20% - 강조색3 66 6" xfId="8108"/>
    <cellStyle name="20% - 강조색3 66 7" xfId="6888"/>
    <cellStyle name="20% - 강조색3 66 8" xfId="8812"/>
    <cellStyle name="20% - 강조색3 66 9" xfId="6396"/>
    <cellStyle name="20% - 강조색3 67" xfId="5843"/>
    <cellStyle name="20% - 강조색3 67 10" xfId="9471"/>
    <cellStyle name="20% - 강조색3 67 11" xfId="7716"/>
    <cellStyle name="20% - 강조색3 67 12" xfId="8331"/>
    <cellStyle name="20% - 강조색3 67 13" xfId="10441"/>
    <cellStyle name="20% - 강조색3 67 14" xfId="9780"/>
    <cellStyle name="20% - 강조색3 67 15" xfId="11206"/>
    <cellStyle name="20% - 강조색3 67 2" xfId="6692"/>
    <cellStyle name="20% - 강조색3 67 3" xfId="7318"/>
    <cellStyle name="20% - 강조색3 67 4" xfId="7354"/>
    <cellStyle name="20% - 강조색3 67 5" xfId="7860"/>
    <cellStyle name="20% - 강조색3 67 6" xfId="7977"/>
    <cellStyle name="20% - 강조색3 67 7" xfId="8498"/>
    <cellStyle name="20% - 강조색3 67 8" xfId="6415"/>
    <cellStyle name="20% - 강조색3 67 9" xfId="7511"/>
    <cellStyle name="20% - 강조색3 68" xfId="6538"/>
    <cellStyle name="20% - 강조색3 68 10" xfId="3431"/>
    <cellStyle name="20% - 강조색3 68 11" xfId="4970"/>
    <cellStyle name="20% - 강조색3 68 12" xfId="8349"/>
    <cellStyle name="20% - 강조색3 68 13" xfId="6712"/>
    <cellStyle name="20% - 강조색3 68 14" xfId="11125"/>
    <cellStyle name="20% - 강조색3 68 2" xfId="7360"/>
    <cellStyle name="20% - 강조색3 68 3" xfId="7386"/>
    <cellStyle name="20% - 강조색3 68 4" xfId="7875"/>
    <cellStyle name="20% - 강조색3 68 5" xfId="7993"/>
    <cellStyle name="20% - 강조색3 68 6" xfId="8557"/>
    <cellStyle name="20% - 강조색3 68 7" xfId="6811"/>
    <cellStyle name="20% - 강조색3 68 8" xfId="8071"/>
    <cellStyle name="20% - 강조색3 68 9" xfId="9703"/>
    <cellStyle name="20% - 강조색3 69" xfId="7262"/>
    <cellStyle name="20% - 강조색3 69 10" xfId="10511"/>
    <cellStyle name="20% - 강조색3 69 11" xfId="8537"/>
    <cellStyle name="20% - 강조색3 69 12" xfId="10759"/>
    <cellStyle name="20% - 강조색3 69 2" xfId="7890"/>
    <cellStyle name="20% - 강조색3 69 3" xfId="8284"/>
    <cellStyle name="20% - 강조색3 69 4" xfId="8646"/>
    <cellStyle name="20% - 강조색3 69 5" xfId="7750"/>
    <cellStyle name="20% - 강조색3 69 6" xfId="3473"/>
    <cellStyle name="20% - 강조색3 69 7" xfId="9449"/>
    <cellStyle name="20% - 강조색3 69 8" xfId="8319"/>
    <cellStyle name="20% - 강조색3 69 9" xfId="10310"/>
    <cellStyle name="20% - 강조색3 7" xfId="120"/>
    <cellStyle name="20% - 강조색3 70" xfId="7333"/>
    <cellStyle name="20% - 강조색3 70 10" xfId="10604"/>
    <cellStyle name="20% - 강조색3 70 11" xfId="9545"/>
    <cellStyle name="20% - 강조색3 70 12" xfId="4159"/>
    <cellStyle name="20% - 강조색3 70 2" xfId="7896"/>
    <cellStyle name="20% - 강조색3 70 3" xfId="8290"/>
    <cellStyle name="20% - 강조색3 70 4" xfId="8652"/>
    <cellStyle name="20% - 강조색3 70 5" xfId="4593"/>
    <cellStyle name="20% - 강조색3 70 6" xfId="9280"/>
    <cellStyle name="20% - 강조색3 70 7" xfId="8092"/>
    <cellStyle name="20% - 강조색3 70 8" xfId="3792"/>
    <cellStyle name="20% - 강조색3 70 9" xfId="3766"/>
    <cellStyle name="20% - 강조색3 71" xfId="7828"/>
    <cellStyle name="20% - 강조색3 71 10" xfId="10826"/>
    <cellStyle name="20% - 강조색3 71 11" xfId="6886"/>
    <cellStyle name="20% - 강조색3 71 2" xfId="8301"/>
    <cellStyle name="20% - 강조색3 71 3" xfId="8663"/>
    <cellStyle name="20% - 강조색3 71 4" xfId="9027"/>
    <cellStyle name="20% - 강조색3 71 5" xfId="9385"/>
    <cellStyle name="20% - 강조색3 71 6" xfId="4920"/>
    <cellStyle name="20% - 강조색3 71 7" xfId="10045"/>
    <cellStyle name="20% - 강조색3 71 8" xfId="8094"/>
    <cellStyle name="20% - 강조색3 71 9" xfId="10680"/>
    <cellStyle name="20% - 강조색3 72" xfId="7965"/>
    <cellStyle name="20% - 강조색3 72 10" xfId="11173"/>
    <cellStyle name="20% - 강조색3 72 2" xfId="8668"/>
    <cellStyle name="20% - 강조색3 72 3" xfId="9032"/>
    <cellStyle name="20% - 강조색3 72 4" xfId="9391"/>
    <cellStyle name="20% - 강조색3 72 5" xfId="3542"/>
    <cellStyle name="20% - 강조색3 72 6" xfId="10022"/>
    <cellStyle name="20% - 강조색3 72 7" xfId="6337"/>
    <cellStyle name="20% - 강조색3 72 8" xfId="6512"/>
    <cellStyle name="20% - 강조색3 72 9" xfId="10973"/>
    <cellStyle name="20% - 강조색3 73" xfId="5158"/>
    <cellStyle name="20% - 강조색3 73 2" xfId="8870"/>
    <cellStyle name="20% - 강조색3 73 3" xfId="9155"/>
    <cellStyle name="20% - 강조색3 73 4" xfId="9538"/>
    <cellStyle name="20% - 강조색3 73 5" xfId="3962"/>
    <cellStyle name="20% - 강조색3 73 6" xfId="7969"/>
    <cellStyle name="20% - 강조색3 73 7" xfId="10478"/>
    <cellStyle name="20% - 강조색3 73 8" xfId="10900"/>
    <cellStyle name="20% - 강조색3 73 9" xfId="11133"/>
    <cellStyle name="20% - 강조색3 74" xfId="8723"/>
    <cellStyle name="20% - 강조색3 74 2" xfId="9409"/>
    <cellStyle name="20% - 강조색3 74 3" xfId="9741"/>
    <cellStyle name="20% - 강조색3 74 4" xfId="10067"/>
    <cellStyle name="20% - 강조색3 74 5" xfId="10304"/>
    <cellStyle name="20% - 강조색3 74 6" xfId="10602"/>
    <cellStyle name="20% - 강조색3 74 7" xfId="8333"/>
    <cellStyle name="20% - 강조색3 74 8" xfId="8799"/>
    <cellStyle name="20% - 강조색3 75" xfId="9065"/>
    <cellStyle name="20% - 강조색3 75 2" xfId="9749"/>
    <cellStyle name="20% - 강조색3 75 3" xfId="10075"/>
    <cellStyle name="20% - 강조색3 75 4" xfId="10388"/>
    <cellStyle name="20% - 강조색3 75 5" xfId="10446"/>
    <cellStyle name="20% - 강조색3 75 6" xfId="8697"/>
    <cellStyle name="20% - 강조색3 75 7" xfId="11165"/>
    <cellStyle name="20% - 강조색3 76" xfId="9459"/>
    <cellStyle name="20% - 강조색3 76 2" xfId="10084"/>
    <cellStyle name="20% - 강조색3 76 3" xfId="10397"/>
    <cellStyle name="20% - 강조색3 76 4" xfId="10706"/>
    <cellStyle name="20% - 강조색3 76 5" xfId="10957"/>
    <cellStyle name="20% - 강조색3 76 6" xfId="1889"/>
    <cellStyle name="20% - 강조색3 77" xfId="9897"/>
    <cellStyle name="20% - 강조색3 77 2" xfId="10408"/>
    <cellStyle name="20% - 강조색3 77 3" xfId="10719"/>
    <cellStyle name="20% - 강조색3 77 4" xfId="11003"/>
    <cellStyle name="20% - 강조색3 77 5" xfId="11144"/>
    <cellStyle name="20% - 강조색3 78" xfId="9582"/>
    <cellStyle name="20% - 강조색3 78 2" xfId="10709"/>
    <cellStyle name="20% - 강조색3 78 3" xfId="10468"/>
    <cellStyle name="20% - 강조색3 78 4" xfId="2108"/>
    <cellStyle name="20% - 강조색3 79" xfId="10616"/>
    <cellStyle name="20% - 강조색3 79 2" xfId="11019"/>
    <cellStyle name="20% - 강조색3 79 3" xfId="11297"/>
    <cellStyle name="20% - 강조색3 8" xfId="133"/>
    <cellStyle name="20% - 강조색3 80" xfId="10977"/>
    <cellStyle name="20% - 강조색3 80 2" xfId="11309"/>
    <cellStyle name="20% - 강조색3 81" xfId="11164"/>
    <cellStyle name="20% - 강조색3 82" xfId="1065"/>
    <cellStyle name="20% - 강조색3 83" xfId="11431"/>
    <cellStyle name="20% - 강조색3 84" xfId="11346"/>
    <cellStyle name="20% - 강조색3 85" xfId="11389"/>
    <cellStyle name="20% - 강조색3 86" xfId="11442"/>
    <cellStyle name="20% - 강조색3 9" xfId="146"/>
    <cellStyle name="20% - 강조색4" xfId="33" builtinId="42" customBuiltin="1"/>
    <cellStyle name="20% - 강조색4 10" xfId="152"/>
    <cellStyle name="20% - 강조색4 11" xfId="165"/>
    <cellStyle name="20% - 강조색4 12" xfId="178"/>
    <cellStyle name="20% - 강조색4 13" xfId="191"/>
    <cellStyle name="20% - 강조색4 14" xfId="204"/>
    <cellStyle name="20% - 강조색4 15" xfId="217"/>
    <cellStyle name="20% - 강조색4 16" xfId="230"/>
    <cellStyle name="20% - 강조색4 17" xfId="243"/>
    <cellStyle name="20% - 강조색4 18" xfId="256"/>
    <cellStyle name="20% - 강조색4 19" xfId="269"/>
    <cellStyle name="20% - 강조색4 2" xfId="52"/>
    <cellStyle name="20% - 강조색4 20" xfId="282"/>
    <cellStyle name="20% - 강조색4 21" xfId="295"/>
    <cellStyle name="20% - 강조색4 22" xfId="308"/>
    <cellStyle name="20% - 강조색4 23" xfId="321"/>
    <cellStyle name="20% - 강조색4 24" xfId="334"/>
    <cellStyle name="20% - 강조색4 25" xfId="347"/>
    <cellStyle name="20% - 강조색4 26" xfId="360"/>
    <cellStyle name="20% - 강조색4 27" xfId="373"/>
    <cellStyle name="20% - 강조색4 28" xfId="386"/>
    <cellStyle name="20% - 강조색4 29" xfId="399"/>
    <cellStyle name="20% - 강조색4 3" xfId="80"/>
    <cellStyle name="20% - 강조색4 30" xfId="412"/>
    <cellStyle name="20% - 강조색4 31" xfId="425"/>
    <cellStyle name="20% - 강조색4 32" xfId="438"/>
    <cellStyle name="20% - 강조색4 33" xfId="450"/>
    <cellStyle name="20% - 강조색4 34" xfId="462"/>
    <cellStyle name="20% - 강조색4 35" xfId="474"/>
    <cellStyle name="20% - 강조색4 36" xfId="486"/>
    <cellStyle name="20% - 강조색4 37" xfId="497"/>
    <cellStyle name="20% - 강조색4 38" xfId="508"/>
    <cellStyle name="20% - 강조색4 39" xfId="519"/>
    <cellStyle name="20% - 강조색4 4" xfId="71"/>
    <cellStyle name="20% - 강조색4 40" xfId="551"/>
    <cellStyle name="20% - 강조색4 40 10" xfId="2794"/>
    <cellStyle name="20% - 강조색4 40 11" xfId="3246"/>
    <cellStyle name="20% - 강조색4 40 12" xfId="4031"/>
    <cellStyle name="20% - 강조색4 40 13" xfId="3779"/>
    <cellStyle name="20% - 강조색4 40 14" xfId="2155"/>
    <cellStyle name="20% - 강조색4 40 15" xfId="5018"/>
    <cellStyle name="20% - 강조색4 40 16" xfId="5438"/>
    <cellStyle name="20% - 강조색4 40 17" xfId="5567"/>
    <cellStyle name="20% - 강조색4 40 18" xfId="5460"/>
    <cellStyle name="20% - 강조색4 40 19" xfId="6025"/>
    <cellStyle name="20% - 강조색4 40 2" xfId="599"/>
    <cellStyle name="20% - 강조색4 40 20" xfId="6815"/>
    <cellStyle name="20% - 강조색4 40 21" xfId="6971"/>
    <cellStyle name="20% - 강조색4 40 22" xfId="7616"/>
    <cellStyle name="20% - 강조색4 40 23" xfId="804"/>
    <cellStyle name="20% - 강조색4 40 24" xfId="3810"/>
    <cellStyle name="20% - 강조색4 40 25" xfId="8788"/>
    <cellStyle name="20% - 강조색4 40 26" xfId="5996"/>
    <cellStyle name="20% - 강조색4 40 27" xfId="2457"/>
    <cellStyle name="20% - 강조색4 40 28" xfId="9938"/>
    <cellStyle name="20% - 강조색4 40 29" xfId="6962"/>
    <cellStyle name="20% - 강조색4 40 3" xfId="1010"/>
    <cellStyle name="20% - 강조색4 40 30" xfId="10440"/>
    <cellStyle name="20% - 강조색4 40 31" xfId="10978"/>
    <cellStyle name="20% - 강조색4 40 32" xfId="11236"/>
    <cellStyle name="20% - 강조색4 40 33" xfId="11321"/>
    <cellStyle name="20% - 강조색4 40 34" xfId="566"/>
    <cellStyle name="20% - 강조색4 40 35" xfId="11386"/>
    <cellStyle name="20% - 강조색4 40 36" xfId="11345"/>
    <cellStyle name="20% - 강조색4 40 4" xfId="1274"/>
    <cellStyle name="20% - 강조색4 40 5" xfId="1661"/>
    <cellStyle name="20% - 강조색4 40 6" xfId="862"/>
    <cellStyle name="20% - 강조색4 40 7" xfId="717"/>
    <cellStyle name="20% - 강조색4 40 8" xfId="2592"/>
    <cellStyle name="20% - 강조색4 40 9" xfId="2958"/>
    <cellStyle name="20% - 강조색4 41" xfId="652"/>
    <cellStyle name="20% - 강조색4 41 10" xfId="3184"/>
    <cellStyle name="20% - 강조색4 41 11" xfId="3601"/>
    <cellStyle name="20% - 강조색4 41 12" xfId="4032"/>
    <cellStyle name="20% - 강조색4 41 13" xfId="4357"/>
    <cellStyle name="20% - 강조색4 41 14" xfId="4713"/>
    <cellStyle name="20% - 강조색4 41 15" xfId="4274"/>
    <cellStyle name="20% - 강조색4 41 16" xfId="4878"/>
    <cellStyle name="20% - 강조색4 41 17" xfId="5691"/>
    <cellStyle name="20% - 강조색4 41 18" xfId="5320"/>
    <cellStyle name="20% - 강조색4 41 19" xfId="6252"/>
    <cellStyle name="20% - 강조색4 41 2" xfId="1155"/>
    <cellStyle name="20% - 강조색4 41 20" xfId="7269"/>
    <cellStyle name="20% - 강조색4 41 21" xfId="7210"/>
    <cellStyle name="20% - 강조색4 41 22" xfId="7445"/>
    <cellStyle name="20% - 강조색4 41 23" xfId="7983"/>
    <cellStyle name="20% - 강조색4 41 24" xfId="7394"/>
    <cellStyle name="20% - 강조색4 41 25" xfId="6367"/>
    <cellStyle name="20% - 강조색4 41 26" xfId="9295"/>
    <cellStyle name="20% - 강조색4 41 27" xfId="8253"/>
    <cellStyle name="20% - 강조색4 41 28" xfId="9829"/>
    <cellStyle name="20% - 강조색4 41 29" xfId="3674"/>
    <cellStyle name="20% - 강조색4 41 3" xfId="1235"/>
    <cellStyle name="20% - 강조색4 41 30" xfId="10505"/>
    <cellStyle name="20% - 강조색4 41 31" xfId="9468"/>
    <cellStyle name="20% - 강조색4 41 32" xfId="9810"/>
    <cellStyle name="20% - 강조색4 41 4" xfId="1327"/>
    <cellStyle name="20% - 강조색4 41 5" xfId="1769"/>
    <cellStyle name="20% - 강조색4 41 6" xfId="824"/>
    <cellStyle name="20% - 강조색4 41 7" xfId="2198"/>
    <cellStyle name="20% - 강조색4 41 8" xfId="2546"/>
    <cellStyle name="20% - 강조색4 41 9" xfId="2942"/>
    <cellStyle name="20% - 강조색4 42" xfId="646"/>
    <cellStyle name="20% - 강조색4 42 10" xfId="2477"/>
    <cellStyle name="20% - 강조색4 42 11" xfId="3593"/>
    <cellStyle name="20% - 강조색4 42 12" xfId="3952"/>
    <cellStyle name="20% - 강조색4 42 13" xfId="4355"/>
    <cellStyle name="20% - 강조색4 42 14" xfId="4083"/>
    <cellStyle name="20% - 강조색4 42 15" xfId="5373"/>
    <cellStyle name="20% - 강조색4 42 16" xfId="5819"/>
    <cellStyle name="20% - 강조색4 42 17" xfId="5898"/>
    <cellStyle name="20% - 강조색4 42 18" xfId="5956"/>
    <cellStyle name="20% - 강조색4 42 19" xfId="6109"/>
    <cellStyle name="20% - 강조색4 42 2" xfId="1149"/>
    <cellStyle name="20% - 강조색4 42 20" xfId="7172"/>
    <cellStyle name="20% - 강조색4 42 21" xfId="7304"/>
    <cellStyle name="20% - 강조색4 42 22" xfId="7514"/>
    <cellStyle name="20% - 강조색4 42 23" xfId="6576"/>
    <cellStyle name="20% - 강조색4 42 24" xfId="8360"/>
    <cellStyle name="20% - 강조색4 42 25" xfId="8931"/>
    <cellStyle name="20% - 강조색4 42 26" xfId="9236"/>
    <cellStyle name="20% - 강조색4 42 27" xfId="9343"/>
    <cellStyle name="20% - 강조색4 42 28" xfId="3727"/>
    <cellStyle name="20% - 강조색4 42 29" xfId="8465"/>
    <cellStyle name="20% - 강조색4 42 3" xfId="1229"/>
    <cellStyle name="20% - 강조색4 42 30" xfId="10613"/>
    <cellStyle name="20% - 강조색4 42 31" xfId="3142"/>
    <cellStyle name="20% - 강조색4 42 32" xfId="11080"/>
    <cellStyle name="20% - 강조색4 42 4" xfId="1321"/>
    <cellStyle name="20% - 강조색4 42 5" xfId="1680"/>
    <cellStyle name="20% - 강조색4 42 6" xfId="2039"/>
    <cellStyle name="20% - 강조색4 42 7" xfId="2277"/>
    <cellStyle name="20% - 강조색4 42 8" xfId="2419"/>
    <cellStyle name="20% - 강조색4 42 9" xfId="978"/>
    <cellStyle name="20% - 강조색4 43" xfId="609"/>
    <cellStyle name="20% - 강조색4 43 10" xfId="3348"/>
    <cellStyle name="20% - 강조색4 43 11" xfId="2197"/>
    <cellStyle name="20% - 강조색4 43 12" xfId="1987"/>
    <cellStyle name="20% - 강조색4 43 13" xfId="4286"/>
    <cellStyle name="20% - 강조색4 43 14" xfId="4671"/>
    <cellStyle name="20% - 강조색4 43 15" xfId="5342"/>
    <cellStyle name="20% - 강조색4 43 16" xfId="4802"/>
    <cellStyle name="20% - 강조색4 43 17" xfId="5700"/>
    <cellStyle name="20% - 강조색4 43 18" xfId="3741"/>
    <cellStyle name="20% - 강조색4 43 19" xfId="3103"/>
    <cellStyle name="20% - 강조색4 43 2" xfId="1112"/>
    <cellStyle name="20% - 강조색4 43 20" xfId="7041"/>
    <cellStyle name="20% - 강조색4 43 21" xfId="6407"/>
    <cellStyle name="20% - 강조색4 43 22" xfId="7723"/>
    <cellStyle name="20% - 강조색4 43 23" xfId="8213"/>
    <cellStyle name="20% - 강조색4 43 24" xfId="6166"/>
    <cellStyle name="20% - 강조색4 43 25" xfId="8934"/>
    <cellStyle name="20% - 강조색4 43 26" xfId="3638"/>
    <cellStyle name="20% - 강조색4 43 27" xfId="9625"/>
    <cellStyle name="20% - 강조색4 43 28" xfId="9974"/>
    <cellStyle name="20% - 강조색4 43 29" xfId="6074"/>
    <cellStyle name="20% - 강조색4 43 3" xfId="1192"/>
    <cellStyle name="20% - 강조색4 43 30" xfId="9888"/>
    <cellStyle name="20% - 강조색4 43 31" xfId="10203"/>
    <cellStyle name="20% - 강조색4 43 32" xfId="9157"/>
    <cellStyle name="20% - 강조색4 43 4" xfId="1284"/>
    <cellStyle name="20% - 강조색4 43 5" xfId="1736"/>
    <cellStyle name="20% - 강조색4 43 6" xfId="2021"/>
    <cellStyle name="20% - 강조색4 43 7" xfId="2336"/>
    <cellStyle name="20% - 강조색4 43 8" xfId="2545"/>
    <cellStyle name="20% - 강조색4 43 9" xfId="1526"/>
    <cellStyle name="20% - 강조색4 44" xfId="630"/>
    <cellStyle name="20% - 강조색4 44 10" xfId="3314"/>
    <cellStyle name="20% - 강조색4 44 11" xfId="3652"/>
    <cellStyle name="20% - 강조색4 44 12" xfId="3846"/>
    <cellStyle name="20% - 강조색4 44 13" xfId="4340"/>
    <cellStyle name="20% - 강조색4 44 14" xfId="4732"/>
    <cellStyle name="20% - 강조색4 44 15" xfId="5196"/>
    <cellStyle name="20% - 강조색4 44 16" xfId="4249"/>
    <cellStyle name="20% - 강조색4 44 17" xfId="4241"/>
    <cellStyle name="20% - 강조색4 44 18" xfId="5565"/>
    <cellStyle name="20% - 강조색4 44 19" xfId="6351"/>
    <cellStyle name="20% - 강조색4 44 2" xfId="1133"/>
    <cellStyle name="20% - 강조색4 44 20" xfId="6452"/>
    <cellStyle name="20% - 강조색4 44 21" xfId="3619"/>
    <cellStyle name="20% - 강조색4 44 22" xfId="6565"/>
    <cellStyle name="20% - 강조색4 44 23" xfId="8219"/>
    <cellStyle name="20% - 강조색4 44 24" xfId="2214"/>
    <cellStyle name="20% - 강조색4 44 25" xfId="3392"/>
    <cellStyle name="20% - 강조색4 44 26" xfId="2751"/>
    <cellStyle name="20% - 강조색4 44 27" xfId="9604"/>
    <cellStyle name="20% - 강조색4 44 28" xfId="10044"/>
    <cellStyle name="20% - 강조색4 44 29" xfId="10287"/>
    <cellStyle name="20% - 강조색4 44 3" xfId="1213"/>
    <cellStyle name="20% - 강조색4 44 30" xfId="10615"/>
    <cellStyle name="20% - 강조색4 44 31" xfId="1431"/>
    <cellStyle name="20% - 강조색4 44 32" xfId="10844"/>
    <cellStyle name="20% - 강조색4 44 4" xfId="1305"/>
    <cellStyle name="20% - 강조색4 44 5" xfId="1751"/>
    <cellStyle name="20% - 강조색4 44 6" xfId="975"/>
    <cellStyle name="20% - 강조색4 44 7" xfId="942"/>
    <cellStyle name="20% - 강조색4 44 8" xfId="2627"/>
    <cellStyle name="20% - 강조색4 44 9" xfId="3001"/>
    <cellStyle name="20% - 강조색4 45" xfId="619"/>
    <cellStyle name="20% - 강조색4 45 10" xfId="920"/>
    <cellStyle name="20% - 강조색4 45 11" xfId="3571"/>
    <cellStyle name="20% - 강조색4 45 12" xfId="2543"/>
    <cellStyle name="20% - 강조색4 45 13" xfId="2112"/>
    <cellStyle name="20% - 강조색4 45 14" xfId="4474"/>
    <cellStyle name="20% - 강조색4 45 15" xfId="3275"/>
    <cellStyle name="20% - 강조색4 45 16" xfId="5642"/>
    <cellStyle name="20% - 강조색4 45 17" xfId="4490"/>
    <cellStyle name="20% - 강조색4 45 18" xfId="3833"/>
    <cellStyle name="20% - 강조색4 45 19" xfId="1882"/>
    <cellStyle name="20% - 강조색4 45 2" xfId="1122"/>
    <cellStyle name="20% - 강조색4 45 20" xfId="7138"/>
    <cellStyle name="20% - 강조색4 45 21" xfId="1581"/>
    <cellStyle name="20% - 강조색4 45 22" xfId="718"/>
    <cellStyle name="20% - 강조색4 45 23" xfId="8008"/>
    <cellStyle name="20% - 강조색4 45 24" xfId="6120"/>
    <cellStyle name="20% - 강조색4 45 25" xfId="4237"/>
    <cellStyle name="20% - 강조색4 45 26" xfId="9111"/>
    <cellStyle name="20% - 강조색4 45 27" xfId="8784"/>
    <cellStyle name="20% - 강조색4 45 28" xfId="3448"/>
    <cellStyle name="20% - 강조색4 45 29" xfId="6824"/>
    <cellStyle name="20% - 강조색4 45 3" xfId="1202"/>
    <cellStyle name="20% - 강조색4 45 30" xfId="7562"/>
    <cellStyle name="20% - 강조색4 45 31" xfId="9676"/>
    <cellStyle name="20% - 강조색4 45 32" xfId="6936"/>
    <cellStyle name="20% - 강조색4 45 4" xfId="1294"/>
    <cellStyle name="20% - 강조색4 45 5" xfId="1771"/>
    <cellStyle name="20% - 강조색4 45 6" xfId="1635"/>
    <cellStyle name="20% - 강조색4 45 7" xfId="945"/>
    <cellStyle name="20% - 강조색4 45 8" xfId="2663"/>
    <cellStyle name="20% - 강조색4 45 9" xfId="2938"/>
    <cellStyle name="20% - 강조색4 46" xfId="651"/>
    <cellStyle name="20% - 강조색4 46 10" xfId="2830"/>
    <cellStyle name="20% - 강조색4 46 11" xfId="3683"/>
    <cellStyle name="20% - 강조색4 46 12" xfId="1955"/>
    <cellStyle name="20% - 강조색4 46 13" xfId="4296"/>
    <cellStyle name="20% - 강조색4 46 14" xfId="4599"/>
    <cellStyle name="20% - 강조색4 46 15" xfId="3124"/>
    <cellStyle name="20% - 강조색4 46 16" xfId="1418"/>
    <cellStyle name="20% - 강조색4 46 17" xfId="5720"/>
    <cellStyle name="20% - 강조색4 46 18" xfId="5825"/>
    <cellStyle name="20% - 강조색4 46 19" xfId="3450"/>
    <cellStyle name="20% - 강조색4 46 2" xfId="1154"/>
    <cellStyle name="20% - 강조색4 46 20" xfId="6896"/>
    <cellStyle name="20% - 강조색4 46 21" xfId="6825"/>
    <cellStyle name="20% - 강조색4 46 22" xfId="7842"/>
    <cellStyle name="20% - 강조색4 46 23" xfId="8154"/>
    <cellStyle name="20% - 강조색4 46 24" xfId="6325"/>
    <cellStyle name="20% - 강조색4 46 25" xfId="3935"/>
    <cellStyle name="20% - 강조색4 46 26" xfId="9182"/>
    <cellStyle name="20% - 강조색4 46 27" xfId="8358"/>
    <cellStyle name="20% - 강조색4 46 28" xfId="10026"/>
    <cellStyle name="20% - 강조색4 46 29" xfId="3788"/>
    <cellStyle name="20% - 강조색4 46 3" xfId="1234"/>
    <cellStyle name="20% - 강조색4 46 30" xfId="10515"/>
    <cellStyle name="20% - 강조색4 46 31" xfId="10924"/>
    <cellStyle name="20% - 강조색4 46 32" xfId="2526"/>
    <cellStyle name="20% - 강조색4 46 4" xfId="1326"/>
    <cellStyle name="20% - 강조색4 46 5" xfId="1773"/>
    <cellStyle name="20% - 강조색4 46 6" xfId="1556"/>
    <cellStyle name="20% - 강조색4 46 7" xfId="2215"/>
    <cellStyle name="20% - 강조색4 46 8" xfId="2612"/>
    <cellStyle name="20% - 강조색4 46 9" xfId="2964"/>
    <cellStyle name="20% - 강조색4 47" xfId="582"/>
    <cellStyle name="20% - 강조색4 47 10" xfId="4176"/>
    <cellStyle name="20% - 강조색4 47 11" xfId="3470"/>
    <cellStyle name="20% - 강조색4 47 12" xfId="4818"/>
    <cellStyle name="20% - 강조색4 47 13" xfId="5668"/>
    <cellStyle name="20% - 강조색4 47 14" xfId="5651"/>
    <cellStyle name="20% - 강조색4 47 15" xfId="5772"/>
    <cellStyle name="20% - 강조색4 47 16" xfId="6225"/>
    <cellStyle name="20% - 강조색4 47 17" xfId="6922"/>
    <cellStyle name="20% - 강조색4 47 18" xfId="4956"/>
    <cellStyle name="20% - 강조색4 47 19" xfId="7407"/>
    <cellStyle name="20% - 강조색4 47 2" xfId="1066"/>
    <cellStyle name="20% - 강조색4 47 20" xfId="8179"/>
    <cellStyle name="20% - 강조색4 47 21" xfId="8450"/>
    <cellStyle name="20% - 강조색4 47 22" xfId="7901"/>
    <cellStyle name="20% - 강조색4 47 23" xfId="9239"/>
    <cellStyle name="20% - 강조색4 47 24" xfId="9418"/>
    <cellStyle name="20% - 강조색4 47 25" xfId="9786"/>
    <cellStyle name="20% - 강조색4 47 26" xfId="2177"/>
    <cellStyle name="20% - 강조색4 47 27" xfId="10496"/>
    <cellStyle name="20% - 강조색4 47 28" xfId="10893"/>
    <cellStyle name="20% - 강조색4 47 29" xfId="3804"/>
    <cellStyle name="20% - 강조색4 47 3" xfId="1574"/>
    <cellStyle name="20% - 강조색4 47 30" xfId="11334"/>
    <cellStyle name="20% - 강조색4 47 31" xfId="11418"/>
    <cellStyle name="20% - 강조색4 47 32" xfId="11407"/>
    <cellStyle name="20% - 강조색4 47 33" xfId="11367"/>
    <cellStyle name="20% - 강조색4 47 4" xfId="2290"/>
    <cellStyle name="20% - 강조색4 47 5" xfId="2633"/>
    <cellStyle name="20% - 강조색4 47 6" xfId="2841"/>
    <cellStyle name="20% - 강조색4 47 7" xfId="3117"/>
    <cellStyle name="20% - 강조색4 47 8" xfId="3563"/>
    <cellStyle name="20% - 강조색4 47 9" xfId="1922"/>
    <cellStyle name="20% - 강조색4 48" xfId="1043"/>
    <cellStyle name="20% - 강조색4 48 10" xfId="4262"/>
    <cellStyle name="20% - 강조색4 48 11" xfId="4454"/>
    <cellStyle name="20% - 강조색4 48 12" xfId="1860"/>
    <cellStyle name="20% - 강조색4 48 13" xfId="684"/>
    <cellStyle name="20% - 강조색4 48 14" xfId="4847"/>
    <cellStyle name="20% - 강조색4 48 15" xfId="5660"/>
    <cellStyle name="20% - 강조색4 48 16" xfId="6532"/>
    <cellStyle name="20% - 강조색4 48 17" xfId="708"/>
    <cellStyle name="20% - 강조색4 48 18" xfId="6978"/>
    <cellStyle name="20% - 강조색4 48 19" xfId="2310"/>
    <cellStyle name="20% - 강조색4 48 2" xfId="1716"/>
    <cellStyle name="20% - 강조색4 48 20" xfId="3157"/>
    <cellStyle name="20% - 강조색4 48 21" xfId="2855"/>
    <cellStyle name="20% - 강조색4 48 22" xfId="5997"/>
    <cellStyle name="20% - 강조색4 48 23" xfId="4167"/>
    <cellStyle name="20% - 강조색4 48 24" xfId="9198"/>
    <cellStyle name="20% - 강조색4 48 25" xfId="3731"/>
    <cellStyle name="20% - 강조색4 48 26" xfId="6861"/>
    <cellStyle name="20% - 강조색4 48 27" xfId="9224"/>
    <cellStyle name="20% - 강조색4 48 28" xfId="7624"/>
    <cellStyle name="20% - 강조색4 48 29" xfId="7406"/>
    <cellStyle name="20% - 강조색4 48 3" xfId="1390"/>
    <cellStyle name="20% - 강조색4 48 4" xfId="1932"/>
    <cellStyle name="20% - 강조색4 48 5" xfId="2530"/>
    <cellStyle name="20% - 강조색4 48 6" xfId="2910"/>
    <cellStyle name="20% - 강조색4 48 7" xfId="3176"/>
    <cellStyle name="20% - 강조색4 48 8" xfId="1886"/>
    <cellStyle name="20% - 강조색4 48 9" xfId="2409"/>
    <cellStyle name="20% - 강조색4 49" xfId="1056"/>
    <cellStyle name="20% - 강조색4 49 10" xfId="4383"/>
    <cellStyle name="20% - 강조색4 49 11" xfId="4562"/>
    <cellStyle name="20% - 강조색4 49 12" xfId="5245"/>
    <cellStyle name="20% - 강조색4 49 13" xfId="1397"/>
    <cellStyle name="20% - 강조색4 49 14" xfId="5296"/>
    <cellStyle name="20% - 강조색4 49 15" xfId="5250"/>
    <cellStyle name="20% - 강조색4 49 16" xfId="6490"/>
    <cellStyle name="20% - 강조색4 49 17" xfId="7278"/>
    <cellStyle name="20% - 강조색4 49 18" xfId="6146"/>
    <cellStyle name="20% - 강조색4 49 19" xfId="7532"/>
    <cellStyle name="20% - 강조색4 49 2" xfId="1732"/>
    <cellStyle name="20% - 강조색4 49 20" xfId="6091"/>
    <cellStyle name="20% - 강조색4 49 21" xfId="8551"/>
    <cellStyle name="20% - 강조색4 49 22" xfId="8897"/>
    <cellStyle name="20% - 강조색4 49 23" xfId="9232"/>
    <cellStyle name="20% - 강조색4 49 24" xfId="2218"/>
    <cellStyle name="20% - 강조색4 49 25" xfId="10053"/>
    <cellStyle name="20% - 강조색4 49 26" xfId="6014"/>
    <cellStyle name="20% - 강조색4 49 27" xfId="10111"/>
    <cellStyle name="20% - 강조색4 49 28" xfId="10938"/>
    <cellStyle name="20% - 강조색4 49 29" xfId="5255"/>
    <cellStyle name="20% - 강조색4 49 3" xfId="2058"/>
    <cellStyle name="20% - 강조색4 49 4" xfId="2354"/>
    <cellStyle name="20% - 강조색4 49 5" xfId="2566"/>
    <cellStyle name="20% - 강조색4 49 6" xfId="2796"/>
    <cellStyle name="20% - 강조색4 49 7" xfId="3191"/>
    <cellStyle name="20% - 강조색4 49 8" xfId="3632"/>
    <cellStyle name="20% - 강조색4 49 9" xfId="3770"/>
    <cellStyle name="20% - 강조색4 5" xfId="83"/>
    <cellStyle name="20% - 강조색4 50" xfId="1044"/>
    <cellStyle name="20% - 강조색4 50 10" xfId="4246"/>
    <cellStyle name="20% - 강조색4 50 11" xfId="4548"/>
    <cellStyle name="20% - 강조색4 50 12" xfId="5029"/>
    <cellStyle name="20% - 강조색4 50 13" xfId="5445"/>
    <cellStyle name="20% - 강조색4 50 14" xfId="5031"/>
    <cellStyle name="20% - 강조색4 50 15" xfId="5469"/>
    <cellStyle name="20% - 강조색4 50 16" xfId="6406"/>
    <cellStyle name="20% - 강조색4 50 17" xfId="2091"/>
    <cellStyle name="20% - 강조색4 50 18" xfId="7047"/>
    <cellStyle name="20% - 강조색4 50 19" xfId="7625"/>
    <cellStyle name="20% - 강조색4 50 2" xfId="1718"/>
    <cellStyle name="20% - 강조색4 50 20" xfId="6786"/>
    <cellStyle name="20% - 강조색4 50 21" xfId="8568"/>
    <cellStyle name="20% - 강조색4 50 22" xfId="6357"/>
    <cellStyle name="20% - 강조색4 50 23" xfId="9256"/>
    <cellStyle name="20% - 강조색4 50 24" xfId="3523"/>
    <cellStyle name="20% - 강조색4 50 25" xfId="6438"/>
    <cellStyle name="20% - 강조색4 50 26" xfId="10268"/>
    <cellStyle name="20% - 강조색4 50 27" xfId="3495"/>
    <cellStyle name="20% - 강조색4 50 28" xfId="7806"/>
    <cellStyle name="20% - 강조색4 50 29" xfId="3862"/>
    <cellStyle name="20% - 강조색4 50 3" xfId="1466"/>
    <cellStyle name="20% - 강조색4 50 4" xfId="1498"/>
    <cellStyle name="20% - 강조색4 50 5" xfId="738"/>
    <cellStyle name="20% - 강조색4 50 6" xfId="2907"/>
    <cellStyle name="20% - 강조색4 50 7" xfId="2147"/>
    <cellStyle name="20% - 강조색4 50 8" xfId="3656"/>
    <cellStyle name="20% - 강조색4 50 9" xfId="3942"/>
    <cellStyle name="20% - 강조색4 51" xfId="1076"/>
    <cellStyle name="20% - 강조색4 51 10" xfId="836"/>
    <cellStyle name="20% - 강조색4 51 11" xfId="4557"/>
    <cellStyle name="20% - 강조색4 51 12" xfId="5473"/>
    <cellStyle name="20% - 강조색4 51 13" xfId="5047"/>
    <cellStyle name="20% - 강조색4 51 14" xfId="5479"/>
    <cellStyle name="20% - 강조색4 51 15" xfId="5235"/>
    <cellStyle name="20% - 강조색4 51 16" xfId="6507"/>
    <cellStyle name="20% - 강조색4 51 17" xfId="6940"/>
    <cellStyle name="20% - 강조색4 51 18" xfId="7010"/>
    <cellStyle name="20% - 강조색4 51 19" xfId="6331"/>
    <cellStyle name="20% - 강조색4 51 2" xfId="1775"/>
    <cellStyle name="20% - 강조색4 51 20" xfId="8251"/>
    <cellStyle name="20% - 강조색4 51 21" xfId="5037"/>
    <cellStyle name="20% - 강조색4 51 22" xfId="8782"/>
    <cellStyle name="20% - 강조색4 51 23" xfId="1637"/>
    <cellStyle name="20% - 강조색4 51 24" xfId="9536"/>
    <cellStyle name="20% - 강조색4 51 25" xfId="7752"/>
    <cellStyle name="20% - 강조색4 51 26" xfId="9570"/>
    <cellStyle name="20% - 강조색4 51 27" xfId="8822"/>
    <cellStyle name="20% - 강조색4 51 28" xfId="4828"/>
    <cellStyle name="20% - 강조색4 51 29" xfId="10256"/>
    <cellStyle name="20% - 강조색4 51 3" xfId="705"/>
    <cellStyle name="20% - 강조색4 51 4" xfId="2233"/>
    <cellStyle name="20% - 강조색4 51 5" xfId="2599"/>
    <cellStyle name="20% - 강조색4 51 6" xfId="2909"/>
    <cellStyle name="20% - 강조색4 51 7" xfId="3088"/>
    <cellStyle name="20% - 강조색4 51 8" xfId="3500"/>
    <cellStyle name="20% - 강조색4 51 9" xfId="3959"/>
    <cellStyle name="20% - 강조색4 52" xfId="1042"/>
    <cellStyle name="20% - 강조색4 52 10" xfId="4315"/>
    <cellStyle name="20% - 강조색4 52 11" xfId="4570"/>
    <cellStyle name="20% - 강조색4 52 12" xfId="1865"/>
    <cellStyle name="20% - 강조색4 52 13" xfId="5098"/>
    <cellStyle name="20% - 강조색4 52 14" xfId="5331"/>
    <cellStyle name="20% - 강조색4 52 15" xfId="3503"/>
    <cellStyle name="20% - 강조색4 52 16" xfId="6604"/>
    <cellStyle name="20% - 강조색4 52 17" xfId="7025"/>
    <cellStyle name="20% - 강조색4 52 18" xfId="7035"/>
    <cellStyle name="20% - 강조색4 52 19" xfId="857"/>
    <cellStyle name="20% - 강조색4 52 2" xfId="1714"/>
    <cellStyle name="20% - 강조색4 52 20" xfId="4553"/>
    <cellStyle name="20% - 강조색4 52 21" xfId="6804"/>
    <cellStyle name="20% - 강조색4 52 22" xfId="8427"/>
    <cellStyle name="20% - 강조색4 52 23" xfId="7979"/>
    <cellStyle name="20% - 강조색4 52 24" xfId="9646"/>
    <cellStyle name="20% - 강조색4 52 25" xfId="7451"/>
    <cellStyle name="20% - 강조색4 52 26" xfId="3447"/>
    <cellStyle name="20% - 강조색4 52 27" xfId="10104"/>
    <cellStyle name="20% - 강조색4 52 28" xfId="10946"/>
    <cellStyle name="20% - 강조색4 52 29" xfId="4817"/>
    <cellStyle name="20% - 강조색4 52 3" xfId="1395"/>
    <cellStyle name="20% - 강조색4 52 4" xfId="859"/>
    <cellStyle name="20% - 강조색4 52 5" xfId="2494"/>
    <cellStyle name="20% - 강조색4 52 6" xfId="2946"/>
    <cellStyle name="20% - 강조색4 52 7" xfId="1977"/>
    <cellStyle name="20% - 강조색4 52 8" xfId="3574"/>
    <cellStyle name="20% - 강조색4 52 9" xfId="1560"/>
    <cellStyle name="20% - 강조색4 53" xfId="1082"/>
    <cellStyle name="20% - 강조색4 53 10" xfId="3041"/>
    <cellStyle name="20% - 강조색4 53 11" xfId="733"/>
    <cellStyle name="20% - 강조색4 53 12" xfId="5422"/>
    <cellStyle name="20% - 강조색4 53 13" xfId="4933"/>
    <cellStyle name="20% - 강조색4 53 14" xfId="5302"/>
    <cellStyle name="20% - 강조색4 53 15" xfId="5686"/>
    <cellStyle name="20% - 강조색4 53 16" xfId="6359"/>
    <cellStyle name="20% - 강조색4 53 17" xfId="6891"/>
    <cellStyle name="20% - 강조색4 53 18" xfId="7259"/>
    <cellStyle name="20% - 강조색4 53 19" xfId="7519"/>
    <cellStyle name="20% - 강조색4 53 2" xfId="1783"/>
    <cellStyle name="20% - 강조색4 53 20" xfId="8089"/>
    <cellStyle name="20% - 강조색4 53 21" xfId="8635"/>
    <cellStyle name="20% - 강조색4 53 22" xfId="700"/>
    <cellStyle name="20% - 강조색4 53 23" xfId="7393"/>
    <cellStyle name="20% - 강조색4 53 24" xfId="9704"/>
    <cellStyle name="20% - 강조색4 53 25" xfId="7560"/>
    <cellStyle name="20% - 강조색4 53 26" xfId="10296"/>
    <cellStyle name="20% - 강조색4 53 27" xfId="10479"/>
    <cellStyle name="20% - 강조색4 53 28" xfId="6864"/>
    <cellStyle name="20% - 강조색4 53 29" xfId="8762"/>
    <cellStyle name="20% - 강조색4 53 3" xfId="2076"/>
    <cellStyle name="20% - 강조색4 53 4" xfId="2242"/>
    <cellStyle name="20% - 강조색4 53 5" xfId="2610"/>
    <cellStyle name="20% - 강조색4 53 6" xfId="2919"/>
    <cellStyle name="20% - 강조색4 53 7" xfId="2785"/>
    <cellStyle name="20% - 강조색4 53 8" xfId="3537"/>
    <cellStyle name="20% - 강조색4 53 9" xfId="954"/>
    <cellStyle name="20% - 강조색4 54" xfId="1570"/>
    <cellStyle name="20% - 강조색4 54 10" xfId="3413"/>
    <cellStyle name="20% - 강조색4 54 11" xfId="2225"/>
    <cellStyle name="20% - 강조색4 54 12" xfId="5021"/>
    <cellStyle name="20% - 강조색4 54 13" xfId="5583"/>
    <cellStyle name="20% - 강조색4 54 14" xfId="3101"/>
    <cellStyle name="20% - 강조색4 54 15" xfId="6469"/>
    <cellStyle name="20% - 강조색4 54 16" xfId="6960"/>
    <cellStyle name="20% - 강조색4 54 17" xfId="7346"/>
    <cellStyle name="20% - 강조색4 54 18" xfId="4091"/>
    <cellStyle name="20% - 강조색4 54 19" xfId="888"/>
    <cellStyle name="20% - 강조색4 54 2" xfId="2084"/>
    <cellStyle name="20% - 강조색4 54 20" xfId="3978"/>
    <cellStyle name="20% - 강조색4 54 21" xfId="8339"/>
    <cellStyle name="20% - 강조색4 54 22" xfId="9190"/>
    <cellStyle name="20% - 강조색4 54 23" xfId="8507"/>
    <cellStyle name="20% - 강조색4 54 24" xfId="1953"/>
    <cellStyle name="20% - 강조색4 54 25" xfId="10148"/>
    <cellStyle name="20% - 강조색4 54 26" xfId="10637"/>
    <cellStyle name="20% - 강조색4 54 27" xfId="9956"/>
    <cellStyle name="20% - 강조색4 54 28" xfId="11025"/>
    <cellStyle name="20% - 강조색4 54 3" xfId="2366"/>
    <cellStyle name="20% - 강조색4 54 4" xfId="1909"/>
    <cellStyle name="20% - 강조색4 54 5" xfId="2925"/>
    <cellStyle name="20% - 강조색4 54 6" xfId="3254"/>
    <cellStyle name="20% - 강조색4 54 7" xfId="3572"/>
    <cellStyle name="20% - 강조색4 54 8" xfId="2903"/>
    <cellStyle name="20% - 강조색4 54 9" xfId="4173"/>
    <cellStyle name="20% - 강조색4 55" xfId="2033"/>
    <cellStyle name="20% - 강조색4 55 10" xfId="5227"/>
    <cellStyle name="20% - 강조색4 55 11" xfId="1440"/>
    <cellStyle name="20% - 강조색4 55 12" xfId="5378"/>
    <cellStyle name="20% - 강조색4 55 13" xfId="5780"/>
    <cellStyle name="20% - 강조색4 55 14" xfId="6421"/>
    <cellStyle name="20% - 강조색4 55 15" xfId="6395"/>
    <cellStyle name="20% - 강조색4 55 16" xfId="6873"/>
    <cellStyle name="20% - 강조색4 55 17" xfId="6444"/>
    <cellStyle name="20% - 강조색4 55 18" xfId="8031"/>
    <cellStyle name="20% - 강조색4 55 19" xfId="6882"/>
    <cellStyle name="20% - 강조색4 55 2" xfId="2375"/>
    <cellStyle name="20% - 강조색4 55 20" xfId="6441"/>
    <cellStyle name="20% - 강조색4 55 21" xfId="7801"/>
    <cellStyle name="20% - 강조색4 55 22" xfId="9598"/>
    <cellStyle name="20% - 강조색4 55 23" xfId="9760"/>
    <cellStyle name="20% - 강조색4 55 24" xfId="7168"/>
    <cellStyle name="20% - 강조색4 55 25" xfId="2171"/>
    <cellStyle name="20% - 강조색4 55 26" xfId="10139"/>
    <cellStyle name="20% - 강조색4 55 27" xfId="6200"/>
    <cellStyle name="20% - 강조색4 55 3" xfId="2694"/>
    <cellStyle name="20% - 강조색4 55 4" xfId="3009"/>
    <cellStyle name="20% - 강조색4 55 5" xfId="3332"/>
    <cellStyle name="20% - 강조색4 55 6" xfId="2621"/>
    <cellStyle name="20% - 강조색4 55 7" xfId="3900"/>
    <cellStyle name="20% - 강조색4 55 8" xfId="2139"/>
    <cellStyle name="20% - 강조색4 55 9" xfId="2141"/>
    <cellStyle name="20% - 강조색4 56" xfId="2356"/>
    <cellStyle name="20% - 강조색4 56 10" xfId="3954"/>
    <cellStyle name="20% - 강조색4 56 11" xfId="5710"/>
    <cellStyle name="20% - 강조색4 56 12" xfId="5658"/>
    <cellStyle name="20% - 강조색4 56 13" xfId="6580"/>
    <cellStyle name="20% - 강조색4 56 14" xfId="6961"/>
    <cellStyle name="20% - 강조색4 56 15" xfId="4168"/>
    <cellStyle name="20% - 강조색4 56 16" xfId="3908"/>
    <cellStyle name="20% - 강조색4 56 17" xfId="8117"/>
    <cellStyle name="20% - 강조색4 56 18" xfId="8428"/>
    <cellStyle name="20% - 강조색4 56 19" xfId="3228"/>
    <cellStyle name="20% - 강조색4 56 2" xfId="2711"/>
    <cellStyle name="20% - 강조색4 56 20" xfId="2576"/>
    <cellStyle name="20% - 강조색4 56 21" xfId="9458"/>
    <cellStyle name="20% - 강조색4 56 22" xfId="7507"/>
    <cellStyle name="20% - 강조색4 56 23" xfId="9862"/>
    <cellStyle name="20% - 강조색4 56 24" xfId="10494"/>
    <cellStyle name="20% - 강조색4 56 25" xfId="10787"/>
    <cellStyle name="20% - 강조색4 56 26" xfId="8746"/>
    <cellStyle name="20% - 강조색4 56 3" xfId="3026"/>
    <cellStyle name="20% - 강조색4 56 4" xfId="3359"/>
    <cellStyle name="20% - 강조색4 56 5" xfId="3048"/>
    <cellStyle name="20% - 강조색4 56 6" xfId="1465"/>
    <cellStyle name="20% - 강조색4 56 7" xfId="2216"/>
    <cellStyle name="20% - 강조색4 56 8" xfId="4541"/>
    <cellStyle name="20% - 강조색4 56 9" xfId="4938"/>
    <cellStyle name="20% - 강조색4 57" xfId="2630"/>
    <cellStyle name="20% - 강조색4 57 10" xfId="5531"/>
    <cellStyle name="20% - 강조색4 57 11" xfId="4821"/>
    <cellStyle name="20% - 강조색4 57 12" xfId="6099"/>
    <cellStyle name="20% - 강조색4 57 13" xfId="1396"/>
    <cellStyle name="20% - 강조색4 57 14" xfId="7307"/>
    <cellStyle name="20% - 강조색4 57 15" xfId="6703"/>
    <cellStyle name="20% - 강조색4 57 16" xfId="4555"/>
    <cellStyle name="20% - 강조색4 57 17" xfId="5025"/>
    <cellStyle name="20% - 강조색4 57 18" xfId="749"/>
    <cellStyle name="20% - 강조색4 57 19" xfId="9334"/>
    <cellStyle name="20% - 강조색4 57 2" xfId="3031"/>
    <cellStyle name="20% - 강조색4 57 20" xfId="8804"/>
    <cellStyle name="20% - 강조색4 57 21" xfId="10011"/>
    <cellStyle name="20% - 강조색4 57 22" xfId="4725"/>
    <cellStyle name="20% - 강조색4 57 23" xfId="10540"/>
    <cellStyle name="20% - 강조색4 57 24" xfId="9323"/>
    <cellStyle name="20% - 강조색4 57 25" xfId="11037"/>
    <cellStyle name="20% - 강조색4 57 3" xfId="3364"/>
    <cellStyle name="20% - 강조색4 57 4" xfId="3696"/>
    <cellStyle name="20% - 강조색4 57 5" xfId="2528"/>
    <cellStyle name="20% - 강조색4 57 6" xfId="4100"/>
    <cellStyle name="20% - 강조색4 57 7" xfId="4574"/>
    <cellStyle name="20% - 강조색4 57 8" xfId="4077"/>
    <cellStyle name="20% - 강조색4 57 9" xfId="2848"/>
    <cellStyle name="20% - 강조색4 58" xfId="2934"/>
    <cellStyle name="20% - 강조색4 58 10" xfId="5325"/>
    <cellStyle name="20% - 강조색4 58 11" xfId="6621"/>
    <cellStyle name="20% - 강조색4 58 12" xfId="6075"/>
    <cellStyle name="20% - 강조색4 58 13" xfId="6999"/>
    <cellStyle name="20% - 강조색4 58 14" xfId="7659"/>
    <cellStyle name="20% - 강조색4 58 15" xfId="8207"/>
    <cellStyle name="20% - 강조색4 58 16" xfId="8536"/>
    <cellStyle name="20% - 강조색4 58 17" xfId="7637"/>
    <cellStyle name="20% - 강조색4 58 18" xfId="3084"/>
    <cellStyle name="20% - 강조색4 58 19" xfId="9447"/>
    <cellStyle name="20% - 강조색4 58 2" xfId="3374"/>
    <cellStyle name="20% - 강조색4 58 20" xfId="9950"/>
    <cellStyle name="20% - 강조색4 58 21" xfId="10357"/>
    <cellStyle name="20% - 강조색4 58 22" xfId="10487"/>
    <cellStyle name="20% - 강조색4 58 23" xfId="10956"/>
    <cellStyle name="20% - 강조색4 58 24" xfId="11094"/>
    <cellStyle name="20% - 강조색4 58 3" xfId="3707"/>
    <cellStyle name="20% - 강조색4 58 4" xfId="4045"/>
    <cellStyle name="20% - 강조색4 58 5" xfId="4130"/>
    <cellStyle name="20% - 강조색4 58 6" xfId="4644"/>
    <cellStyle name="20% - 강조색4 58 7" xfId="5044"/>
    <cellStyle name="20% - 강조색4 58 8" xfId="5407"/>
    <cellStyle name="20% - 강조색4 58 9" xfId="5606"/>
    <cellStyle name="20% - 강조색4 59" xfId="3077"/>
    <cellStyle name="20% - 강조색4 59 10" xfId="6506"/>
    <cellStyle name="20% - 강조색4 59 11" xfId="7205"/>
    <cellStyle name="20% - 강조색4 59 12" xfId="7349"/>
    <cellStyle name="20% - 강조색4 59 13" xfId="6921"/>
    <cellStyle name="20% - 강조색4 59 14" xfId="7910"/>
    <cellStyle name="20% - 강조색4 59 15" xfId="8528"/>
    <cellStyle name="20% - 강조색4 59 16" xfId="4224"/>
    <cellStyle name="20% - 강조색4 59 17" xfId="7538"/>
    <cellStyle name="20% - 강조색4 59 18" xfId="6070"/>
    <cellStyle name="20% - 강조색4 59 19" xfId="9085"/>
    <cellStyle name="20% - 강조색4 59 2" xfId="3714"/>
    <cellStyle name="20% - 강조색4 59 20" xfId="10338"/>
    <cellStyle name="20% - 강조색4 59 21" xfId="10636"/>
    <cellStyle name="20% - 강조색4 59 22" xfId="7988"/>
    <cellStyle name="20% - 강조색4 59 23" xfId="11276"/>
    <cellStyle name="20% - 강조색4 59 3" xfId="4053"/>
    <cellStyle name="20% - 강조색4 59 4" xfId="2882"/>
    <cellStyle name="20% - 강조색4 59 5" xfId="4587"/>
    <cellStyle name="20% - 강조색4 59 6" xfId="3121"/>
    <cellStyle name="20% - 강조색4 59 7" xfId="5036"/>
    <cellStyle name="20% - 강조색4 59 8" xfId="5261"/>
    <cellStyle name="20% - 강조색4 59 9" xfId="899"/>
    <cellStyle name="20% - 강조색4 6" xfId="100"/>
    <cellStyle name="20% - 강조색4 60" xfId="3631"/>
    <cellStyle name="20% - 강조색4 60 10" xfId="4475"/>
    <cellStyle name="20% - 강조색4 60 11" xfId="5121"/>
    <cellStyle name="20% - 강조색4 60 12" xfId="7638"/>
    <cellStyle name="20% - 강조색4 60 13" xfId="7908"/>
    <cellStyle name="20% - 강조색4 60 14" xfId="8513"/>
    <cellStyle name="20% - 강조색4 60 15" xfId="8776"/>
    <cellStyle name="20% - 강조색4 60 16" xfId="9333"/>
    <cellStyle name="20% - 강조색4 60 17" xfId="8455"/>
    <cellStyle name="20% - 강조색4 60 18" xfId="6111"/>
    <cellStyle name="20% - 강조색4 60 19" xfId="3220"/>
    <cellStyle name="20% - 강조색4 60 2" xfId="4066"/>
    <cellStyle name="20% - 강조색4 60 20" xfId="10563"/>
    <cellStyle name="20% - 강조색4 60 21" xfId="10886"/>
    <cellStyle name="20% - 강조색4 60 22" xfId="11049"/>
    <cellStyle name="20% - 강조색4 60 3" xfId="4402"/>
    <cellStyle name="20% - 강조색4 60 4" xfId="4755"/>
    <cellStyle name="20% - 강조색4 60 5" xfId="5329"/>
    <cellStyle name="20% - 강조색4 60 6" xfId="5376"/>
    <cellStyle name="20% - 강조색4 60 7" xfId="4914"/>
    <cellStyle name="20% - 강조색4 60 8" xfId="2312"/>
    <cellStyle name="20% - 강조색4 60 9" xfId="6112"/>
    <cellStyle name="20% - 강조색4 61" xfId="3989"/>
    <cellStyle name="20% - 강조색4 61 10" xfId="7178"/>
    <cellStyle name="20% - 강조색4 61 11" xfId="7715"/>
    <cellStyle name="20% - 강조색4 61 12" xfId="8233"/>
    <cellStyle name="20% - 강조색4 61 13" xfId="3756"/>
    <cellStyle name="20% - 강조색4 61 14" xfId="952"/>
    <cellStyle name="20% - 강조색4 61 15" xfId="9247"/>
    <cellStyle name="20% - 강조색4 61 16" xfId="9460"/>
    <cellStyle name="20% - 강조색4 61 17" xfId="9853"/>
    <cellStyle name="20% - 강조색4 61 18" xfId="10124"/>
    <cellStyle name="20% - 강조색4 61 19" xfId="9654"/>
    <cellStyle name="20% - 강조색4 61 2" xfId="4411"/>
    <cellStyle name="20% - 강조색4 61 20" xfId="9067"/>
    <cellStyle name="20% - 강조색4 61 21" xfId="8852"/>
    <cellStyle name="20% - 강조색4 61 3" xfId="4765"/>
    <cellStyle name="20% - 강조색4 61 4" xfId="5683"/>
    <cellStyle name="20% - 강조색4 61 5" xfId="5140"/>
    <cellStyle name="20% - 강조색4 61 6" xfId="1619"/>
    <cellStyle name="20% - 강조색4 61 7" xfId="5750"/>
    <cellStyle name="20% - 강조색4 61 8" xfId="6623"/>
    <cellStyle name="20% - 강조색4 61 9" xfId="7098"/>
    <cellStyle name="20% - 강조색4 62" xfId="4329"/>
    <cellStyle name="20% - 강조색4 62 10" xfId="7506"/>
    <cellStyle name="20% - 강조색4 62 11" xfId="8056"/>
    <cellStyle name="20% - 강조색4 62 12" xfId="8262"/>
    <cellStyle name="20% - 강조색4 62 13" xfId="8898"/>
    <cellStyle name="20% - 강조색4 62 14" xfId="9231"/>
    <cellStyle name="20% - 강조색4 62 15" xfId="9602"/>
    <cellStyle name="20% - 강조색4 62 16" xfId="9802"/>
    <cellStyle name="20% - 강조색4 62 17" xfId="10260"/>
    <cellStyle name="20% - 강조색4 62 18" xfId="10638"/>
    <cellStyle name="20% - 강조색4 62 19" xfId="9422"/>
    <cellStyle name="20% - 강조색4 62 2" xfId="4775"/>
    <cellStyle name="20% - 강조색4 62 20" xfId="10322"/>
    <cellStyle name="20% - 강조색4 62 3" xfId="5746"/>
    <cellStyle name="20% - 강조색4 62 4" xfId="5849"/>
    <cellStyle name="20% - 강조색4 62 5" xfId="5924"/>
    <cellStyle name="20% - 강조색4 62 6" xfId="5974"/>
    <cellStyle name="20% - 강조색4 62 7" xfId="6633"/>
    <cellStyle name="20% - 강조색4 62 8" xfId="1853"/>
    <cellStyle name="20% - 강조색4 62 9" xfId="7279"/>
    <cellStyle name="20% - 강조색4 63" xfId="4677"/>
    <cellStyle name="20% - 강조색4 63 10" xfId="8107"/>
    <cellStyle name="20% - 강조색4 63 11" xfId="8593"/>
    <cellStyle name="20% - 강조색4 63 12" xfId="4950"/>
    <cellStyle name="20% - 강조색4 63 13" xfId="9152"/>
    <cellStyle name="20% - 강조색4 63 14" xfId="8026"/>
    <cellStyle name="20% - 강조색4 63 15" xfId="8795"/>
    <cellStyle name="20% - 강조색4 63 16" xfId="10356"/>
    <cellStyle name="20% - 강조색4 63 17" xfId="6256"/>
    <cellStyle name="20% - 강조색4 63 18" xfId="9999"/>
    <cellStyle name="20% - 강조색4 63 19" xfId="11112"/>
    <cellStyle name="20% - 강조색4 63 2" xfId="5818"/>
    <cellStyle name="20% - 강조색4 63 3" xfId="5897"/>
    <cellStyle name="20% - 강조색4 63 4" xfId="5955"/>
    <cellStyle name="20% - 강조색4 63 5" xfId="5983"/>
    <cellStyle name="20% - 강조색4 63 6" xfId="6643"/>
    <cellStyle name="20% - 강조색4 63 7" xfId="7249"/>
    <cellStyle name="20% - 강조색4 63 8" xfId="1630"/>
    <cellStyle name="20% - 강조색4 63 9" xfId="7591"/>
    <cellStyle name="20% - 강조색4 64" xfId="5511"/>
    <cellStyle name="20% - 강조색4 64 10" xfId="9548"/>
    <cellStyle name="20% - 강조색4 64 11" xfId="4793"/>
    <cellStyle name="20% - 강조색4 64 12" xfId="10300"/>
    <cellStyle name="20% - 강조색4 64 13" xfId="10038"/>
    <cellStyle name="20% - 강조색4 64 14" xfId="10438"/>
    <cellStyle name="20% - 강조색4 64 15" xfId="11061"/>
    <cellStyle name="20% - 강조색4 64 2" xfId="6673"/>
    <cellStyle name="20% - 강조색4 64 3" xfId="4843"/>
    <cellStyle name="20% - 강조색4 64 4" xfId="7005"/>
    <cellStyle name="20% - 강조색4 64 5" xfId="7645"/>
    <cellStyle name="20% - 강조색4 64 6" xfId="8158"/>
    <cellStyle name="20% - 강조색4 64 7" xfId="6545"/>
    <cellStyle name="20% - 강조색4 64 8" xfId="2137"/>
    <cellStyle name="20% - 강조색4 64 9" xfId="9073"/>
    <cellStyle name="20% - 강조색4 65" xfId="5662"/>
    <cellStyle name="20% - 강조색4 65 10" xfId="2502"/>
    <cellStyle name="20% - 강조색4 65 11" xfId="8110"/>
    <cellStyle name="20% - 강조색4 65 12" xfId="8398"/>
    <cellStyle name="20% - 강조색4 65 13" xfId="10689"/>
    <cellStyle name="20% - 강조색4 65 14" xfId="6296"/>
    <cellStyle name="20% - 강조색4 65 15" xfId="9497"/>
    <cellStyle name="20% - 강조색4 65 2" xfId="6683"/>
    <cellStyle name="20% - 강조색4 65 3" xfId="7298"/>
    <cellStyle name="20% - 강조색4 65 4" xfId="7348"/>
    <cellStyle name="20% - 강조색4 65 5" xfId="970"/>
    <cellStyle name="20% - 강조색4 65 6" xfId="5143"/>
    <cellStyle name="20% - 강조색4 65 7" xfId="1910"/>
    <cellStyle name="20% - 강조색4 65 8" xfId="4937"/>
    <cellStyle name="20% - 강조색4 65 9" xfId="9218"/>
    <cellStyle name="20% - 강조색4 66" xfId="5100"/>
    <cellStyle name="20% - 강조색4 66 10" xfId="8889"/>
    <cellStyle name="20% - 강조색4 66 11" xfId="9724"/>
    <cellStyle name="20% - 강조색4 66 12" xfId="8420"/>
    <cellStyle name="20% - 강조색4 66 13" xfId="10422"/>
    <cellStyle name="20% - 강조색4 66 14" xfId="10860"/>
    <cellStyle name="20% - 강조색4 66 15" xfId="8741"/>
    <cellStyle name="20% - 강조색4 66 2" xfId="6658"/>
    <cellStyle name="20% - 강조색4 66 3" xfId="6789"/>
    <cellStyle name="20% - 강조색4 66 4" xfId="7332"/>
    <cellStyle name="20% - 강조색4 66 5" xfId="1503"/>
    <cellStyle name="20% - 강조색4 66 6" xfId="6770"/>
    <cellStyle name="20% - 강조색4 66 7" xfId="2962"/>
    <cellStyle name="20% - 강조색4 66 8" xfId="8925"/>
    <cellStyle name="20% - 강조색4 66 9" xfId="8797"/>
    <cellStyle name="20% - 강조색4 67" xfId="4986"/>
    <cellStyle name="20% - 강조색4 67 10" xfId="8552"/>
    <cellStyle name="20% - 강조색4 67 11" xfId="9768"/>
    <cellStyle name="20% - 강조색4 67 12" xfId="10180"/>
    <cellStyle name="20% - 강조색4 67 13" xfId="8814"/>
    <cellStyle name="20% - 강조색4 67 14" xfId="10771"/>
    <cellStyle name="20% - 강조색4 67 15" xfId="10121"/>
    <cellStyle name="20% - 강조색4 67 2" xfId="6654"/>
    <cellStyle name="20% - 강조색4 67 3" xfId="6879"/>
    <cellStyle name="20% - 강조색4 67 4" xfId="6901"/>
    <cellStyle name="20% - 강조색4 67 5" xfId="3393"/>
    <cellStyle name="20% - 강조색4 67 6" xfId="7963"/>
    <cellStyle name="20% - 강조색4 67 7" xfId="787"/>
    <cellStyle name="20% - 강조색4 67 8" xfId="8851"/>
    <cellStyle name="20% - 강조색4 67 9" xfId="9209"/>
    <cellStyle name="20% - 강조색4 68" xfId="6327"/>
    <cellStyle name="20% - 강조색4 68 10" xfId="8192"/>
    <cellStyle name="20% - 강조색4 68 11" xfId="10276"/>
    <cellStyle name="20% - 강조색4 68 12" xfId="9443"/>
    <cellStyle name="20% - 강조색4 68 13" xfId="10765"/>
    <cellStyle name="20% - 강조색4 68 14" xfId="11116"/>
    <cellStyle name="20% - 강조색4 68 2" xfId="7343"/>
    <cellStyle name="20% - 강조색4 68 3" xfId="7380"/>
    <cellStyle name="20% - 강조색4 68 4" xfId="7869"/>
    <cellStyle name="20% - 강조색4 68 5" xfId="2182"/>
    <cellStyle name="20% - 강조색4 68 6" xfId="810"/>
    <cellStyle name="20% - 강조색4 68 7" xfId="9009"/>
    <cellStyle name="20% - 강조색4 68 8" xfId="8016"/>
    <cellStyle name="20% - 강조색4 68 9" xfId="7729"/>
    <cellStyle name="20% - 강조색4 69" xfId="7027"/>
    <cellStyle name="20% - 강조색4 69 10" xfId="10667"/>
    <cellStyle name="20% - 강조색4 69 11" xfId="10794"/>
    <cellStyle name="20% - 강조색4 69 12" xfId="3520"/>
    <cellStyle name="20% - 강조색4 69 2" xfId="7881"/>
    <cellStyle name="20% - 강조색4 69 3" xfId="8275"/>
    <cellStyle name="20% - 강조색4 69 4" xfId="8139"/>
    <cellStyle name="20% - 강조색4 69 5" xfId="4694"/>
    <cellStyle name="20% - 강조색4 69 6" xfId="7697"/>
    <cellStyle name="20% - 강조색4 69 7" xfId="8754"/>
    <cellStyle name="20% - 강조색4 69 8" xfId="9941"/>
    <cellStyle name="20% - 강조색4 69 9" xfId="10289"/>
    <cellStyle name="20% - 강조색4 7" xfId="113"/>
    <cellStyle name="20% - 강조색4 70" xfId="7369"/>
    <cellStyle name="20% - 강조색4 70 10" xfId="10471"/>
    <cellStyle name="20% - 강조색4 70 11" xfId="10766"/>
    <cellStyle name="20% - 강조색4 70 12" xfId="11045"/>
    <cellStyle name="20% - 강조색4 70 2" xfId="7897"/>
    <cellStyle name="20% - 강조색4 70 3" xfId="8291"/>
    <cellStyle name="20% - 강조색4 70 4" xfId="8653"/>
    <cellStyle name="20% - 강조색4 70 5" xfId="7553"/>
    <cellStyle name="20% - 강조색4 70 6" xfId="7439"/>
    <cellStyle name="20% - 강조색4 70 7" xfId="9470"/>
    <cellStyle name="20% - 강조색4 70 8" xfId="9796"/>
    <cellStyle name="20% - 강조색4 70 9" xfId="10209"/>
    <cellStyle name="20% - 강조색4 71" xfId="7849"/>
    <cellStyle name="20% - 강조색4 71 10" xfId="10838"/>
    <cellStyle name="20% - 강조색4 71 11" xfId="11202"/>
    <cellStyle name="20% - 강조색4 71 2" xfId="8302"/>
    <cellStyle name="20% - 강조색4 71 3" xfId="8664"/>
    <cellStyle name="20% - 강조색4 71 4" xfId="9028"/>
    <cellStyle name="20% - 강조색4 71 5" xfId="9386"/>
    <cellStyle name="20% - 강조색4 71 6" xfId="3888"/>
    <cellStyle name="20% - 강조색4 71 7" xfId="9873"/>
    <cellStyle name="20% - 강조색4 71 8" xfId="10249"/>
    <cellStyle name="20% - 강조색4 71 9" xfId="10525"/>
    <cellStyle name="20% - 강조색4 72" xfId="8166"/>
    <cellStyle name="20% - 강조색4 72 10" xfId="7700"/>
    <cellStyle name="20% - 강조색4 72 2" xfId="8669"/>
    <cellStyle name="20% - 강조색4 72 3" xfId="9033"/>
    <cellStyle name="20% - 강조색4 72 4" xfId="9392"/>
    <cellStyle name="20% - 강조색4 72 5" xfId="9607"/>
    <cellStyle name="20% - 강조색4 72 6" xfId="9951"/>
    <cellStyle name="20% - 강조색4 72 7" xfId="8715"/>
    <cellStyle name="20% - 강조색4 72 8" xfId="9211"/>
    <cellStyle name="20% - 강조색4 72 9" xfId="10984"/>
    <cellStyle name="20% - 강조색4 73" xfId="8629"/>
    <cellStyle name="20% - 강조색4 73 2" xfId="9047"/>
    <cellStyle name="20% - 강조색4 73 3" xfId="9406"/>
    <cellStyle name="20% - 강조색4 73 4" xfId="9738"/>
    <cellStyle name="20% - 강조색4 73 5" xfId="10064"/>
    <cellStyle name="20% - 강조색4 73 6" xfId="10195"/>
    <cellStyle name="20% - 강조색4 73 7" xfId="8490"/>
    <cellStyle name="20% - 강조색4 73 8" xfId="10760"/>
    <cellStyle name="20% - 강조색4 73 9" xfId="11180"/>
    <cellStyle name="20% - 강조색4 74" xfId="9005"/>
    <cellStyle name="20% - 강조색4 74 2" xfId="9415"/>
    <cellStyle name="20% - 강조색4 74 3" xfId="9747"/>
    <cellStyle name="20% - 강조색4 74 4" xfId="10073"/>
    <cellStyle name="20% - 강조색4 74 5" xfId="10386"/>
    <cellStyle name="20% - 강조색4 74 6" xfId="10161"/>
    <cellStyle name="20% - 강조색4 74 7" xfId="10752"/>
    <cellStyle name="20% - 강조색4 74 8" xfId="10473"/>
    <cellStyle name="20% - 강조색4 75" xfId="9374"/>
    <cellStyle name="20% - 강조색4 75 2" xfId="9756"/>
    <cellStyle name="20% - 강조색4 75 3" xfId="10082"/>
    <cellStyle name="20% - 강조색4 75 4" xfId="10395"/>
    <cellStyle name="20% - 강조색4 75 5" xfId="10704"/>
    <cellStyle name="20% - 강조색4 75 6" xfId="6704"/>
    <cellStyle name="20% - 강조색4 75 7" xfId="10055"/>
    <cellStyle name="20% - 강조색4 76" xfId="4813"/>
    <cellStyle name="20% - 강조색4 76 2" xfId="9966"/>
    <cellStyle name="20% - 강조색4 76 3" xfId="10347"/>
    <cellStyle name="20% - 강조색4 76 4" xfId="9762"/>
    <cellStyle name="20% - 강조색4 76 5" xfId="2744"/>
    <cellStyle name="20% - 강조색4 76 6" xfId="10733"/>
    <cellStyle name="20% - 강조색4 77" xfId="9993"/>
    <cellStyle name="20% - 강조색4 77 2" xfId="10411"/>
    <cellStyle name="20% - 강조색4 77 3" xfId="10722"/>
    <cellStyle name="20% - 강조색4 77 4" xfId="11006"/>
    <cellStyle name="20% - 강조색4 77 5" xfId="11282"/>
    <cellStyle name="20% - 강조색4 78" xfId="10375"/>
    <cellStyle name="20% - 강조색4 78 2" xfId="10731"/>
    <cellStyle name="20% - 강조색4 78 3" xfId="11015"/>
    <cellStyle name="20% - 강조색4 78 4" xfId="11292"/>
    <cellStyle name="20% - 강조색4 79" xfId="10683"/>
    <cellStyle name="20% - 강조색4 79 2" xfId="11023"/>
    <cellStyle name="20% - 강조색4 79 3" xfId="11301"/>
    <cellStyle name="20% - 강조색4 8" xfId="126"/>
    <cellStyle name="20% - 강조색4 80" xfId="10987"/>
    <cellStyle name="20% - 강조색4 80 2" xfId="11312"/>
    <cellStyle name="20% - 강조색4 81" xfId="11272"/>
    <cellStyle name="20% - 강조색4 82" xfId="1186"/>
    <cellStyle name="20% - 강조색4 83" xfId="11358"/>
    <cellStyle name="20% - 강조색4 84" xfId="11351"/>
    <cellStyle name="20% - 강조색4 85" xfId="11422"/>
    <cellStyle name="20% - 강조색4 86" xfId="11444"/>
    <cellStyle name="20% - 강조색4 9" xfId="139"/>
    <cellStyle name="20% - 강조색5" xfId="37" builtinId="46" customBuiltin="1"/>
    <cellStyle name="20% - 강조색5 10" xfId="176"/>
    <cellStyle name="20% - 강조색5 11" xfId="189"/>
    <cellStyle name="20% - 강조색5 12" xfId="202"/>
    <cellStyle name="20% - 강조색5 13" xfId="215"/>
    <cellStyle name="20% - 강조색5 14" xfId="228"/>
    <cellStyle name="20% - 강조색5 15" xfId="241"/>
    <cellStyle name="20% - 강조색5 16" xfId="254"/>
    <cellStyle name="20% - 강조색5 17" xfId="267"/>
    <cellStyle name="20% - 강조색5 18" xfId="280"/>
    <cellStyle name="20% - 강조색5 19" xfId="293"/>
    <cellStyle name="20% - 강조색5 2" xfId="54"/>
    <cellStyle name="20% - 강조색5 20" xfId="306"/>
    <cellStyle name="20% - 강조색5 21" xfId="319"/>
    <cellStyle name="20% - 강조색5 22" xfId="332"/>
    <cellStyle name="20% - 강조색5 23" xfId="345"/>
    <cellStyle name="20% - 강조색5 24" xfId="358"/>
    <cellStyle name="20% - 강조색5 25" xfId="371"/>
    <cellStyle name="20% - 강조색5 26" xfId="384"/>
    <cellStyle name="20% - 강조색5 27" xfId="397"/>
    <cellStyle name="20% - 강조색5 28" xfId="410"/>
    <cellStyle name="20% - 강조색5 29" xfId="423"/>
    <cellStyle name="20% - 강조색5 3" xfId="84"/>
    <cellStyle name="20% - 강조색5 30" xfId="436"/>
    <cellStyle name="20% - 강조색5 31" xfId="448"/>
    <cellStyle name="20% - 강조색5 32" xfId="460"/>
    <cellStyle name="20% - 강조색5 33" xfId="472"/>
    <cellStyle name="20% - 강조색5 34" xfId="484"/>
    <cellStyle name="20% - 강조색5 35" xfId="495"/>
    <cellStyle name="20% - 강조색5 36" xfId="506"/>
    <cellStyle name="20% - 강조색5 37" xfId="517"/>
    <cellStyle name="20% - 강조색5 38" xfId="527"/>
    <cellStyle name="20% - 강조색5 39" xfId="535"/>
    <cellStyle name="20% - 강조색5 4" xfId="98"/>
    <cellStyle name="20% - 강조색5 40" xfId="553"/>
    <cellStyle name="20% - 강조색5 40 10" xfId="2485"/>
    <cellStyle name="20% - 강조색5 40 11" xfId="1945"/>
    <cellStyle name="20% - 강조색5 40 12" xfId="3981"/>
    <cellStyle name="20% - 강조색5 40 13" xfId="4143"/>
    <cellStyle name="20% - 강조색5 40 14" xfId="4670"/>
    <cellStyle name="20% - 강조색5 40 15" xfId="3388"/>
    <cellStyle name="20% - 강조색5 40 16" xfId="5398"/>
    <cellStyle name="20% - 강조색5 40 17" xfId="5513"/>
    <cellStyle name="20% - 강조색5 40 18" xfId="1906"/>
    <cellStyle name="20% - 강조색5 40 19" xfId="6603"/>
    <cellStyle name="20% - 강조색5 40 2" xfId="601"/>
    <cellStyle name="20% - 강조색5 40 20" xfId="6735"/>
    <cellStyle name="20% - 강조색5 40 21" xfId="6380"/>
    <cellStyle name="20% - 강조색5 40 22" xfId="7766"/>
    <cellStyle name="20% - 강조색5 40 23" xfId="4184"/>
    <cellStyle name="20% - 강조색5 40 24" xfId="8514"/>
    <cellStyle name="20% - 강조색5 40 25" xfId="1518"/>
    <cellStyle name="20% - 강조색5 40 26" xfId="9135"/>
    <cellStyle name="20% - 강조색5 40 27" xfId="9620"/>
    <cellStyle name="20% - 강조색5 40 28" xfId="9868"/>
    <cellStyle name="20% - 강조색5 40 29" xfId="6088"/>
    <cellStyle name="20% - 강조색5 40 3" xfId="1012"/>
    <cellStyle name="20% - 강조색5 40 30" xfId="10665"/>
    <cellStyle name="20% - 강조색5 40 31" xfId="10954"/>
    <cellStyle name="20% - 강조색5 40 32" xfId="11026"/>
    <cellStyle name="20% - 강조색5 40 33" xfId="11323"/>
    <cellStyle name="20% - 강조색5 40 34" xfId="558"/>
    <cellStyle name="20% - 강조색5 40 35" xfId="11357"/>
    <cellStyle name="20% - 강조색5 40 36" xfId="11391"/>
    <cellStyle name="20% - 강조색5 40 4" xfId="1276"/>
    <cellStyle name="20% - 강조색5 40 5" xfId="1663"/>
    <cellStyle name="20% - 강조색5 40 6" xfId="1358"/>
    <cellStyle name="20% - 강조색5 40 7" xfId="2316"/>
    <cellStyle name="20% - 강조색5 40 8" xfId="2684"/>
    <cellStyle name="20% - 강조색5 40 9" xfId="2993"/>
    <cellStyle name="20% - 강조색5 41" xfId="643"/>
    <cellStyle name="20% - 강조색5 41 10" xfId="3315"/>
    <cellStyle name="20% - 강조색5 41 11" xfId="3507"/>
    <cellStyle name="20% - 강조색5 41 12" xfId="4042"/>
    <cellStyle name="20% - 강조색5 41 13" xfId="4360"/>
    <cellStyle name="20% - 강조색5 41 14" xfId="3800"/>
    <cellStyle name="20% - 강조색5 41 15" xfId="916"/>
    <cellStyle name="20% - 강조색5 41 16" xfId="4881"/>
    <cellStyle name="20% - 강조색5 41 17" xfId="5495"/>
    <cellStyle name="20% - 강조색5 41 18" xfId="4466"/>
    <cellStyle name="20% - 강조색5 41 19" xfId="3929"/>
    <cellStyle name="20% - 강조색5 41 2" xfId="1146"/>
    <cellStyle name="20% - 강조색5 41 20" xfId="7117"/>
    <cellStyle name="20% - 강조색5 41 21" xfId="6592"/>
    <cellStyle name="20% - 강조색5 41 22" xfId="4275"/>
    <cellStyle name="20% - 강조색5 41 23" xfId="8091"/>
    <cellStyle name="20% - 강조색5 41 24" xfId="8383"/>
    <cellStyle name="20% - 강조색5 41 25" xfId="8698"/>
    <cellStyle name="20% - 강조색5 41 26" xfId="6820"/>
    <cellStyle name="20% - 강조색5 41 27" xfId="9491"/>
    <cellStyle name="20% - 강조색5 41 28" xfId="9957"/>
    <cellStyle name="20% - 강조색5 41 29" xfId="2088"/>
    <cellStyle name="20% - 강조색5 41 3" xfId="1226"/>
    <cellStyle name="20% - 강조색5 41 30" xfId="6711"/>
    <cellStyle name="20% - 강조색5 41 31" xfId="4427"/>
    <cellStyle name="20% - 강조색5 41 32" xfId="11207"/>
    <cellStyle name="20% - 강조색5 41 4" xfId="1318"/>
    <cellStyle name="20% - 강조색5 41 5" xfId="1759"/>
    <cellStyle name="20% - 강조색5 41 6" xfId="1539"/>
    <cellStyle name="20% - 강조색5 41 7" xfId="2313"/>
    <cellStyle name="20% - 강조색5 41 8" xfId="837"/>
    <cellStyle name="20% - 강조색5 41 9" xfId="2985"/>
    <cellStyle name="20% - 강조색5 42" xfId="644"/>
    <cellStyle name="20% - 강조색5 42 10" xfId="3301"/>
    <cellStyle name="20% - 강조색5 42 11" xfId="1443"/>
    <cellStyle name="20% - 강조색5 42 12" xfId="3046"/>
    <cellStyle name="20% - 강조색5 42 13" xfId="4306"/>
    <cellStyle name="20% - 강조색5 42 14" xfId="4588"/>
    <cellStyle name="20% - 강조색5 42 15" xfId="5637"/>
    <cellStyle name="20% - 강조색5 42 16" xfId="5704"/>
    <cellStyle name="20% - 강조색5 42 17" xfId="5713"/>
    <cellStyle name="20% - 강조색5 42 18" xfId="5578"/>
    <cellStyle name="20% - 강조색5 42 19" xfId="6376"/>
    <cellStyle name="20% - 강조색5 42 2" xfId="1147"/>
    <cellStyle name="20% - 강조색5 42 20" xfId="7104"/>
    <cellStyle name="20% - 강조색5 42 21" xfId="4282"/>
    <cellStyle name="20% - 강조색5 42 22" xfId="4453"/>
    <cellStyle name="20% - 강조색5 42 23" xfId="7611"/>
    <cellStyle name="20% - 강조색5 42 24" xfId="3814"/>
    <cellStyle name="20% - 강조색5 42 25" xfId="8855"/>
    <cellStyle name="20% - 강조색5 42 26" xfId="9325"/>
    <cellStyle name="20% - 강조색5 42 27" xfId="9686"/>
    <cellStyle name="20% - 강조색5 42 28" xfId="3749"/>
    <cellStyle name="20% - 강조색5 42 29" xfId="10299"/>
    <cellStyle name="20% - 강조색5 42 3" xfId="1227"/>
    <cellStyle name="20% - 강조색5 42 30" xfId="10659"/>
    <cellStyle name="20% - 강조색5 42 31" xfId="9150"/>
    <cellStyle name="20% - 강조색5 42 32" xfId="11074"/>
    <cellStyle name="20% - 강조색5 42 4" xfId="1319"/>
    <cellStyle name="20% - 강조색5 42 5" xfId="1682"/>
    <cellStyle name="20% - 강조색5 42 6" xfId="2057"/>
    <cellStyle name="20% - 강조색5 42 7" xfId="2327"/>
    <cellStyle name="20% - 강조색5 42 8" xfId="2643"/>
    <cellStyle name="20% - 강조색5 42 9" xfId="2824"/>
    <cellStyle name="20% - 강조색5 43" xfId="648"/>
    <cellStyle name="20% - 강조색5 43 10" xfId="697"/>
    <cellStyle name="20% - 강조색5 43 11" xfId="3411"/>
    <cellStyle name="20% - 강조색5 43 12" xfId="3865"/>
    <cellStyle name="20% - 강조색5 43 13" xfId="4301"/>
    <cellStyle name="20% - 강조색5 43 14" xfId="4577"/>
    <cellStyle name="20% - 강조색5 43 15" xfId="4988"/>
    <cellStyle name="20% - 강조색5 43 16" xfId="1990"/>
    <cellStyle name="20% - 강조색5 43 17" xfId="786"/>
    <cellStyle name="20% - 강조색5 43 18" xfId="5537"/>
    <cellStyle name="20% - 강조색5 43 19" xfId="6612"/>
    <cellStyle name="20% - 강조색5 43 2" xfId="1151"/>
    <cellStyle name="20% - 강조색5 43 20" xfId="6213"/>
    <cellStyle name="20% - 강조색5 43 21" xfId="4424"/>
    <cellStyle name="20% - 강조색5 43 22" xfId="7593"/>
    <cellStyle name="20% - 강조색5 43 23" xfId="7995"/>
    <cellStyle name="20% - 강조색5 43 24" xfId="8393"/>
    <cellStyle name="20% - 강조색5 43 25" xfId="7549"/>
    <cellStyle name="20% - 강조색5 43 26" xfId="3880"/>
    <cellStyle name="20% - 강조색5 43 27" xfId="9682"/>
    <cellStyle name="20% - 강조색5 43 28" xfId="6157"/>
    <cellStyle name="20% - 강조색5 43 29" xfId="10361"/>
    <cellStyle name="20% - 강조색5 43 3" xfId="1231"/>
    <cellStyle name="20% - 강조색5 43 30" xfId="4941"/>
    <cellStyle name="20% - 강조색5 43 31" xfId="10173"/>
    <cellStyle name="20% - 강조색5 43 32" xfId="7620"/>
    <cellStyle name="20% - 강조색5 43 4" xfId="1323"/>
    <cellStyle name="20% - 강조색5 43 5" xfId="1704"/>
    <cellStyle name="20% - 강조색5 43 6" xfId="1895"/>
    <cellStyle name="20% - 강조색5 43 7" xfId="2244"/>
    <cellStyle name="20% - 강조색5 43 8" xfId="1950"/>
    <cellStyle name="20% - 강조색5 43 9" xfId="2932"/>
    <cellStyle name="20% - 강조색5 44" xfId="626"/>
    <cellStyle name="20% - 강조색5 44 10" xfId="3346"/>
    <cellStyle name="20% - 강조색5 44 11" xfId="3644"/>
    <cellStyle name="20% - 강조색5 44 12" xfId="3822"/>
    <cellStyle name="20% - 강조색5 44 13" xfId="4226"/>
    <cellStyle name="20% - 강조색5 44 14" xfId="4172"/>
    <cellStyle name="20% - 강조색5 44 15" xfId="3567"/>
    <cellStyle name="20% - 강조색5 44 16" xfId="5614"/>
    <cellStyle name="20% - 강조색5 44 17" xfId="1959"/>
    <cellStyle name="20% - 강조색5 44 18" xfId="5062"/>
    <cellStyle name="20% - 강조색5 44 19" xfId="6607"/>
    <cellStyle name="20% - 강조색5 44 2" xfId="1129"/>
    <cellStyle name="20% - 강조색5 44 20" xfId="7053"/>
    <cellStyle name="20% - 강조색5 44 21" xfId="3956"/>
    <cellStyle name="20% - 강조색5 44 22" xfId="4447"/>
    <cellStyle name="20% - 강조색5 44 23" xfId="4430"/>
    <cellStyle name="20% - 강조색5 44 24" xfId="5078"/>
    <cellStyle name="20% - 강조색5 44 25" xfId="8936"/>
    <cellStyle name="20% - 강조색5 44 26" xfId="8311"/>
    <cellStyle name="20% - 강조색5 44 27" xfId="9716"/>
    <cellStyle name="20% - 강조색5 44 28" xfId="6430"/>
    <cellStyle name="20% - 강조색5 44 29" xfId="10112"/>
    <cellStyle name="20% - 강조색5 44 3" xfId="1209"/>
    <cellStyle name="20% - 강조색5 44 30" xfId="10617"/>
    <cellStyle name="20% - 강조색5 44 31" xfId="4156"/>
    <cellStyle name="20% - 강조색5 44 32" xfId="11246"/>
    <cellStyle name="20% - 강조색5 44 4" xfId="1301"/>
    <cellStyle name="20% - 강조색5 44 5" xfId="1758"/>
    <cellStyle name="20% - 강조색5 44 6" xfId="870"/>
    <cellStyle name="20% - 강조색5 44 7" xfId="880"/>
    <cellStyle name="20% - 강조색5 44 8" xfId="2603"/>
    <cellStyle name="20% - 강조색5 44 9" xfId="2916"/>
    <cellStyle name="20% - 강조색5 45" xfId="615"/>
    <cellStyle name="20% - 강조색5 45 10" xfId="834"/>
    <cellStyle name="20% - 강조색5 45 11" xfId="3648"/>
    <cellStyle name="20% - 강조색5 45 12" xfId="3995"/>
    <cellStyle name="20% - 강조색5 45 13" xfId="4346"/>
    <cellStyle name="20% - 강조색5 45 14" xfId="4592"/>
    <cellStyle name="20% - 강조색5 45 15" xfId="5294"/>
    <cellStyle name="20% - 강조색5 45 16" xfId="1901"/>
    <cellStyle name="20% - 강조색5 45 17" xfId="3294"/>
    <cellStyle name="20% - 강조색5 45 18" xfId="5321"/>
    <cellStyle name="20% - 강조색5 45 19" xfId="6319"/>
    <cellStyle name="20% - 강조색5 45 2" xfId="1118"/>
    <cellStyle name="20% - 강조색5 45 20" xfId="7189"/>
    <cellStyle name="20% - 강조색5 45 21" xfId="6844"/>
    <cellStyle name="20% - 강조색5 45 22" xfId="6872"/>
    <cellStyle name="20% - 강조색5 45 23" xfId="8084"/>
    <cellStyle name="20% - 강조색5 45 24" xfId="7105"/>
    <cellStyle name="20% - 강조색5 45 25" xfId="2196"/>
    <cellStyle name="20% - 강조색5 45 26" xfId="8693"/>
    <cellStyle name="20% - 강조색5 45 27" xfId="4197"/>
    <cellStyle name="20% - 강조색5 45 28" xfId="9543"/>
    <cellStyle name="20% - 강조색5 45 29" xfId="10093"/>
    <cellStyle name="20% - 강조색5 45 3" xfId="1198"/>
    <cellStyle name="20% - 강조색5 45 30" xfId="10485"/>
    <cellStyle name="20% - 강조색5 45 31" xfId="10992"/>
    <cellStyle name="20% - 강조색5 45 32" xfId="11044"/>
    <cellStyle name="20% - 강조색5 45 4" xfId="1290"/>
    <cellStyle name="20% - 강조색5 45 5" xfId="1694"/>
    <cellStyle name="20% - 강조색5 45 6" xfId="818"/>
    <cellStyle name="20% - 강조색5 45 7" xfId="2314"/>
    <cellStyle name="20% - 강조색5 45 8" xfId="2497"/>
    <cellStyle name="20% - 강조색5 45 9" xfId="2874"/>
    <cellStyle name="20% - 강조색5 46" xfId="606"/>
    <cellStyle name="20% - 강조색5 46 10" xfId="3143"/>
    <cellStyle name="20% - 강조색5 46 11" xfId="3455"/>
    <cellStyle name="20% - 강조색5 46 12" xfId="3805"/>
    <cellStyle name="20% - 강조색5 46 13" xfId="4218"/>
    <cellStyle name="20% - 강조색5 46 14" xfId="4639"/>
    <cellStyle name="20% - 강조색5 46 15" xfId="5622"/>
    <cellStyle name="20% - 강조색5 46 16" xfId="5233"/>
    <cellStyle name="20% - 강조색5 46 17" xfId="5276"/>
    <cellStyle name="20% - 강조색5 46 18" xfId="4181"/>
    <cellStyle name="20% - 강조색5 46 19" xfId="6551"/>
    <cellStyle name="20% - 강조색5 46 2" xfId="1109"/>
    <cellStyle name="20% - 강조색5 46 20" xfId="2105"/>
    <cellStyle name="20% - 강조색5 46 21" xfId="3058"/>
    <cellStyle name="20% - 강조색5 46 22" xfId="5177"/>
    <cellStyle name="20% - 강조색5 46 23" xfId="8116"/>
    <cellStyle name="20% - 강조색5 46 24" xfId="8574"/>
    <cellStyle name="20% - 강조색5 46 25" xfId="3202"/>
    <cellStyle name="20% - 강조색5 46 26" xfId="6100"/>
    <cellStyle name="20% - 강조색5 46 27" xfId="8115"/>
    <cellStyle name="20% - 강조색5 46 28" xfId="9984"/>
    <cellStyle name="20% - 강조색5 46 29" xfId="10313"/>
    <cellStyle name="20% - 강조색5 46 3" xfId="1189"/>
    <cellStyle name="20% - 강조색5 46 30" xfId="6201"/>
    <cellStyle name="20% - 강조색5 46 31" xfId="6140"/>
    <cellStyle name="20% - 강조색5 46 32" xfId="8801"/>
    <cellStyle name="20% - 강조색5 46 4" xfId="1281"/>
    <cellStyle name="20% - 강조색5 46 5" xfId="1699"/>
    <cellStyle name="20% - 강조색5 46 6" xfId="1519"/>
    <cellStyle name="20% - 강조색5 46 7" xfId="2208"/>
    <cellStyle name="20% - 강조색5 46 8" xfId="2529"/>
    <cellStyle name="20% - 강조색5 46 9" xfId="2735"/>
    <cellStyle name="20% - 강조색5 47" xfId="578"/>
    <cellStyle name="20% - 강조색5 47 10" xfId="4328"/>
    <cellStyle name="20% - 강조색5 47 11" xfId="4674"/>
    <cellStyle name="20% - 강조색5 47 12" xfId="4904"/>
    <cellStyle name="20% - 강조색5 47 13" xfId="5247"/>
    <cellStyle name="20% - 강조색5 47 14" xfId="2397"/>
    <cellStyle name="20% - 강조색5 47 15" xfId="4890"/>
    <cellStyle name="20% - 강조색5 47 16" xfId="2250"/>
    <cellStyle name="20% - 강조색5 47 17" xfId="6424"/>
    <cellStyle name="20% - 강조색5 47 18" xfId="7209"/>
    <cellStyle name="20% - 강조색5 47 19" xfId="1442"/>
    <cellStyle name="20% - 강조색5 47 2" xfId="1033"/>
    <cellStyle name="20% - 강조색5 47 20" xfId="8197"/>
    <cellStyle name="20% - 강조색5 47 21" xfId="5104"/>
    <cellStyle name="20% - 강조색5 47 22" xfId="8967"/>
    <cellStyle name="20% - 강조색5 47 23" xfId="9235"/>
    <cellStyle name="20% - 강조색5 47 24" xfId="9281"/>
    <cellStyle name="20% - 강조색5 47 25" xfId="9992"/>
    <cellStyle name="20% - 강조색5 47 26" xfId="10251"/>
    <cellStyle name="20% - 강조색5 47 27" xfId="8756"/>
    <cellStyle name="20% - 강조색5 47 28" xfId="6306"/>
    <cellStyle name="20% - 강조색5 47 29" xfId="10890"/>
    <cellStyle name="20% - 강조색5 47 3" xfId="2020"/>
    <cellStyle name="20% - 강조색5 47 30" xfId="11327"/>
    <cellStyle name="20% - 강조색5 47 31" xfId="11434"/>
    <cellStyle name="20% - 강조색5 47 32" xfId="11435"/>
    <cellStyle name="20% - 강조색5 47 33" xfId="11436"/>
    <cellStyle name="20% - 강조색5 47 4" xfId="2347"/>
    <cellStyle name="20% - 강조색5 47 5" xfId="956"/>
    <cellStyle name="20% - 강조색5 47 6" xfId="1927"/>
    <cellStyle name="20% - 강조색5 47 7" xfId="3282"/>
    <cellStyle name="20% - 강조색5 47 8" xfId="3689"/>
    <cellStyle name="20% - 강조색5 47 9" xfId="2861"/>
    <cellStyle name="20% - 강조색5 48" xfId="1045"/>
    <cellStyle name="20% - 강조색5 48 10" xfId="4234"/>
    <cellStyle name="20% - 강조색5 48 11" xfId="4583"/>
    <cellStyle name="20% - 강조색5 48 12" xfId="5590"/>
    <cellStyle name="20% - 강조색5 48 13" xfId="5464"/>
    <cellStyle name="20% - 강조색5 48 14" xfId="2774"/>
    <cellStyle name="20% - 강조색5 48 15" xfId="4991"/>
    <cellStyle name="20% - 강조색5 48 16" xfId="4132"/>
    <cellStyle name="20% - 강조색5 48 17" xfId="6947"/>
    <cellStyle name="20% - 강조색5 48 18" xfId="7339"/>
    <cellStyle name="20% - 강조색5 48 19" xfId="7777"/>
    <cellStyle name="20% - 강조색5 48 2" xfId="1720"/>
    <cellStyle name="20% - 강조색5 48 20" xfId="8103"/>
    <cellStyle name="20% - 강조색5 48 21" xfId="8599"/>
    <cellStyle name="20% - 강조색5 48 22" xfId="7428"/>
    <cellStyle name="20% - 강조색5 48 23" xfId="6550"/>
    <cellStyle name="20% - 강조색5 48 24" xfId="9544"/>
    <cellStyle name="20% - 강조색5 48 25" xfId="9772"/>
    <cellStyle name="20% - 강조색5 48 26" xfId="10201"/>
    <cellStyle name="20% - 강조색5 48 27" xfId="10620"/>
    <cellStyle name="20% - 강조색5 48 28" xfId="10445"/>
    <cellStyle name="20% - 강조색5 48 29" xfId="9522"/>
    <cellStyle name="20% - 강조색5 48 3" xfId="913"/>
    <cellStyle name="20% - 강조색5 48 4" xfId="2220"/>
    <cellStyle name="20% - 강조색5 48 5" xfId="2499"/>
    <cellStyle name="20% - 강조색5 48 6" xfId="823"/>
    <cellStyle name="20% - 강조색5 48 7" xfId="3130"/>
    <cellStyle name="20% - 강조색5 48 8" xfId="3439"/>
    <cellStyle name="20% - 강조색5 48 9" xfId="4016"/>
    <cellStyle name="20% - 강조색5 49" xfId="1038"/>
    <cellStyle name="20% - 강조색5 49 10" xfId="4292"/>
    <cellStyle name="20% - 강조색5 49 11" xfId="4716"/>
    <cellStyle name="20% - 강조색5 49 12" xfId="3945"/>
    <cellStyle name="20% - 강조색5 49 13" xfId="5821"/>
    <cellStyle name="20% - 강조색5 49 14" xfId="5900"/>
    <cellStyle name="20% - 강조색5 49 15" xfId="5958"/>
    <cellStyle name="20% - 강조색5 49 16" xfId="784"/>
    <cellStyle name="20% - 강조색5 49 17" xfId="6174"/>
    <cellStyle name="20% - 강조색5 49 18" xfId="7229"/>
    <cellStyle name="20% - 강조색5 49 19" xfId="7635"/>
    <cellStyle name="20% - 강조색5 49 2" xfId="1697"/>
    <cellStyle name="20% - 강조색5 49 20" xfId="8138"/>
    <cellStyle name="20% - 강조색5 49 21" xfId="8618"/>
    <cellStyle name="20% - 강조색5 49 22" xfId="8863"/>
    <cellStyle name="20% - 강조색5 49 23" xfId="9122"/>
    <cellStyle name="20% - 강조색5 49 24" xfId="9603"/>
    <cellStyle name="20% - 강조색5 49 25" xfId="6547"/>
    <cellStyle name="20% - 강조색5 49 26" xfId="10212"/>
    <cellStyle name="20% - 강조색5 49 27" xfId="10688"/>
    <cellStyle name="20% - 강조색5 49 28" xfId="3471"/>
    <cellStyle name="20% - 강조색5 49 29" xfId="10937"/>
    <cellStyle name="20% - 강조색5 49 3" xfId="1603"/>
    <cellStyle name="20% - 강조색5 49 4" xfId="1461"/>
    <cellStyle name="20% - 강조색5 49 5" xfId="2614"/>
    <cellStyle name="20% - 강조색5 49 6" xfId="2850"/>
    <cellStyle name="20% - 강조색5 49 7" xfId="3245"/>
    <cellStyle name="20% - 강조색5 49 8" xfId="3645"/>
    <cellStyle name="20% - 강조색5 49 9" xfId="1972"/>
    <cellStyle name="20% - 강조색5 5" xfId="111"/>
    <cellStyle name="20% - 강조색5 50" xfId="1016"/>
    <cellStyle name="20% - 강조색5 50 10" xfId="4135"/>
    <cellStyle name="20% - 강조색5 50 11" xfId="4602"/>
    <cellStyle name="20% - 강조색5 50 12" xfId="4450"/>
    <cellStyle name="20% - 강조색5 50 13" xfId="5225"/>
    <cellStyle name="20% - 강조색5 50 14" xfId="5414"/>
    <cellStyle name="20% - 강조색5 50 15" xfId="5102"/>
    <cellStyle name="20% - 강조색5 50 16" xfId="3901"/>
    <cellStyle name="20% - 강조색5 50 17" xfId="7164"/>
    <cellStyle name="20% - 강조색5 50 18" xfId="6919"/>
    <cellStyle name="20% - 강조색5 50 19" xfId="7843"/>
    <cellStyle name="20% - 강조색5 50 2" xfId="1667"/>
    <cellStyle name="20% - 강조색5 50 20" xfId="7931"/>
    <cellStyle name="20% - 강조색5 50 21" xfId="8412"/>
    <cellStyle name="20% - 강조색5 50 22" xfId="7779"/>
    <cellStyle name="20% - 강조색5 50 23" xfId="3469"/>
    <cellStyle name="20% - 강조색5 50 24" xfId="9597"/>
    <cellStyle name="20% - 강조색5 50 25" xfId="8706"/>
    <cellStyle name="20% - 강조색5 50 26" xfId="10326"/>
    <cellStyle name="20% - 강조색5 50 27" xfId="10579"/>
    <cellStyle name="20% - 강조색5 50 28" xfId="10779"/>
    <cellStyle name="20% - 강조색5 50 29" xfId="3152"/>
    <cellStyle name="20% - 강조색5 50 3" xfId="1508"/>
    <cellStyle name="20% - 강조색5 50 4" xfId="2323"/>
    <cellStyle name="20% - 강조색5 50 5" xfId="2617"/>
    <cellStyle name="20% - 강조색5 50 6" xfId="2506"/>
    <cellStyle name="20% - 강조색5 50 7" xfId="3221"/>
    <cellStyle name="20% - 강조색5 50 8" xfId="3497"/>
    <cellStyle name="20% - 강조색5 50 9" xfId="3964"/>
    <cellStyle name="20% - 강조색5 51" xfId="1092"/>
    <cellStyle name="20% - 강조색5 51 10" xfId="4228"/>
    <cellStyle name="20% - 강조색5 51 11" xfId="3812"/>
    <cellStyle name="20% - 강조색5 51 12" xfId="3913"/>
    <cellStyle name="20% - 강조색5 51 13" xfId="5441"/>
    <cellStyle name="20% - 강조색5 51 14" xfId="5613"/>
    <cellStyle name="20% - 강조색5 51 15" xfId="5527"/>
    <cellStyle name="20% - 강조색5 51 16" xfId="3322"/>
    <cellStyle name="20% - 강조색5 51 17" xfId="7174"/>
    <cellStyle name="20% - 강조색5 51 18" xfId="7037"/>
    <cellStyle name="20% - 강조색5 51 19" xfId="3057"/>
    <cellStyle name="20% - 강조색5 51 2" xfId="1805"/>
    <cellStyle name="20% - 강조색5 51 20" xfId="7994"/>
    <cellStyle name="20% - 강조색5 51 21" xfId="8553"/>
    <cellStyle name="20% - 강조색5 51 22" xfId="8890"/>
    <cellStyle name="20% - 강조색5 51 23" xfId="8468"/>
    <cellStyle name="20% - 강조색5 51 24" xfId="9695"/>
    <cellStyle name="20% - 강조색5 51 25" xfId="8780"/>
    <cellStyle name="20% - 강조색5 51 26" xfId="10324"/>
    <cellStyle name="20% - 강조색5 51 27" xfId="10191"/>
    <cellStyle name="20% - 강조색5 51 28" xfId="10870"/>
    <cellStyle name="20% - 강조색5 51 29" xfId="11139"/>
    <cellStyle name="20% - 강조색5 51 3" xfId="1625"/>
    <cellStyle name="20% - 강조색5 51 4" xfId="2349"/>
    <cellStyle name="20% - 강조색5 51 5" xfId="2180"/>
    <cellStyle name="20% - 강조색5 51 6" xfId="1432"/>
    <cellStyle name="20% - 강조색5 51 7" xfId="1441"/>
    <cellStyle name="20% - 강조색5 51 8" xfId="1647"/>
    <cellStyle name="20% - 강조색5 51 9" xfId="4007"/>
    <cellStyle name="20% - 강조색5 52" xfId="1023"/>
    <cellStyle name="20% - 강조색5 52 10" xfId="4247"/>
    <cellStyle name="20% - 강조색5 52 11" xfId="4723"/>
    <cellStyle name="20% - 강조색5 52 12" xfId="4805"/>
    <cellStyle name="20% - 강조색5 52 13" xfId="5823"/>
    <cellStyle name="20% - 강조색5 52 14" xfId="5902"/>
    <cellStyle name="20% - 강조색5 52 15" xfId="5960"/>
    <cellStyle name="20% - 강조색5 52 16" xfId="6289"/>
    <cellStyle name="20% - 강조색5 52 17" xfId="833"/>
    <cellStyle name="20% - 강조색5 52 18" xfId="1453"/>
    <cellStyle name="20% - 강조색5 52 19" xfId="7588"/>
    <cellStyle name="20% - 강조색5 52 2" xfId="1676"/>
    <cellStyle name="20% - 강조색5 52 20" xfId="2461"/>
    <cellStyle name="20% - 강조색5 52 21" xfId="6796"/>
    <cellStyle name="20% - 강조색5 52 22" xfId="4080"/>
    <cellStyle name="20% - 강조색5 52 23" xfId="9332"/>
    <cellStyle name="20% - 강조색5 52 24" xfId="9553"/>
    <cellStyle name="20% - 강조색5 52 25" xfId="9858"/>
    <cellStyle name="20% - 강조색5 52 26" xfId="9260"/>
    <cellStyle name="20% - 강조색5 52 27" xfId="9774"/>
    <cellStyle name="20% - 강조색5 52 28" xfId="8886"/>
    <cellStyle name="20% - 강조색5 52 29" xfId="6818"/>
    <cellStyle name="20% - 강조색5 52 3" xfId="2063"/>
    <cellStyle name="20% - 강조색5 52 4" xfId="2275"/>
    <cellStyle name="20% - 강조색5 52 5" xfId="2671"/>
    <cellStyle name="20% - 강조색5 52 6" xfId="2787"/>
    <cellStyle name="20% - 강조색5 52 7" xfId="3283"/>
    <cellStyle name="20% - 강조색5 52 8" xfId="2522"/>
    <cellStyle name="20% - 강조색5 52 9" xfId="4012"/>
    <cellStyle name="20% - 강조색5 53" xfId="1098"/>
    <cellStyle name="20% - 강조색5 53 10" xfId="4110"/>
    <cellStyle name="20% - 강조색5 53 11" xfId="910"/>
    <cellStyle name="20% - 강조색5 53 12" xfId="5641"/>
    <cellStyle name="20% - 강조색5 53 13" xfId="5657"/>
    <cellStyle name="20% - 강조색5 53 14" xfId="5401"/>
    <cellStyle name="20% - 강조색5 53 15" xfId="5589"/>
    <cellStyle name="20% - 강조색5 53 16" xfId="4869"/>
    <cellStyle name="20% - 강조색5 53 17" xfId="4128"/>
    <cellStyle name="20% - 강조색5 53 18" xfId="6916"/>
    <cellStyle name="20% - 강조색5 53 19" xfId="7633"/>
    <cellStyle name="20% - 강조색5 53 2" xfId="1811"/>
    <cellStyle name="20% - 강조색5 53 20" xfId="4905"/>
    <cellStyle name="20% - 강조색5 53 21" xfId="5117"/>
    <cellStyle name="20% - 강조색5 53 22" xfId="6830"/>
    <cellStyle name="20% - 강조색5 53 23" xfId="4973"/>
    <cellStyle name="20% - 강조색5 53 24" xfId="8803"/>
    <cellStyle name="20% - 강조색5 53 25" xfId="9916"/>
    <cellStyle name="20% - 강조색5 53 26" xfId="10325"/>
    <cellStyle name="20% - 강조색5 53 27" xfId="8449"/>
    <cellStyle name="20% - 강조색5 53 28" xfId="4785"/>
    <cellStyle name="20% - 강조색5 53 29" xfId="11106"/>
    <cellStyle name="20% - 강조색5 53 3" xfId="1406"/>
    <cellStyle name="20% - 강조색5 53 4" xfId="2274"/>
    <cellStyle name="20% - 강조색5 53 5" xfId="2501"/>
    <cellStyle name="20% - 강조색5 53 6" xfId="2880"/>
    <cellStyle name="20% - 강조색5 53 7" xfId="2415"/>
    <cellStyle name="20% - 강조색5 53 8" xfId="2003"/>
    <cellStyle name="20% - 강조색5 53 9" xfId="3509"/>
    <cellStyle name="20% - 강조색5 54" xfId="1608"/>
    <cellStyle name="20% - 강조색5 54 10" xfId="4569"/>
    <cellStyle name="20% - 강조색5 54 11" xfId="5097"/>
    <cellStyle name="20% - 강조색5 54 12" xfId="4830"/>
    <cellStyle name="20% - 강조색5 54 13" xfId="5374"/>
    <cellStyle name="20% - 강조색5 54 14" xfId="5530"/>
    <cellStyle name="20% - 강조색5 54 15" xfId="6540"/>
    <cellStyle name="20% - 강조색5 54 16" xfId="6778"/>
    <cellStyle name="20% - 강조색5 54 17" xfId="6207"/>
    <cellStyle name="20% - 강조색5 54 18" xfId="7809"/>
    <cellStyle name="20% - 강조색5 54 19" xfId="8193"/>
    <cellStyle name="20% - 강조색5 54 2" xfId="2086"/>
    <cellStyle name="20% - 강조색5 54 20" xfId="8610"/>
    <cellStyle name="20% - 강조색5 54 21" xfId="7520"/>
    <cellStyle name="20% - 강조색5 54 22" xfId="9290"/>
    <cellStyle name="20% - 강조색5 54 23" xfId="9713"/>
    <cellStyle name="20% - 강조색5 54 24" xfId="9900"/>
    <cellStyle name="20% - 강조색5 54 25" xfId="10231"/>
    <cellStyle name="20% - 강조색5 54 26" xfId="10449"/>
    <cellStyle name="20% - 강조색5 54 27" xfId="10747"/>
    <cellStyle name="20% - 강조색5 54 28" xfId="9050"/>
    <cellStyle name="20% - 강조색5 54 3" xfId="2368"/>
    <cellStyle name="20% - 강조색5 54 4" xfId="2505"/>
    <cellStyle name="20% - 강조색5 54 5" xfId="2876"/>
    <cellStyle name="20% - 강조색5 54 6" xfId="3145"/>
    <cellStyle name="20% - 강조색5 54 7" xfId="1598"/>
    <cellStyle name="20% - 강조색5 54 8" xfId="3837"/>
    <cellStyle name="20% - 강조색5 54 9" xfId="4118"/>
    <cellStyle name="20% - 강조색5 55" xfId="2026"/>
    <cellStyle name="20% - 강조색5 55 10" xfId="5244"/>
    <cellStyle name="20% - 강조색5 55 11" xfId="4530"/>
    <cellStyle name="20% - 강조색5 55 12" xfId="2207"/>
    <cellStyle name="20% - 강조색5 55 13" xfId="4800"/>
    <cellStyle name="20% - 강조색5 55 14" xfId="6518"/>
    <cellStyle name="20% - 강조색5 55 15" xfId="7011"/>
    <cellStyle name="20% - 강조색5 55 16" xfId="6907"/>
    <cellStyle name="20% - 강조색5 55 17" xfId="7529"/>
    <cellStyle name="20% - 강조색5 55 18" xfId="8194"/>
    <cellStyle name="20% - 강조색5 55 19" xfId="2513"/>
    <cellStyle name="20% - 강조색5 55 2" xfId="2374"/>
    <cellStyle name="20% - 강조색5 55 20" xfId="8846"/>
    <cellStyle name="20% - 강조색5 55 21" xfId="9368"/>
    <cellStyle name="20% - 강조색5 55 22" xfId="9500"/>
    <cellStyle name="20% - 강조색5 55 23" xfId="9803"/>
    <cellStyle name="20% - 강조색5 55 24" xfId="4375"/>
    <cellStyle name="20% - 강조색5 55 25" xfId="10460"/>
    <cellStyle name="20% - 강조색5 55 26" xfId="8356"/>
    <cellStyle name="20% - 강조색5 55 27" xfId="11167"/>
    <cellStyle name="20% - 강조색5 55 3" xfId="2693"/>
    <cellStyle name="20% - 강조색5 55 4" xfId="3008"/>
    <cellStyle name="20% - 강조색5 55 5" xfId="3310"/>
    <cellStyle name="20% - 강조색5 55 6" xfId="3459"/>
    <cellStyle name="20% - 강조색5 55 7" xfId="3526"/>
    <cellStyle name="20% - 강조색5 55 8" xfId="4266"/>
    <cellStyle name="20% - 강조색5 55 9" xfId="4655"/>
    <cellStyle name="20% - 강조색5 56" xfId="2337"/>
    <cellStyle name="20% - 강조색5 56 10" xfId="4827"/>
    <cellStyle name="20% - 강조색5 56 11" xfId="4860"/>
    <cellStyle name="20% - 강조색5 56 12" xfId="5292"/>
    <cellStyle name="20% - 강조색5 56 13" xfId="6346"/>
    <cellStyle name="20% - 강조색5 56 14" xfId="7225"/>
    <cellStyle name="20% - 강조색5 56 15" xfId="7285"/>
    <cellStyle name="20% - 강조색5 56 16" xfId="1904"/>
    <cellStyle name="20% - 강조색5 56 17" xfId="2997"/>
    <cellStyle name="20% - 강조색5 56 18" xfId="8542"/>
    <cellStyle name="20% - 강조색5 56 19" xfId="7481"/>
    <cellStyle name="20% - 강조색5 56 2" xfId="2708"/>
    <cellStyle name="20% - 강조색5 56 20" xfId="6733"/>
    <cellStyle name="20% - 강조색5 56 21" xfId="9630"/>
    <cellStyle name="20% - 강조색5 56 22" xfId="9094"/>
    <cellStyle name="20% - 강조색5 56 23" xfId="6333"/>
    <cellStyle name="20% - 강조색5 56 24" xfId="10426"/>
    <cellStyle name="20% - 강조색5 56 25" xfId="10427"/>
    <cellStyle name="20% - 강조색5 56 26" xfId="11255"/>
    <cellStyle name="20% - 강조색5 56 3" xfId="3023"/>
    <cellStyle name="20% - 강조색5 56 4" xfId="3356"/>
    <cellStyle name="20% - 강조색5 56 5" xfId="3646"/>
    <cellStyle name="20% - 강조색5 56 6" xfId="3992"/>
    <cellStyle name="20% - 강조색5 56 7" xfId="917"/>
    <cellStyle name="20% - 강조색5 56 8" xfId="3751"/>
    <cellStyle name="20% - 강조색5 56 9" xfId="5326"/>
    <cellStyle name="20% - 강조색5 57" xfId="2685"/>
    <cellStyle name="20% - 강조색5 57 10" xfId="5887"/>
    <cellStyle name="20% - 강조색5 57 11" xfId="5948"/>
    <cellStyle name="20% - 강조색5 57 12" xfId="4251"/>
    <cellStyle name="20% - 강조색5 57 13" xfId="5390"/>
    <cellStyle name="20% - 강조색5 57 14" xfId="7080"/>
    <cellStyle name="20% - 강조색5 57 15" xfId="7686"/>
    <cellStyle name="20% - 강조색5 57 16" xfId="6212"/>
    <cellStyle name="20% - 강조색5 57 17" xfId="3040"/>
    <cellStyle name="20% - 강조색5 57 18" xfId="8318"/>
    <cellStyle name="20% - 강조색5 57 19" xfId="9059"/>
    <cellStyle name="20% - 강조색5 57 2" xfId="3036"/>
    <cellStyle name="20% - 강조색5 57 20" xfId="9574"/>
    <cellStyle name="20% - 강조색5 57 21" xfId="8820"/>
    <cellStyle name="20% - 강조색5 57 22" xfId="8058"/>
    <cellStyle name="20% - 강조색5 57 23" xfId="8984"/>
    <cellStyle name="20% - 강조색5 57 24" xfId="3147"/>
    <cellStyle name="20% - 강조색5 57 25" xfId="4199"/>
    <cellStyle name="20% - 강조색5 57 3" xfId="3369"/>
    <cellStyle name="20% - 강조색5 57 4" xfId="3701"/>
    <cellStyle name="20% - 강조색5 57 5" xfId="3979"/>
    <cellStyle name="20% - 강조색5 57 6" xfId="4304"/>
    <cellStyle name="20% - 강조색5 57 7" xfId="4718"/>
    <cellStyle name="20% - 강조색5 57 8" xfId="3729"/>
    <cellStyle name="20% - 강조색5 57 9" xfId="5800"/>
    <cellStyle name="20% - 강조색5 58" xfId="2811"/>
    <cellStyle name="20% - 강조색5 58 10" xfId="5766"/>
    <cellStyle name="20% - 강조색5 58 11" xfId="6084"/>
    <cellStyle name="20% - 강조색5 58 12" xfId="6964"/>
    <cellStyle name="20% - 강조색5 58 13" xfId="6138"/>
    <cellStyle name="20% - 강조색5 58 14" xfId="3610"/>
    <cellStyle name="20% - 강조색5 58 15" xfId="8247"/>
    <cellStyle name="20% - 강조색5 58 16" xfId="8381"/>
    <cellStyle name="20% - 강조색5 58 17" xfId="8726"/>
    <cellStyle name="20% - 강조색5 58 18" xfId="9103"/>
    <cellStyle name="20% - 강조색5 58 19" xfId="2906"/>
    <cellStyle name="20% - 강조색5 58 2" xfId="3371"/>
    <cellStyle name="20% - 강조색5 58 20" xfId="9924"/>
    <cellStyle name="20% - 강조색5 58 21" xfId="10340"/>
    <cellStyle name="20% - 강조색5 58 22" xfId="10651"/>
    <cellStyle name="20% - 강조색5 58 23" xfId="9516"/>
    <cellStyle name="20% - 강조색5 58 24" xfId="8688"/>
    <cellStyle name="20% - 강조색5 58 3" xfId="3704"/>
    <cellStyle name="20% - 강조색5 58 4" xfId="3795"/>
    <cellStyle name="20% - 강조색5 58 5" xfId="1557"/>
    <cellStyle name="20% - 강조색5 58 6" xfId="3229"/>
    <cellStyle name="20% - 강조색5 58 7" xfId="2462"/>
    <cellStyle name="20% - 강조색5 58 8" xfId="5714"/>
    <cellStyle name="20% - 강조색5 58 9" xfId="5608"/>
    <cellStyle name="20% - 강조색5 59" xfId="3123"/>
    <cellStyle name="20% - 강조색5 59 10" xfId="6520"/>
    <cellStyle name="20% - 강조색5 59 11" xfId="7162"/>
    <cellStyle name="20% - 강조색5 59 12" xfId="7260"/>
    <cellStyle name="20% - 강조색5 59 13" xfId="7603"/>
    <cellStyle name="20% - 강조색5 59 14" xfId="8134"/>
    <cellStyle name="20% - 강조색5 59 15" xfId="6556"/>
    <cellStyle name="20% - 강조색5 59 16" xfId="8779"/>
    <cellStyle name="20% - 강조색5 59 17" xfId="9128"/>
    <cellStyle name="20% - 강조색5 59 18" xfId="8347"/>
    <cellStyle name="20% - 강조색5 59 19" xfId="3223"/>
    <cellStyle name="20% - 강조색5 59 2" xfId="3715"/>
    <cellStyle name="20% - 강조색5 59 20" xfId="9099"/>
    <cellStyle name="20% - 강조색5 59 21" xfId="5187"/>
    <cellStyle name="20% - 강조색5 59 22" xfId="10966"/>
    <cellStyle name="20% - 강조색5 59 23" xfId="10833"/>
    <cellStyle name="20% - 강조색5 59 3" xfId="4054"/>
    <cellStyle name="20% - 강조색5 59 4" xfId="4390"/>
    <cellStyle name="20% - 강조색5 59 5" xfId="4085"/>
    <cellStyle name="20% - 강조색5 59 6" xfId="4155"/>
    <cellStyle name="20% - 강조색5 59 7" xfId="5835"/>
    <cellStyle name="20% - 강조색5 59 8" xfId="5912"/>
    <cellStyle name="20% - 강조색5 59 9" xfId="5968"/>
    <cellStyle name="20% - 강조색5 6" xfId="124"/>
    <cellStyle name="20% - 강조색5 60" xfId="2261"/>
    <cellStyle name="20% - 강조색5 60 10" xfId="3827"/>
    <cellStyle name="20% - 강조색5 60 11" xfId="7157"/>
    <cellStyle name="20% - 강조색5 60 12" xfId="6899"/>
    <cellStyle name="20% - 강조색5 60 13" xfId="7466"/>
    <cellStyle name="20% - 강조색5 60 14" xfId="8500"/>
    <cellStyle name="20% - 강조색5 60 15" xfId="8783"/>
    <cellStyle name="20% - 강조색5 60 16" xfId="9241"/>
    <cellStyle name="20% - 강조색5 60 17" xfId="7526"/>
    <cellStyle name="20% - 강조색5 60 18" xfId="6329"/>
    <cellStyle name="20% - 강조색5 60 19" xfId="1844"/>
    <cellStyle name="20% - 강조색5 60 2" xfId="4023"/>
    <cellStyle name="20% - 강조색5 60 20" xfId="10633"/>
    <cellStyle name="20% - 강조색5 60 21" xfId="10732"/>
    <cellStyle name="20% - 강조색5 60 22" xfId="11111"/>
    <cellStyle name="20% - 강조색5 60 3" xfId="4250"/>
    <cellStyle name="20% - 강조색5 60 4" xfId="4469"/>
    <cellStyle name="20% - 강조색5 60 5" xfId="5258"/>
    <cellStyle name="20% - 강조색5 60 6" xfId="5114"/>
    <cellStyle name="20% - 강조색5 60 7" xfId="3806"/>
    <cellStyle name="20% - 강조색5 60 8" xfId="5575"/>
    <cellStyle name="20% - 강조색5 60 9" xfId="6259"/>
    <cellStyle name="20% - 강조색5 61" xfId="3753"/>
    <cellStyle name="20% - 강조색5 61 10" xfId="6915"/>
    <cellStyle name="20% - 강조색5 61 11" xfId="4088"/>
    <cellStyle name="20% - 강조색5 61 12" xfId="6117"/>
    <cellStyle name="20% - 강조색5 61 13" xfId="8555"/>
    <cellStyle name="20% - 강조색5 61 14" xfId="8905"/>
    <cellStyle name="20% - 강조색5 61 15" xfId="4485"/>
    <cellStyle name="20% - 강조색5 61 16" xfId="9691"/>
    <cellStyle name="20% - 강조색5 61 17" xfId="9906"/>
    <cellStyle name="20% - 강조색5 61 18" xfId="6777"/>
    <cellStyle name="20% - 강조색5 61 19" xfId="10614"/>
    <cellStyle name="20% - 강조색5 61 2" xfId="4406"/>
    <cellStyle name="20% - 강조색5 61 20" xfId="10782"/>
    <cellStyle name="20% - 강조색5 61 21" xfId="11268"/>
    <cellStyle name="20% - 강조색5 61 3" xfId="4759"/>
    <cellStyle name="20% - 강조색5 61 4" xfId="5317"/>
    <cellStyle name="20% - 강조색5 61 5" xfId="1848"/>
    <cellStyle name="20% - 강조색5 61 6" xfId="4870"/>
    <cellStyle name="20% - 강조색5 61 7" xfId="5707"/>
    <cellStyle name="20% - 강조색5 61 8" xfId="1891"/>
    <cellStyle name="20% - 강조색5 61 9" xfId="7184"/>
    <cellStyle name="20% - 강조색5 62" xfId="4326"/>
    <cellStyle name="20% - 강조색5 62 10" xfId="7778"/>
    <cellStyle name="20% - 강조색5 62 11" xfId="8025"/>
    <cellStyle name="20% - 강조색5 62 12" xfId="1907"/>
    <cellStyle name="20% - 강조색5 62 13" xfId="9010"/>
    <cellStyle name="20% - 강조색5 62 14" xfId="9354"/>
    <cellStyle name="20% - 강조색5 62 15" xfId="9571"/>
    <cellStyle name="20% - 강조색5 62 16" xfId="9884"/>
    <cellStyle name="20% - 강조색5 62 17" xfId="8550"/>
    <cellStyle name="20% - 강조색5 62 18" xfId="10612"/>
    <cellStyle name="20% - 강조색5 62 19" xfId="10164"/>
    <cellStyle name="20% - 강조색5 62 2" xfId="4774"/>
    <cellStyle name="20% - 강조색5 62 20" xfId="6128"/>
    <cellStyle name="20% - 강조색5 62 3" xfId="5745"/>
    <cellStyle name="20% - 강조색5 62 4" xfId="5848"/>
    <cellStyle name="20% - 강조색5 62 5" xfId="5923"/>
    <cellStyle name="20% - 강조색5 62 6" xfId="5973"/>
    <cellStyle name="20% - 강조색5 62 7" xfId="6632"/>
    <cellStyle name="20% - 강조색5 62 8" xfId="7033"/>
    <cellStyle name="20% - 강조색5 62 9" xfId="7299"/>
    <cellStyle name="20% - 강조색5 63" xfId="4689"/>
    <cellStyle name="20% - 강조색5 63 10" xfId="8231"/>
    <cellStyle name="20% - 강조색5 63 11" xfId="8511"/>
    <cellStyle name="20% - 강조색5 63 12" xfId="8935"/>
    <cellStyle name="20% - 강조색5 63 13" xfId="4385"/>
    <cellStyle name="20% - 강조색5 63 14" xfId="8095"/>
    <cellStyle name="20% - 강조색5 63 15" xfId="8728"/>
    <cellStyle name="20% - 강조색5 63 16" xfId="10352"/>
    <cellStyle name="20% - 강조색5 63 17" xfId="10643"/>
    <cellStyle name="20% - 강조색5 63 18" xfId="1422"/>
    <cellStyle name="20% - 강조색5 63 19" xfId="7412"/>
    <cellStyle name="20% - 강조색5 63 2" xfId="5820"/>
    <cellStyle name="20% - 강조색5 63 3" xfId="5899"/>
    <cellStyle name="20% - 강조색5 63 4" xfId="5957"/>
    <cellStyle name="20% - 강조색5 63 5" xfId="5984"/>
    <cellStyle name="20% - 강조색5 63 6" xfId="6644"/>
    <cellStyle name="20% - 강조색5 63 7" xfId="7043"/>
    <cellStyle name="20% - 강조색5 63 8" xfId="6855"/>
    <cellStyle name="20% - 강조색5 63 9" xfId="7448"/>
    <cellStyle name="20% - 강조색5 64" xfId="5089"/>
    <cellStyle name="20% - 강조색5 64 10" xfId="6765"/>
    <cellStyle name="20% - 강조색5 64 11" xfId="9917"/>
    <cellStyle name="20% - 강조색5 64 12" xfId="6362"/>
    <cellStyle name="20% - 강조색5 64 13" xfId="10546"/>
    <cellStyle name="20% - 강조색5 64 14" xfId="4614"/>
    <cellStyle name="20% - 강조색5 64 15" xfId="11047"/>
    <cellStyle name="20% - 강조색5 64 2" xfId="6657"/>
    <cellStyle name="20% - 강조색5 64 3" xfId="6928"/>
    <cellStyle name="20% - 강조색5 64 4" xfId="7373"/>
    <cellStyle name="20% - 강조색5 64 5" xfId="7403"/>
    <cellStyle name="20% - 강조색5 64 6" xfId="8049"/>
    <cellStyle name="20% - 강조색5 64 7" xfId="1995"/>
    <cellStyle name="20% - 강조색5 64 8" xfId="8918"/>
    <cellStyle name="20% - 강조색5 64 9" xfId="9170"/>
    <cellStyle name="20% - 강조색5 65" xfId="4857"/>
    <cellStyle name="20% - 강조색5 65 10" xfId="9560"/>
    <cellStyle name="20% - 강조색5 65 11" xfId="2889"/>
    <cellStyle name="20% - 강조색5 65 12" xfId="10229"/>
    <cellStyle name="20% - 강조색5 65 13" xfId="10574"/>
    <cellStyle name="20% - 강조색5 65 14" xfId="6043"/>
    <cellStyle name="20% - 강조색5 65 15" xfId="11135"/>
    <cellStyle name="20% - 강조색5 65 2" xfId="6649"/>
    <cellStyle name="20% - 강조색5 65 3" xfId="7235"/>
    <cellStyle name="20% - 강조색5 65 4" xfId="7345"/>
    <cellStyle name="20% - 강조색5 65 5" xfId="7794"/>
    <cellStyle name="20% - 강조색5 65 6" xfId="4863"/>
    <cellStyle name="20% - 강조색5 65 7" xfId="1579"/>
    <cellStyle name="20% - 강조색5 65 8" xfId="8742"/>
    <cellStyle name="20% - 강조색5 65 9" xfId="8907"/>
    <cellStyle name="20% - 강조색5 66" xfId="865"/>
    <cellStyle name="20% - 강조색5 66 10" xfId="9671"/>
    <cellStyle name="20% - 강조색5 66 11" xfId="2831"/>
    <cellStyle name="20% - 강조색5 66 12" xfId="9057"/>
    <cellStyle name="20% - 강조색5 66 13" xfId="10455"/>
    <cellStyle name="20% - 강조색5 66 14" xfId="9125"/>
    <cellStyle name="20% - 강조색5 66 15" xfId="8678"/>
    <cellStyle name="20% - 강조색5 66 2" xfId="1401"/>
    <cellStyle name="20% - 강조색5 66 3" xfId="7051"/>
    <cellStyle name="20% - 강조색5 66 4" xfId="7166"/>
    <cellStyle name="20% - 강조색5 66 5" xfId="7711"/>
    <cellStyle name="20% - 강조색5 66 6" xfId="6330"/>
    <cellStyle name="20% - 강조색5 66 7" xfId="8519"/>
    <cellStyle name="20% - 강조색5 66 8" xfId="4075"/>
    <cellStyle name="20% - 강조색5 66 9" xfId="3208"/>
    <cellStyle name="20% - 강조색5 67" xfId="5120"/>
    <cellStyle name="20% - 강조색5 67 10" xfId="9424"/>
    <cellStyle name="20% - 강조색5 67 11" xfId="10037"/>
    <cellStyle name="20% - 강조색5 67 12" xfId="10330"/>
    <cellStyle name="20% - 강조색5 67 13" xfId="10629"/>
    <cellStyle name="20% - 강조색5 67 14" xfId="10968"/>
    <cellStyle name="20% - 강조색5 67 15" xfId="9934"/>
    <cellStyle name="20% - 강조색5 67 2" xfId="6659"/>
    <cellStyle name="20% - 강조색5 67 3" xfId="7000"/>
    <cellStyle name="20% - 강조색5 67 4" xfId="7317"/>
    <cellStyle name="20% - 강조색5 67 5" xfId="6301"/>
    <cellStyle name="20% - 강조색5 67 6" xfId="8195"/>
    <cellStyle name="20% - 강조색5 67 7" xfId="8409"/>
    <cellStyle name="20% - 강조색5 67 8" xfId="8914"/>
    <cellStyle name="20% - 강조색5 67 9" xfId="9243"/>
    <cellStyle name="20% - 강조색5 68" xfId="6335"/>
    <cellStyle name="20% - 강조색5 68 10" xfId="9860"/>
    <cellStyle name="20% - 강조색5 68 11" xfId="10321"/>
    <cellStyle name="20% - 강조색5 68 12" xfId="10649"/>
    <cellStyle name="20% - 강조색5 68 13" xfId="10872"/>
    <cellStyle name="20% - 강조색5 68 14" xfId="11043"/>
    <cellStyle name="20% - 강조색5 68 2" xfId="7344"/>
    <cellStyle name="20% - 강조색5 68 3" xfId="7381"/>
    <cellStyle name="20% - 강조색5 68 4" xfId="7870"/>
    <cellStyle name="20% - 강조색5 68 5" xfId="7926"/>
    <cellStyle name="20% - 강조색5 68 6" xfId="7546"/>
    <cellStyle name="20% - 강조색5 68 7" xfId="8819"/>
    <cellStyle name="20% - 강조색5 68 8" xfId="4525"/>
    <cellStyle name="20% - 강조색5 68 9" xfId="9450"/>
    <cellStyle name="20% - 강조색5 69" xfId="6968"/>
    <cellStyle name="20% - 강조색5 69 10" xfId="10416"/>
    <cellStyle name="20% - 강조색5 69 11" xfId="9995"/>
    <cellStyle name="20% - 강조색5 69 12" xfId="10508"/>
    <cellStyle name="20% - 강조색5 69 2" xfId="7880"/>
    <cellStyle name="20% - 강조색5 69 3" xfId="8274"/>
    <cellStyle name="20% - 강조색5 69 4" xfId="8495"/>
    <cellStyle name="20% - 강조색5 69 5" xfId="8892"/>
    <cellStyle name="20% - 강조색5 69 6" xfId="1585"/>
    <cellStyle name="20% - 강조색5 69 7" xfId="9653"/>
    <cellStyle name="20% - 강조색5 69 8" xfId="9971"/>
    <cellStyle name="20% - 강조색5 69 9" xfId="10237"/>
    <cellStyle name="20% - 강조색5 7" xfId="137"/>
    <cellStyle name="20% - 강조색5 70" xfId="7308"/>
    <cellStyle name="20% - 강조색5 70 10" xfId="6531"/>
    <cellStyle name="20% - 강조색5 70 11" xfId="10969"/>
    <cellStyle name="20% - 강조색5 70 12" xfId="4526"/>
    <cellStyle name="20% - 강조색5 70 2" xfId="7893"/>
    <cellStyle name="20% - 강조색5 70 3" xfId="8287"/>
    <cellStyle name="20% - 강조색5 70 4" xfId="8649"/>
    <cellStyle name="20% - 강조색5 70 5" xfId="3758"/>
    <cellStyle name="20% - 강조색5 70 6" xfId="9192"/>
    <cellStyle name="20% - 강조색5 70 7" xfId="9502"/>
    <cellStyle name="20% - 강조색5 70 8" xfId="9922"/>
    <cellStyle name="20% - 강조색5 70 9" xfId="6489"/>
    <cellStyle name="20% - 강조색5 71" xfId="7751"/>
    <cellStyle name="20% - 강조색5 71 10" xfId="10818"/>
    <cellStyle name="20% - 강조색5 71 11" xfId="807"/>
    <cellStyle name="20% - 강조색5 71 2" xfId="8298"/>
    <cellStyle name="20% - 강조색5 71 3" xfId="8660"/>
    <cellStyle name="20% - 강조색5 71 4" xfId="9024"/>
    <cellStyle name="20% - 강조색5 71 5" xfId="8750"/>
    <cellStyle name="20% - 강조색5 71 6" xfId="9675"/>
    <cellStyle name="20% - 강조색5 71 7" xfId="9811"/>
    <cellStyle name="20% - 강조색5 71 8" xfId="10253"/>
    <cellStyle name="20% - 강조색5 71 9" xfId="10415"/>
    <cellStyle name="20% - 강조색5 72" xfId="5165"/>
    <cellStyle name="20% - 강조색5 72 10" xfId="9055"/>
    <cellStyle name="20% - 강조색5 72 2" xfId="8510"/>
    <cellStyle name="20% - 강조색5 72 3" xfId="8399"/>
    <cellStyle name="20% - 강조색5 72 4" xfId="9317"/>
    <cellStyle name="20% - 강조색5 72 5" xfId="7597"/>
    <cellStyle name="20% - 강조색5 72 6" xfId="9939"/>
    <cellStyle name="20% - 강조색5 72 7" xfId="10291"/>
    <cellStyle name="20% - 강조색5 72 8" xfId="10464"/>
    <cellStyle name="20% - 강조색5 72 9" xfId="10854"/>
    <cellStyle name="20% - 강조색5 73" xfId="8625"/>
    <cellStyle name="20% - 강조색5 73 2" xfId="9046"/>
    <cellStyle name="20% - 강조색5 73 3" xfId="9405"/>
    <cellStyle name="20% - 강조색5 73 4" xfId="9737"/>
    <cellStyle name="20% - 강조색5 73 5" xfId="10063"/>
    <cellStyle name="20% - 강조색5 73 6" xfId="4796"/>
    <cellStyle name="20% - 강조색5 73 7" xfId="6353"/>
    <cellStyle name="20% - 강조색5 73 8" xfId="10825"/>
    <cellStyle name="20% - 강조색5 73 9" xfId="9068"/>
    <cellStyle name="20% - 강조색5 74" xfId="8901"/>
    <cellStyle name="20% - 강조색5 74 2" xfId="9411"/>
    <cellStyle name="20% - 강조색5 74 3" xfId="9743"/>
    <cellStyle name="20% - 강조색5 74 4" xfId="10069"/>
    <cellStyle name="20% - 강조색5 74 5" xfId="10382"/>
    <cellStyle name="20% - 강조색5 74 6" xfId="8755"/>
    <cellStyle name="20% - 강조색5 74 7" xfId="10920"/>
    <cellStyle name="20% - 강조색5 74 8" xfId="6575"/>
    <cellStyle name="20% - 강조색5 75" xfId="2395"/>
    <cellStyle name="20% - 강조색5 75 2" xfId="8472"/>
    <cellStyle name="20% - 강조색5 75 3" xfId="8038"/>
    <cellStyle name="20% - 강조색5 75 4" xfId="10108"/>
    <cellStyle name="20% - 강조색5 75 5" xfId="7682"/>
    <cellStyle name="20% - 강조색5 75 6" xfId="7962"/>
    <cellStyle name="20% - 강조색5 75 7" xfId="11243"/>
    <cellStyle name="20% - 강조색5 76" xfId="9679"/>
    <cellStyle name="20% - 강조색5 76 2" xfId="10088"/>
    <cellStyle name="20% - 강조색5 76 3" xfId="10402"/>
    <cellStyle name="20% - 강조색5 76 4" xfId="10712"/>
    <cellStyle name="20% - 강조색5 76 5" xfId="10995"/>
    <cellStyle name="20% - 강조색5 76 6" xfId="11218"/>
    <cellStyle name="20% - 강조색5 77" xfId="3772"/>
    <cellStyle name="20% - 강조색5 77 2" xfId="10343"/>
    <cellStyle name="20% - 강조색5 77 3" xfId="2138"/>
    <cellStyle name="20% - 강조색5 77 4" xfId="10856"/>
    <cellStyle name="20% - 강조색5 77 5" xfId="11098"/>
    <cellStyle name="20% - 강조색5 78" xfId="3817"/>
    <cellStyle name="20% - 강조색5 78 2" xfId="3840"/>
    <cellStyle name="20% - 강조색5 78 3" xfId="10988"/>
    <cellStyle name="20% - 강조색5 78 4" xfId="11279"/>
    <cellStyle name="20% - 강조색5 79" xfId="10541"/>
    <cellStyle name="20% - 강조색5 79 2" xfId="11017"/>
    <cellStyle name="20% - 강조색5 79 3" xfId="11295"/>
    <cellStyle name="20% - 강조색5 8" xfId="150"/>
    <cellStyle name="20% - 강조색5 80" xfId="1843"/>
    <cellStyle name="20% - 강조색5 80 2" xfId="7609"/>
    <cellStyle name="20% - 강조색5 81" xfId="11155"/>
    <cellStyle name="20% - 강조색5 82" xfId="682"/>
    <cellStyle name="20% - 강조색5 83" xfId="11366"/>
    <cellStyle name="20% - 강조색5 84" xfId="11375"/>
    <cellStyle name="20% - 강조색5 85" xfId="11396"/>
    <cellStyle name="20% - 강조색5 86" xfId="11446"/>
    <cellStyle name="20% - 강조색5 9" xfId="163"/>
    <cellStyle name="20% - 강조색6" xfId="41" builtinId="50" customBuiltin="1"/>
    <cellStyle name="20% - 강조색6 10" xfId="179"/>
    <cellStyle name="20% - 강조색6 11" xfId="192"/>
    <cellStyle name="20% - 강조색6 12" xfId="205"/>
    <cellStyle name="20% - 강조색6 13" xfId="218"/>
    <cellStyle name="20% - 강조색6 14" xfId="231"/>
    <cellStyle name="20% - 강조색6 15" xfId="244"/>
    <cellStyle name="20% - 강조색6 16" xfId="257"/>
    <cellStyle name="20% - 강조색6 17" xfId="270"/>
    <cellStyle name="20% - 강조색6 18" xfId="283"/>
    <cellStyle name="20% - 강조색6 19" xfId="296"/>
    <cellStyle name="20% - 강조색6 2" xfId="56"/>
    <cellStyle name="20% - 강조색6 20" xfId="309"/>
    <cellStyle name="20% - 강조색6 21" xfId="322"/>
    <cellStyle name="20% - 강조색6 22" xfId="335"/>
    <cellStyle name="20% - 강조색6 23" xfId="348"/>
    <cellStyle name="20% - 강조색6 24" xfId="361"/>
    <cellStyle name="20% - 강조색6 25" xfId="374"/>
    <cellStyle name="20% - 강조색6 26" xfId="387"/>
    <cellStyle name="20% - 강조색6 27" xfId="400"/>
    <cellStyle name="20% - 강조색6 28" xfId="413"/>
    <cellStyle name="20% - 강조색6 29" xfId="426"/>
    <cellStyle name="20% - 강조색6 3" xfId="88"/>
    <cellStyle name="20% - 강조색6 30" xfId="439"/>
    <cellStyle name="20% - 강조색6 31" xfId="451"/>
    <cellStyle name="20% - 강조색6 32" xfId="463"/>
    <cellStyle name="20% - 강조색6 33" xfId="475"/>
    <cellStyle name="20% - 강조색6 34" xfId="487"/>
    <cellStyle name="20% - 강조색6 35" xfId="498"/>
    <cellStyle name="20% - 강조색6 36" xfId="509"/>
    <cellStyle name="20% - 강조색6 37" xfId="520"/>
    <cellStyle name="20% - 강조색6 38" xfId="529"/>
    <cellStyle name="20% - 강조색6 39" xfId="537"/>
    <cellStyle name="20% - 강조색6 4" xfId="101"/>
    <cellStyle name="20% - 강조색6 40" xfId="555"/>
    <cellStyle name="20% - 강조색6 40 10" xfId="3224"/>
    <cellStyle name="20% - 강조색6 40 11" xfId="3406"/>
    <cellStyle name="20% - 강조색6 40 12" xfId="3938"/>
    <cellStyle name="20% - 강조색6 40 13" xfId="4170"/>
    <cellStyle name="20% - 강조색6 40 14" xfId="2531"/>
    <cellStyle name="20% - 강조색6 40 15" xfId="5500"/>
    <cellStyle name="20% - 강조색6 40 16" xfId="4448"/>
    <cellStyle name="20% - 강조색6 40 17" xfId="3161"/>
    <cellStyle name="20% - 강조색6 40 18" xfId="4897"/>
    <cellStyle name="20% - 강조색6 40 19" xfId="6552"/>
    <cellStyle name="20% - 강조색6 40 2" xfId="603"/>
    <cellStyle name="20% - 강조색6 40 20" xfId="3909"/>
    <cellStyle name="20% - 강조색6 40 21" xfId="6056"/>
    <cellStyle name="20% - 강조색6 40 22" xfId="7818"/>
    <cellStyle name="20% - 강조색6 40 23" xfId="8123"/>
    <cellStyle name="20% - 강조색6 40 24" xfId="8388"/>
    <cellStyle name="20% - 강조색6 40 25" xfId="8821"/>
    <cellStyle name="20% - 강조색6 40 26" xfId="7430"/>
    <cellStyle name="20% - 강조색6 40 27" xfId="6495"/>
    <cellStyle name="20% - 강조색6 40 28" xfId="9189"/>
    <cellStyle name="20% - 강조색6 40 29" xfId="10190"/>
    <cellStyle name="20% - 강조색6 40 3" xfId="1014"/>
    <cellStyle name="20% - 강조색6 40 30" xfId="10599"/>
    <cellStyle name="20% - 강조색6 40 31" xfId="10749"/>
    <cellStyle name="20% - 강조색6 40 32" xfId="11124"/>
    <cellStyle name="20% - 강조색6 40 33" xfId="11325"/>
    <cellStyle name="20% - 강조색6 40 34" xfId="562"/>
    <cellStyle name="20% - 강조색6 40 35" xfId="11371"/>
    <cellStyle name="20% - 강조색6 40 36" xfId="11397"/>
    <cellStyle name="20% - 강조색6 40 4" xfId="1278"/>
    <cellStyle name="20% - 강조색6 40 5" xfId="1665"/>
    <cellStyle name="20% - 강조색6 40 6" xfId="844"/>
    <cellStyle name="20% - 강조색6 40 7" xfId="2315"/>
    <cellStyle name="20% - 강조색6 40 8" xfId="2669"/>
    <cellStyle name="20% - 강조색6 40 9" xfId="2940"/>
    <cellStyle name="20% - 강조색6 41" xfId="605"/>
    <cellStyle name="20% - 강조색6 41 10" xfId="3317"/>
    <cellStyle name="20% - 강조색6 41 11" xfId="2845"/>
    <cellStyle name="20% - 강조색6 41 12" xfId="1855"/>
    <cellStyle name="20% - 강조색6 41 13" xfId="3153"/>
    <cellStyle name="20% - 강조색6 41 14" xfId="4635"/>
    <cellStyle name="20% - 강조색6 41 15" xfId="3590"/>
    <cellStyle name="20% - 강조색6 41 16" xfId="5723"/>
    <cellStyle name="20% - 강조색6 41 17" xfId="3907"/>
    <cellStyle name="20% - 강조색6 41 18" xfId="4974"/>
    <cellStyle name="20% - 강조색6 41 19" xfId="6544"/>
    <cellStyle name="20% - 강조색6 41 2" xfId="1108"/>
    <cellStyle name="20% - 강조색6 41 20" xfId="7046"/>
    <cellStyle name="20% - 강조색6 41 21" xfId="3743"/>
    <cellStyle name="20% - 강조색6 41 22" xfId="7650"/>
    <cellStyle name="20% - 강조색6 41 23" xfId="8188"/>
    <cellStyle name="20% - 강조색6 41 24" xfId="8440"/>
    <cellStyle name="20% - 강조색6 41 25" xfId="8989"/>
    <cellStyle name="20% - 강조색6 41 26" xfId="9263"/>
    <cellStyle name="20% - 강조색6 41 27" xfId="9434"/>
    <cellStyle name="20% - 강조색6 41 28" xfId="2808"/>
    <cellStyle name="20% - 강조색6 41 29" xfId="10311"/>
    <cellStyle name="20% - 강조색6 41 3" xfId="1188"/>
    <cellStyle name="20% - 강조색6 41 30" xfId="10600"/>
    <cellStyle name="20% - 강조색6 41 31" xfId="1963"/>
    <cellStyle name="20% - 강조색6 41 32" xfId="7712"/>
    <cellStyle name="20% - 강조색6 41 4" xfId="1280"/>
    <cellStyle name="20% - 강조색6 41 5" xfId="1748"/>
    <cellStyle name="20% - 강조색6 41 6" xfId="889"/>
    <cellStyle name="20% - 강조색6 41 7" xfId="2239"/>
    <cellStyle name="20% - 강조색6 41 8" xfId="2660"/>
    <cellStyle name="20% - 강조색6 41 9" xfId="2821"/>
    <cellStyle name="20% - 강조색6 42" xfId="668"/>
    <cellStyle name="20% - 강조색6 42 10" xfId="3258"/>
    <cellStyle name="20% - 강조색6 42 11" xfId="3596"/>
    <cellStyle name="20% - 강조색6 42 12" xfId="3746"/>
    <cellStyle name="20% - 강조색6 42 13" xfId="4207"/>
    <cellStyle name="20% - 강조색6 42 14" xfId="4605"/>
    <cellStyle name="20% - 강조색6 42 15" xfId="5262"/>
    <cellStyle name="20% - 강조색6 42 16" xfId="5730"/>
    <cellStyle name="20% - 강조색6 42 17" xfId="5122"/>
    <cellStyle name="20% - 강조색6 42 18" xfId="5733"/>
    <cellStyle name="20% - 강조색6 42 19" xfId="6400"/>
    <cellStyle name="20% - 강조색6 42 2" xfId="1171"/>
    <cellStyle name="20% - 강조색6 42 20" xfId="6810"/>
    <cellStyle name="20% - 강조색6 42 21" xfId="7248"/>
    <cellStyle name="20% - 강조색6 42 22" xfId="4877"/>
    <cellStyle name="20% - 강조색6 42 23" xfId="6264"/>
    <cellStyle name="20% - 강조색6 42 24" xfId="2407"/>
    <cellStyle name="20% - 강조색6 42 25" xfId="3618"/>
    <cellStyle name="20% - 강조색6 42 26" xfId="9313"/>
    <cellStyle name="20% - 강조색6 42 27" xfId="8243"/>
    <cellStyle name="20% - 강조색6 42 28" xfId="2585"/>
    <cellStyle name="20% - 강조색6 42 29" xfId="10228"/>
    <cellStyle name="20% - 강조색6 42 3" xfId="1251"/>
    <cellStyle name="20% - 강조색6 42 30" xfId="10509"/>
    <cellStyle name="20% - 강조색6 42 31" xfId="10776"/>
    <cellStyle name="20% - 강조색6 42 32" xfId="11089"/>
    <cellStyle name="20% - 강조색6 42 4" xfId="1343"/>
    <cellStyle name="20% - 강조색6 42 5" xfId="1673"/>
    <cellStyle name="20% - 강조색6 42 6" xfId="2069"/>
    <cellStyle name="20% - 강조색6 42 7" xfId="1962"/>
    <cellStyle name="20% - 강조색6 42 8" xfId="2657"/>
    <cellStyle name="20% - 강조색6 42 9" xfId="2990"/>
    <cellStyle name="20% - 강조색6 43" xfId="639"/>
    <cellStyle name="20% - 강조색6 43 10" xfId="3064"/>
    <cellStyle name="20% - 강조색6 43 11" xfId="3434"/>
    <cellStyle name="20% - 강조색6 43 12" xfId="1389"/>
    <cellStyle name="20% - 강조색6 43 13" xfId="4372"/>
    <cellStyle name="20% - 강조색6 43 14" xfId="3423"/>
    <cellStyle name="20% - 강조색6 43 15" xfId="5193"/>
    <cellStyle name="20% - 강조색6 43 16" xfId="5729"/>
    <cellStyle name="20% - 강조색6 43 17" xfId="5124"/>
    <cellStyle name="20% - 강조색6 43 18" xfId="861"/>
    <cellStyle name="20% - 강조색6 43 19" xfId="985"/>
    <cellStyle name="20% - 강조색6 43 2" xfId="1142"/>
    <cellStyle name="20% - 강조색6 43 20" xfId="7200"/>
    <cellStyle name="20% - 강조색6 43 21" xfId="7228"/>
    <cellStyle name="20% - 강조색6 43 22" xfId="7642"/>
    <cellStyle name="20% - 강조색6 43 23" xfId="8005"/>
    <cellStyle name="20% - 강조색6 43 24" xfId="7960"/>
    <cellStyle name="20% - 강조색6 43 25" xfId="8704"/>
    <cellStyle name="20% - 강조색6 43 26" xfId="9104"/>
    <cellStyle name="20% - 강조색6 43 27" xfId="8078"/>
    <cellStyle name="20% - 강조색6 43 28" xfId="9857"/>
    <cellStyle name="20% - 강조색6 43 29" xfId="10342"/>
    <cellStyle name="20% - 강조색6 43 3" xfId="1222"/>
    <cellStyle name="20% - 강조색6 43 30" xfId="10507"/>
    <cellStyle name="20% - 강조색6 43 31" xfId="8021"/>
    <cellStyle name="20% - 강조색6 43 32" xfId="11058"/>
    <cellStyle name="20% - 강조색6 43 4" xfId="1314"/>
    <cellStyle name="20% - 강조색6 43 5" xfId="1705"/>
    <cellStyle name="20% - 강조색6 43 6" xfId="1417"/>
    <cellStyle name="20% - 강조색6 43 7" xfId="2252"/>
    <cellStyle name="20% - 강조색6 43 8" xfId="2549"/>
    <cellStyle name="20% - 강조색6 43 9" xfId="2883"/>
    <cellStyle name="20% - 강조색6 44" xfId="620"/>
    <cellStyle name="20% - 강조색6 44 10" xfId="3333"/>
    <cellStyle name="20% - 강조색6 44 11" xfId="3437"/>
    <cellStyle name="20% - 강조색6 44 12" xfId="3464"/>
    <cellStyle name="20% - 강조색6 44 13" xfId="4187"/>
    <cellStyle name="20% - 강조색6 44 14" xfId="3087"/>
    <cellStyle name="20% - 강조색6 44 15" xfId="4188"/>
    <cellStyle name="20% - 강조색6 44 16" xfId="5301"/>
    <cellStyle name="20% - 강조색6 44 17" xfId="5375"/>
    <cellStyle name="20% - 강조색6 44 18" xfId="5832"/>
    <cellStyle name="20% - 강조색6 44 19" xfId="1580"/>
    <cellStyle name="20% - 강조색6 44 2" xfId="1123"/>
    <cellStyle name="20% - 강조색6 44 20" xfId="6905"/>
    <cellStyle name="20% - 강조색6 44 21" xfId="4629"/>
    <cellStyle name="20% - 강조색6 44 22" xfId="6044"/>
    <cellStyle name="20% - 강조색6 44 23" xfId="8239"/>
    <cellStyle name="20% - 강조색6 44 24" xfId="7509"/>
    <cellStyle name="20% - 강조색6 44 25" xfId="8939"/>
    <cellStyle name="20% - 강조색6 44 26" xfId="9222"/>
    <cellStyle name="20% - 강조색6 44 27" xfId="9715"/>
    <cellStyle name="20% - 강조색6 44 28" xfId="8013"/>
    <cellStyle name="20% - 강조색6 44 29" xfId="10192"/>
    <cellStyle name="20% - 강조색6 44 3" xfId="1203"/>
    <cellStyle name="20% - 강조색6 44 30" xfId="4192"/>
    <cellStyle name="20% - 강조색6 44 31" xfId="10832"/>
    <cellStyle name="20% - 강조색6 44 32" xfId="11269"/>
    <cellStyle name="20% - 강조색6 44 4" xfId="1295"/>
    <cellStyle name="20% - 강조색6 44 5" xfId="1741"/>
    <cellStyle name="20% - 강조색6 44 6" xfId="2038"/>
    <cellStyle name="20% - 강조색6 44 7" xfId="2283"/>
    <cellStyle name="20% - 강조색6 44 8" xfId="2145"/>
    <cellStyle name="20% - 강조색6 44 9" xfId="1985"/>
    <cellStyle name="20% - 강조색6 45" xfId="655"/>
    <cellStyle name="20% - 강조색6 45 10" xfId="1636"/>
    <cellStyle name="20% - 강조색6 45 11" xfId="3562"/>
    <cellStyle name="20% - 강조색6 45 12" xfId="3791"/>
    <cellStyle name="20% - 강조색6 45 13" xfId="3566"/>
    <cellStyle name="20% - 강조색6 45 14" xfId="3409"/>
    <cellStyle name="20% - 강조색6 45 15" xfId="5237"/>
    <cellStyle name="20% - 강조색6 45 16" xfId="2389"/>
    <cellStyle name="20% - 강조색6 45 17" xfId="5459"/>
    <cellStyle name="20% - 강조색6 45 18" xfId="2221"/>
    <cellStyle name="20% - 강조색6 45 19" xfId="5994"/>
    <cellStyle name="20% - 강조색6 45 2" xfId="1158"/>
    <cellStyle name="20% - 강조색6 45 20" xfId="6883"/>
    <cellStyle name="20% - 강조색6 45 21" xfId="7250"/>
    <cellStyle name="20% - 강조색6 45 22" xfId="7771"/>
    <cellStyle name="20% - 강조색6 45 23" xfId="4893"/>
    <cellStyle name="20% - 강조색6 45 24" xfId="8453"/>
    <cellStyle name="20% - 강조색6 45 25" xfId="1476"/>
    <cellStyle name="20% - 강조색6 45 26" xfId="4425"/>
    <cellStyle name="20% - 강조색6 45 27" xfId="9637"/>
    <cellStyle name="20% - 강조색6 45 28" xfId="4361"/>
    <cellStyle name="20% - 강조색6 45 29" xfId="9180"/>
    <cellStyle name="20% - 강조색6 45 3" xfId="1238"/>
    <cellStyle name="20% - 강조색6 45 30" xfId="1533"/>
    <cellStyle name="20% - 강조색6 45 31" xfId="10780"/>
    <cellStyle name="20% - 강조색6 45 32" xfId="7455"/>
    <cellStyle name="20% - 강조색6 45 4" xfId="1330"/>
    <cellStyle name="20% - 강조색6 45 5" xfId="1700"/>
    <cellStyle name="20% - 강조색6 45 6" xfId="704"/>
    <cellStyle name="20% - 강조색6 45 7" xfId="2222"/>
    <cellStyle name="20% - 강조색6 45 8" xfId="2504"/>
    <cellStyle name="20% - 강조색6 45 9" xfId="2754"/>
    <cellStyle name="20% - 강조색6 46" xfId="613"/>
    <cellStyle name="20% - 강조색6 46 10" xfId="3173"/>
    <cellStyle name="20% - 강조색6 46 11" xfId="1870"/>
    <cellStyle name="20% - 강조색6 46 12" xfId="3994"/>
    <cellStyle name="20% - 강조색6 46 13" xfId="4174"/>
    <cellStyle name="20% - 강조색6 46 14" xfId="4299"/>
    <cellStyle name="20% - 강조색6 46 15" xfId="5347"/>
    <cellStyle name="20% - 강조색6 46 16" xfId="5712"/>
    <cellStyle name="20% - 강조색6 46 17" xfId="5043"/>
    <cellStyle name="20% - 강조색6 46 18" xfId="5715"/>
    <cellStyle name="20% - 강조색6 46 19" xfId="6534"/>
    <cellStyle name="20% - 강조색6 46 2" xfId="1116"/>
    <cellStyle name="20% - 강조색6 46 20" xfId="7270"/>
    <cellStyle name="20% - 강조색6 46 21" xfId="6849"/>
    <cellStyle name="20% - 강조색6 46 22" xfId="7581"/>
    <cellStyle name="20% - 강조색6 46 23" xfId="8202"/>
    <cellStyle name="20% - 강조색6 46 24" xfId="8631"/>
    <cellStyle name="20% - 강조색6 46 25" xfId="3231"/>
    <cellStyle name="20% - 강조색6 46 26" xfId="6034"/>
    <cellStyle name="20% - 강조색6 46 27" xfId="8503"/>
    <cellStyle name="20% - 강조색6 46 28" xfId="9298"/>
    <cellStyle name="20% - 강조색6 46 29" xfId="10372"/>
    <cellStyle name="20% - 강조색6 46 3" xfId="1196"/>
    <cellStyle name="20% - 강조색6 46 30" xfId="7987"/>
    <cellStyle name="20% - 강조색6 46 31" xfId="10959"/>
    <cellStyle name="20% - 강조색6 46 32" xfId="9054"/>
    <cellStyle name="20% - 강조색6 46 4" xfId="1288"/>
    <cellStyle name="20% - 강조색6 46 5" xfId="1787"/>
    <cellStyle name="20% - 강조색6 46 6" xfId="2034"/>
    <cellStyle name="20% - 강조색6 46 7" xfId="1634"/>
    <cellStyle name="20% - 강조색6 46 8" xfId="2631"/>
    <cellStyle name="20% - 강조색6 46 9" xfId="2982"/>
    <cellStyle name="20% - 강조색6 47" xfId="575"/>
    <cellStyle name="20% - 강조색6 47 10" xfId="4183"/>
    <cellStyle name="20% - 강조색6 47 11" xfId="4585"/>
    <cellStyle name="20% - 강조색6 47 12" xfId="1474"/>
    <cellStyle name="20% - 강조색6 47 13" xfId="5260"/>
    <cellStyle name="20% - 강조색6 47 14" xfId="5763"/>
    <cellStyle name="20% - 강조색6 47 15" xfId="5862"/>
    <cellStyle name="20% - 강조색6 47 16" xfId="3279"/>
    <cellStyle name="20% - 강조색6 47 17" xfId="6328"/>
    <cellStyle name="20% - 강조색6 47 18" xfId="7091"/>
    <cellStyle name="20% - 강조색6 47 19" xfId="5252"/>
    <cellStyle name="20% - 강조색6 47 2" xfId="1086"/>
    <cellStyle name="20% - 강조색6 47 20" xfId="2386"/>
    <cellStyle name="20% - 강조색6 47 21" xfId="8371"/>
    <cellStyle name="20% - 강조색6 47 22" xfId="7647"/>
    <cellStyle name="20% - 강조색6 47 23" xfId="8447"/>
    <cellStyle name="20% - 강조색6 47 24" xfId="9617"/>
    <cellStyle name="20% - 강조색6 47 25" xfId="9430"/>
    <cellStyle name="20% - 강조색6 47 26" xfId="6736"/>
    <cellStyle name="20% - 강조색6 47 27" xfId="9564"/>
    <cellStyle name="20% - 강조색6 47 28" xfId="9254"/>
    <cellStyle name="20% - 강조색6 47 29" xfId="9051"/>
    <cellStyle name="20% - 강조색6 47 3" xfId="2067"/>
    <cellStyle name="20% - 강조색6 47 30" xfId="11336"/>
    <cellStyle name="20% - 강조색6 47 31" xfId="11390"/>
    <cellStyle name="20% - 강조색6 47 32" xfId="11400"/>
    <cellStyle name="20% - 강조색6 47 33" xfId="11415"/>
    <cellStyle name="20% - 강조색6 47 4" xfId="1555"/>
    <cellStyle name="20% - 강조색6 47 5" xfId="2117"/>
    <cellStyle name="20% - 강조색6 47 6" xfId="2870"/>
    <cellStyle name="20% - 강조색6 47 7" xfId="2849"/>
    <cellStyle name="20% - 강조색6 47 8" xfId="3613"/>
    <cellStyle name="20% - 강조색6 47 9" xfId="4033"/>
    <cellStyle name="20% - 강조색6 48" xfId="1088"/>
    <cellStyle name="20% - 강조색6 48 10" xfId="4178"/>
    <cellStyle name="20% - 강조색6 48 11" xfId="1482"/>
    <cellStyle name="20% - 강조색6 48 12" xfId="842"/>
    <cellStyle name="20% - 강조색6 48 13" xfId="5506"/>
    <cellStyle name="20% - 강조색6 48 14" xfId="3870"/>
    <cellStyle name="20% - 강조색6 48 15" xfId="5776"/>
    <cellStyle name="20% - 강조색6 48 16" xfId="1928"/>
    <cellStyle name="20% - 강조색6 48 17" xfId="6860"/>
    <cellStyle name="20% - 강조색6 48 18" xfId="6619"/>
    <cellStyle name="20% - 강조색6 48 19" xfId="6374"/>
    <cellStyle name="20% - 강조색6 48 2" xfId="1795"/>
    <cellStyle name="20% - 강조색6 48 20" xfId="8244"/>
    <cellStyle name="20% - 강조색6 48 21" xfId="8581"/>
    <cellStyle name="20% - 강조색6 48 22" xfId="8719"/>
    <cellStyle name="20% - 강조색6 48 23" xfId="9164"/>
    <cellStyle name="20% - 강조색6 48 24" xfId="9445"/>
    <cellStyle name="20% - 강조색6 48 25" xfId="10012"/>
    <cellStyle name="20% - 강조색6 48 26" xfId="7132"/>
    <cellStyle name="20% - 강조색6 48 27" xfId="6760"/>
    <cellStyle name="20% - 강조색6 48 28" xfId="10548"/>
    <cellStyle name="20% - 강조색6 48 29" xfId="11156"/>
    <cellStyle name="20% - 강조색6 48 3" xfId="2036"/>
    <cellStyle name="20% - 강조색6 48 4" xfId="1876"/>
    <cellStyle name="20% - 강조색6 48 5" xfId="2532"/>
    <cellStyle name="20% - 강조색6 48 6" xfId="962"/>
    <cellStyle name="20% - 강조색6 48 7" xfId="3100"/>
    <cellStyle name="20% - 강조색6 48 8" xfId="1415"/>
    <cellStyle name="20% - 강조색6 48 9" xfId="828"/>
    <cellStyle name="20% - 강조색6 49" xfId="1090"/>
    <cellStyle name="20% - 강조색6 49 10" xfId="4338"/>
    <cellStyle name="20% - 강조색6 49 11" xfId="4508"/>
    <cellStyle name="20% - 강조색6 49 12" xfId="4733"/>
    <cellStyle name="20% - 강조색6 49 13" xfId="5716"/>
    <cellStyle name="20% - 강조색6 49 14" xfId="4987"/>
    <cellStyle name="20% - 강조색6 49 15" xfId="5474"/>
    <cellStyle name="20% - 강조색6 49 16" xfId="6446"/>
    <cellStyle name="20% - 강조색6 49 17" xfId="6273"/>
    <cellStyle name="20% - 강조색6 49 18" xfId="7199"/>
    <cellStyle name="20% - 강조색6 49 19" xfId="6116"/>
    <cellStyle name="20% - 강조색6 49 2" xfId="1799"/>
    <cellStyle name="20% - 강조색6 49 20" xfId="7456"/>
    <cellStyle name="20% - 강조색6 49 21" xfId="8567"/>
    <cellStyle name="20% - 강조색6 49 22" xfId="8944"/>
    <cellStyle name="20% - 강조색6 49 23" xfId="9359"/>
    <cellStyle name="20% - 강조색6 49 24" xfId="7694"/>
    <cellStyle name="20% - 강조색6 49 25" xfId="7473"/>
    <cellStyle name="20% - 강조색6 49 26" xfId="10107"/>
    <cellStyle name="20% - 강조색6 49 27" xfId="10652"/>
    <cellStyle name="20% - 강조색6 49 28" xfId="8337"/>
    <cellStyle name="20% - 강조색6 49 29" xfId="11237"/>
    <cellStyle name="20% - 강조색6 49 3" xfId="2024"/>
    <cellStyle name="20% - 강조색6 49 4" xfId="2319"/>
    <cellStyle name="20% - 강조색6 49 5" xfId="2440"/>
    <cellStyle name="20% - 강조색6 49 6" xfId="2965"/>
    <cellStyle name="20% - 강조색6 49 7" xfId="3122"/>
    <cellStyle name="20% - 강조색6 49 8" xfId="3617"/>
    <cellStyle name="20% - 강조색6 49 9" xfId="1538"/>
    <cellStyle name="20% - 강조색6 5" xfId="114"/>
    <cellStyle name="20% - 강조색6 50" xfId="1040"/>
    <cellStyle name="20% - 강조색6 50 10" xfId="4279"/>
    <cellStyle name="20% - 강조색6 50 11" xfId="4659"/>
    <cellStyle name="20% - 강조색6 50 12" xfId="5455"/>
    <cellStyle name="20% - 강조색6 50 13" xfId="5300"/>
    <cellStyle name="20% - 강조색6 50 14" xfId="5797"/>
    <cellStyle name="20% - 강조색6 50 15" xfId="5884"/>
    <cellStyle name="20% - 강조색6 50 16" xfId="1946"/>
    <cellStyle name="20% - 강조색6 50 17" xfId="7057"/>
    <cellStyle name="20% - 강조색6 50 18" xfId="7303"/>
    <cellStyle name="20% - 강조색6 50 19" xfId="6310"/>
    <cellStyle name="20% - 강조색6 50 2" xfId="1710"/>
    <cellStyle name="20% - 강조색6 50 20" xfId="8132"/>
    <cellStyle name="20% - 강조색6 50 21" xfId="8376"/>
    <cellStyle name="20% - 강조색6 50 22" xfId="8985"/>
    <cellStyle name="20% - 강조색6 50 23" xfId="9116"/>
    <cellStyle name="20% - 강조색6 50 24" xfId="4563"/>
    <cellStyle name="20% - 강조색6 50 25" xfId="4666"/>
    <cellStyle name="20% - 강조색6 50 26" xfId="10127"/>
    <cellStyle name="20% - 강조색6 50 27" xfId="10136"/>
    <cellStyle name="20% - 강조색6 50 28" xfId="10864"/>
    <cellStyle name="20% - 강조색6 50 29" xfId="11262"/>
    <cellStyle name="20% - 강조색6 50 3" xfId="1366"/>
    <cellStyle name="20% - 강조색6 50 4" xfId="2265"/>
    <cellStyle name="20% - 강조색6 50 5" xfId="1495"/>
    <cellStyle name="20% - 강조색6 50 6" xfId="2917"/>
    <cellStyle name="20% - 강조색6 50 7" xfId="827"/>
    <cellStyle name="20% - 강조색6 50 8" xfId="860"/>
    <cellStyle name="20% - 강조색6 50 9" xfId="4006"/>
    <cellStyle name="20% - 강조색6 51" xfId="1027"/>
    <cellStyle name="20% - 강조색6 51 10" xfId="4327"/>
    <cellStyle name="20% - 강조색6 51 11" xfId="4504"/>
    <cellStyle name="20% - 강조색6 51 12" xfId="5217"/>
    <cellStyle name="20% - 강조색6 51 13" xfId="1492"/>
    <cellStyle name="20% - 강조색6 51 14" xfId="5717"/>
    <cellStyle name="20% - 강조색6 51 15" xfId="4854"/>
    <cellStyle name="20% - 강조색6 51 16" xfId="6566"/>
    <cellStyle name="20% - 강조색6 51 17" xfId="7072"/>
    <cellStyle name="20% - 강조색6 51 18" xfId="4521"/>
    <cellStyle name="20% - 강조색6 51 19" xfId="7504"/>
    <cellStyle name="20% - 강조색6 51 2" xfId="1683"/>
    <cellStyle name="20% - 강조색6 51 20" xfId="2487"/>
    <cellStyle name="20% - 강조색6 51 21" xfId="8445"/>
    <cellStyle name="20% - 강조색6 51 22" xfId="6342"/>
    <cellStyle name="20% - 강조색6 51 23" xfId="7902"/>
    <cellStyle name="20% - 강조색6 51 24" xfId="953"/>
    <cellStyle name="20% - 강조색6 51 25" xfId="9237"/>
    <cellStyle name="20% - 강조색6 51 26" xfId="7074"/>
    <cellStyle name="20% - 강조색6 51 27" xfId="10564"/>
    <cellStyle name="20% - 강조색6 51 28" xfId="10740"/>
    <cellStyle name="20% - 강조색6 51 29" xfId="11184"/>
    <cellStyle name="20% - 강조색6 51 3" xfId="2031"/>
    <cellStyle name="20% - 강조색6 51 4" xfId="2301"/>
    <cellStyle name="20% - 강조색6 51 5" xfId="2613"/>
    <cellStyle name="20% - 강조색6 51 6" xfId="2773"/>
    <cellStyle name="20% - 강조색6 51 7" xfId="3288"/>
    <cellStyle name="20% - 강조색6 51 8" xfId="2742"/>
    <cellStyle name="20% - 강조색6 51 9" xfId="3733"/>
    <cellStyle name="20% - 강조색6 52" xfId="1032"/>
    <cellStyle name="20% - 강조색6 52 10" xfId="4358"/>
    <cellStyle name="20% - 강조색6 52 11" xfId="4680"/>
    <cellStyle name="20% - 강조색6 52 12" xfId="5281"/>
    <cellStyle name="20% - 강조색6 52 13" xfId="5308"/>
    <cellStyle name="20% - 강조색6 52 14" xfId="3115"/>
    <cellStyle name="20% - 강조색6 52 15" xfId="5801"/>
    <cellStyle name="20% - 강조색6 52 16" xfId="6553"/>
    <cellStyle name="20% - 강조색6 52 17" xfId="6877"/>
    <cellStyle name="20% - 강조색6 52 18" xfId="4116"/>
    <cellStyle name="20% - 강조색6 52 19" xfId="7689"/>
    <cellStyle name="20% - 강조색6 52 2" xfId="1688"/>
    <cellStyle name="20% - 강조색6 52 20" xfId="8236"/>
    <cellStyle name="20% - 강조색6 52 21" xfId="2563"/>
    <cellStyle name="20% - 강조색6 52 22" xfId="3154"/>
    <cellStyle name="20% - 강조색6 52 23" xfId="8630"/>
    <cellStyle name="20% - 강조색6 52 24" xfId="9517"/>
    <cellStyle name="20% - 강조색6 52 25" xfId="4981"/>
    <cellStyle name="20% - 강조색6 52 26" xfId="10281"/>
    <cellStyle name="20% - 강조색6 52 27" xfId="9926"/>
    <cellStyle name="20% - 강조색6 52 28" xfId="9843"/>
    <cellStyle name="20% - 강조색6 52 29" xfId="11163"/>
    <cellStyle name="20% - 강조색6 52 3" xfId="2070"/>
    <cellStyle name="20% - 강조색6 52 4" xfId="2280"/>
    <cellStyle name="20% - 강조색6 52 5" xfId="2606"/>
    <cellStyle name="20% - 강조색6 52 6" xfId="2752"/>
    <cellStyle name="20% - 강조색6 52 7" xfId="3336"/>
    <cellStyle name="20% - 강조색6 52 8" xfId="3691"/>
    <cellStyle name="20% - 강조색6 52 9" xfId="3893"/>
    <cellStyle name="20% - 강조색6 53" xfId="1041"/>
    <cellStyle name="20% - 강조색6 53 10" xfId="4350"/>
    <cellStyle name="20% - 강조색6 53 11" xfId="2184"/>
    <cellStyle name="20% - 강조색6 53 12" xfId="4829"/>
    <cellStyle name="20% - 강조색6 53 13" xfId="5779"/>
    <cellStyle name="20% - 강조색6 53 14" xfId="5871"/>
    <cellStyle name="20% - 강조색6 53 15" xfId="5938"/>
    <cellStyle name="20% - 강조색6 53 16" xfId="6453"/>
    <cellStyle name="20% - 강조색6 53 17" xfId="6334"/>
    <cellStyle name="20% - 강조색6 53 18" xfId="6125"/>
    <cellStyle name="20% - 강조색6 53 19" xfId="7722"/>
    <cellStyle name="20% - 강조색6 53 2" xfId="1713"/>
    <cellStyle name="20% - 강조색6 53 20" xfId="6135"/>
    <cellStyle name="20% - 강조색6 53 21" xfId="8518"/>
    <cellStyle name="20% - 강조색6 53 22" xfId="7477"/>
    <cellStyle name="20% - 강조색6 53 23" xfId="9225"/>
    <cellStyle name="20% - 강조색6 53 24" xfId="7654"/>
    <cellStyle name="20% - 강조색6 53 25" xfId="10035"/>
    <cellStyle name="20% - 강조색6 53 26" xfId="7544"/>
    <cellStyle name="20% - 강조색6 53 27" xfId="10447"/>
    <cellStyle name="20% - 강조색6 53 28" xfId="10764"/>
    <cellStyle name="20% - 강조색6 53 29" xfId="11225"/>
    <cellStyle name="20% - 강조색6 53 3" xfId="768"/>
    <cellStyle name="20% - 강조색6 53 4" xfId="924"/>
    <cellStyle name="20% - 강조색6 53 5" xfId="1491"/>
    <cellStyle name="20% - 강조색6 53 6" xfId="2514"/>
    <cellStyle name="20% - 강조색6 53 7" xfId="1640"/>
    <cellStyle name="20% - 강조색6 53 8" xfId="3630"/>
    <cellStyle name="20% - 강조색6 53 9" xfId="935"/>
    <cellStyle name="20% - 강조색6 54" xfId="1627"/>
    <cellStyle name="20% - 강조색6 54 10" xfId="2478"/>
    <cellStyle name="20% - 강조색6 54 11" xfId="5599"/>
    <cellStyle name="20% - 강조색6 54 12" xfId="2672"/>
    <cellStyle name="20% - 강조색6 54 13" xfId="5313"/>
    <cellStyle name="20% - 강조색6 54 14" xfId="2837"/>
    <cellStyle name="20% - 강조색6 54 15" xfId="6114"/>
    <cellStyle name="20% - 강조색6 54 16" xfId="6776"/>
    <cellStyle name="20% - 강조색6 54 17" xfId="6471"/>
    <cellStyle name="20% - 강조색6 54 18" xfId="1943"/>
    <cellStyle name="20% - 강조색6 54 19" xfId="8228"/>
    <cellStyle name="20% - 강조색6 54 2" xfId="2087"/>
    <cellStyle name="20% - 강조색6 54 20" xfId="8378"/>
    <cellStyle name="20% - 강조색6 54 21" xfId="8700"/>
    <cellStyle name="20% - 강조색6 54 22" xfId="9293"/>
    <cellStyle name="20% - 강조색6 54 23" xfId="9673"/>
    <cellStyle name="20% - 강조색6 54 24" xfId="2813"/>
    <cellStyle name="20% - 강조색6 54 25" xfId="10355"/>
    <cellStyle name="20% - 강조색6 54 26" xfId="10176"/>
    <cellStyle name="20% - 강조색6 54 27" xfId="6077"/>
    <cellStyle name="20% - 강조색6 54 28" xfId="11090"/>
    <cellStyle name="20% - 강조색6 54 3" xfId="2369"/>
    <cellStyle name="20% - 강조색6 54 4" xfId="2688"/>
    <cellStyle name="20% - 강조색6 54 5" xfId="2148"/>
    <cellStyle name="20% - 강조색6 54 6" xfId="1565"/>
    <cellStyle name="20% - 강조색6 54 7" xfId="3556"/>
    <cellStyle name="20% - 강조색6 54 8" xfId="3864"/>
    <cellStyle name="20% - 강조색6 54 9" xfId="4232"/>
    <cellStyle name="20% - 강조색6 55" xfId="2060"/>
    <cellStyle name="20% - 강조색6 55 10" xfId="5086"/>
    <cellStyle name="20% - 강조색6 55 11" xfId="4978"/>
    <cellStyle name="20% - 강조색6 55 12" xfId="5366"/>
    <cellStyle name="20% - 강조색6 55 13" xfId="5690"/>
    <cellStyle name="20% - 강조색6 55 14" xfId="6370"/>
    <cellStyle name="20% - 강조색6 55 15" xfId="2451"/>
    <cellStyle name="20% - 강조색6 55 16" xfId="6841"/>
    <cellStyle name="20% - 강조색6 55 17" xfId="7759"/>
    <cellStyle name="20% - 강조색6 55 18" xfId="8062"/>
    <cellStyle name="20% - 강조색6 55 19" xfId="8523"/>
    <cellStyle name="20% - 강조색6 55 2" xfId="2379"/>
    <cellStyle name="20% - 강조색6 55 20" xfId="8962"/>
    <cellStyle name="20% - 강조색6 55 21" xfId="9210"/>
    <cellStyle name="20% - 강조색6 55 22" xfId="9436"/>
    <cellStyle name="20% - 강조색6 55 23" xfId="9987"/>
    <cellStyle name="20% - 강조색6 55 24" xfId="10141"/>
    <cellStyle name="20% - 강조색6 55 25" xfId="7975"/>
    <cellStyle name="20% - 강조색6 55 26" xfId="7978"/>
    <cellStyle name="20% - 강조색6 55 27" xfId="9477"/>
    <cellStyle name="20% - 강조색6 55 3" xfId="2698"/>
    <cellStyle name="20% - 강조색6 55 4" xfId="3013"/>
    <cellStyle name="20% - 강조색6 55 5" xfId="3240"/>
    <cellStyle name="20% - 강조색6 55 6" xfId="3667"/>
    <cellStyle name="20% - 강조색6 55 7" xfId="1520"/>
    <cellStyle name="20% - 강조색6 55 8" xfId="890"/>
    <cellStyle name="20% - 강조색6 55 9" xfId="4651"/>
    <cellStyle name="20% - 강조색6 56" xfId="2340"/>
    <cellStyle name="20% - 강조색6 56 10" xfId="4815"/>
    <cellStyle name="20% - 강조색6 56 11" xfId="5751"/>
    <cellStyle name="20% - 강조색6 56 12" xfId="5853"/>
    <cellStyle name="20% - 강조색6 56 13" xfId="4481"/>
    <cellStyle name="20% - 강조색6 56 14" xfId="7050"/>
    <cellStyle name="20% - 강조색6 56 15" xfId="4434"/>
    <cellStyle name="20% - 강조색6 56 16" xfId="1641"/>
    <cellStyle name="20% - 강조색6 56 17" xfId="8130"/>
    <cellStyle name="20% - 강조색6 56 18" xfId="6850"/>
    <cellStyle name="20% - 강조색6 56 19" xfId="1361"/>
    <cellStyle name="20% - 강조색6 56 2" xfId="2709"/>
    <cellStyle name="20% - 강조색6 56 20" xfId="9109"/>
    <cellStyle name="20% - 강조색6 56 21" xfId="6016"/>
    <cellStyle name="20% - 강조색6 56 22" xfId="8306"/>
    <cellStyle name="20% - 강조색6 56 23" xfId="8787"/>
    <cellStyle name="20% - 강조색6 56 24" xfId="7622"/>
    <cellStyle name="20% - 강조색6 56 25" xfId="2843"/>
    <cellStyle name="20% - 강조색6 56 26" xfId="10463"/>
    <cellStyle name="20% - 강조색6 56 3" xfId="3024"/>
    <cellStyle name="20% - 강조색6 56 4" xfId="3357"/>
    <cellStyle name="20% - 강조색6 56 5" xfId="3267"/>
    <cellStyle name="20% - 강조색6 56 6" xfId="3988"/>
    <cellStyle name="20% - 강조색6 56 7" xfId="4362"/>
    <cellStyle name="20% - 강조색6 56 8" xfId="4721"/>
    <cellStyle name="20% - 강조색6 56 9" xfId="5095"/>
    <cellStyle name="20% - 강조색6 57" xfId="2681"/>
    <cellStyle name="20% - 강조색6 57 10" xfId="5257"/>
    <cellStyle name="20% - 강조색6 57 11" xfId="5739"/>
    <cellStyle name="20% - 강조색6 57 12" xfId="3819"/>
    <cellStyle name="20% - 강조색6 57 13" xfId="7069"/>
    <cellStyle name="20% - 강조색6 57 14" xfId="4610"/>
    <cellStyle name="20% - 강조색6 57 15" xfId="881"/>
    <cellStyle name="20% - 강조색6 57 16" xfId="8059"/>
    <cellStyle name="20% - 강조색6 57 17" xfId="8391"/>
    <cellStyle name="20% - 강조색6 57 18" xfId="8879"/>
    <cellStyle name="20% - 강조색6 57 19" xfId="7914"/>
    <cellStyle name="20% - 강조색6 57 2" xfId="3035"/>
    <cellStyle name="20% - 강조색6 57 20" xfId="8681"/>
    <cellStyle name="20% - 강조색6 57 21" xfId="8101"/>
    <cellStyle name="20% - 강조색6 57 22" xfId="10284"/>
    <cellStyle name="20% - 강조색6 57 23" xfId="10653"/>
    <cellStyle name="20% - 강조색6 57 24" xfId="10814"/>
    <cellStyle name="20% - 강조색6 57 25" xfId="11067"/>
    <cellStyle name="20% - 강조색6 57 3" xfId="3368"/>
    <cellStyle name="20% - 강조색6 57 4" xfId="3700"/>
    <cellStyle name="20% - 강조색6 57 5" xfId="3965"/>
    <cellStyle name="20% - 강조색6 57 6" xfId="4281"/>
    <cellStyle name="20% - 강조색6 57 7" xfId="1926"/>
    <cellStyle name="20% - 강조색6 57 8" xfId="5267"/>
    <cellStyle name="20% - 강조색6 57 9" xfId="5009"/>
    <cellStyle name="20% - 강조색6 58" xfId="2992"/>
    <cellStyle name="20% - 강조색6 58 10" xfId="5439"/>
    <cellStyle name="20% - 강조색6 58 11" xfId="6609"/>
    <cellStyle name="20% - 강조색6 58 12" xfId="7109"/>
    <cellStyle name="20% - 강조색6 58 13" xfId="6959"/>
    <cellStyle name="20% - 강조색6 58 14" xfId="7719"/>
    <cellStyle name="20% - 강조색6 58 15" xfId="8135"/>
    <cellStyle name="20% - 강조색6 58 16" xfId="8424"/>
    <cellStyle name="20% - 강조색6 58 17" xfId="1633"/>
    <cellStyle name="20% - 강조색6 58 18" xfId="9178"/>
    <cellStyle name="20% - 강조색6 58 19" xfId="9465"/>
    <cellStyle name="20% - 강조색6 58 2" xfId="3378"/>
    <cellStyle name="20% - 강조색6 58 20" xfId="4911"/>
    <cellStyle name="20% - 강조색6 58 21" xfId="10320"/>
    <cellStyle name="20% - 강조색6 58 22" xfId="10585"/>
    <cellStyle name="20% - 강조색6 58 23" xfId="10981"/>
    <cellStyle name="20% - 강조색6 58 24" xfId="11169"/>
    <cellStyle name="20% - 강조색6 58 3" xfId="3711"/>
    <cellStyle name="20% - 강조색6 58 4" xfId="4049"/>
    <cellStyle name="20% - 강조색6 58 5" xfId="4268"/>
    <cellStyle name="20% - 강조색6 58 6" xfId="4479"/>
    <cellStyle name="20% - 강조색6 58 7" xfId="4082"/>
    <cellStyle name="20% - 강조색6 58 8" xfId="3790"/>
    <cellStyle name="20% - 강조색6 58 9" xfId="5282"/>
    <cellStyle name="20% - 강조색6 59" xfId="2202"/>
    <cellStyle name="20% - 강조색6 59 10" xfId="6159"/>
    <cellStyle name="20% - 강조색6 59 11" xfId="6935"/>
    <cellStyle name="20% - 강조색6 59 12" xfId="7020"/>
    <cellStyle name="20% - 강조색6 59 13" xfId="7787"/>
    <cellStyle name="20% - 강조색6 59 14" xfId="2714"/>
    <cellStyle name="20% - 강조색6 59 15" xfId="7937"/>
    <cellStyle name="20% - 강조색6 59 16" xfId="8991"/>
    <cellStyle name="20% - 강조색6 59 17" xfId="9076"/>
    <cellStyle name="20% - 강조색6 59 18" xfId="9540"/>
    <cellStyle name="20% - 강조색6 59 19" xfId="8749"/>
    <cellStyle name="20% - 강조색6 59 2" xfId="2150"/>
    <cellStyle name="20% - 강조색6 59 20" xfId="8346"/>
    <cellStyle name="20% - 강조색6 59 21" xfId="9112"/>
    <cellStyle name="20% - 강조색6 59 22" xfId="8479"/>
    <cellStyle name="20% - 강조색6 59 23" xfId="4676"/>
    <cellStyle name="20% - 강조색6 59 3" xfId="1857"/>
    <cellStyle name="20% - 강조색6 59 4" xfId="4101"/>
    <cellStyle name="20% - 강조색6 59 5" xfId="2093"/>
    <cellStyle name="20% - 강조색6 59 6" xfId="2438"/>
    <cellStyle name="20% - 강조색6 59 7" xfId="3200"/>
    <cellStyle name="20% - 강조색6 59 8" xfId="4916"/>
    <cellStyle name="20% - 강조색6 59 9" xfId="4982"/>
    <cellStyle name="20% - 강조색6 6" xfId="127"/>
    <cellStyle name="20% - 강조색6 60" xfId="3548"/>
    <cellStyle name="20% - 강조색6 60 10" xfId="6808"/>
    <cellStyle name="20% - 강조색6 60 11" xfId="7148"/>
    <cellStyle name="20% - 강조색6 60 12" xfId="7462"/>
    <cellStyle name="20% - 강조색6 60 13" xfId="7576"/>
    <cellStyle name="20% - 강조색6 60 14" xfId="8397"/>
    <cellStyle name="20% - 강조색6 60 15" xfId="8995"/>
    <cellStyle name="20% - 강조색6 60 16" xfId="8325"/>
    <cellStyle name="20% - 강조색6 60 17" xfId="3085"/>
    <cellStyle name="20% - 강조색6 60 18" xfId="9781"/>
    <cellStyle name="20% - 강조색6 60 19" xfId="10198"/>
    <cellStyle name="20% - 강조색6 60 2" xfId="4063"/>
    <cellStyle name="20% - 강조색6 60 20" xfId="8326"/>
    <cellStyle name="20% - 강조색6 60 21" xfId="9765"/>
    <cellStyle name="20% - 강조색6 60 22" xfId="10806"/>
    <cellStyle name="20% - 강조색6 60 3" xfId="4399"/>
    <cellStyle name="20% - 강조색6 60 4" xfId="4752"/>
    <cellStyle name="20% - 강조색6 60 5" xfId="5457"/>
    <cellStyle name="20% - 강조색6 60 6" xfId="5699"/>
    <cellStyle name="20% - 강조색6 60 7" xfId="5067"/>
    <cellStyle name="20% - 강조색6 60 8" xfId="5770"/>
    <cellStyle name="20% - 강조색6 60 9" xfId="6572"/>
    <cellStyle name="20% - 강조색6 61" xfId="3854"/>
    <cellStyle name="20% - 강조색6 61 10" xfId="7362"/>
    <cellStyle name="20% - 강조색6 61 11" xfId="7627"/>
    <cellStyle name="20% - 강조색6 61 12" xfId="8252"/>
    <cellStyle name="20% - 강조색6 61 13" xfId="8433"/>
    <cellStyle name="20% - 강조색6 61 14" xfId="3958"/>
    <cellStyle name="20% - 강조색6 61 15" xfId="3466"/>
    <cellStyle name="20% - 강조색6 61 16" xfId="9537"/>
    <cellStyle name="20% - 강조색6 61 17" xfId="9963"/>
    <cellStyle name="20% - 강조색6 61 18" xfId="1577"/>
    <cellStyle name="20% - 강조색6 61 19" xfId="10143"/>
    <cellStyle name="20% - 강조색6 61 2" xfId="4409"/>
    <cellStyle name="20% - 강조색6 61 20" xfId="10914"/>
    <cellStyle name="20% - 강조색6 61 21" xfId="11227"/>
    <cellStyle name="20% - 강조색6 61 3" xfId="4762"/>
    <cellStyle name="20% - 강조색6 61 4" xfId="5656"/>
    <cellStyle name="20% - 강조색6 61 5" xfId="3820"/>
    <cellStyle name="20% - 강조색6 61 6" xfId="5813"/>
    <cellStyle name="20% - 강조색6 61 7" xfId="5894"/>
    <cellStyle name="20% - 강조색6 61 8" xfId="6397"/>
    <cellStyle name="20% - 강조색6 61 9" xfId="6842"/>
    <cellStyle name="20% - 강조색6 62" xfId="4335"/>
    <cellStyle name="20% - 강조색6 62 10" xfId="7744"/>
    <cellStyle name="20% - 강조색6 62 11" xfId="4903"/>
    <cellStyle name="20% - 강조색6 62 12" xfId="8575"/>
    <cellStyle name="20% - 강조색6 62 13" xfId="8261"/>
    <cellStyle name="20% - 강조색6 62 14" xfId="919"/>
    <cellStyle name="20% - 강조색6 62 15" xfId="9595"/>
    <cellStyle name="20% - 강조색6 62 16" xfId="3764"/>
    <cellStyle name="20% - 강조색6 62 17" xfId="9156"/>
    <cellStyle name="20% - 강조색6 62 18" xfId="10442"/>
    <cellStyle name="20% - 강조색6 62 19" xfId="3391"/>
    <cellStyle name="20% - 강조색6 62 2" xfId="4776"/>
    <cellStyle name="20% - 강조색6 62 20" xfId="6073"/>
    <cellStyle name="20% - 강조색6 62 3" xfId="5747"/>
    <cellStyle name="20% - 강조색6 62 4" xfId="5850"/>
    <cellStyle name="20% - 강조색6 62 5" xfId="5925"/>
    <cellStyle name="20% - 강조색6 62 6" xfId="5975"/>
    <cellStyle name="20% - 강조색6 62 7" xfId="6634"/>
    <cellStyle name="20% - 강조색6 62 8" xfId="7211"/>
    <cellStyle name="20% - 강조색6 62 9" xfId="7233"/>
    <cellStyle name="20% - 강조색6 63" xfId="4705"/>
    <cellStyle name="20% - 강조색6 63 10" xfId="8159"/>
    <cellStyle name="20% - 강조색6 63 11" xfId="6781"/>
    <cellStyle name="20% - 강조색6 63 12" xfId="8974"/>
    <cellStyle name="20% - 강조색6 63 13" xfId="8802"/>
    <cellStyle name="20% - 강조색6 63 14" xfId="7554"/>
    <cellStyle name="20% - 강조색6 63 15" xfId="9071"/>
    <cellStyle name="20% - 강조색6 63 16" xfId="10223"/>
    <cellStyle name="20% - 강조색6 63 17" xfId="10576"/>
    <cellStyle name="20% - 강조색6 63 18" xfId="9195"/>
    <cellStyle name="20% - 강조색6 63 19" xfId="6046"/>
    <cellStyle name="20% - 강조색6 63 2" xfId="5824"/>
    <cellStyle name="20% - 강조색6 63 3" xfId="5903"/>
    <cellStyle name="20% - 강조색6 63 4" xfId="5961"/>
    <cellStyle name="20% - 강조색6 63 5" xfId="5986"/>
    <cellStyle name="20% - 강조색6 63 6" xfId="6646"/>
    <cellStyle name="20% - 강조색6 63 7" xfId="7161"/>
    <cellStyle name="20% - 강조색6 63 8" xfId="2818"/>
    <cellStyle name="20% - 강조색6 63 9" xfId="7795"/>
    <cellStyle name="20% - 강조색6 64" xfId="5564"/>
    <cellStyle name="20% - 강조색6 64 10" xfId="9699"/>
    <cellStyle name="20% - 강조색6 64 11" xfId="9920"/>
    <cellStyle name="20% - 강조색6 64 12" xfId="9758"/>
    <cellStyle name="20% - 강조색6 64 13" xfId="1629"/>
    <cellStyle name="20% - 강조색6 64 14" xfId="9165"/>
    <cellStyle name="20% - 강조색6 64 15" xfId="10315"/>
    <cellStyle name="20% - 강조색6 64 2" xfId="6679"/>
    <cellStyle name="20% - 강조색6 64 3" xfId="7288"/>
    <cellStyle name="20% - 강조색6 64 4" xfId="6710"/>
    <cellStyle name="20% - 강조색6 64 5" xfId="5112"/>
    <cellStyle name="20% - 강조색6 64 6" xfId="4104"/>
    <cellStyle name="20% - 강조색6 64 7" xfId="8372"/>
    <cellStyle name="20% - 강조색6 64 8" xfId="8999"/>
    <cellStyle name="20% - 강조색6 64 9" xfId="4567"/>
    <cellStyle name="20% - 강조색6 65" xfId="5749"/>
    <cellStyle name="20% - 강조색6 65 10" xfId="9672"/>
    <cellStyle name="20% - 강조색6 65 11" xfId="9871"/>
    <cellStyle name="20% - 강조색6 65 12" xfId="10155"/>
    <cellStyle name="20% - 강조색6 65 13" xfId="10520"/>
    <cellStyle name="20% - 강조색6 65 14" xfId="3136"/>
    <cellStyle name="20% - 강조색6 65 15" xfId="6083"/>
    <cellStyle name="20% - 강조색6 65 2" xfId="6687"/>
    <cellStyle name="20% - 강조색6 65 3" xfId="7310"/>
    <cellStyle name="20% - 강조색6 65 4" xfId="7067"/>
    <cellStyle name="20% - 강조색6 65 5" xfId="7855"/>
    <cellStyle name="20% - 강조색6 65 6" xfId="7824"/>
    <cellStyle name="20% - 강조색6 65 7" xfId="8462"/>
    <cellStyle name="20% - 강조색6 65 8" xfId="831"/>
    <cellStyle name="20% - 강조색6 65 9" xfId="6867"/>
    <cellStyle name="20% - 강조색6 66" xfId="5852"/>
    <cellStyle name="20% - 강조색6 66 10" xfId="4377"/>
    <cellStyle name="20% - 강조색6 66 11" xfId="3657"/>
    <cellStyle name="20% - 강조색6 66 12" xfId="10147"/>
    <cellStyle name="20% - 강조색6 66 13" xfId="10626"/>
    <cellStyle name="20% - 강조색6 66 14" xfId="10965"/>
    <cellStyle name="20% - 강조색6 66 15" xfId="3802"/>
    <cellStyle name="20% - 강조색6 66 2" xfId="6693"/>
    <cellStyle name="20% - 강조색6 66 3" xfId="7319"/>
    <cellStyle name="20% - 강조색6 66 4" xfId="6834"/>
    <cellStyle name="20% - 강조색6 66 5" xfId="7861"/>
    <cellStyle name="20% - 강조색6 66 6" xfId="8216"/>
    <cellStyle name="20% - 강조색6 66 7" xfId="8422"/>
    <cellStyle name="20% - 강조색6 66 8" xfId="4515"/>
    <cellStyle name="20% - 강조색6 66 9" xfId="9338"/>
    <cellStyle name="20% - 강조색6 67" xfId="5927"/>
    <cellStyle name="20% - 강조색6 67 10" xfId="4949"/>
    <cellStyle name="20% - 강조색6 67 11" xfId="6181"/>
    <cellStyle name="20% - 강조색6 67 12" xfId="10232"/>
    <cellStyle name="20% - 강조색6 67 13" xfId="6156"/>
    <cellStyle name="20% - 강조색6 67 14" xfId="9250"/>
    <cellStyle name="20% - 강조색6 67 15" xfId="11109"/>
    <cellStyle name="20% - 강조색6 67 2" xfId="6695"/>
    <cellStyle name="20% - 강조색6 67 3" xfId="7328"/>
    <cellStyle name="20% - 강조색6 67 4" xfId="7375"/>
    <cellStyle name="20% - 강조색6 67 5" xfId="7863"/>
    <cellStyle name="20% - 강조색6 67 6" xfId="8036"/>
    <cellStyle name="20% - 강조색6 67 7" xfId="8413"/>
    <cellStyle name="20% - 강조색6 67 8" xfId="8761"/>
    <cellStyle name="20% - 강조색6 67 9" xfId="2899"/>
    <cellStyle name="20% - 강조색6 68" xfId="6589"/>
    <cellStyle name="20% - 강조색6 68 10" xfId="7953"/>
    <cellStyle name="20% - 강조색6 68 11" xfId="9091"/>
    <cellStyle name="20% - 강조색6 68 12" xfId="10622"/>
    <cellStyle name="20% - 강조색6 68 13" xfId="10955"/>
    <cellStyle name="20% - 강조색6 68 14" xfId="8777"/>
    <cellStyle name="20% - 강조색6 68 2" xfId="7365"/>
    <cellStyle name="20% - 강조색6 68 3" xfId="7387"/>
    <cellStyle name="20% - 강조색6 68 4" xfId="7876"/>
    <cellStyle name="20% - 강조색6 68 5" xfId="8065"/>
    <cellStyle name="20% - 강조색6 68 6" xfId="8475"/>
    <cellStyle name="20% - 강조색6 68 7" xfId="6943"/>
    <cellStyle name="20% - 강조색6 68 8" xfId="7224"/>
    <cellStyle name="20% - 강조색6 68 9" xfId="9689"/>
    <cellStyle name="20% - 강조색6 69" xfId="7150"/>
    <cellStyle name="20% - 강조색6 69 10" xfId="6913"/>
    <cellStyle name="20% - 강조색6 69 11" xfId="6295"/>
    <cellStyle name="20% - 강조색6 69 12" xfId="9259"/>
    <cellStyle name="20% - 강조색6 69 2" xfId="7885"/>
    <cellStyle name="20% - 강조색6 69 3" xfId="8279"/>
    <cellStyle name="20% - 강조색6 69 4" xfId="8641"/>
    <cellStyle name="20% - 강조색6 69 5" xfId="6129"/>
    <cellStyle name="20% - 강조색6 69 6" xfId="9161"/>
    <cellStyle name="20% - 강조색6 69 7" xfId="9614"/>
    <cellStyle name="20% - 강조색6 69 8" xfId="6176"/>
    <cellStyle name="20% - 강조색6 69 9" xfId="10097"/>
    <cellStyle name="20% - 강조색6 7" xfId="140"/>
    <cellStyle name="20% - 강조색6 70" xfId="7171"/>
    <cellStyle name="20% - 강조색6 70 10" xfId="3286"/>
    <cellStyle name="20% - 강조색6 70 11" xfId="10867"/>
    <cellStyle name="20% - 강조색6 70 12" xfId="11264"/>
    <cellStyle name="20% - 강조색6 70 2" xfId="7887"/>
    <cellStyle name="20% - 강조색6 70 3" xfId="8281"/>
    <cellStyle name="20% - 강조색6 70 4" xfId="8643"/>
    <cellStyle name="20% - 강조색6 70 5" xfId="8764"/>
    <cellStyle name="20% - 강조색6 70 6" xfId="9090"/>
    <cellStyle name="20% - 강조색6 70 7" xfId="8457"/>
    <cellStyle name="20% - 강조색6 70 8" xfId="10051"/>
    <cellStyle name="20% - 강조색6 70 9" xfId="8527"/>
    <cellStyle name="20% - 강조색6 71" xfId="7575"/>
    <cellStyle name="20% - 강조색6 71 10" xfId="10902"/>
    <cellStyle name="20% - 강조색6 71 11" xfId="11128"/>
    <cellStyle name="20% - 강조색6 71 2" xfId="8295"/>
    <cellStyle name="20% - 강조색6 71 3" xfId="8657"/>
    <cellStyle name="20% - 강조색6 71 4" xfId="9021"/>
    <cellStyle name="20% - 강조색6 71 5" xfId="9300"/>
    <cellStyle name="20% - 강조색6 71 6" xfId="9439"/>
    <cellStyle name="20% - 강조색6 71 7" xfId="8322"/>
    <cellStyle name="20% - 강조색6 71 8" xfId="10224"/>
    <cellStyle name="20% - 강조색6 71 9" xfId="10567"/>
    <cellStyle name="20% - 강조색6 72" xfId="8190"/>
    <cellStyle name="20% - 강조색6 72 10" xfId="11174"/>
    <cellStyle name="20% - 강조색6 72 2" xfId="8671"/>
    <cellStyle name="20% - 강조색6 72 3" xfId="9035"/>
    <cellStyle name="20% - 강조색6 72 4" xfId="9394"/>
    <cellStyle name="20% - 강조색6 72 5" xfId="9726"/>
    <cellStyle name="20% - 강조색6 72 6" xfId="9147"/>
    <cellStyle name="20% - 강조색6 72 7" xfId="2393"/>
    <cellStyle name="20% - 강조색6 72 8" xfId="10581"/>
    <cellStyle name="20% - 강조색6 72 9" xfId="10803"/>
    <cellStyle name="20% - 강조색6 73" xfId="8619"/>
    <cellStyle name="20% - 강조색6 73 2" xfId="9045"/>
    <cellStyle name="20% - 강조색6 73 3" xfId="9404"/>
    <cellStyle name="20% - 강조색6 73 4" xfId="9736"/>
    <cellStyle name="20% - 강조색6 73 5" xfId="10062"/>
    <cellStyle name="20% - 강조색6 73 6" xfId="10327"/>
    <cellStyle name="20% - 강조색6 73 7" xfId="10631"/>
    <cellStyle name="20% - 강조색6 73 8" xfId="10753"/>
    <cellStyle name="20% - 강조색6 73 9" xfId="6577"/>
    <cellStyle name="20% - 강조색6 74" xfId="8980"/>
    <cellStyle name="20% - 강조색6 74 2" xfId="9412"/>
    <cellStyle name="20% - 강조색6 74 3" xfId="9744"/>
    <cellStyle name="20% - 강조색6 74 4" xfId="10070"/>
    <cellStyle name="20% - 강조색6 74 5" xfId="10383"/>
    <cellStyle name="20% - 강조색6 74 6" xfId="10514"/>
    <cellStyle name="20% - 강조색6 74 7" xfId="10907"/>
    <cellStyle name="20% - 강조색6 74 8" xfId="11244"/>
    <cellStyle name="20% - 강조색6 75" xfId="9070"/>
    <cellStyle name="20% - 강조색6 75 2" xfId="9750"/>
    <cellStyle name="20% - 강조색6 75 3" xfId="10076"/>
    <cellStyle name="20% - 강조색6 75 4" xfId="10389"/>
    <cellStyle name="20% - 강조색6 75 5" xfId="9278"/>
    <cellStyle name="20% - 강조색6 75 6" xfId="10795"/>
    <cellStyle name="20% - 강조색6 75 7" xfId="11210"/>
    <cellStyle name="20% - 강조색6 76" xfId="9678"/>
    <cellStyle name="20% - 강조색6 76 2" xfId="10087"/>
    <cellStyle name="20% - 강조색6 76 3" xfId="10401"/>
    <cellStyle name="20% - 강조색6 76 4" xfId="10711"/>
    <cellStyle name="20% - 강조색6 76 5" xfId="10994"/>
    <cellStyle name="20% - 강조색6 76 6" xfId="1878"/>
    <cellStyle name="20% - 강조색6 77" xfId="9596"/>
    <cellStyle name="20% - 강조색6 77 2" xfId="10400"/>
    <cellStyle name="20% - 강조색6 77 3" xfId="10710"/>
    <cellStyle name="20% - 강조색6 77 4" xfId="10993"/>
    <cellStyle name="20% - 강조색6 77 5" xfId="3747"/>
    <cellStyle name="20% - 강조색6 78" xfId="10292"/>
    <cellStyle name="20% - 강조색6 78 2" xfId="10727"/>
    <cellStyle name="20% - 강조색6 78 3" xfId="11011"/>
    <cellStyle name="20% - 강조색6 78 4" xfId="11288"/>
    <cellStyle name="20% - 강조색6 79" xfId="9052"/>
    <cellStyle name="20% - 강조색6 79 2" xfId="3883"/>
    <cellStyle name="20% - 강조색6 79 3" xfId="11102"/>
    <cellStyle name="20% - 강조색6 8" xfId="153"/>
    <cellStyle name="20% - 강조색6 80" xfId="10944"/>
    <cellStyle name="20% - 강조색6 80 2" xfId="11306"/>
    <cellStyle name="20% - 강조색6 81" xfId="9610"/>
    <cellStyle name="20% - 강조색6 82" xfId="559"/>
    <cellStyle name="20% - 강조색6 83" xfId="11423"/>
    <cellStyle name="20% - 강조색6 84" xfId="580"/>
    <cellStyle name="20% - 강조색6 85" xfId="11354"/>
    <cellStyle name="20% - 강조색6 86" xfId="11448"/>
    <cellStyle name="20% - 강조색6 9" xfId="166"/>
    <cellStyle name="40% - 강조색1" xfId="22" builtinId="31" customBuiltin="1"/>
    <cellStyle name="40% - 강조색1 10" xfId="168"/>
    <cellStyle name="40% - 강조색1 11" xfId="181"/>
    <cellStyle name="40% - 강조색1 12" xfId="194"/>
    <cellStyle name="40% - 강조색1 13" xfId="207"/>
    <cellStyle name="40% - 강조색1 14" xfId="220"/>
    <cellStyle name="40% - 강조색1 15" xfId="233"/>
    <cellStyle name="40% - 강조색1 16" xfId="246"/>
    <cellStyle name="40% - 강조색1 17" xfId="259"/>
    <cellStyle name="40% - 강조색1 18" xfId="272"/>
    <cellStyle name="40% - 강조색1 19" xfId="285"/>
    <cellStyle name="40% - 강조색1 2" xfId="47"/>
    <cellStyle name="40% - 강조색1 20" xfId="298"/>
    <cellStyle name="40% - 강조색1 21" xfId="311"/>
    <cellStyle name="40% - 강조색1 22" xfId="324"/>
    <cellStyle name="40% - 강조색1 23" xfId="337"/>
    <cellStyle name="40% - 강조색1 24" xfId="350"/>
    <cellStyle name="40% - 강조색1 25" xfId="363"/>
    <cellStyle name="40% - 강조색1 26" xfId="376"/>
    <cellStyle name="40% - 강조색1 27" xfId="389"/>
    <cellStyle name="40% - 강조색1 28" xfId="402"/>
    <cellStyle name="40% - 강조색1 29" xfId="415"/>
    <cellStyle name="40% - 강조색1 3" xfId="70"/>
    <cellStyle name="40% - 강조색1 30" xfId="428"/>
    <cellStyle name="40% - 강조색1 31" xfId="441"/>
    <cellStyle name="40% - 강조색1 32" xfId="453"/>
    <cellStyle name="40% - 강조색1 33" xfId="465"/>
    <cellStyle name="40% - 강조색1 34" xfId="477"/>
    <cellStyle name="40% - 강조색1 35" xfId="489"/>
    <cellStyle name="40% - 강조색1 36" xfId="500"/>
    <cellStyle name="40% - 강조색1 37" xfId="511"/>
    <cellStyle name="40% - 강조색1 38" xfId="522"/>
    <cellStyle name="40% - 강조색1 39" xfId="531"/>
    <cellStyle name="40% - 강조색1 4" xfId="87"/>
    <cellStyle name="40% - 강조색1 40" xfId="546"/>
    <cellStyle name="40% - 강조색1 40 10" xfId="896"/>
    <cellStyle name="40% - 강조색1 40 11" xfId="2417"/>
    <cellStyle name="40% - 강조색1 40 12" xfId="4005"/>
    <cellStyle name="40% - 강조색1 40 13" xfId="4255"/>
    <cellStyle name="40% - 강조색1 40 14" xfId="2232"/>
    <cellStyle name="40% - 강조색1 40 15" xfId="5150"/>
    <cellStyle name="40% - 강조색1 40 16" xfId="5463"/>
    <cellStyle name="40% - 강조색1 40 17" xfId="5760"/>
    <cellStyle name="40% - 강조색1 40 18" xfId="5860"/>
    <cellStyle name="40% - 강조색1 40 19" xfId="4079"/>
    <cellStyle name="40% - 강조색1 40 2" xfId="594"/>
    <cellStyle name="40% - 강조색1 40 20" xfId="7220"/>
    <cellStyle name="40% - 강조색1 40 21" xfId="7296"/>
    <cellStyle name="40% - 강조색1 40 22" xfId="7586"/>
    <cellStyle name="40% - 강조색1 40 23" xfId="7927"/>
    <cellStyle name="40% - 강조색1 40 24" xfId="8624"/>
    <cellStyle name="40% - 강조색1 40 25" xfId="8882"/>
    <cellStyle name="40% - 강조색1 40 26" xfId="9346"/>
    <cellStyle name="40% - 강조색1 40 27" xfId="9433"/>
    <cellStyle name="40% - 강조색1 40 28" xfId="9420"/>
    <cellStyle name="40% - 강조색1 40 29" xfId="10220"/>
    <cellStyle name="40% - 강조색1 40 3" xfId="1005"/>
    <cellStyle name="40% - 강조색1 40 30" xfId="10572"/>
    <cellStyle name="40% - 강조색1 40 31" xfId="6101"/>
    <cellStyle name="40% - 강조색1 40 32" xfId="5125"/>
    <cellStyle name="40% - 강조색1 40 33" xfId="11316"/>
    <cellStyle name="40% - 강조색1 40 34" xfId="1107"/>
    <cellStyle name="40% - 강조색1 40 35" xfId="11362"/>
    <cellStyle name="40% - 강조색1 40 36" xfId="11388"/>
    <cellStyle name="40% - 강조색1 40 4" xfId="1269"/>
    <cellStyle name="40% - 강조색1 40 5" xfId="1656"/>
    <cellStyle name="40% - 강조색1 40 6" xfId="1623"/>
    <cellStyle name="40% - 강조색1 40 7" xfId="1970"/>
    <cellStyle name="40% - 강조색1 40 8" xfId="1863"/>
    <cellStyle name="40% - 강조색1 40 9" xfId="2749"/>
    <cellStyle name="40% - 강조색1 41" xfId="670"/>
    <cellStyle name="40% - 강조색1 41 10" xfId="3277"/>
    <cellStyle name="40% - 강조색1 41 11" xfId="3670"/>
    <cellStyle name="40% - 강조색1 41 12" xfId="2249"/>
    <cellStyle name="40% - 강조색1 41 13" xfId="4348"/>
    <cellStyle name="40% - 강조색1 41 14" xfId="4561"/>
    <cellStyle name="40% - 강조색1 41 15" xfId="5185"/>
    <cellStyle name="40% - 강조색1 41 16" xfId="5461"/>
    <cellStyle name="40% - 강조색1 41 17" xfId="1403"/>
    <cellStyle name="40% - 강조색1 41 18" xfId="5000"/>
    <cellStyle name="40% - 강조색1 41 19" xfId="6317"/>
    <cellStyle name="40% - 강조색1 41 2" xfId="1173"/>
    <cellStyle name="40% - 강조색1 41 20" xfId="6718"/>
    <cellStyle name="40% - 강조색1 41 21" xfId="7283"/>
    <cellStyle name="40% - 강조색1 41 22" xfId="7644"/>
    <cellStyle name="40% - 강조색1 41 23" xfId="8153"/>
    <cellStyle name="40% - 강조색1 41 24" xfId="8308"/>
    <cellStyle name="40% - 강조색1 41 25" xfId="8842"/>
    <cellStyle name="40% - 강조색1 41 26" xfId="7545"/>
    <cellStyle name="40% - 강조색1 41 27" xfId="1849"/>
    <cellStyle name="40% - 강조색1 41 28" xfId="9962"/>
    <cellStyle name="40% - 강조색1 41 29" xfId="10280"/>
    <cellStyle name="40% - 강조색1 41 3" xfId="1253"/>
    <cellStyle name="40% - 강조색1 41 30" xfId="9782"/>
    <cellStyle name="40% - 강조색1 41 31" xfId="6300"/>
    <cellStyle name="40% - 강조색1 41 32" xfId="1531"/>
    <cellStyle name="40% - 강조색1 41 4" xfId="1345"/>
    <cellStyle name="40% - 강조색1 41 5" xfId="1689"/>
    <cellStyle name="40% - 강조색1 41 6" xfId="2044"/>
    <cellStyle name="40% - 강조색1 41 7" xfId="1566"/>
    <cellStyle name="40% - 강조색1 41 8" xfId="1433"/>
    <cellStyle name="40% - 강조색1 41 9" xfId="2748"/>
    <cellStyle name="40% - 강조색1 42" xfId="616"/>
    <cellStyle name="40% - 강조색1 42 10" xfId="3211"/>
    <cellStyle name="40% - 강조색1 42 11" xfId="3560"/>
    <cellStyle name="40% - 강조색1 42 12" xfId="2540"/>
    <cellStyle name="40% - 강조색1 42 13" xfId="4260"/>
    <cellStyle name="40% - 강조색1 42 14" xfId="4480"/>
    <cellStyle name="40% - 강조색1 42 15" xfId="3225"/>
    <cellStyle name="40% - 강조색1 42 16" xfId="5480"/>
    <cellStyle name="40% - 강조색1 42 17" xfId="2588"/>
    <cellStyle name="40% - 강조색1 42 18" xfId="4840"/>
    <cellStyle name="40% - 강조색1 42 19" xfId="6199"/>
    <cellStyle name="40% - 강조색1 42 2" xfId="1119"/>
    <cellStyle name="40% - 강조색1 42 20" xfId="6149"/>
    <cellStyle name="40% - 강조색1 42 21" xfId="7198"/>
    <cellStyle name="40% - 강조색1 42 22" xfId="6418"/>
    <cellStyle name="40% - 강조색1 42 23" xfId="8184"/>
    <cellStyle name="40% - 강조색1 42 24" xfId="8404"/>
    <cellStyle name="40% - 강조색1 42 25" xfId="8981"/>
    <cellStyle name="40% - 강조색1 42 26" xfId="9184"/>
    <cellStyle name="40% - 강조색1 42 27" xfId="6392"/>
    <cellStyle name="40% - 강조색1 42 28" xfId="9842"/>
    <cellStyle name="40% - 강조색1 42 29" xfId="8686"/>
    <cellStyle name="40% - 강조색1 42 3" xfId="1199"/>
    <cellStyle name="40% - 강조색1 42 30" xfId="10644"/>
    <cellStyle name="40% - 강조색1 42 31" xfId="10887"/>
    <cellStyle name="40% - 강조색1 42 32" xfId="10917"/>
    <cellStyle name="40% - 강조색1 42 4" xfId="1291"/>
    <cellStyle name="40% - 강조색1 42 5" xfId="1749"/>
    <cellStyle name="40% - 강조색1 42 6" xfId="714"/>
    <cellStyle name="40% - 강조색1 42 7" xfId="2338"/>
    <cellStyle name="40% - 강조색1 42 8" xfId="2622"/>
    <cellStyle name="40% - 강조색1 42 9" xfId="1858"/>
    <cellStyle name="40% - 강조색1 43" xfId="624"/>
    <cellStyle name="40% - 강조색1 43 10" xfId="3076"/>
    <cellStyle name="40% - 강조색1 43 11" xfId="3539"/>
    <cellStyle name="40% - 강조색1 43 12" xfId="3987"/>
    <cellStyle name="40% - 강조색1 43 13" xfId="4309"/>
    <cellStyle name="40% - 강조색1 43 14" xfId="4210"/>
    <cellStyle name="40% - 강조색1 43 15" xfId="4730"/>
    <cellStyle name="40% - 강조색1 43 16" xfId="3775"/>
    <cellStyle name="40% - 강조색1 43 17" xfId="4962"/>
    <cellStyle name="40% - 강조색1 43 18" xfId="5249"/>
    <cellStyle name="40% - 강조색1 43 19" xfId="6560"/>
    <cellStyle name="40% - 강조색1 43 2" xfId="1127"/>
    <cellStyle name="40% - 강조색1 43 20" xfId="6819"/>
    <cellStyle name="40% - 강조색1 43 21" xfId="6217"/>
    <cellStyle name="40% - 강조색1 43 22" xfId="7829"/>
    <cellStyle name="40% - 강조색1 43 23" xfId="7662"/>
    <cellStyle name="40% - 강조색1 43 24" xfId="6185"/>
    <cellStyle name="40% - 강조색1 43 25" xfId="8893"/>
    <cellStyle name="40% - 강조색1 43 26" xfId="9093"/>
    <cellStyle name="40% - 강조색1 43 27" xfId="8180"/>
    <cellStyle name="40% - 강조색1 43 28" xfId="7443"/>
    <cellStyle name="40% - 강조색1 43 29" xfId="7762"/>
    <cellStyle name="40% - 강조색1 43 3" xfId="1207"/>
    <cellStyle name="40% - 강조색1 43 30" xfId="10500"/>
    <cellStyle name="40% - 강조색1 43 31" xfId="4846"/>
    <cellStyle name="40% - 강조색1 43 32" xfId="9519"/>
    <cellStyle name="40% - 강조색1 43 4" xfId="1299"/>
    <cellStyle name="40% - 강조색1 43 5" xfId="1721"/>
    <cellStyle name="40% - 강조색1 43 6" xfId="1364"/>
    <cellStyle name="40% - 강조색1 43 7" xfId="2255"/>
    <cellStyle name="40% - 강조색1 43 8" xfId="1439"/>
    <cellStyle name="40% - 강조색1 43 9" xfId="1915"/>
    <cellStyle name="40% - 강조색1 44" xfId="632"/>
    <cellStyle name="40% - 강조색1 44 10" xfId="2403"/>
    <cellStyle name="40% - 강조색1 44 11" xfId="3653"/>
    <cellStyle name="40% - 강조색1 44 12" xfId="3416"/>
    <cellStyle name="40% - 강조색1 44 13" xfId="4364"/>
    <cellStyle name="40% - 강조색1 44 14" xfId="1586"/>
    <cellStyle name="40% - 강조색1 44 15" xfId="5488"/>
    <cellStyle name="40% - 강조색1 44 16" xfId="5674"/>
    <cellStyle name="40% - 강조색1 44 17" xfId="5771"/>
    <cellStyle name="40% - 강조색1 44 18" xfId="5866"/>
    <cellStyle name="40% - 강조색1 44 19" xfId="6031"/>
    <cellStyle name="40% - 강조색1 44 2" xfId="1135"/>
    <cellStyle name="40% - 강조색1 44 20" xfId="7221"/>
    <cellStyle name="40% - 강조색1 44 21" xfId="7134"/>
    <cellStyle name="40% - 강조색1 44 22" xfId="7414"/>
    <cellStyle name="40% - 강조색1 44 23" xfId="3547"/>
    <cellStyle name="40% - 강조색1 44 24" xfId="6801"/>
    <cellStyle name="40% - 강조색1 44 25" xfId="6753"/>
    <cellStyle name="40% - 강조색1 44 26" xfId="2995"/>
    <cellStyle name="40% - 강조색1 44 27" xfId="9513"/>
    <cellStyle name="40% - 강조색1 44 28" xfId="2484"/>
    <cellStyle name="40% - 강조색1 44 29" xfId="10165"/>
    <cellStyle name="40% - 강조색1 44 3" xfId="1215"/>
    <cellStyle name="40% - 강조색1 44 30" xfId="10584"/>
    <cellStyle name="40% - 강조색1 44 31" xfId="10761"/>
    <cellStyle name="40% - 강조색1 44 32" xfId="11036"/>
    <cellStyle name="40% - 강조색1 44 4" xfId="1307"/>
    <cellStyle name="40% - 강조색1 44 5" xfId="1693"/>
    <cellStyle name="40% - 강조색1 44 6" xfId="2007"/>
    <cellStyle name="40% - 강조색1 44 7" xfId="762"/>
    <cellStyle name="40% - 강조색1 44 8" xfId="2609"/>
    <cellStyle name="40% - 강조색1 44 9" xfId="2918"/>
    <cellStyle name="40% - 강조색1 45" xfId="661"/>
    <cellStyle name="40% - 강조색1 45 10" xfId="3131"/>
    <cellStyle name="40% - 강조색1 45 11" xfId="3458"/>
    <cellStyle name="40% - 강조색1 45 12" xfId="3976"/>
    <cellStyle name="40% - 강조색1 45 13" xfId="4186"/>
    <cellStyle name="40% - 강조색1 45 14" xfId="3482"/>
    <cellStyle name="40% - 강조색1 45 15" xfId="4868"/>
    <cellStyle name="40% - 강조색1 45 16" xfId="4284"/>
    <cellStyle name="40% - 강조색1 45 17" xfId="5232"/>
    <cellStyle name="40% - 강조색1 45 18" xfId="5647"/>
    <cellStyle name="40% - 강조색1 45 19" xfId="6315"/>
    <cellStyle name="40% - 강조색1 45 2" xfId="1164"/>
    <cellStyle name="40% - 강조색1 45 20" xfId="1409"/>
    <cellStyle name="40% - 강조색1 45 21" xfId="7061"/>
    <cellStyle name="40% - 강조색1 45 22" xfId="7409"/>
    <cellStyle name="40% - 강조색1 45 23" xfId="8067"/>
    <cellStyle name="40% - 강조색1 45 24" xfId="6379"/>
    <cellStyle name="40% - 강조색1 45 25" xfId="8969"/>
    <cellStyle name="40% - 강조색1 45 26" xfId="7405"/>
    <cellStyle name="40% - 강조색1 45 27" xfId="9709"/>
    <cellStyle name="40% - 강조색1 45 28" xfId="9562"/>
    <cellStyle name="40% - 강조색1 45 29" xfId="7629"/>
    <cellStyle name="40% - 강조색1 45 3" xfId="1244"/>
    <cellStyle name="40% - 강조색1 45 30" xfId="2164"/>
    <cellStyle name="40% - 강조색1 45 31" xfId="10769"/>
    <cellStyle name="40% - 강조색1 45 32" xfId="11105"/>
    <cellStyle name="40% - 강조색1 45 4" xfId="1336"/>
    <cellStyle name="40% - 강조색1 45 5" xfId="1703"/>
    <cellStyle name="40% - 강조색1 45 6" xfId="703"/>
    <cellStyle name="40% - 강조색1 45 7" xfId="757"/>
    <cellStyle name="40% - 강조색1 45 8" xfId="1512"/>
    <cellStyle name="40% - 강조색1 45 9" xfId="2775"/>
    <cellStyle name="40% - 강조색1 46" xfId="623"/>
    <cellStyle name="40% - 강조색1 46 10" xfId="3325"/>
    <cellStyle name="40% - 강조색1 46 11" xfId="3430"/>
    <cellStyle name="40% - 강조색1 46 12" xfId="4040"/>
    <cellStyle name="40% - 강조색1 46 13" xfId="4291"/>
    <cellStyle name="40% - 강조색1 46 14" xfId="4709"/>
    <cellStyle name="40% - 강조색1 46 15" xfId="5561"/>
    <cellStyle name="40% - 강조색1 46 16" xfId="5628"/>
    <cellStyle name="40% - 강조색1 46 17" xfId="4742"/>
    <cellStyle name="40% - 강조색1 46 18" xfId="1957"/>
    <cellStyle name="40% - 강조색1 46 19" xfId="6455"/>
    <cellStyle name="40% - 강조색1 46 2" xfId="1126"/>
    <cellStyle name="40% - 강조색1 46 20" xfId="5322"/>
    <cellStyle name="40% - 강조색1 46 21" xfId="7208"/>
    <cellStyle name="40% - 강조색1 46 22" xfId="7617"/>
    <cellStyle name="40% - 강조색1 46 23" xfId="5032"/>
    <cellStyle name="40% - 강조색1 46 24" xfId="6291"/>
    <cellStyle name="40% - 강조색1 46 25" xfId="8867"/>
    <cellStyle name="40% - 강조색1 46 26" xfId="9200"/>
    <cellStyle name="40% - 강조색1 46 27" xfId="9558"/>
    <cellStyle name="40% - 강조색1 46 28" xfId="8854"/>
    <cellStyle name="40% - 강조색1 46 29" xfId="10197"/>
    <cellStyle name="40% - 강조색1 46 3" xfId="1206"/>
    <cellStyle name="40% - 강조색1 46 30" xfId="10566"/>
    <cellStyle name="40% - 강조색1 46 31" xfId="3816"/>
    <cellStyle name="40% - 강조색1 46 32" xfId="9618"/>
    <cellStyle name="40% - 강조색1 46 4" xfId="1298"/>
    <cellStyle name="40% - 강조색1 46 5" xfId="1762"/>
    <cellStyle name="40% - 강조색1 46 6" xfId="811"/>
    <cellStyle name="40% - 강조색1 46 7" xfId="743"/>
    <cellStyle name="40% - 강조색1 46 8" xfId="2640"/>
    <cellStyle name="40% - 강조색1 46 9" xfId="2979"/>
    <cellStyle name="40% - 강조색1 47" xfId="563"/>
    <cellStyle name="40% - 강조색1 47 10" xfId="4111"/>
    <cellStyle name="40% - 강조색1 47 11" xfId="3137"/>
    <cellStyle name="40% - 강조색1 47 12" xfId="2740"/>
    <cellStyle name="40% - 강조색1 47 13" xfId="3271"/>
    <cellStyle name="40% - 강조색1 47 14" xfId="5667"/>
    <cellStyle name="40% - 강조색1 47 15" xfId="3387"/>
    <cellStyle name="40% - 강조색1 47 16" xfId="6378"/>
    <cellStyle name="40% - 강조색1 47 17" xfId="6884"/>
    <cellStyle name="40% - 강조색1 47 18" xfId="2116"/>
    <cellStyle name="40% - 강조색1 47 19" xfId="7649"/>
    <cellStyle name="40% - 강조색1 47 2" xfId="1053"/>
    <cellStyle name="40% - 강조색1 47 20" xfId="8143"/>
    <cellStyle name="40% - 강조색1 47 21" xfId="4190"/>
    <cellStyle name="40% - 강조색1 47 22" xfId="2760"/>
    <cellStyle name="40% - 강조색1 47 23" xfId="9080"/>
    <cellStyle name="40% - 강조색1 47 24" xfId="688"/>
    <cellStyle name="40% - 강조색1 47 25" xfId="8857"/>
    <cellStyle name="40% - 강조색1 47 26" xfId="1374"/>
    <cellStyle name="40% - 강조색1 47 27" xfId="9554"/>
    <cellStyle name="40% - 강조색1 47 28" xfId="10767"/>
    <cellStyle name="40% - 강조색1 47 29" xfId="11146"/>
    <cellStyle name="40% - 강조색1 47 3" xfId="2073"/>
    <cellStyle name="40% - 강조색1 47 30" xfId="11330"/>
    <cellStyle name="40% - 강조색1 47 31" xfId="11408"/>
    <cellStyle name="40% - 강조색1 47 32" xfId="11414"/>
    <cellStyle name="40% - 강조색1 47 33" xfId="11395"/>
    <cellStyle name="40% - 강조색1 47 4" xfId="687"/>
    <cellStyle name="40% - 강조색1 47 5" xfId="2426"/>
    <cellStyle name="40% - 강조색1 47 6" xfId="893"/>
    <cellStyle name="40% - 강조색1 47 7" xfId="1463"/>
    <cellStyle name="40% - 강조색1 47 8" xfId="3083"/>
    <cellStyle name="40% - 강조색1 47 9" xfId="3877"/>
    <cellStyle name="40% - 강조색1 48" xfId="1019"/>
    <cellStyle name="40% - 강조색1 48 10" xfId="4212"/>
    <cellStyle name="40% - 강조색1 48 11" xfId="2908"/>
    <cellStyle name="40% - 강조색1 48 12" xfId="2664"/>
    <cellStyle name="40% - 강조색1 48 13" xfId="5831"/>
    <cellStyle name="40% - 강조색1 48 14" xfId="5909"/>
    <cellStyle name="40% - 강조색1 48 15" xfId="5966"/>
    <cellStyle name="40% - 강조색1 48 16" xfId="6617"/>
    <cellStyle name="40% - 강조색1 48 17" xfId="6196"/>
    <cellStyle name="40% - 강조색1 48 18" xfId="7107"/>
    <cellStyle name="40% - 강조색1 48 19" xfId="5612"/>
    <cellStyle name="40% - 강조색1 48 2" xfId="1670"/>
    <cellStyle name="40% - 강조색1 48 20" xfId="4529"/>
    <cellStyle name="40% - 강조색1 48 21" xfId="8482"/>
    <cellStyle name="40% - 강조색1 48 22" xfId="3875"/>
    <cellStyle name="40% - 강조색1 48 23" xfId="9187"/>
    <cellStyle name="40% - 강조색1 48 24" xfId="2236"/>
    <cellStyle name="40% - 강조색1 48 25" xfId="9954"/>
    <cellStyle name="40% - 강조색1 48 26" xfId="10323"/>
    <cellStyle name="40% - 강조색1 48 27" xfId="10439"/>
    <cellStyle name="40% - 강조색1 48 28" xfId="10820"/>
    <cellStyle name="40% - 강조색1 48 29" xfId="11130"/>
    <cellStyle name="40% - 강조색1 48 3" xfId="822"/>
    <cellStyle name="40% - 강조색1 48 4" xfId="2324"/>
    <cellStyle name="40% - 강조색1 48 5" xfId="2666"/>
    <cellStyle name="40% - 강조색1 48 6" xfId="2978"/>
    <cellStyle name="40% - 강조색1 48 7" xfId="1576"/>
    <cellStyle name="40% - 강조색1 48 8" xfId="3592"/>
    <cellStyle name="40% - 강조색1 48 9" xfId="3189"/>
    <cellStyle name="40% - 강조색1 49" xfId="1055"/>
    <cellStyle name="40% - 강조색1 49 10" xfId="4272"/>
    <cellStyle name="40% - 강조색1 49 11" xfId="3535"/>
    <cellStyle name="40% - 강조색1 49 12" xfId="5536"/>
    <cellStyle name="40% - 강조색1 49 13" xfId="5718"/>
    <cellStyle name="40% - 강조색1 49 14" xfId="5053"/>
    <cellStyle name="40% - 강조색1 49 15" xfId="5216"/>
    <cellStyle name="40% - 강조색1 49 16" xfId="6461"/>
    <cellStyle name="40% - 강조색1 49 17" xfId="3917"/>
    <cellStyle name="40% - 강조색1 49 18" xfId="7335"/>
    <cellStyle name="40% - 강조색1 49 19" xfId="1941"/>
    <cellStyle name="40% - 강조색1 49 2" xfId="1731"/>
    <cellStyle name="40% - 강조색1 49 20" xfId="7992"/>
    <cellStyle name="40% - 강조색1 49 21" xfId="8532"/>
    <cellStyle name="40% - 강조색1 49 22" xfId="8768"/>
    <cellStyle name="40% - 강조색1 49 23" xfId="9212"/>
    <cellStyle name="40% - 강조색1 49 24" xfId="9667"/>
    <cellStyle name="40% - 강조색1 49 25" xfId="9894"/>
    <cellStyle name="40% - 강조색1 49 26" xfId="9526"/>
    <cellStyle name="40% - 강조색1 49 27" xfId="7798"/>
    <cellStyle name="40% - 강조색1 49 28" xfId="10934"/>
    <cellStyle name="40% - 강조색1 49 29" xfId="11060"/>
    <cellStyle name="40% - 강조색1 49 3" xfId="2023"/>
    <cellStyle name="40% - 강조색1 49 4" xfId="2263"/>
    <cellStyle name="40% - 강조색1 49 5" xfId="769"/>
    <cellStyle name="40% - 강조색1 49 6" xfId="2897"/>
    <cellStyle name="40% - 강조색1 49 7" xfId="3199"/>
    <cellStyle name="40% - 강조색1 49 8" xfId="2728"/>
    <cellStyle name="40% - 강조색1 49 9" xfId="3773"/>
    <cellStyle name="40% - 강조색1 5" xfId="103"/>
    <cellStyle name="40% - 강조색1 50" xfId="1068"/>
    <cellStyle name="40% - 강조색1 50 10" xfId="4320"/>
    <cellStyle name="40% - 강조색1 50 11" xfId="4720"/>
    <cellStyle name="40% - 강조색1 50 12" xfId="5492"/>
    <cellStyle name="40% - 강조색1 50 13" xfId="4985"/>
    <cellStyle name="40% - 강조색1 50 14" xfId="4456"/>
    <cellStyle name="40% - 강조색1 50 15" xfId="5633"/>
    <cellStyle name="40% - 강조색1 50 16" xfId="4145"/>
    <cellStyle name="40% - 강조색1 50 17" xfId="3897"/>
    <cellStyle name="40% - 강조색1 50 18" xfId="2130"/>
    <cellStyle name="40% - 강조색1 50 19" xfId="7785"/>
    <cellStyle name="40% - 강조색1 50 2" xfId="1752"/>
    <cellStyle name="40% - 강조색1 50 20" xfId="3150"/>
    <cellStyle name="40% - 강조색1 50 21" xfId="8377"/>
    <cellStyle name="40% - 강조색1 50 22" xfId="8791"/>
    <cellStyle name="40% - 강조색1 50 23" xfId="6169"/>
    <cellStyle name="40% - 강조색1 50 24" xfId="1524"/>
    <cellStyle name="40% - 강조색1 50 25" xfId="10033"/>
    <cellStyle name="40% - 강조색1 50 26" xfId="2168"/>
    <cellStyle name="40% - 강조색1 50 27" xfId="10557"/>
    <cellStyle name="40% - 강조색1 50 28" xfId="10492"/>
    <cellStyle name="40% - 강조색1 50 29" xfId="11182"/>
    <cellStyle name="40% - 강조색1 50 3" xfId="944"/>
    <cellStyle name="40% - 강조색1 50 4" xfId="2317"/>
    <cellStyle name="40% - 강조색1 50 5" xfId="2641"/>
    <cellStyle name="40% - 강조색1 50 6" xfId="2998"/>
    <cellStyle name="40% - 강조색1 50 7" xfId="969"/>
    <cellStyle name="40% - 강조색1 50 8" xfId="3468"/>
    <cellStyle name="40% - 강조색1 50 9" xfId="3878"/>
    <cellStyle name="40% - 강조색1 51" xfId="1093"/>
    <cellStyle name="40% - 강조색1 51 10" xfId="3045"/>
    <cellStyle name="40% - 강조색1 51 11" xfId="4420"/>
    <cellStyle name="40% - 강조색1 51 12" xfId="5094"/>
    <cellStyle name="40% - 강조색1 51 13" xfId="3831"/>
    <cellStyle name="40% - 강조색1 51 14" xfId="5411"/>
    <cellStyle name="40% - 강조색1 51 15" xfId="3262"/>
    <cellStyle name="40% - 강조색1 51 16" xfId="2398"/>
    <cellStyle name="40% - 강조색1 51 17" xfId="7071"/>
    <cellStyle name="40% - 강조색1 51 18" xfId="7059"/>
    <cellStyle name="40% - 강조색1 51 19" xfId="4096"/>
    <cellStyle name="40% - 강조색1 51 2" xfId="1807"/>
    <cellStyle name="40% - 강조색1 51 20" xfId="8237"/>
    <cellStyle name="40% - 강조색1 51 21" xfId="4551"/>
    <cellStyle name="40% - 강조색1 51 22" xfId="5002"/>
    <cellStyle name="40% - 강조색1 51 23" xfId="6224"/>
    <cellStyle name="40% - 강조색1 51 24" xfId="4442"/>
    <cellStyle name="40% - 강조색1 51 25" xfId="9613"/>
    <cellStyle name="40% - 강조색1 51 26" xfId="3398"/>
    <cellStyle name="40% - 강조색1 51 27" xfId="9062"/>
    <cellStyle name="40% - 강조색1 51 28" xfId="10145"/>
    <cellStyle name="40% - 강조색1 51 29" xfId="6581"/>
    <cellStyle name="40% - 강조색1 51 3" xfId="796"/>
    <cellStyle name="40% - 강조색1 51 4" xfId="2331"/>
    <cellStyle name="40% - 강조색1 51 5" xfId="2515"/>
    <cellStyle name="40% - 강조색1 51 6" xfId="2878"/>
    <cellStyle name="40% - 강조색1 51 7" xfId="3274"/>
    <cellStyle name="40% - 강조색1 51 8" xfId="936"/>
    <cellStyle name="40% - 강조색1 51 9" xfId="1502"/>
    <cellStyle name="40% - 강조색1 52" xfId="1024"/>
    <cellStyle name="40% - 강조색1 52 10" xfId="4127"/>
    <cellStyle name="40% - 강조색1 52 11" xfId="3093"/>
    <cellStyle name="40% - 강조색1 52 12" xfId="3735"/>
    <cellStyle name="40% - 강조색1 52 13" xfId="5761"/>
    <cellStyle name="40% - 강조색1 52 14" xfId="5861"/>
    <cellStyle name="40% - 강조색1 52 15" xfId="5932"/>
    <cellStyle name="40% - 강조색1 52 16" xfId="4105"/>
    <cellStyle name="40% - 강조색1 52 17" xfId="4923"/>
    <cellStyle name="40% - 강조색1 52 18" xfId="5105"/>
    <cellStyle name="40% - 강조색1 52 19" xfId="3044"/>
    <cellStyle name="40% - 강조색1 52 2" xfId="1677"/>
    <cellStyle name="40% - 강조색1 52 20" xfId="2479"/>
    <cellStyle name="40% - 강조색1 52 21" xfId="8543"/>
    <cellStyle name="40% - 강조색1 52 22" xfId="8861"/>
    <cellStyle name="40% - 강조색1 52 23" xfId="9066"/>
    <cellStyle name="40% - 강조색1 52 24" xfId="9573"/>
    <cellStyle name="40% - 강조색1 52 25" xfId="9835"/>
    <cellStyle name="40% - 강조색1 52 26" xfId="10157"/>
    <cellStyle name="40% - 강조색1 52 27" xfId="7426"/>
    <cellStyle name="40% - 강조색1 52 28" xfId="10960"/>
    <cellStyle name="40% - 강조색1 52 29" xfId="3201"/>
    <cellStyle name="40% - 강조색1 52 3" xfId="2037"/>
    <cellStyle name="40% - 강조색1 52 4" xfId="2268"/>
    <cellStyle name="40% - 강조색1 52 5" xfId="2654"/>
    <cellStyle name="40% - 강조색1 52 6" xfId="2967"/>
    <cellStyle name="40% - 강조색1 52 7" xfId="3060"/>
    <cellStyle name="40% - 강조색1 52 8" xfId="3561"/>
    <cellStyle name="40% - 강조색1 52 9" xfId="3498"/>
    <cellStyle name="40% - 강조색1 53" xfId="1059"/>
    <cellStyle name="40% - 강조색1 53 10" xfId="1434"/>
    <cellStyle name="40% - 강조색1 53 11" xfId="4559"/>
    <cellStyle name="40% - 강조색1 53 12" xfId="5548"/>
    <cellStyle name="40% - 강조색1 53 13" xfId="1881"/>
    <cellStyle name="40% - 강조색1 53 14" xfId="4984"/>
    <cellStyle name="40% - 강조색1 53 15" xfId="5502"/>
    <cellStyle name="40% - 강조색1 53 16" xfId="6602"/>
    <cellStyle name="40% - 강조색1 53 17" xfId="6386"/>
    <cellStyle name="40% - 강조색1 53 18" xfId="3614"/>
    <cellStyle name="40% - 강조색1 53 19" xfId="7651"/>
    <cellStyle name="40% - 강조색1 53 2" xfId="1742"/>
    <cellStyle name="40% - 강조색1 53 20" xfId="8210"/>
    <cellStyle name="40% - 강조색1 53 21" xfId="3169"/>
    <cellStyle name="40% - 강조색1 53 22" xfId="8942"/>
    <cellStyle name="40% - 강조색1 53 23" xfId="6911"/>
    <cellStyle name="40% - 강조색1 53 24" xfId="9708"/>
    <cellStyle name="40% - 강조색1 53 25" xfId="3508"/>
    <cellStyle name="40% - 강조색1 53 26" xfId="10154"/>
    <cellStyle name="40% - 강조색1 53 27" xfId="9944"/>
    <cellStyle name="40% - 강조색1 53 28" xfId="6845"/>
    <cellStyle name="40% - 강조색1 53 29" xfId="8201"/>
    <cellStyle name="40% - 강조색1 53 3" xfId="2014"/>
    <cellStyle name="40% - 강조색1 53 4" xfId="783"/>
    <cellStyle name="40% - 강조색1 53 5" xfId="2582"/>
    <cellStyle name="40% - 강조색1 53 6" xfId="2823"/>
    <cellStyle name="40% - 강조색1 53 7" xfId="2767"/>
    <cellStyle name="40% - 강조색1 53 8" xfId="3621"/>
    <cellStyle name="40% - 강조색1 53 9" xfId="992"/>
    <cellStyle name="40% - 강조색1 54" xfId="819"/>
    <cellStyle name="40% - 강조색1 54 10" xfId="2135"/>
    <cellStyle name="40% - 강조색1 54 11" xfId="4928"/>
    <cellStyle name="40% - 강조색1 54 12" xfId="3467"/>
    <cellStyle name="40% - 강조색1 54 13" xfId="5200"/>
    <cellStyle name="40% - 강조색1 54 14" xfId="4149"/>
    <cellStyle name="40% - 강조색1 54 15" xfId="6283"/>
    <cellStyle name="40% - 강조색1 54 16" xfId="7090"/>
    <cellStyle name="40% - 강조색1 54 17" xfId="5535"/>
    <cellStyle name="40% - 강조색1 54 18" xfId="2593"/>
    <cellStyle name="40% - 강조색1 54 19" xfId="8240"/>
    <cellStyle name="40% - 강조색1 54 2" xfId="984"/>
    <cellStyle name="40% - 강조색1 54 20" xfId="6817"/>
    <cellStyle name="40% - 강조색1 54 21" xfId="4137"/>
    <cellStyle name="40% - 강조색1 54 22" xfId="7652"/>
    <cellStyle name="40% - 강조색1 54 23" xfId="9462"/>
    <cellStyle name="40% - 강조색1 54 24" xfId="9081"/>
    <cellStyle name="40% - 강조색1 54 25" xfId="10364"/>
    <cellStyle name="40% - 강조색1 54 26" xfId="4419"/>
    <cellStyle name="40% - 강조색1 54 27" xfId="8877"/>
    <cellStyle name="40% - 강조색1 54 28" xfId="11142"/>
    <cellStyle name="40% - 강조색1 54 3" xfId="2199"/>
    <cellStyle name="40% - 강조색1 54 4" xfId="1563"/>
    <cellStyle name="40% - 강조색1 54 5" xfId="2266"/>
    <cellStyle name="40% - 강조색1 54 6" xfId="982"/>
    <cellStyle name="40% - 강조색1 54 7" xfId="3531"/>
    <cellStyle name="40% - 강조색1 54 8" xfId="3780"/>
    <cellStyle name="40% - 강조색1 54 9" xfId="4384"/>
    <cellStyle name="40% - 강조색1 55" xfId="1893"/>
    <cellStyle name="40% - 강조색1 55 10" xfId="5306"/>
    <cellStyle name="40% - 강조색1 55 11" xfId="4015"/>
    <cellStyle name="40% - 강조색1 55 12" xfId="5724"/>
    <cellStyle name="40% - 강조색1 55 13" xfId="5803"/>
    <cellStyle name="40% - 강조색1 55 14" xfId="6526"/>
    <cellStyle name="40% - 강조색1 55 15" xfId="7266"/>
    <cellStyle name="40% - 강조색1 55 16" xfId="4653"/>
    <cellStyle name="40% - 강조색1 55 17" xfId="729"/>
    <cellStyle name="40% - 강조색1 55 18" xfId="5198"/>
    <cellStyle name="40% - 강조색1 55 19" xfId="7557"/>
    <cellStyle name="40% - 강조색1 55 2" xfId="2370"/>
    <cellStyle name="40% - 강조색1 55 20" xfId="6282"/>
    <cellStyle name="40% - 강조색1 55 21" xfId="2154"/>
    <cellStyle name="40% - 강조색1 55 22" xfId="4519"/>
    <cellStyle name="40% - 강조색1 55 23" xfId="1834"/>
    <cellStyle name="40% - 강조색1 55 24" xfId="10175"/>
    <cellStyle name="40% - 강조색1 55 25" xfId="10573"/>
    <cellStyle name="40% - 강조색1 55 26" xfId="10915"/>
    <cellStyle name="40% - 강조색1 55 27" xfId="11221"/>
    <cellStyle name="40% - 강조색1 55 3" xfId="2689"/>
    <cellStyle name="40% - 강조색1 55 4" xfId="3003"/>
    <cellStyle name="40% - 강조색1 55 5" xfId="3111"/>
    <cellStyle name="40% - 강조색1 55 6" xfId="3628"/>
    <cellStyle name="40% - 강조색1 55 7" xfId="2444"/>
    <cellStyle name="40% - 강조색1 55 8" xfId="4220"/>
    <cellStyle name="40% - 강조색1 55 9" xfId="3054"/>
    <cellStyle name="40% - 강조색1 56" xfId="839"/>
    <cellStyle name="40% - 강조색1 56 10" xfId="2730"/>
    <cellStyle name="40% - 강조색1 56 11" xfId="5755"/>
    <cellStyle name="40% - 강조색1 56 12" xfId="5855"/>
    <cellStyle name="40% - 강조색1 56 13" xfId="6503"/>
    <cellStyle name="40% - 강조색1 56 14" xfId="7118"/>
    <cellStyle name="40% - 강조색1 56 15" xfId="7179"/>
    <cellStyle name="40% - 강조색1 56 16" xfId="3256"/>
    <cellStyle name="40% - 강조색1 56 17" xfId="8203"/>
    <cellStyle name="40% - 강조색1 56 18" xfId="8334"/>
    <cellStyle name="40% - 강조색1 56 19" xfId="4891"/>
    <cellStyle name="40% - 강조색1 56 2" xfId="2572"/>
    <cellStyle name="40% - 강조색1 56 20" xfId="9286"/>
    <cellStyle name="40% - 강조색1 56 21" xfId="6042"/>
    <cellStyle name="40% - 강조색1 56 22" xfId="3345"/>
    <cellStyle name="40% - 강조색1 56 23" xfId="4547"/>
    <cellStyle name="40% - 강조색1 56 24" xfId="10639"/>
    <cellStyle name="40% - 강조색1 56 25" xfId="10811"/>
    <cellStyle name="40% - 강조색1 56 26" xfId="5389"/>
    <cellStyle name="40% - 강조색1 56 3" xfId="2948"/>
    <cellStyle name="40% - 강조색1 56 4" xfId="3251"/>
    <cellStyle name="40% - 강조색1 56 5" xfId="3659"/>
    <cellStyle name="40% - 강조색1 56 6" xfId="1511"/>
    <cellStyle name="40% - 강조색1 56 7" xfId="1872"/>
    <cellStyle name="40% - 강조색1 56 8" xfId="3836"/>
    <cellStyle name="40% - 강조색1 56 9" xfId="5128"/>
    <cellStyle name="40% - 강조색1 57" xfId="2450"/>
    <cellStyle name="40% - 강조색1 57 10" xfId="5908"/>
    <cellStyle name="40% - 강조색1 57 11" xfId="5965"/>
    <cellStyle name="40% - 강조색1 57 12" xfId="6478"/>
    <cellStyle name="40% - 강조색1 57 13" xfId="5070"/>
    <cellStyle name="40% - 강조색1 57 14" xfId="6731"/>
    <cellStyle name="40% - 강조색1 57 15" xfId="7837"/>
    <cellStyle name="40% - 강조색1 57 16" xfId="8086"/>
    <cellStyle name="40% - 강조색1 57 17" xfId="8368"/>
    <cellStyle name="40% - 강조색1 57 18" xfId="6917"/>
    <cellStyle name="40% - 강조색1 57 19" xfId="7768"/>
    <cellStyle name="40% - 강조색1 57 2" xfId="3028"/>
    <cellStyle name="40% - 강조색1 57 20" xfId="9645"/>
    <cellStyle name="40% - 강조색1 57 21" xfId="6467"/>
    <cellStyle name="40% - 강조색1 57 22" xfId="6977"/>
    <cellStyle name="40% - 강조색1 57 23" xfId="2561"/>
    <cellStyle name="40% - 강조색1 57 24" xfId="10906"/>
    <cellStyle name="40% - 강조색1 57 25" xfId="11097"/>
    <cellStyle name="40% - 강조색1 57 3" xfId="3361"/>
    <cellStyle name="40% - 강조색1 57 4" xfId="3546"/>
    <cellStyle name="40% - 강조색1 57 5" xfId="4014"/>
    <cellStyle name="40% - 강조색1 57 6" xfId="4225"/>
    <cellStyle name="40% - 강조색1 57 7" xfId="4528"/>
    <cellStyle name="40% - 강조색1 57 8" xfId="3493"/>
    <cellStyle name="40% - 강조색1 57 9" xfId="5830"/>
    <cellStyle name="40% - 강조색1 58" xfId="995"/>
    <cellStyle name="40% - 강조색1 58 10" xfId="5271"/>
    <cellStyle name="40% - 강조색1 58 11" xfId="6613"/>
    <cellStyle name="40% - 강조색1 58 12" xfId="3097"/>
    <cellStyle name="40% - 강조색1 58 13" xfId="7371"/>
    <cellStyle name="40% - 강조색1 58 14" xfId="7471"/>
    <cellStyle name="40% - 강조색1 58 15" xfId="6946"/>
    <cellStyle name="40% - 강조색1 58 16" xfId="8516"/>
    <cellStyle name="40% - 강조색1 58 17" xfId="6725"/>
    <cellStyle name="40% - 강조색1 58 18" xfId="5188"/>
    <cellStyle name="40% - 강조색1 58 19" xfId="9658"/>
    <cellStyle name="40% - 강조색1 58 2" xfId="3172"/>
    <cellStyle name="40% - 강조색1 58 20" xfId="3544"/>
    <cellStyle name="40% - 강조색1 58 21" xfId="10374"/>
    <cellStyle name="40% - 강조색1 58 22" xfId="10678"/>
    <cellStyle name="40% - 강조색1 58 23" xfId="10809"/>
    <cellStyle name="40% - 강조색1 58 24" xfId="7486"/>
    <cellStyle name="40% - 강조색1 58 3" xfId="3541"/>
    <cellStyle name="40% - 강조색1 58 4" xfId="3825"/>
    <cellStyle name="40% - 강조색1 58 5" xfId="765"/>
    <cellStyle name="40% - 강조색1 58 6" xfId="4584"/>
    <cellStyle name="40% - 강조색1 58 7" xfId="4259"/>
    <cellStyle name="40% - 강조색1 58 8" xfId="5423"/>
    <cellStyle name="40% - 강조색1 58 9" xfId="5134"/>
    <cellStyle name="40% - 강조색1 59" xfId="929"/>
    <cellStyle name="40% - 강조색1 59 10" xfId="6055"/>
    <cellStyle name="40% - 강조색1 59 11" xfId="7163"/>
    <cellStyle name="40% - 강조색1 59 12" xfId="7352"/>
    <cellStyle name="40% - 강조색1 59 13" xfId="7684"/>
    <cellStyle name="40% - 강조색1 59 14" xfId="8140"/>
    <cellStyle name="40% - 강조색1 59 15" xfId="6450"/>
    <cellStyle name="40% - 강조색1 59 16" xfId="5073"/>
    <cellStyle name="40% - 강조색1 59 17" xfId="6944"/>
    <cellStyle name="40% - 강조색1 59 18" xfId="2498"/>
    <cellStyle name="40% - 강조색1 59 19" xfId="9923"/>
    <cellStyle name="40% - 강조색1 59 2" xfId="2800"/>
    <cellStyle name="40% - 강조색1 59 20" xfId="9510"/>
    <cellStyle name="40% - 강조색1 59 21" xfId="10675"/>
    <cellStyle name="40% - 강조색1 59 22" xfId="10777"/>
    <cellStyle name="40% - 강조색1 59 23" xfId="11242"/>
    <cellStyle name="40% - 강조색1 59 3" xfId="3803"/>
    <cellStyle name="40% - 강조색1 59 4" xfId="1612"/>
    <cellStyle name="40% - 강조색1 59 5" xfId="812"/>
    <cellStyle name="40% - 강조색1 59 6" xfId="1386"/>
    <cellStyle name="40% - 강조색1 59 7" xfId="5498"/>
    <cellStyle name="40% - 강조색1 59 8" xfId="4899"/>
    <cellStyle name="40% - 강조색1 59 9" xfId="5468"/>
    <cellStyle name="40% - 강조색1 6" xfId="116"/>
    <cellStyle name="40% - 강조색1 60" xfId="3056"/>
    <cellStyle name="40% - 강조색1 60 10" xfId="7154"/>
    <cellStyle name="40% - 강조색1 60 11" xfId="4496"/>
    <cellStyle name="40% - 강조색1 60 12" xfId="3926"/>
    <cellStyle name="40% - 강조색1 60 13" xfId="7989"/>
    <cellStyle name="40% - 강조색1 60 14" xfId="8033"/>
    <cellStyle name="40% - 강조색1 60 15" xfId="2556"/>
    <cellStyle name="40% - 강조색1 60 16" xfId="7492"/>
    <cellStyle name="40% - 강조색1 60 17" xfId="9492"/>
    <cellStyle name="40% - 강조색1 60 18" xfId="2469"/>
    <cellStyle name="40% - 강조색1 60 19" xfId="10298"/>
    <cellStyle name="40% - 강조색1 60 2" xfId="4051"/>
    <cellStyle name="40% - 강조색1 60 20" xfId="6458"/>
    <cellStyle name="40% - 강조색1 60 21" xfId="10894"/>
    <cellStyle name="40% - 강조색1 60 22" xfId="11278"/>
    <cellStyle name="40% - 강조색1 60 3" xfId="877"/>
    <cellStyle name="40% - 강조색1 60 4" xfId="4622"/>
    <cellStyle name="40% - 강조색1 60 5" xfId="5312"/>
    <cellStyle name="40% - 강조색1 60 6" xfId="5696"/>
    <cellStyle name="40% - 강조색1 60 7" xfId="5007"/>
    <cellStyle name="40% - 강조색1 60 8" xfId="2944"/>
    <cellStyle name="40% - 강조색1 60 9" xfId="3119"/>
    <cellStyle name="40% - 강조색1 61" xfId="2269"/>
    <cellStyle name="40% - 강조색1 61 10" xfId="4245"/>
    <cellStyle name="40% - 강조색1 61 11" xfId="7804"/>
    <cellStyle name="40% - 강조색1 61 12" xfId="8198"/>
    <cellStyle name="40% - 강조색1 61 13" xfId="8438"/>
    <cellStyle name="40% - 강조색1 61 14" xfId="7032"/>
    <cellStyle name="40% - 강조색1 61 15" xfId="8040"/>
    <cellStyle name="40% - 강조색1 61 16" xfId="9628"/>
    <cellStyle name="40% - 강조색1 61 17" xfId="9846"/>
    <cellStyle name="40% - 강조색1 61 18" xfId="9169"/>
    <cellStyle name="40% - 강조색1 61 19" xfId="10693"/>
    <cellStyle name="40% - 강조색1 61 2" xfId="3599"/>
    <cellStyle name="40% - 강조색1 61 20" xfId="10861"/>
    <cellStyle name="40% - 강조색1 61 21" xfId="11088"/>
    <cellStyle name="40% - 강조색1 61 3" xfId="4106"/>
    <cellStyle name="40% - 강조색1 61 4" xfId="5174"/>
    <cellStyle name="40% - 강조색1 61 5" xfId="5697"/>
    <cellStyle name="40% - 강조색1 61 6" xfId="1547"/>
    <cellStyle name="40% - 강조색1 61 7" xfId="5430"/>
    <cellStyle name="40% - 강조색1 61 8" xfId="1648"/>
    <cellStyle name="40% - 강조색1 61 9" xfId="7119"/>
    <cellStyle name="40% - 강조색1 62" xfId="4191"/>
    <cellStyle name="40% - 강조색1 62 10" xfId="7721"/>
    <cellStyle name="40% - 강조색1 62 11" xfId="7966"/>
    <cellStyle name="40% - 강조색1 62 12" xfId="8638"/>
    <cellStyle name="40% - 강조색1 62 13" xfId="8858"/>
    <cellStyle name="40% - 강조색1 62 14" xfId="9318"/>
    <cellStyle name="40% - 강조색1 62 15" xfId="9711"/>
    <cellStyle name="40% - 강조색1 62 16" xfId="8000"/>
    <cellStyle name="40% - 강조색1 62 17" xfId="2247"/>
    <cellStyle name="40% - 강조색1 62 18" xfId="10676"/>
    <cellStyle name="40% - 강조색1 62 19" xfId="6831"/>
    <cellStyle name="40% - 강조색1 62 2" xfId="4771"/>
    <cellStyle name="40% - 강조색1 62 20" xfId="11056"/>
    <cellStyle name="40% - 강조색1 62 3" xfId="5722"/>
    <cellStyle name="40% - 강조색1 62 4" xfId="5594"/>
    <cellStyle name="40% - 강조색1 62 5" xfId="4790"/>
    <cellStyle name="40% - 강조색1 62 6" xfId="5431"/>
    <cellStyle name="40% - 강조색1 62 7" xfId="6629"/>
    <cellStyle name="40% - 강조색1 62 8" xfId="6939"/>
    <cellStyle name="40% - 강조색1 62 9" xfId="7195"/>
    <cellStyle name="40% - 강조색1 63" xfId="3401"/>
    <cellStyle name="40% - 강조색1 63 10" xfId="4319"/>
    <cellStyle name="40% - 강조색1 63 11" xfId="8454"/>
    <cellStyle name="40% - 강조색1 63 12" xfId="9011"/>
    <cellStyle name="40% - 강조색1 63 13" xfId="9106"/>
    <cellStyle name="40% - 강조색1 63 14" xfId="9719"/>
    <cellStyle name="40% - 강조색1 63 15" xfId="9809"/>
    <cellStyle name="40% - 강조색1 63 16" xfId="7964"/>
    <cellStyle name="40% - 강조색1 63 17" xfId="10094"/>
    <cellStyle name="40% - 강조색1 63 18" xfId="10926"/>
    <cellStyle name="40% - 강조색1 63 19" xfId="11101"/>
    <cellStyle name="40% - 강조색1 63 2" xfId="5268"/>
    <cellStyle name="40% - 강조색1 63 3" xfId="5520"/>
    <cellStyle name="40% - 강조색1 63 4" xfId="2579"/>
    <cellStyle name="40% - 강조색1 63 5" xfId="3552"/>
    <cellStyle name="40% - 강조색1 63 6" xfId="6085"/>
    <cellStyle name="40% - 강조색1 63 7" xfId="6931"/>
    <cellStyle name="40% - 강조색1 63 8" xfId="2756"/>
    <cellStyle name="40% - 강조색1 63 9" xfId="7465"/>
    <cellStyle name="40% - 강조색1 64" xfId="5063"/>
    <cellStyle name="40% - 강조색1 64 10" xfId="9467"/>
    <cellStyle name="40% - 강조색1 64 11" xfId="4965"/>
    <cellStyle name="40% - 강조색1 64 12" xfId="8548"/>
    <cellStyle name="40% - 강조색1 64 13" xfId="9820"/>
    <cellStyle name="40% - 강조색1 64 14" xfId="8357"/>
    <cellStyle name="40% - 강조색1 64 15" xfId="2809"/>
    <cellStyle name="40% - 강조색1 64 2" xfId="6656"/>
    <cellStyle name="40% - 강조색1 64 3" xfId="2436"/>
    <cellStyle name="40% - 강조색1 64 4" xfId="4500"/>
    <cellStyle name="40% - 강조색1 64 5" xfId="4909"/>
    <cellStyle name="40% - 강조색1 64 6" xfId="8185"/>
    <cellStyle name="40% - 강조색1 64 7" xfId="3443"/>
    <cellStyle name="40% - 강조색1 64 8" xfId="8906"/>
    <cellStyle name="40% - 강조색1 64 9" xfId="9321"/>
    <cellStyle name="40% - 강조색1 65" xfId="5412"/>
    <cellStyle name="40% - 강조색1 65 10" xfId="9601"/>
    <cellStyle name="40% - 강조색1 65 11" xfId="1489"/>
    <cellStyle name="40% - 강조색1 65 12" xfId="8366"/>
    <cellStyle name="40% - 강조색1 65 13" xfId="10592"/>
    <cellStyle name="40% - 강조색1 65 14" xfId="10908"/>
    <cellStyle name="40% - 강조색1 65 15" xfId="11247"/>
    <cellStyle name="40% - 강조색1 65 2" xfId="6669"/>
    <cellStyle name="40% - 강조색1 65 3" xfId="6941"/>
    <cellStyle name="40% - 강조색1 65 4" xfId="3737"/>
    <cellStyle name="40% - 강조색1 65 5" xfId="7417"/>
    <cellStyle name="40% - 강조색1 65 6" xfId="8027"/>
    <cellStyle name="40% - 강조색1 65 7" xfId="4073"/>
    <cellStyle name="40% - 강조색1 65 8" xfId="8342"/>
    <cellStyle name="40% - 강조색1 65 9" xfId="7656"/>
    <cellStyle name="40% - 강조색1 66" xfId="4930"/>
    <cellStyle name="40% - 강조색1 66 10" xfId="7693"/>
    <cellStyle name="40% - 강조색1 66 11" xfId="8156"/>
    <cellStyle name="40% - 강조색1 66 12" xfId="9937"/>
    <cellStyle name="40% - 강조색1 66 13" xfId="4518"/>
    <cellStyle name="40% - 강조색1 66 14" xfId="1871"/>
    <cellStyle name="40% - 강조색1 66 15" xfId="7395"/>
    <cellStyle name="40% - 강조색1 66 2" xfId="6651"/>
    <cellStyle name="40% - 강조색1 66 3" xfId="7103"/>
    <cellStyle name="40% - 강조색1 66 4" xfId="2246"/>
    <cellStyle name="40% - 강조색1 66 5" xfId="2142"/>
    <cellStyle name="40% - 강조색1 66 6" xfId="6837"/>
    <cellStyle name="40% - 강조색1 66 7" xfId="1413"/>
    <cellStyle name="40% - 강조색1 66 8" xfId="8771"/>
    <cellStyle name="40% - 강조색1 66 9" xfId="2152"/>
    <cellStyle name="40% - 강조색1 67" xfId="4966"/>
    <cellStyle name="40% - 강조색1 67 10" xfId="9448"/>
    <cellStyle name="40% - 강조색1 67 11" xfId="2769"/>
    <cellStyle name="40% - 강조색1 67 12" xfId="10329"/>
    <cellStyle name="40% - 강조색1 67 13" xfId="8845"/>
    <cellStyle name="40% - 강조색1 67 14" xfId="6081"/>
    <cellStyle name="40% - 강조색1 67 15" xfId="2620"/>
    <cellStyle name="40% - 강조색1 67 2" xfId="6653"/>
    <cellStyle name="40% - 강조색1 67 3" xfId="6698"/>
    <cellStyle name="40% - 강조색1 67 4" xfId="7130"/>
    <cellStyle name="40% - 강조색1 67 5" xfId="7483"/>
    <cellStyle name="40% - 강조색1 67 6" xfId="8224"/>
    <cellStyle name="40% - 강조색1 67 7" xfId="8118"/>
    <cellStyle name="40% - 강조색1 67 8" xfId="8869"/>
    <cellStyle name="40% - 강조색1 67 9" xfId="7981"/>
    <cellStyle name="40% - 강조색1 68" xfId="6090"/>
    <cellStyle name="40% - 강조색1 68 10" xfId="8758"/>
    <cellStyle name="40% - 강조색1 68 11" xfId="10146"/>
    <cellStyle name="40% - 강조색1 68 12" xfId="9805"/>
    <cellStyle name="40% - 강조색1 68 13" xfId="7942"/>
    <cellStyle name="40% - 강조색1 68 14" xfId="11226"/>
    <cellStyle name="40% - 강조색1 68 2" xfId="7338"/>
    <cellStyle name="40% - 강조색1 68 3" xfId="7378"/>
    <cellStyle name="40% - 강조색1 68 4" xfId="7866"/>
    <cellStyle name="40% - 강조색1 68 5" xfId="8122"/>
    <cellStyle name="40% - 강조색1 68 6" xfId="8476"/>
    <cellStyle name="40% - 강조색1 68 7" xfId="2437"/>
    <cellStyle name="40% - 강조색1 68 8" xfId="4097"/>
    <cellStyle name="40% - 강조색1 68 9" xfId="4571"/>
    <cellStyle name="40% - 강조색1 69" xfId="832"/>
    <cellStyle name="40% - 강조색1 69 10" xfId="9876"/>
    <cellStyle name="40% - 강조색1 69 11" xfId="10745"/>
    <cellStyle name="40% - 강조색1 69 12" xfId="7470"/>
    <cellStyle name="40% - 강조색1 69 2" xfId="7558"/>
    <cellStyle name="40% - 강조색1 69 3" xfId="8024"/>
    <cellStyle name="40% - 강조색1 69 4" xfId="8343"/>
    <cellStyle name="40% - 강조색1 69 5" xfId="6203"/>
    <cellStyle name="40% - 강조색1 69 6" xfId="5371"/>
    <cellStyle name="40% - 강조색1 69 7" xfId="7691"/>
    <cellStyle name="40% - 강조색1 69 8" xfId="7391"/>
    <cellStyle name="40% - 강조색1 69 9" xfId="6361"/>
    <cellStyle name="40% - 강조색1 7" xfId="129"/>
    <cellStyle name="40% - 강조색1 70" xfId="1920"/>
    <cellStyle name="40% - 강조색1 70 10" xfId="7410"/>
    <cellStyle name="40% - 강조색1 70 11" xfId="9168"/>
    <cellStyle name="40% - 강조색1 70 12" xfId="790"/>
    <cellStyle name="40% - 강조색1 70 2" xfId="4658"/>
    <cellStyle name="40% - 강조색1 70 3" xfId="8211"/>
    <cellStyle name="40% - 강조색1 70 4" xfId="8365"/>
    <cellStyle name="40% - 강조색1 70 5" xfId="6152"/>
    <cellStyle name="40% - 강조색1 70 6" xfId="9328"/>
    <cellStyle name="40% - 강조색1 70 7" xfId="5075"/>
    <cellStyle name="40% - 강조색1 70 8" xfId="10007"/>
    <cellStyle name="40% - 강조색1 70 9" xfId="1613"/>
    <cellStyle name="40% - 강조색1 71" xfId="1602"/>
    <cellStyle name="40% - 강조색1 71 10" xfId="10945"/>
    <cellStyle name="40% - 강조색1 71 11" xfId="10135"/>
    <cellStyle name="40% - 강조색1 71 2" xfId="7900"/>
    <cellStyle name="40% - 강조색1 71 3" xfId="6373"/>
    <cellStyle name="40% - 강조색1 71 4" xfId="8830"/>
    <cellStyle name="40% - 강조색1 71 5" xfId="6747"/>
    <cellStyle name="40% - 강조색1 71 6" xfId="7746"/>
    <cellStyle name="40% - 강조색1 71 7" xfId="3515"/>
    <cellStyle name="40% - 강조색1 71 8" xfId="9520"/>
    <cellStyle name="40% - 강조색1 71 9" xfId="7601"/>
    <cellStyle name="40% - 강조색1 72" xfId="3410"/>
    <cellStyle name="40% - 강조색1 72 10" xfId="11072"/>
    <cellStyle name="40% - 강조색1 72 2" xfId="887"/>
    <cellStyle name="40% - 강조색1 72 3" xfId="6764"/>
    <cellStyle name="40% - 강조색1 72 4" xfId="8076"/>
    <cellStyle name="40% - 강조색1 72 5" xfId="7474"/>
    <cellStyle name="40% - 강조색1 72 6" xfId="3414"/>
    <cellStyle name="40% - 강조색1 72 7" xfId="6242"/>
    <cellStyle name="40% - 강조색1 72 8" xfId="906"/>
    <cellStyle name="40% - 강조색1 72 9" xfId="10793"/>
    <cellStyle name="40% - 강조색1 73" xfId="8464"/>
    <cellStyle name="40% - 강조색1 73 2" xfId="9041"/>
    <cellStyle name="40% - 강조색1 73 3" xfId="9400"/>
    <cellStyle name="40% - 강조색1 73 4" xfId="9732"/>
    <cellStyle name="40% - 강조색1 73 5" xfId="7114"/>
    <cellStyle name="40% - 강조색1 73 6" xfId="6010"/>
    <cellStyle name="40% - 강조색1 73 7" xfId="10696"/>
    <cellStyle name="40% - 강조색1 73 8" xfId="6953"/>
    <cellStyle name="40% - 강조색1 73 9" xfId="11100"/>
    <cellStyle name="40% - 강조색1 74" xfId="7749"/>
    <cellStyle name="40% - 강조색1 74 2" xfId="9347"/>
    <cellStyle name="40% - 강조색1 74 3" xfId="9688"/>
    <cellStyle name="40% - 강조색1 74 4" xfId="5993"/>
    <cellStyle name="40% - 강조색1 74 5" xfId="8692"/>
    <cellStyle name="40% - 강조색1 74 6" xfId="10663"/>
    <cellStyle name="40% - 강조색1 74 7" xfId="9456"/>
    <cellStyle name="40% - 강조색1 74 8" xfId="3478"/>
    <cellStyle name="40% - 강조색1 75" xfId="9242"/>
    <cellStyle name="40% - 강조색1 75 2" xfId="9751"/>
    <cellStyle name="40% - 강조색1 75 3" xfId="10077"/>
    <cellStyle name="40% - 강조색1 75 4" xfId="10390"/>
    <cellStyle name="40% - 강조색1 75 5" xfId="10699"/>
    <cellStyle name="40% - 강조색1 75 6" xfId="1578"/>
    <cellStyle name="40% - 강조색1 75 7" xfId="7537"/>
    <cellStyle name="40% - 강조색1 76" xfId="2431"/>
    <cellStyle name="40% - 강조색1 76 2" xfId="9959"/>
    <cellStyle name="40% - 강조색1 76 3" xfId="10246"/>
    <cellStyle name="40% - 강조색1 76 4" xfId="8767"/>
    <cellStyle name="40% - 강조색1 76 5" xfId="9841"/>
    <cellStyle name="40% - 강조색1 76 6" xfId="11259"/>
    <cellStyle name="40% - 강조색1 77" xfId="9863"/>
    <cellStyle name="40% - 강조색1 77 2" xfId="10407"/>
    <cellStyle name="40% - 강조색1 77 3" xfId="10718"/>
    <cellStyle name="40% - 강조색1 77 4" xfId="11002"/>
    <cellStyle name="40% - 강조색1 77 5" xfId="3778"/>
    <cellStyle name="40% - 강조색1 78" xfId="10204"/>
    <cellStyle name="40% - 강조색1 78 2" xfId="10725"/>
    <cellStyle name="40% - 강조색1 78 3" xfId="11009"/>
    <cellStyle name="40% - 강조색1 78 4" xfId="11286"/>
    <cellStyle name="40% - 강조색1 79" xfId="6701"/>
    <cellStyle name="40% - 강조색1 79 2" xfId="10791"/>
    <cellStyle name="40% - 강조색1 79 3" xfId="11066"/>
    <cellStyle name="40% - 강조색1 8" xfId="142"/>
    <cellStyle name="40% - 강조색1 80" xfId="10851"/>
    <cellStyle name="40% - 강조색1 80 2" xfId="11304"/>
    <cellStyle name="40% - 강조색1 81" xfId="6143"/>
    <cellStyle name="40% - 강조색1 82" xfId="587"/>
    <cellStyle name="40% - 강조색1 83" xfId="11412"/>
    <cellStyle name="40% - 강조색1 84" xfId="11364"/>
    <cellStyle name="40% - 강조색1 85" xfId="11372"/>
    <cellStyle name="40% - 강조색1 86" xfId="11439"/>
    <cellStyle name="40% - 강조색1 9" xfId="155"/>
    <cellStyle name="40% - 강조색2" xfId="26" builtinId="35" customBuiltin="1"/>
    <cellStyle name="40% - 강조색2 10" xfId="64"/>
    <cellStyle name="40% - 강조색2 11" xfId="67"/>
    <cellStyle name="40% - 강조색2 12" xfId="92"/>
    <cellStyle name="40% - 강조색2 13" xfId="93"/>
    <cellStyle name="40% - 강조색2 14" xfId="106"/>
    <cellStyle name="40% - 강조색2 15" xfId="119"/>
    <cellStyle name="40% - 강조색2 16" xfId="132"/>
    <cellStyle name="40% - 강조색2 17" xfId="145"/>
    <cellStyle name="40% - 강조색2 18" xfId="158"/>
    <cellStyle name="40% - 강조색2 19" xfId="171"/>
    <cellStyle name="40% - 강조색2 2" xfId="49"/>
    <cellStyle name="40% - 강조색2 20" xfId="184"/>
    <cellStyle name="40% - 강조색2 21" xfId="197"/>
    <cellStyle name="40% - 강조색2 22" xfId="210"/>
    <cellStyle name="40% - 강조색2 23" xfId="223"/>
    <cellStyle name="40% - 강조색2 24" xfId="236"/>
    <cellStyle name="40% - 강조색2 25" xfId="249"/>
    <cellStyle name="40% - 강조색2 26" xfId="262"/>
    <cellStyle name="40% - 강조색2 27" xfId="275"/>
    <cellStyle name="40% - 강조색2 28" xfId="288"/>
    <cellStyle name="40% - 강조색2 29" xfId="301"/>
    <cellStyle name="40% - 강조색2 3" xfId="74"/>
    <cellStyle name="40% - 강조색2 30" xfId="314"/>
    <cellStyle name="40% - 강조색2 31" xfId="327"/>
    <cellStyle name="40% - 강조색2 32" xfId="340"/>
    <cellStyle name="40% - 강조색2 33" xfId="353"/>
    <cellStyle name="40% - 강조색2 34" xfId="366"/>
    <cellStyle name="40% - 강조색2 35" xfId="379"/>
    <cellStyle name="40% - 강조색2 36" xfId="392"/>
    <cellStyle name="40% - 강조색2 37" xfId="405"/>
    <cellStyle name="40% - 강조색2 38" xfId="418"/>
    <cellStyle name="40% - 강조색2 39" xfId="431"/>
    <cellStyle name="40% - 강조색2 4" xfId="72"/>
    <cellStyle name="40% - 강조색2 40" xfId="548"/>
    <cellStyle name="40% - 강조색2 40 10" xfId="3193"/>
    <cellStyle name="40% - 강조색2 40 11" xfId="3605"/>
    <cellStyle name="40% - 강조색2 40 12" xfId="3919"/>
    <cellStyle name="40% - 강조색2 40 13" xfId="4239"/>
    <cellStyle name="40% - 강조색2 40 14" xfId="858"/>
    <cellStyle name="40% - 강조색2 40 15" xfId="797"/>
    <cellStyle name="40% - 강조색2 40 16" xfId="5572"/>
    <cellStyle name="40% - 강조색2 40 17" xfId="2424"/>
    <cellStyle name="40% - 강조색2 40 18" xfId="4468"/>
    <cellStyle name="40% - 강조색2 40 19" xfId="6165"/>
    <cellStyle name="40% - 강조색2 40 2" xfId="596"/>
    <cellStyle name="40% - 강조색2 40 20" xfId="6763"/>
    <cellStyle name="40% - 강조색2 40 21" xfId="6290"/>
    <cellStyle name="40% - 강조색2 40 22" xfId="7534"/>
    <cellStyle name="40% - 강조색2 40 23" xfId="6559"/>
    <cellStyle name="40% - 강조색2 40 24" xfId="8595"/>
    <cellStyle name="40% - 강조색2 40 25" xfId="8731"/>
    <cellStyle name="40% - 강조색2 40 26" xfId="9340"/>
    <cellStyle name="40% - 강조색2 40 27" xfId="9611"/>
    <cellStyle name="40% - 강조색2 40 28" xfId="6054"/>
    <cellStyle name="40% - 강조색2 40 29" xfId="10307"/>
    <cellStyle name="40% - 강조색2 40 3" xfId="1007"/>
    <cellStyle name="40% - 강조색2 40 30" xfId="10476"/>
    <cellStyle name="40% - 강조색2 40 31" xfId="8390"/>
    <cellStyle name="40% - 강조색2 40 32" xfId="11068"/>
    <cellStyle name="40% - 강조색2 40 33" xfId="11318"/>
    <cellStyle name="40% - 강조색2 40 34" xfId="584"/>
    <cellStyle name="40% - 강조색2 40 35" xfId="11425"/>
    <cellStyle name="40% - 강조색2 40 36" xfId="11353"/>
    <cellStyle name="40% - 강조색2 40 4" xfId="1271"/>
    <cellStyle name="40% - 강조색2 40 5" xfId="1658"/>
    <cellStyle name="40% - 강조색2 40 6" xfId="1642"/>
    <cellStyle name="40% - 강조색2 40 7" xfId="2228"/>
    <cellStyle name="40% - 강조색2 40 8" xfId="2491"/>
    <cellStyle name="40% - 강조색2 40 9" xfId="2949"/>
    <cellStyle name="40% - 강조색2 41" xfId="662"/>
    <cellStyle name="40% - 강조색2 41 10" xfId="3303"/>
    <cellStyle name="40% - 강조색2 41 11" xfId="2476"/>
    <cellStyle name="40% - 강조색2 41 12" xfId="3425"/>
    <cellStyle name="40% - 강조색2 41 13" xfId="4182"/>
    <cellStyle name="40% - 강조색2 41 14" xfId="2384"/>
    <cellStyle name="40% - 강조색2 41 15" xfId="2984"/>
    <cellStyle name="40% - 강조색2 41 16" xfId="5684"/>
    <cellStyle name="40% - 강조색2 41 17" xfId="5808"/>
    <cellStyle name="40% - 강조색2 41 18" xfId="5891"/>
    <cellStyle name="40% - 강조색2 41 19" xfId="6384"/>
    <cellStyle name="40% - 강조색2 41 2" xfId="1165"/>
    <cellStyle name="40% - 강조색2 41 20" xfId="7256"/>
    <cellStyle name="40% - 강조색2 41 21" xfId="6876"/>
    <cellStyle name="40% - 강조색2 41 22" xfId="7792"/>
    <cellStyle name="40% - 강조색2 41 23" xfId="8068"/>
    <cellStyle name="40% - 강조색2 41 24" xfId="8592"/>
    <cellStyle name="40% - 강조색2 41 25" xfId="4580"/>
    <cellStyle name="40% - 강조색2 41 26" xfId="7671"/>
    <cellStyle name="40% - 강조색2 41 27" xfId="6179"/>
    <cellStyle name="40% - 강조색2 41 28" xfId="9927"/>
    <cellStyle name="40% - 강조색2 41 29" xfId="10359"/>
    <cellStyle name="40% - 강조색2 41 3" xfId="1245"/>
    <cellStyle name="40% - 강조색2 41 30" xfId="10558"/>
    <cellStyle name="40% - 강조색2 41 31" xfId="10103"/>
    <cellStyle name="40% - 강조색2 41 32" xfId="10822"/>
    <cellStyle name="40% - 강조색2 41 4" xfId="1337"/>
    <cellStyle name="40% - 강조색2 41 5" xfId="1788"/>
    <cellStyle name="40% - 강조색2 41 6" xfId="2011"/>
    <cellStyle name="40% - 강조색2 41 7" xfId="1951"/>
    <cellStyle name="40% - 강조색2 41 8" xfId="2600"/>
    <cellStyle name="40% - 강조색2 41 9" xfId="2959"/>
    <cellStyle name="40% - 강조색2 42" xfId="674"/>
    <cellStyle name="40% - 강조색2 42 10" xfId="3272"/>
    <cellStyle name="40% - 강조색2 42 11" xfId="3587"/>
    <cellStyle name="40% - 강조색2 42 12" xfId="4002"/>
    <cellStyle name="40% - 강조색2 42 13" xfId="3268"/>
    <cellStyle name="40% - 강조색2 42 14" xfId="4714"/>
    <cellStyle name="40% - 강조색2 42 15" xfId="5379"/>
    <cellStyle name="40% - 강조색2 42 16" xfId="5416"/>
    <cellStyle name="40% - 강조색2 42 17" xfId="1997"/>
    <cellStyle name="40% - 강조색2 42 18" xfId="5285"/>
    <cellStyle name="40% - 강조색2 42 19" xfId="4789"/>
    <cellStyle name="40% - 강조색2 42 2" xfId="1177"/>
    <cellStyle name="40% - 강조색2 42 20" xfId="2805"/>
    <cellStyle name="40% - 강조색2 42 21" xfId="7175"/>
    <cellStyle name="40% - 강조색2 42 22" xfId="6738"/>
    <cellStyle name="40% - 강조색2 42 23" xfId="8133"/>
    <cellStyle name="40% - 강조색2 42 24" xfId="8607"/>
    <cellStyle name="40% - 강조색2 42 25" xfId="4887"/>
    <cellStyle name="40% - 강조색2 42 26" xfId="9108"/>
    <cellStyle name="40% - 강조색2 42 27" xfId="7510"/>
    <cellStyle name="40% - 강조색2 42 28" xfId="9815"/>
    <cellStyle name="40% - 강조색2 42 29" xfId="6536"/>
    <cellStyle name="40% - 강조색2 42 3" xfId="1257"/>
    <cellStyle name="40% - 강조색2 42 30" xfId="7814"/>
    <cellStyle name="40% - 강조색2 42 31" xfId="2189"/>
    <cellStyle name="40% - 강조색2 42 32" xfId="7447"/>
    <cellStyle name="40% - 강조색2 42 4" xfId="1349"/>
    <cellStyle name="40% - 강조색2 42 5" xfId="1792"/>
    <cellStyle name="40% - 강조색2 42 6" xfId="2041"/>
    <cellStyle name="40% - 강조색2 42 7" xfId="2219"/>
    <cellStyle name="40% - 강조색2 42 8" xfId="2454"/>
    <cellStyle name="40% - 강조색2 42 9" xfId="2975"/>
    <cellStyle name="40% - 강조색2 43" xfId="658"/>
    <cellStyle name="40% - 강조색2 43 10" xfId="3049"/>
    <cellStyle name="40% - 강조색2 43 11" xfId="3424"/>
    <cellStyle name="40% - 강조색2 43 12" xfId="2170"/>
    <cellStyle name="40% - 강조색2 43 13" xfId="4161"/>
    <cellStyle name="40% - 강조색2 43 14" xfId="4270"/>
    <cellStyle name="40% - 강조색2 43 15" xfId="5058"/>
    <cellStyle name="40% - 강조색2 43 16" xfId="4832"/>
    <cellStyle name="40% - 강조색2 43 17" xfId="1980"/>
    <cellStyle name="40% - 강조색2 43 18" xfId="5076"/>
    <cellStyle name="40% - 강조색2 43 19" xfId="6611"/>
    <cellStyle name="40% - 강조색2 43 2" xfId="1161"/>
    <cellStyle name="40% - 강조색2 43 20" xfId="2209"/>
    <cellStyle name="40% - 강조색2 43 21" xfId="6739"/>
    <cellStyle name="40% - 강조색2 43 22" xfId="7585"/>
    <cellStyle name="40% - 강조색2 43 23" xfId="8238"/>
    <cellStyle name="40% - 강조색2 43 24" xfId="8590"/>
    <cellStyle name="40% - 강조색2 43 25" xfId="7831"/>
    <cellStyle name="40% - 강조색2 43 26" xfId="977"/>
    <cellStyle name="40% - 강조색2 43 27" xfId="4522"/>
    <cellStyle name="40% - 강조색2 43 28" xfId="10000"/>
    <cellStyle name="40% - 강조색2 43 29" xfId="10303"/>
    <cellStyle name="40% - 강조색2 43 3" xfId="1241"/>
    <cellStyle name="40% - 강조색2 43 30" xfId="6153"/>
    <cellStyle name="40% - 강조색2 43 31" xfId="8824"/>
    <cellStyle name="40% - 강조색2 43 32" xfId="11194"/>
    <cellStyle name="40% - 강조색2 43 4" xfId="1333"/>
    <cellStyle name="40% - 강조색2 43 5" xfId="1796"/>
    <cellStyle name="40% - 강조색2 43 6" xfId="2012"/>
    <cellStyle name="40% - 강조색2 43 7" xfId="1936"/>
    <cellStyle name="40% - 강조색2 43 8" xfId="2547"/>
    <cellStyle name="40% - 강조색2 43 9" xfId="2731"/>
    <cellStyle name="40% - 강조색2 44" xfId="679"/>
    <cellStyle name="40% - 강조색2 44 10" xfId="3059"/>
    <cellStyle name="40% - 강조색2 44 11" xfId="1573"/>
    <cellStyle name="40% - 강조색2 44 12" xfId="3973"/>
    <cellStyle name="40% - 강조색2 44 13" xfId="4321"/>
    <cellStyle name="40% - 강조색2 44 14" xfId="4736"/>
    <cellStyle name="40% - 강조색2 44 15" xfId="5184"/>
    <cellStyle name="40% - 강조색2 44 16" xfId="4996"/>
    <cellStyle name="40% - 강조색2 44 17" xfId="4979"/>
    <cellStyle name="40% - 강조색2 44 18" xfId="898"/>
    <cellStyle name="40% - 강조색2 44 19" xfId="6530"/>
    <cellStyle name="40% - 강조색2 44 2" xfId="1182"/>
    <cellStyle name="40% - 강조색2 44 20" xfId="6979"/>
    <cellStyle name="40% - 강조색2 44 21" xfId="6318"/>
    <cellStyle name="40% - 강조색2 44 22" xfId="5024"/>
    <cellStyle name="40% - 강조색2 44 23" xfId="7928"/>
    <cellStyle name="40% - 강조색2 44 24" xfId="8591"/>
    <cellStyle name="40% - 강조색2 44 25" xfId="8838"/>
    <cellStyle name="40% - 강조색2 44 26" xfId="9329"/>
    <cellStyle name="40% - 강조색2 44 27" xfId="9641"/>
    <cellStyle name="40% - 강조색2 44 28" xfId="5210"/>
    <cellStyle name="40% - 강조색2 44 29" xfId="3446"/>
    <cellStyle name="40% - 강조색2 44 3" xfId="1262"/>
    <cellStyle name="40% - 강조색2 44 30" xfId="10568"/>
    <cellStyle name="40% - 강조색2 44 31" xfId="10202"/>
    <cellStyle name="40% - 강조색2 44 32" xfId="11220"/>
    <cellStyle name="40% - 강조색2 44 4" xfId="1354"/>
    <cellStyle name="40% - 강조색2 44 5" xfId="1800"/>
    <cellStyle name="40% - 강조색2 44 6" xfId="2054"/>
    <cellStyle name="40% - 강조색2 44 7" xfId="2339"/>
    <cellStyle name="40% - 강조색2 44 8" xfId="872"/>
    <cellStyle name="40% - 강조색2 44 9" xfId="2913"/>
    <cellStyle name="40% - 강조색2 45" xfId="680"/>
    <cellStyle name="40% - 강조색2 45 10" xfId="2798"/>
    <cellStyle name="40% - 강조색2 45 11" xfId="3534"/>
    <cellStyle name="40% - 강조색2 45 12" xfId="1477"/>
    <cellStyle name="40% - 강조색2 45 13" xfId="2905"/>
    <cellStyle name="40% - 강조색2 45 14" xfId="1859"/>
    <cellStyle name="40% - 강조색2 45 15" xfId="5324"/>
    <cellStyle name="40% - 강조색2 45 16" xfId="4543"/>
    <cellStyle name="40% - 강조색2 45 17" xfId="5839"/>
    <cellStyle name="40% - 강조색2 45 18" xfId="5915"/>
    <cellStyle name="40% - 강조색2 45 19" xfId="6363"/>
    <cellStyle name="40% - 강조색2 45 2" xfId="1183"/>
    <cellStyle name="40% - 강조색2 45 20" xfId="7265"/>
    <cellStyle name="40% - 강조색2 45 21" xfId="7314"/>
    <cellStyle name="40% - 강조색2 45 22" xfId="7840"/>
    <cellStyle name="40% - 강조색2 45 23" xfId="8054"/>
    <cellStyle name="40% - 강조색2 45 24" xfId="8612"/>
    <cellStyle name="40% - 강조색2 45 25" xfId="6924"/>
    <cellStyle name="40% - 강조색2 45 26" xfId="9282"/>
    <cellStyle name="40% - 강조색2 45 27" xfId="9550"/>
    <cellStyle name="40% - 강조색2 45 28" xfId="7737"/>
    <cellStyle name="40% - 강조색2 45 29" xfId="3273"/>
    <cellStyle name="40% - 강조색2 45 3" xfId="1263"/>
    <cellStyle name="40% - 강조색2 45 30" xfId="8965"/>
    <cellStyle name="40% - 강조색2 45 31" xfId="2807"/>
    <cellStyle name="40% - 강조색2 45 32" xfId="3575"/>
    <cellStyle name="40% - 강조색2 45 4" xfId="1355"/>
    <cellStyle name="40% - 강조색2 45 5" xfId="1803"/>
    <cellStyle name="40% - 강조색2 45 6" xfId="821"/>
    <cellStyle name="40% - 강조색2 45 7" xfId="710"/>
    <cellStyle name="40% - 강조색2 45 8" xfId="2598"/>
    <cellStyle name="40% - 강조색2 45 9" xfId="2173"/>
    <cellStyle name="40% - 강조색2 46" xfId="681"/>
    <cellStyle name="40% - 강조색2 46 10" xfId="2500"/>
    <cellStyle name="40% - 강조색2 46 11" xfId="1515"/>
    <cellStyle name="40% - 강조색2 46 12" xfId="3538"/>
    <cellStyle name="40% - 강조색2 46 13" xfId="4285"/>
    <cellStyle name="40% - 강조색2 46 14" xfId="2160"/>
    <cellStyle name="40% - 강조색2 46 15" xfId="2385"/>
    <cellStyle name="40% - 강조색2 46 16" xfId="5604"/>
    <cellStyle name="40% - 강조색2 46 17" xfId="5453"/>
    <cellStyle name="40% - 강조색2 46 18" xfId="5055"/>
    <cellStyle name="40% - 강조색2 46 19" xfId="6163"/>
    <cellStyle name="40% - 강조색2 46 2" xfId="1184"/>
    <cellStyle name="40% - 강조색2 46 20" xfId="7081"/>
    <cellStyle name="40% - 강조색2 46 21" xfId="6699"/>
    <cellStyle name="40% - 강조색2 46 22" xfId="6063"/>
    <cellStyle name="40% - 강조색2 46 23" xfId="7985"/>
    <cellStyle name="40% - 강조색2 46 24" xfId="4445"/>
    <cellStyle name="40% - 강조색2 46 25" xfId="8937"/>
    <cellStyle name="40% - 강조색2 46 26" xfId="8736"/>
    <cellStyle name="40% - 강조색2 46 27" xfId="9428"/>
    <cellStyle name="40% - 강조색2 46 28" xfId="9929"/>
    <cellStyle name="40% - 강조색2 46 29" xfId="5190"/>
    <cellStyle name="40% - 강조색2 46 3" xfId="1264"/>
    <cellStyle name="40% - 강조색2 46 30" xfId="10537"/>
    <cellStyle name="40% - 강조색2 46 31" xfId="9271"/>
    <cellStyle name="40% - 강조색2 46 32" xfId="11147"/>
    <cellStyle name="40% - 강조색2 46 4" xfId="1356"/>
    <cellStyle name="40% - 강조색2 46 5" xfId="1806"/>
    <cellStyle name="40% - 강조색2 46 6" xfId="739"/>
    <cellStyle name="40% - 강조색2 46 7" xfId="2334"/>
    <cellStyle name="40% - 강조색2 46 8" xfId="2201"/>
    <cellStyle name="40% - 강조색2 46 9" xfId="2931"/>
    <cellStyle name="40% - 강조색2 47" xfId="589"/>
    <cellStyle name="40% - 강조색2 47 10" xfId="4351"/>
    <cellStyle name="40% - 강조색2 47 11" xfId="4724"/>
    <cellStyle name="40% - 강조색2 47 12" xfId="5017"/>
    <cellStyle name="40% - 강조색2 47 13" xfId="3235"/>
    <cellStyle name="40% - 강조색2 47 14" xfId="5785"/>
    <cellStyle name="40% - 강조색2 47 15" xfId="5875"/>
    <cellStyle name="40% - 강조색2 47 16" xfId="6598"/>
    <cellStyle name="40% - 강조색2 47 17" xfId="6809"/>
    <cellStyle name="40% - 강조색2 47 18" xfId="803"/>
    <cellStyle name="40% - 강조색2 47 19" xfId="6838"/>
    <cellStyle name="40% - 강조색2 47 2" xfId="1094"/>
    <cellStyle name="40% - 강조색2 47 20" xfId="8061"/>
    <cellStyle name="40% - 강조색2 47 21" xfId="4017"/>
    <cellStyle name="40% - 강조색2 47 22" xfId="8910"/>
    <cellStyle name="40% - 강조색2 47 23" xfId="9277"/>
    <cellStyle name="40% - 강조색2 47 24" xfId="9584"/>
    <cellStyle name="40% - 강조색2 47 25" xfId="9925"/>
    <cellStyle name="40% - 강조색2 47 26" xfId="4637"/>
    <cellStyle name="40% - 강조색2 47 27" xfId="10555"/>
    <cellStyle name="40% - 강조색2 47 28" xfId="8075"/>
    <cellStyle name="40% - 강조색2 47 29" xfId="11186"/>
    <cellStyle name="40% - 강조색2 47 3" xfId="1552"/>
    <cellStyle name="40% - 강조색2 47 30" xfId="11338"/>
    <cellStyle name="40% - 강조색2 47 31" xfId="11433"/>
    <cellStyle name="40% - 강조색2 47 32" xfId="11420"/>
    <cellStyle name="40% - 강조색2 47 33" xfId="11341"/>
    <cellStyle name="40% - 강조색2 47 4" xfId="2286"/>
    <cellStyle name="40% - 강조색2 47 5" xfId="2591"/>
    <cellStyle name="40% - 강조색2 47 6" xfId="2836"/>
    <cellStyle name="40% - 강조색2 47 7" xfId="3212"/>
    <cellStyle name="40% - 강조색2 47 8" xfId="897"/>
    <cellStyle name="40% - 강조색2 47 9" xfId="3912"/>
    <cellStyle name="40% - 강조색2 48" xfId="1097"/>
    <cellStyle name="40% - 강조색2 48 10" xfId="4264"/>
    <cellStyle name="40% - 강조색2 48 11" xfId="4625"/>
    <cellStyle name="40% - 강조색2 48 12" xfId="5645"/>
    <cellStyle name="40% - 강조색2 48 13" xfId="5708"/>
    <cellStyle name="40% - 강조색2 48 14" xfId="5149"/>
    <cellStyle name="40% - 강조색2 48 15" xfId="5020"/>
    <cellStyle name="40% - 강조색2 48 16" xfId="6496"/>
    <cellStyle name="40% - 강조색2 48 17" xfId="6948"/>
    <cellStyle name="40% - 강조색2 48 18" xfId="4000"/>
    <cellStyle name="40% - 강조색2 48 19" xfId="7698"/>
    <cellStyle name="40% - 강조색2 48 2" xfId="1810"/>
    <cellStyle name="40% - 강조색2 48 20" xfId="6133"/>
    <cellStyle name="40% - 강조색2 48 21" xfId="2471"/>
    <cellStyle name="40% - 강조색2 48 22" xfId="3750"/>
    <cellStyle name="40% - 강조색2 48 23" xfId="9216"/>
    <cellStyle name="40% - 강조색2 48 24" xfId="3807"/>
    <cellStyle name="40% - 강조색2 48 25" xfId="9866"/>
    <cellStyle name="40% - 강조색2 48 26" xfId="10346"/>
    <cellStyle name="40% - 강조색2 48 27" xfId="10596"/>
    <cellStyle name="40% - 강조색2 48 28" xfId="10834"/>
    <cellStyle name="40% - 강조색2 48 29" xfId="4976"/>
    <cellStyle name="40% - 강조색2 48 3" xfId="892"/>
    <cellStyle name="40% - 강조색2 48 4" xfId="2291"/>
    <cellStyle name="40% - 강조색2 48 5" xfId="2527"/>
    <cellStyle name="40% - 강조색2 48 6" xfId="2911"/>
    <cellStyle name="40% - 강조색2 48 7" xfId="3120"/>
    <cellStyle name="40% - 강조색2 48 8" xfId="2159"/>
    <cellStyle name="40% - 강조색2 48 9" xfId="3975"/>
    <cellStyle name="40% - 강조색2 49" xfId="1100"/>
    <cellStyle name="40% - 강조색2 49 10" xfId="3881"/>
    <cellStyle name="40% - 강조색2 49 11" xfId="4534"/>
    <cellStyle name="40% - 강조색2 49 12" xfId="5239"/>
    <cellStyle name="40% - 강조색2 49 13" xfId="3598"/>
    <cellStyle name="40% - 강조색2 49 14" xfId="2238"/>
    <cellStyle name="40% - 강조색2 49 15" xfId="5558"/>
    <cellStyle name="40% - 강조색2 49 16" xfId="6567"/>
    <cellStyle name="40% - 강조색2 49 17" xfId="6557"/>
    <cellStyle name="40% - 강조색2 49 18" xfId="7350"/>
    <cellStyle name="40% - 강조색2 49 19" xfId="7704"/>
    <cellStyle name="40% - 강조색2 49 2" xfId="1813"/>
    <cellStyle name="40% - 강조색2 49 20" xfId="7494"/>
    <cellStyle name="40% - 강조색2 49 21" xfId="8444"/>
    <cellStyle name="40% - 강조색2 49 22" xfId="8415"/>
    <cellStyle name="40% - 강조색2 49 23" xfId="6148"/>
    <cellStyle name="40% - 강조색2 49 24" xfId="8805"/>
    <cellStyle name="40% - 강조색2 49 25" xfId="10031"/>
    <cellStyle name="40% - 강조색2 49 26" xfId="8682"/>
    <cellStyle name="40% - 강조색2 49 27" xfId="10423"/>
    <cellStyle name="40% - 강조색2 49 28" xfId="9490"/>
    <cellStyle name="40% - 강조색2 49 29" xfId="11086"/>
    <cellStyle name="40% - 강조색2 49 3" xfId="1599"/>
    <cellStyle name="40% - 강조색2 49 4" xfId="2348"/>
    <cellStyle name="40% - 강조색2 49 5" xfId="2583"/>
    <cellStyle name="40% - 강조색2 49 6" xfId="2445"/>
    <cellStyle name="40% - 강조색2 49 7" xfId="1838"/>
    <cellStyle name="40% - 강조색2 49 8" xfId="991"/>
    <cellStyle name="40% - 강조색2 49 9" xfId="922"/>
    <cellStyle name="40% - 강조색2 5" xfId="79"/>
    <cellStyle name="40% - 강조색2 50" xfId="1021"/>
    <cellStyle name="40% - 강조색2 50 10" xfId="4209"/>
    <cellStyle name="40% - 강조색2 50 11" xfId="4443"/>
    <cellStyle name="40% - 강조색2 50 12" xfId="5546"/>
    <cellStyle name="40% - 강조색2 50 13" xfId="5676"/>
    <cellStyle name="40% - 강조색2 50 14" xfId="1372"/>
    <cellStyle name="40% - 강조색2 50 15" xfId="5388"/>
    <cellStyle name="40% - 강조색2 50 16" xfId="6045"/>
    <cellStyle name="40% - 강조색2 50 17" xfId="7024"/>
    <cellStyle name="40% - 강조색2 50 18" xfId="7034"/>
    <cellStyle name="40% - 강조색2 50 19" xfId="7666"/>
    <cellStyle name="40% - 강조색2 50 2" xfId="1674"/>
    <cellStyle name="40% - 강조색2 50 20" xfId="7905"/>
    <cellStyle name="40% - 강조색2 50 21" xfId="8508"/>
    <cellStyle name="40% - 강조색2 50 22" xfId="8964"/>
    <cellStyle name="40% - 강조색2 50 23" xfId="7592"/>
    <cellStyle name="40% - 강조색2 50 24" xfId="8045"/>
    <cellStyle name="40% - 강조색2 50 25" xfId="1527"/>
    <cellStyle name="40% - 강조색2 50 26" xfId="6868"/>
    <cellStyle name="40% - 강조색2 50 27" xfId="10605"/>
    <cellStyle name="40% - 강조색2 50 28" xfId="8948"/>
    <cellStyle name="40% - 강조색2 50 29" xfId="11223"/>
    <cellStyle name="40% - 강조색2 50 3" xfId="2043"/>
    <cellStyle name="40% - 강조색2 50 4" xfId="2322"/>
    <cellStyle name="40% - 강조색2 50 5" xfId="2682"/>
    <cellStyle name="40% - 강조색2 50 6" xfId="2829"/>
    <cellStyle name="40% - 강조색2 50 7" xfId="3330"/>
    <cellStyle name="40% - 강조색2 50 8" xfId="1875"/>
    <cellStyle name="40% - 강조색2 50 9" xfId="2732"/>
    <cellStyle name="40% - 강조색2 51" xfId="1102"/>
    <cellStyle name="40% - 강조색2 51 10" xfId="2902"/>
    <cellStyle name="40% - 강조색2 51 11" xfId="4711"/>
    <cellStyle name="40% - 강조색2 51 12" xfId="5573"/>
    <cellStyle name="40% - 강조색2 51 13" xfId="5635"/>
    <cellStyle name="40% - 강조색2 51 14" xfId="1475"/>
    <cellStyle name="40% - 강조색2 51 15" xfId="4461"/>
    <cellStyle name="40% - 강조색2 51 16" xfId="4263"/>
    <cellStyle name="40% - 강조색2 51 17" xfId="6858"/>
    <cellStyle name="40% - 강조색2 51 18" xfId="6875"/>
    <cellStyle name="40% - 강조색2 51 19" xfId="7816"/>
    <cellStyle name="40% - 강조색2 51 2" xfId="1815"/>
    <cellStyle name="40% - 강조색2 51 20" xfId="8157"/>
    <cellStyle name="40% - 강조색2 51 21" xfId="4901"/>
    <cellStyle name="40% - 강조색2 51 22" xfId="8066"/>
    <cellStyle name="40% - 강조색2 51 23" xfId="2413"/>
    <cellStyle name="40% - 강조색2 51 24" xfId="4867"/>
    <cellStyle name="40% - 강조색2 51 25" xfId="9845"/>
    <cellStyle name="40% - 강조색2 51 26" xfId="10138"/>
    <cellStyle name="40% - 강조색2 51 27" xfId="4999"/>
    <cellStyle name="40% - 강조색2 51 28" xfId="10789"/>
    <cellStyle name="40% - 강조색2 51 29" xfId="11081"/>
    <cellStyle name="40% - 강조색2 51 3" xfId="1501"/>
    <cellStyle name="40% - 강조색2 51 4" xfId="2285"/>
    <cellStyle name="40% - 강조색2 51 5" xfId="1631"/>
    <cellStyle name="40% - 강조색2 51 6" xfId="2726"/>
    <cellStyle name="40% - 강조색2 51 7" xfId="1459"/>
    <cellStyle name="40% - 강조색2 51 8" xfId="3693"/>
    <cellStyle name="40% - 강조색2 51 9" xfId="3465"/>
    <cellStyle name="40% - 강조색2 52" xfId="1185"/>
    <cellStyle name="40% - 강조색2 52 10" xfId="3488"/>
    <cellStyle name="40% - 강조색2 52 11" xfId="3564"/>
    <cellStyle name="40% - 강조색2 52 12" xfId="3394"/>
    <cellStyle name="40% - 강조색2 52 13" xfId="5790"/>
    <cellStyle name="40% - 강조색2 52 14" xfId="5880"/>
    <cellStyle name="40% - 강조색2 52 15" xfId="5943"/>
    <cellStyle name="40% - 강조색2 52 16" xfId="2425"/>
    <cellStyle name="40% - 강조색2 52 17" xfId="6812"/>
    <cellStyle name="40% - 강조색2 52 18" xfId="6268"/>
    <cellStyle name="40% - 강조색2 52 19" xfId="7423"/>
    <cellStyle name="40% - 강조색2 52 2" xfId="1818"/>
    <cellStyle name="40% - 강조색2 52 20" xfId="6420"/>
    <cellStyle name="40% - 강조색2 52 21" xfId="8131"/>
    <cellStyle name="40% - 강조색2 52 22" xfId="809"/>
    <cellStyle name="40% - 강조색2 52 23" xfId="9345"/>
    <cellStyle name="40% - 강조색2 52 24" xfId="9117"/>
    <cellStyle name="40% - 강조색2 52 25" xfId="1393"/>
    <cellStyle name="40% - 강조색2 52 26" xfId="10301"/>
    <cellStyle name="40% - 강조색2 52 27" xfId="9473"/>
    <cellStyle name="40% - 강조색2 52 28" xfId="9244"/>
    <cellStyle name="40% - 강조색2 52 29" xfId="11145"/>
    <cellStyle name="40% - 강조색2 52 3" xfId="2078"/>
    <cellStyle name="40% - 강조색2 52 4" xfId="1879"/>
    <cellStyle name="40% - 강조색2 52 5" xfId="2521"/>
    <cellStyle name="40% - 강조색2 52 6" xfId="1609"/>
    <cellStyle name="40% - 강조색2 52 7" xfId="1387"/>
    <cellStyle name="40% - 강조색2 52 8" xfId="3673"/>
    <cellStyle name="40% - 강조색2 52 9" xfId="1572"/>
    <cellStyle name="40% - 강조색2 53" xfId="1265"/>
    <cellStyle name="40% - 강조색2 53 10" xfId="989"/>
    <cellStyle name="40% - 강조색2 53 11" xfId="2119"/>
    <cellStyle name="40% - 강조색2 53 12" xfId="4944"/>
    <cellStyle name="40% - 강조색2 53 13" xfId="5619"/>
    <cellStyle name="40% - 강조색2 53 14" xfId="1828"/>
    <cellStyle name="40% - 강조색2 53 15" xfId="5781"/>
    <cellStyle name="40% - 강조색2 53 16" xfId="6447"/>
    <cellStyle name="40% - 강조색2 53 17" xfId="3237"/>
    <cellStyle name="40% - 강조색2 53 18" xfId="7370"/>
    <cellStyle name="40% - 강조색2 53 19" xfId="4936"/>
    <cellStyle name="40% - 강조색2 53 2" xfId="1819"/>
    <cellStyle name="40% - 강조색2 53 20" xfId="8096"/>
    <cellStyle name="40% - 강조색2 53 21" xfId="5167"/>
    <cellStyle name="40% - 강조색2 53 22" xfId="6048"/>
    <cellStyle name="40% - 강조색2 53 23" xfId="9063"/>
    <cellStyle name="40% - 강조색2 53 24" xfId="9649"/>
    <cellStyle name="40% - 강조색2 53 25" xfId="9986"/>
    <cellStyle name="40% - 강조색2 53 26" xfId="6272"/>
    <cellStyle name="40% - 강조색2 53 27" xfId="8605"/>
    <cellStyle name="40% - 강조색2 53 28" xfId="10785"/>
    <cellStyle name="40% - 강조색2 53 29" xfId="9123"/>
    <cellStyle name="40% - 강조색2 53 3" xfId="2079"/>
    <cellStyle name="40% - 강조색2 53 4" xfId="2187"/>
    <cellStyle name="40% - 강조색2 53 5" xfId="2480"/>
    <cellStyle name="40% - 강조색2 53 6" xfId="2179"/>
    <cellStyle name="40% - 강조색2 53 7" xfId="1591"/>
    <cellStyle name="40% - 강조색2 53 8" xfId="3663"/>
    <cellStyle name="40% - 강조색2 53 9" xfId="3798"/>
    <cellStyle name="40% - 강조색2 54" xfId="1517"/>
    <cellStyle name="40% - 강조색2 54 10" xfId="4627"/>
    <cellStyle name="40% - 강조색2 54 11" xfId="5481"/>
    <cellStyle name="40% - 강조색2 54 12" xfId="2194"/>
    <cellStyle name="40% - 강조색2 54 13" xfId="5064"/>
    <cellStyle name="40% - 강조색2 54 14" xfId="4812"/>
    <cellStyle name="40% - 강조색2 54 15" xfId="6368"/>
    <cellStyle name="40% - 강조색2 54 16" xfId="7144"/>
    <cellStyle name="40% - 강조색2 54 17" xfId="6914"/>
    <cellStyle name="40% - 강조색2 54 18" xfId="7838"/>
    <cellStyle name="40% - 강조색2 54 19" xfId="8246"/>
    <cellStyle name="40% - 강조색2 54 2" xfId="2083"/>
    <cellStyle name="40% - 강조색2 54 20" xfId="6847"/>
    <cellStyle name="40% - 강조색2 54 21" xfId="6049"/>
    <cellStyle name="40% - 강조색2 54 22" xfId="9133"/>
    <cellStyle name="40% - 강조색2 54 23" xfId="9647"/>
    <cellStyle name="40% - 강조색2 54 24" xfId="9892"/>
    <cellStyle name="40% - 강조색2 54 25" xfId="10098"/>
    <cellStyle name="40% - 강조색2 54 26" xfId="4797"/>
    <cellStyle name="40% - 강조색2 54 27" xfId="2210"/>
    <cellStyle name="40% - 강조색2 54 28" xfId="11140"/>
    <cellStyle name="40% - 강조색2 54 3" xfId="2365"/>
    <cellStyle name="40% - 강조색2 54 4" xfId="2496"/>
    <cellStyle name="40% - 강조색2 54 5" xfId="2550"/>
    <cellStyle name="40% - 강조색2 54 6" xfId="3307"/>
    <cellStyle name="40% - 강조색2 54 7" xfId="3071"/>
    <cellStyle name="40% - 강조색2 54 8" xfId="3886"/>
    <cellStyle name="40% - 강조색2 54 9" xfId="754"/>
    <cellStyle name="40% - 강조색2 55" xfId="2062"/>
    <cellStyle name="40% - 강조색2 55 10" xfId="5449"/>
    <cellStyle name="40% - 강조색2 55 11" xfId="750"/>
    <cellStyle name="40% - 강조색2 55 12" xfId="4784"/>
    <cellStyle name="40% - 강조색2 55 13" xfId="5540"/>
    <cellStyle name="40% - 강조색2 55 14" xfId="6411"/>
    <cellStyle name="40% - 강조색2 55 15" xfId="6501"/>
    <cellStyle name="40% - 강조색2 55 16" xfId="6889"/>
    <cellStyle name="40% - 강조색2 55 17" xfId="7503"/>
    <cellStyle name="40% - 강조색2 55 18" xfId="7982"/>
    <cellStyle name="40% - 강조색2 55 19" xfId="8623"/>
    <cellStyle name="40% - 강조색2 55 2" xfId="2380"/>
    <cellStyle name="40% - 강조색2 55 20" xfId="8837"/>
    <cellStyle name="40% - 강조색2 55 21" xfId="8436"/>
    <cellStyle name="40% - 강조색2 55 22" xfId="725"/>
    <cellStyle name="40% - 강조색2 55 23" xfId="10014"/>
    <cellStyle name="40% - 강조색2 55 24" xfId="6271"/>
    <cellStyle name="40% - 강조색2 55 25" xfId="10545"/>
    <cellStyle name="40% - 강조색2 55 26" xfId="6475"/>
    <cellStyle name="40% - 강조색2 55 27" xfId="10452"/>
    <cellStyle name="40% - 강조색2 55 3" xfId="2699"/>
    <cellStyle name="40% - 강조색2 55 4" xfId="3014"/>
    <cellStyle name="40% - 강조색2 55 5" xfId="3341"/>
    <cellStyle name="40% - 강조색2 55 6" xfId="3685"/>
    <cellStyle name="40% - 강조색2 55 7" xfId="3801"/>
    <cellStyle name="40% - 강조색2 55 8" xfId="4367"/>
    <cellStyle name="40% - 강조색2 55 9" xfId="4512"/>
    <cellStyle name="40% - 강조색2 56" xfId="2344"/>
    <cellStyle name="40% - 강조색2 56 10" xfId="5299"/>
    <cellStyle name="40% - 강조색2 56 11" xfId="5028"/>
    <cellStyle name="40% - 강조색2 56 12" xfId="5229"/>
    <cellStyle name="40% - 강조색2 56 13" xfId="6398"/>
    <cellStyle name="40% - 강조색2 56 14" xfId="2185"/>
    <cellStyle name="40% - 강조색2 56 15" xfId="7093"/>
    <cellStyle name="40% - 강조색2 56 16" xfId="7606"/>
    <cellStyle name="40% - 강조색2 56 17" xfId="2090"/>
    <cellStyle name="40% - 강조색2 56 18" xfId="8600"/>
    <cellStyle name="40% - 강조색2 56 19" xfId="8871"/>
    <cellStyle name="40% - 강조색2 56 2" xfId="2710"/>
    <cellStyle name="40% - 강조색2 56 20" xfId="4465"/>
    <cellStyle name="40% - 강조색2 56 21" xfId="9505"/>
    <cellStyle name="40% - 강조색2 56 22" xfId="9998"/>
    <cellStyle name="40% - 강조색2 56 23" xfId="10354"/>
    <cellStyle name="40% - 강조색2 56 24" xfId="10425"/>
    <cellStyle name="40% - 강조색2 56 25" xfId="10734"/>
    <cellStyle name="40% - 강조색2 56 26" xfId="11252"/>
    <cellStyle name="40% - 강조색2 56 3" xfId="3025"/>
    <cellStyle name="40% - 강조색2 56 4" xfId="3358"/>
    <cellStyle name="40% - 강조색2 56 5" xfId="3626"/>
    <cellStyle name="40% - 강조색2 56 6" xfId="3905"/>
    <cellStyle name="40% - 강조색2 56 7" xfId="4254"/>
    <cellStyle name="40% - 강조색2 56 8" xfId="4438"/>
    <cellStyle name="40% - 강조색2 56 9" xfId="2762"/>
    <cellStyle name="40% - 강조색2 57" xfId="801"/>
    <cellStyle name="40% - 강조색2 57 10" xfId="4859"/>
    <cellStyle name="40% - 강조색2 57 11" xfId="5101"/>
    <cellStyle name="40% - 강조색2 57 12" xfId="4558"/>
    <cellStyle name="40% - 강조색2 57 13" xfId="6769"/>
    <cellStyle name="40% - 강조색2 57 14" xfId="7268"/>
    <cellStyle name="40% - 강조색2 57 15" xfId="7772"/>
    <cellStyle name="40% - 강조색2 57 16" xfId="6226"/>
    <cellStyle name="40% - 강조색2 57 17" xfId="8448"/>
    <cellStyle name="40% - 강조색2 57 18" xfId="4460"/>
    <cellStyle name="40% - 강조색2 57 19" xfId="9253"/>
    <cellStyle name="40% - 강조색2 57 2" xfId="1536"/>
    <cellStyle name="40% - 강조색2 57 20" xfId="9472"/>
    <cellStyle name="40% - 강조색2 57 21" xfId="9910"/>
    <cellStyle name="40% - 강조색2 57 22" xfId="10099"/>
    <cellStyle name="40% - 강조색2 57 23" xfId="10205"/>
    <cellStyle name="40% - 강조색2 57 24" xfId="10840"/>
    <cellStyle name="40% - 강조색2 57 25" xfId="11041"/>
    <cellStyle name="40% - 강조색2 57 3" xfId="3144"/>
    <cellStyle name="40% - 강조색2 57 4" xfId="3637"/>
    <cellStyle name="40% - 강조색2 57 5" xfId="3884"/>
    <cellStyle name="40% - 강조색2 57 6" xfId="4344"/>
    <cellStyle name="40% - 강조색2 57 7" xfId="3681"/>
    <cellStyle name="40% - 강조색2 57 8" xfId="707"/>
    <cellStyle name="40% - 강조색2 57 9" xfId="5440"/>
    <cellStyle name="40% - 강조색2 58" xfId="2991"/>
    <cellStyle name="40% - 강조색2 58 10" xfId="5533"/>
    <cellStyle name="40% - 강조색2 58 11" xfId="6155"/>
    <cellStyle name="40% - 강조색2 58 12" xfId="7204"/>
    <cellStyle name="40% - 강조색2 58 13" xfId="7094"/>
    <cellStyle name="40% - 강조색2 58 14" xfId="6881"/>
    <cellStyle name="40% - 강조색2 58 15" xfId="8269"/>
    <cellStyle name="40% - 강조색2 58 16" xfId="1467"/>
    <cellStyle name="40% - 강조색2 58 17" xfId="8720"/>
    <cellStyle name="40% - 강조색2 58 18" xfId="7203"/>
    <cellStyle name="40% - 강조색2 58 19" xfId="8695"/>
    <cellStyle name="40% - 강조색2 58 2" xfId="3377"/>
    <cellStyle name="40% - 강조색2 58 20" xfId="3891"/>
    <cellStyle name="40% - 강조색2 58 21" xfId="8502"/>
    <cellStyle name="40% - 강조색2 58 22" xfId="8461"/>
    <cellStyle name="40% - 강조색2 58 23" xfId="10756"/>
    <cellStyle name="40% - 강조색2 58 24" xfId="11196"/>
    <cellStyle name="40% - 강조색2 58 3" xfId="3710"/>
    <cellStyle name="40% - 강조색2 58 4" xfId="4048"/>
    <cellStyle name="40% - 강조색2 58 5" xfId="4289"/>
    <cellStyle name="40% - 강조색2 58 6" xfId="4497"/>
    <cellStyle name="40% - 강조색2 58 7" xfId="5014"/>
    <cellStyle name="40% - 강조색2 58 8" xfId="5654"/>
    <cellStyle name="40% - 강조색2 58 9" xfId="5510"/>
    <cellStyle name="40% - 강조색2 59" xfId="3349"/>
    <cellStyle name="40% - 강조색2 59 10" xfId="6537"/>
    <cellStyle name="40% - 강조색2 59 11" xfId="4940"/>
    <cellStyle name="40% - 강조색2 59 12" xfId="2004"/>
    <cellStyle name="40% - 강조색2 59 13" xfId="6505"/>
    <cellStyle name="40% - 강조색2 59 14" xfId="7056"/>
    <cellStyle name="40% - 강조색2 59 15" xfId="8384"/>
    <cellStyle name="40% - 강조색2 59 16" xfId="6177"/>
    <cellStyle name="40% - 강조색2 59 17" xfId="8748"/>
    <cellStyle name="40% - 강조색2 59 18" xfId="8701"/>
    <cellStyle name="40% - 강조색2 59 19" xfId="10016"/>
    <cellStyle name="40% - 강조색2 59 2" xfId="3720"/>
    <cellStyle name="40% - 강조색2 59 20" xfId="8878"/>
    <cellStyle name="40% - 강조색2 59 21" xfId="6193"/>
    <cellStyle name="40% - 강조색2 59 22" xfId="10876"/>
    <cellStyle name="40% - 강조색2 59 23" xfId="11215"/>
    <cellStyle name="40% - 강조색2 59 3" xfId="4059"/>
    <cellStyle name="40% - 강조색2 59 4" xfId="4395"/>
    <cellStyle name="40% - 강조색2 59 5" xfId="4740"/>
    <cellStyle name="40% - 강조색2 59 6" xfId="5082"/>
    <cellStyle name="40% - 강조색2 59 7" xfId="5156"/>
    <cellStyle name="40% - 강조색2 59 8" xfId="2111"/>
    <cellStyle name="40% - 강조색2 59 9" xfId="4819"/>
    <cellStyle name="40% - 강조색2 6" xfId="75"/>
    <cellStyle name="40% - 강조색2 60" xfId="3690"/>
    <cellStyle name="40% - 강조색2 60 10" xfId="6908"/>
    <cellStyle name="40% - 강조색2 60 11" xfId="7048"/>
    <cellStyle name="40% - 강조색2 60 12" xfId="6241"/>
    <cellStyle name="40% - 강조색2 60 13" xfId="8113"/>
    <cellStyle name="40% - 강조색2 60 14" xfId="7577"/>
    <cellStyle name="40% - 강조색2 60 15" xfId="8781"/>
    <cellStyle name="40% - 강조색2 60 16" xfId="9377"/>
    <cellStyle name="40% - 강조색2 60 17" xfId="6040"/>
    <cellStyle name="40% - 강조색2 60 18" xfId="7521"/>
    <cellStyle name="40% - 강조색2 60 19" xfId="10319"/>
    <cellStyle name="40% - 강조색2 60 2" xfId="4069"/>
    <cellStyle name="40% - 강조색2 60 20" xfId="8332"/>
    <cellStyle name="40% - 강조색2 60 21" xfId="10975"/>
    <cellStyle name="40% - 강조색2 60 22" xfId="11123"/>
    <cellStyle name="40% - 강조색2 60 3" xfId="4405"/>
    <cellStyle name="40% - 강조색2 60 4" xfId="4758"/>
    <cellStyle name="40% - 강조색2 60 5" xfId="5344"/>
    <cellStyle name="40% - 강조색2 60 6" xfId="4959"/>
    <cellStyle name="40% - 강조색2 60 7" xfId="3063"/>
    <cellStyle name="40% - 강조색2 60 8" xfId="1874"/>
    <cellStyle name="40% - 강조색2 60 9" xfId="6463"/>
    <cellStyle name="40% - 강조색2 61" xfId="4027"/>
    <cellStyle name="40% - 강조색2 61 10" xfId="756"/>
    <cellStyle name="40% - 강조색2 61 11" xfId="4333"/>
    <cellStyle name="40% - 강조색2 61 12" xfId="8245"/>
    <cellStyle name="40% - 강조색2 61 13" xfId="8121"/>
    <cellStyle name="40% - 강조색2 61 14" xfId="1991"/>
    <cellStyle name="40% - 강조색2 61 15" xfId="4119"/>
    <cellStyle name="40% - 강조색2 61 16" xfId="9514"/>
    <cellStyle name="40% - 강조색2 61 17" xfId="9870"/>
    <cellStyle name="40% - 강조색2 61 18" xfId="6746"/>
    <cellStyle name="40% - 강조색2 61 19" xfId="10583"/>
    <cellStyle name="40% - 강조색2 61 2" xfId="4414"/>
    <cellStyle name="40% - 강조색2 61 20" xfId="10518"/>
    <cellStyle name="40% - 강조색2 61 21" xfId="9142"/>
    <cellStyle name="40% - 강조색2 61 3" xfId="4768"/>
    <cellStyle name="40% - 강조색2 61 4" xfId="5694"/>
    <cellStyle name="40% - 강조색2 61 5" xfId="5695"/>
    <cellStyle name="40% - 강조색2 61 6" xfId="5061"/>
    <cellStyle name="40% - 강조색2 61 7" xfId="4917"/>
    <cellStyle name="40% - 강조색2 61 8" xfId="6626"/>
    <cellStyle name="40% - 강조색2 61 9" xfId="7064"/>
    <cellStyle name="40% - 강조색2 62" xfId="4386"/>
    <cellStyle name="40% - 강조색2 62 10" xfId="3297"/>
    <cellStyle name="40% - 강조색2 62 11" xfId="3380"/>
    <cellStyle name="40% - 강조색2 62 12" xfId="8403"/>
    <cellStyle name="40% - 강조색2 62 13" xfId="4919"/>
    <cellStyle name="40% - 강조색2 62 14" xfId="9294"/>
    <cellStyle name="40% - 강조색2 62 15" xfId="9690"/>
    <cellStyle name="40% - 강조색2 62 16" xfId="8081"/>
    <cellStyle name="40% - 강조색2 62 17" xfId="6950"/>
    <cellStyle name="40% - 강조색2 62 18" xfId="10524"/>
    <cellStyle name="40% - 강조색2 62 19" xfId="10952"/>
    <cellStyle name="40% - 강조색2 62 2" xfId="4778"/>
    <cellStyle name="40% - 강조색2 62 20" xfId="10227"/>
    <cellStyle name="40% - 강조색2 62 3" xfId="5757"/>
    <cellStyle name="40% - 강조색2 62 4" xfId="5857"/>
    <cellStyle name="40% - 강조색2 62 5" xfId="5929"/>
    <cellStyle name="40% - 강조색2 62 6" xfId="5977"/>
    <cellStyle name="40% - 강조색2 62 7" xfId="6636"/>
    <cellStyle name="40% - 강조색2 62 8" xfId="7006"/>
    <cellStyle name="40% - 강조색2 62 9" xfId="6737"/>
    <cellStyle name="40% - 강조색2 63" xfId="4737"/>
    <cellStyle name="40% - 강조색2 63 10" xfId="1918"/>
    <cellStyle name="40% - 강조색2 63 11" xfId="2467"/>
    <cellStyle name="40% - 강조색2 63 12" xfId="4879"/>
    <cellStyle name="40% - 강조색2 63 13" xfId="9174"/>
    <cellStyle name="40% - 강조색2 63 14" xfId="9685"/>
    <cellStyle name="40% - 강조색2 63 15" xfId="10018"/>
    <cellStyle name="40% - 강조색2 63 16" xfId="5989"/>
    <cellStyle name="40% - 강조색2 63 17" xfId="10607"/>
    <cellStyle name="40% - 강조색2 63 18" xfId="10475"/>
    <cellStyle name="40% - 강조색2 63 19" xfId="8517"/>
    <cellStyle name="40% - 강조색2 63 2" xfId="5828"/>
    <cellStyle name="40% - 강조색2 63 3" xfId="5906"/>
    <cellStyle name="40% - 강조색2 63 4" xfId="5964"/>
    <cellStyle name="40% - 강조색2 63 5" xfId="5988"/>
    <cellStyle name="40% - 강조색2 63 6" xfId="6648"/>
    <cellStyle name="40% - 강조색2 63 7" xfId="7031"/>
    <cellStyle name="40% - 강조색2 63 8" xfId="7340"/>
    <cellStyle name="40% - 강조색2 63 9" xfId="7392"/>
    <cellStyle name="40% - 강조색2 64" xfId="5549"/>
    <cellStyle name="40% - 강조색2 64 10" xfId="9531"/>
    <cellStyle name="40% - 강조색2 64 11" xfId="9914"/>
    <cellStyle name="40% - 강조색2 64 12" xfId="6856"/>
    <cellStyle name="40% - 강조색2 64 13" xfId="7661"/>
    <cellStyle name="40% - 강조색2 64 14" xfId="10757"/>
    <cellStyle name="40% - 강조색2 64 15" xfId="11209"/>
    <cellStyle name="40% - 강조색2 64 2" xfId="6678"/>
    <cellStyle name="40% - 강조색2 64 3" xfId="7286"/>
    <cellStyle name="40% - 강조색2 64 4" xfId="7293"/>
    <cellStyle name="40% - 강조색2 64 5" xfId="7559"/>
    <cellStyle name="40% - 강조색2 64 6" xfId="8183"/>
    <cellStyle name="40% - 강조색2 64 7" xfId="8549"/>
    <cellStyle name="40% - 강조색2 64 8" xfId="7774"/>
    <cellStyle name="40% - 강조색2 64 9" xfId="9120"/>
    <cellStyle name="40% - 강조색2 65" xfId="5756"/>
    <cellStyle name="40% - 강조색2 65 10" xfId="8699"/>
    <cellStyle name="40% - 강조색2 65 11" xfId="9912"/>
    <cellStyle name="40% - 강조색2 65 12" xfId="9451"/>
    <cellStyle name="40% - 강조색2 65 13" xfId="10100"/>
    <cellStyle name="40% - 강조색2 65 14" xfId="6528"/>
    <cellStyle name="40% - 강조색2 65 15" xfId="7923"/>
    <cellStyle name="40% - 강조색2 65 2" xfId="6688"/>
    <cellStyle name="40% - 강조색2 65 3" xfId="7311"/>
    <cellStyle name="40% - 강조색2 65 4" xfId="6098"/>
    <cellStyle name="40% - 강조색2 65 5" xfId="7856"/>
    <cellStyle name="40% - 강조색2 65 6" xfId="7998"/>
    <cellStyle name="40% - 강조색2 65 7" xfId="8446"/>
    <cellStyle name="40% - 강조색2 65 8" xfId="8155"/>
    <cellStyle name="40% - 강조색2 65 9" xfId="9140"/>
    <cellStyle name="40% - 강조색2 66" xfId="5856"/>
    <cellStyle name="40% - 강조색2 66 10" xfId="9489"/>
    <cellStyle name="40% - 강조색2 66 11" xfId="5307"/>
    <cellStyle name="40% - 강조색2 66 12" xfId="3053"/>
    <cellStyle name="40% - 강조색2 66 13" xfId="6191"/>
    <cellStyle name="40% - 강조색2 66 14" xfId="9476"/>
    <cellStyle name="40% - 강조색2 66 15" xfId="1399"/>
    <cellStyle name="40% - 강조색2 66 2" xfId="6694"/>
    <cellStyle name="40% - 강조색2 66 3" xfId="7320"/>
    <cellStyle name="40% - 강조색2 66 4" xfId="6836"/>
    <cellStyle name="40% - 강조색2 66 5" xfId="7862"/>
    <cellStyle name="40% - 강조색2 66 6" xfId="6404"/>
    <cellStyle name="40% - 강조색2 66 7" xfId="7949"/>
    <cellStyle name="40% - 강조색2 66 8" xfId="4578"/>
    <cellStyle name="40% - 강조색2 66 9" xfId="3725"/>
    <cellStyle name="40% - 강조색2 67" xfId="5928"/>
    <cellStyle name="40% - 강조색2 67 10" xfId="9718"/>
    <cellStyle name="40% - 강조색2 67 11" xfId="9904"/>
    <cellStyle name="40% - 강조색2 67 12" xfId="10174"/>
    <cellStyle name="40% - 강조색2 67 13" xfId="10450"/>
    <cellStyle name="40% - 강조색2 67 14" xfId="10751"/>
    <cellStyle name="40% - 강조색2 67 15" xfId="6762"/>
    <cellStyle name="40% - 강조색2 67 2" xfId="6696"/>
    <cellStyle name="40% - 강조색2 67 3" xfId="7329"/>
    <cellStyle name="40% - 강조색2 67 4" xfId="7376"/>
    <cellStyle name="40% - 강조색2 67 5" xfId="7864"/>
    <cellStyle name="40% - 강조색2 67 6" xfId="7984"/>
    <cellStyle name="40% - 강조색2 67 7" xfId="1845"/>
    <cellStyle name="40% - 강조색2 67 8" xfId="3857"/>
    <cellStyle name="40% - 강조색2 67 9" xfId="3112"/>
    <cellStyle name="40% - 강조색2 68" xfId="6591"/>
    <cellStyle name="40% - 강조색2 68 10" xfId="8611"/>
    <cellStyle name="40% - 강조색2 68 11" xfId="2211"/>
    <cellStyle name="40% - 강조색2 68 12" xfId="4922"/>
    <cellStyle name="40% - 강조색2 68 13" xfId="10980"/>
    <cellStyle name="40% - 강조색2 68 14" xfId="11153"/>
    <cellStyle name="40% - 강조색2 68 2" xfId="7366"/>
    <cellStyle name="40% - 강조색2 68 3" xfId="7388"/>
    <cellStyle name="40% - 강조색2 68 4" xfId="7877"/>
    <cellStyle name="40% - 강조색2 68 5" xfId="771"/>
    <cellStyle name="40% - 강조색2 68 6" xfId="8531"/>
    <cellStyle name="40% - 강조색2 68 7" xfId="7916"/>
    <cellStyle name="40% - 강조색2 68 8" xfId="9100"/>
    <cellStyle name="40% - 강조색2 68 9" xfId="2797"/>
    <cellStyle name="40% - 강조색2 69" xfId="7272"/>
    <cellStyle name="40% - 강조색2 69 10" xfId="5116"/>
    <cellStyle name="40% - 강조색2 69 11" xfId="9588"/>
    <cellStyle name="40% - 강조색2 69 12" xfId="11199"/>
    <cellStyle name="40% - 강조색2 69 2" xfId="7891"/>
    <cellStyle name="40% - 강조색2 69 3" xfId="8285"/>
    <cellStyle name="40% - 강조색2 69 4" xfId="8647"/>
    <cellStyle name="40% - 강조색2 69 5" xfId="6563"/>
    <cellStyle name="40% - 강조색2 69 6" xfId="9110"/>
    <cellStyle name="40% - 강조색2 69 7" xfId="9687"/>
    <cellStyle name="40% - 강조색2 69 8" xfId="9790"/>
    <cellStyle name="40% - 강조색2 69 9" xfId="10151"/>
    <cellStyle name="40% - 강조색2 7" xfId="68"/>
    <cellStyle name="40% - 강조색2 70" xfId="7372"/>
    <cellStyle name="40% - 강조색2 70 10" xfId="2806"/>
    <cellStyle name="40% - 강조색2 70 11" xfId="10845"/>
    <cellStyle name="40% - 강조색2 70 12" xfId="11191"/>
    <cellStyle name="40% - 강조색2 70 2" xfId="7898"/>
    <cellStyle name="40% - 강조색2 70 3" xfId="8292"/>
    <cellStyle name="40% - 강조색2 70 4" xfId="8654"/>
    <cellStyle name="40% - 강조색2 70 5" xfId="8350"/>
    <cellStyle name="40% - 강조색2 70 6" xfId="8434"/>
    <cellStyle name="40% - 강조색2 70 7" xfId="7758"/>
    <cellStyle name="40% - 강조색2 70 8" xfId="9783"/>
    <cellStyle name="40% - 강조색2 70 9" xfId="10230"/>
    <cellStyle name="40% - 강조색2 71" xfId="7852"/>
    <cellStyle name="40% - 강조색2 71 10" xfId="10830"/>
    <cellStyle name="40% - 강조색2 71 11" xfId="11175"/>
    <cellStyle name="40% - 강조색2 71 2" xfId="8303"/>
    <cellStyle name="40% - 강조색2 71 3" xfId="8665"/>
    <cellStyle name="40% - 강조색2 71 4" xfId="9029"/>
    <cellStyle name="40% - 강조색2 71 5" xfId="9387"/>
    <cellStyle name="40% - 강조색2 71 6" xfId="9549"/>
    <cellStyle name="40% - 강조색2 71 7" xfId="10009"/>
    <cellStyle name="40% - 강조색2 71 8" xfId="902"/>
    <cellStyle name="40% - 강조색2 71 9" xfId="10630"/>
    <cellStyle name="40% - 강조색2 72" xfId="8255"/>
    <cellStyle name="40% - 강조색2 72 10" xfId="10218"/>
    <cellStyle name="40% - 강조색2 72 2" xfId="8674"/>
    <cellStyle name="40% - 강조색2 72 3" xfId="9038"/>
    <cellStyle name="40% - 강조색2 72 4" xfId="9397"/>
    <cellStyle name="40% - 강조색2 72 5" xfId="9729"/>
    <cellStyle name="40% - 강조색2 72 6" xfId="6189"/>
    <cellStyle name="40% - 강조색2 72 7" xfId="10336"/>
    <cellStyle name="40% - 강조색2 72 8" xfId="4353"/>
    <cellStyle name="40% - 강조색2 72 9" xfId="9175"/>
    <cellStyle name="40% - 강조색2 73" xfId="8632"/>
    <cellStyle name="40% - 강조색2 73 2" xfId="9048"/>
    <cellStyle name="40% - 강조색2 73 3" xfId="9407"/>
    <cellStyle name="40% - 강조색2 73 4" xfId="9739"/>
    <cellStyle name="40% - 강조색2 73 5" xfId="10065"/>
    <cellStyle name="40% - 강조색2 73 6" xfId="7835"/>
    <cellStyle name="40% - 강조색2 73 7" xfId="7764"/>
    <cellStyle name="40% - 강조색2 73 8" xfId="9207"/>
    <cellStyle name="40% - 강조색2 73 9" xfId="8509"/>
    <cellStyle name="40% - 강조색2 74" xfId="1639"/>
    <cellStyle name="40% - 강조색2 74 2" xfId="817"/>
    <cellStyle name="40% - 강조색2 74 3" xfId="9429"/>
    <cellStyle name="40% - 강조색2 74 4" xfId="7590"/>
    <cellStyle name="40% - 강조색2 74 5" xfId="6491"/>
    <cellStyle name="40% - 강조색2 74 6" xfId="10486"/>
    <cellStyle name="40% - 강조색2 74 7" xfId="6459"/>
    <cellStyle name="40% - 강조색2 74 8" xfId="11157"/>
    <cellStyle name="40% - 강조색2 75" xfId="9304"/>
    <cellStyle name="40% - 강조색2 75 2" xfId="9753"/>
    <cellStyle name="40% - 강조색2 75 3" xfId="10079"/>
    <cellStyle name="40% - 강조색2 75 4" xfId="10392"/>
    <cellStyle name="40% - 강조색2 75 5" xfId="10701"/>
    <cellStyle name="40% - 강조색2 75 6" xfId="6019"/>
    <cellStyle name="40% - 강조색2 75 7" xfId="7944"/>
    <cellStyle name="40% - 강조색2 76" xfId="6183"/>
    <cellStyle name="40% - 강조색2 76 2" xfId="8499"/>
    <cellStyle name="40% - 강조색2 76 3" xfId="8417"/>
    <cellStyle name="40% - 강조색2 76 4" xfId="9162"/>
    <cellStyle name="40% - 강조색2 76 5" xfId="2766"/>
    <cellStyle name="40% - 강조색2 76 6" xfId="3463"/>
    <cellStyle name="40% - 강조색2 77" xfId="10057"/>
    <cellStyle name="40% - 강조색2 77 2" xfId="10413"/>
    <cellStyle name="40% - 강조색2 77 3" xfId="10724"/>
    <cellStyle name="40% - 강조색2 77 4" xfId="11008"/>
    <cellStyle name="40% - 강조색2 77 5" xfId="11284"/>
    <cellStyle name="40% - 강조색2 78" xfId="10370"/>
    <cellStyle name="40% - 강조색2 78 2" xfId="10730"/>
    <cellStyle name="40% - 강조색2 78 3" xfId="11014"/>
    <cellStyle name="40% - 강조색2 78 4" xfId="11291"/>
    <cellStyle name="40% - 강조색2 79" xfId="10685"/>
    <cellStyle name="40% - 강조색2 79 2" xfId="11024"/>
    <cellStyle name="40% - 강조색2 79 3" xfId="11302"/>
    <cellStyle name="40% - 강조색2 8" xfId="62"/>
    <cellStyle name="40% - 강조색2 80" xfId="10982"/>
    <cellStyle name="40% - 강조색2 80 2" xfId="11310"/>
    <cellStyle name="40% - 강조색2 81" xfId="11277"/>
    <cellStyle name="40% - 강조색2 82" xfId="1793"/>
    <cellStyle name="40% - 강조색2 83" xfId="11432"/>
    <cellStyle name="40% - 강조색2 84" xfId="11344"/>
    <cellStyle name="40% - 강조색2 85" xfId="11430"/>
    <cellStyle name="40% - 강조색2 86" xfId="11441"/>
    <cellStyle name="40% - 강조색2 9" xfId="63"/>
    <cellStyle name="40% - 강조색3" xfId="30" builtinId="39" customBuiltin="1"/>
    <cellStyle name="40% - 강조색3 10" xfId="167"/>
    <cellStyle name="40% - 강조색3 11" xfId="180"/>
    <cellStyle name="40% - 강조색3 12" xfId="193"/>
    <cellStyle name="40% - 강조색3 13" xfId="206"/>
    <cellStyle name="40% - 강조색3 14" xfId="219"/>
    <cellStyle name="40% - 강조색3 15" xfId="232"/>
    <cellStyle name="40% - 강조색3 16" xfId="245"/>
    <cellStyle name="40% - 강조색3 17" xfId="258"/>
    <cellStyle name="40% - 강조색3 18" xfId="271"/>
    <cellStyle name="40% - 강조색3 19" xfId="284"/>
    <cellStyle name="40% - 강조색3 2" xfId="51"/>
    <cellStyle name="40% - 강조색3 20" xfId="297"/>
    <cellStyle name="40% - 강조색3 21" xfId="310"/>
    <cellStyle name="40% - 강조색3 22" xfId="323"/>
    <cellStyle name="40% - 강조색3 23" xfId="336"/>
    <cellStyle name="40% - 강조색3 24" xfId="349"/>
    <cellStyle name="40% - 강조색3 25" xfId="362"/>
    <cellStyle name="40% - 강조색3 26" xfId="375"/>
    <cellStyle name="40% - 강조색3 27" xfId="388"/>
    <cellStyle name="40% - 강조색3 28" xfId="401"/>
    <cellStyle name="40% - 강조색3 29" xfId="414"/>
    <cellStyle name="40% - 강조색3 3" xfId="78"/>
    <cellStyle name="40% - 강조색3 30" xfId="427"/>
    <cellStyle name="40% - 강조색3 31" xfId="440"/>
    <cellStyle name="40% - 강조색3 32" xfId="452"/>
    <cellStyle name="40% - 강조색3 33" xfId="464"/>
    <cellStyle name="40% - 강조색3 34" xfId="476"/>
    <cellStyle name="40% - 강조색3 35" xfId="488"/>
    <cellStyle name="40% - 강조색3 36" xfId="499"/>
    <cellStyle name="40% - 강조색3 37" xfId="510"/>
    <cellStyle name="40% - 강조색3 38" xfId="521"/>
    <cellStyle name="40% - 강조색3 39" xfId="530"/>
    <cellStyle name="40% - 강조색3 4" xfId="82"/>
    <cellStyle name="40% - 강조색3 40" xfId="550"/>
    <cellStyle name="40% - 강조색3 40 10" xfId="3335"/>
    <cellStyle name="40% - 강조색3 40 11" xfId="3577"/>
    <cellStyle name="40% - 강조색3 40 12" xfId="3824"/>
    <cellStyle name="40% - 강조색3 40 13" xfId="4157"/>
    <cellStyle name="40% - 강조색3 40 14" xfId="4418"/>
    <cellStyle name="40% - 강조색3 40 15" xfId="3227"/>
    <cellStyle name="40% - 강조색3 40 16" xfId="3214"/>
    <cellStyle name="40% - 강조색3 40 17" xfId="1921"/>
    <cellStyle name="40% - 강조색3 40 18" xfId="5099"/>
    <cellStyle name="40% - 강조색3 40 19" xfId="6509"/>
    <cellStyle name="40% - 강조색3 40 2" xfId="598"/>
    <cellStyle name="40% - 강조색3 40 20" xfId="6344"/>
    <cellStyle name="40% - 강조색3 40 21" xfId="7137"/>
    <cellStyle name="40% - 강조색3 40 22" xfId="7664"/>
    <cellStyle name="40% - 강조색3 40 23" xfId="8099"/>
    <cellStyle name="40% - 강조색3 40 24" xfId="3551"/>
    <cellStyle name="40% - 강조색3 40 25" xfId="4487"/>
    <cellStyle name="40% - 강조색3 40 26" xfId="3089"/>
    <cellStyle name="40% - 강조색3 40 27" xfId="9723"/>
    <cellStyle name="40% - 강조색3 40 28" xfId="6137"/>
    <cellStyle name="40% - 강조색3 40 29" xfId="9587"/>
    <cellStyle name="40% - 강조색3 40 3" xfId="1009"/>
    <cellStyle name="40% - 강조색3 40 30" xfId="10554"/>
    <cellStyle name="40% - 강조색3 40 31" xfId="5191"/>
    <cellStyle name="40% - 강조색3 40 32" xfId="11254"/>
    <cellStyle name="40% - 강조색3 40 33" xfId="11320"/>
    <cellStyle name="40% - 강조색3 40 34" xfId="1034"/>
    <cellStyle name="40% - 강조색3 40 35" xfId="11313"/>
    <cellStyle name="40% - 강조색3 40 36" xfId="11392"/>
    <cellStyle name="40% - 강조색3 40 4" xfId="1273"/>
    <cellStyle name="40% - 강조색3 40 5" xfId="1660"/>
    <cellStyle name="40% - 강조색3 40 6" xfId="761"/>
    <cellStyle name="40% - 강조색3 40 7" xfId="689"/>
    <cellStyle name="40% - 강조색3 40 8" xfId="2687"/>
    <cellStyle name="40% - 강조색3 40 9" xfId="2980"/>
    <cellStyle name="40% - 강조색3 41" xfId="608"/>
    <cellStyle name="40% - 강조색3 41 10" xfId="3226"/>
    <cellStyle name="40% - 강조색3 41 11" xfId="3603"/>
    <cellStyle name="40% - 강조색3 41 12" xfId="3863"/>
    <cellStyle name="40% - 강조색3 41 13" xfId="1499"/>
    <cellStyle name="40% - 강조색3 41 14" xfId="4715"/>
    <cellStyle name="40% - 강조색3 41 15" xfId="5310"/>
    <cellStyle name="40% - 강조색3 41 16" xfId="5743"/>
    <cellStyle name="40% - 강조색3 41 17" xfId="5846"/>
    <cellStyle name="40% - 강조색3 41 18" xfId="5921"/>
    <cellStyle name="40% - 강조색3 41 19" xfId="6287"/>
    <cellStyle name="40% - 강조색3 41 2" xfId="1111"/>
    <cellStyle name="40% - 강조색3 41 20" xfId="2589"/>
    <cellStyle name="40% - 강조색3 41 21" xfId="6072"/>
    <cellStyle name="40% - 강조색3 41 22" xfId="7701"/>
    <cellStyle name="40% - 강조색3 41 23" xfId="8023"/>
    <cellStyle name="40% - 강조색3 41 24" xfId="7432"/>
    <cellStyle name="40% - 강조색3 41 25" xfId="8680"/>
    <cellStyle name="40% - 강조색3 41 26" xfId="9348"/>
    <cellStyle name="40% - 강조색3 41 27" xfId="9662"/>
    <cellStyle name="40% - 강조색3 41 28" xfId="7508"/>
    <cellStyle name="40% - 강조색3 41 29" xfId="10186"/>
    <cellStyle name="40% - 강조색3 41 3" xfId="1191"/>
    <cellStyle name="40% - 강조색3 41 30" xfId="7550"/>
    <cellStyle name="40% - 강조색3 41 31" xfId="10921"/>
    <cellStyle name="40% - 강조색3 41 32" xfId="2169"/>
    <cellStyle name="40% - 강조색3 41 4" xfId="1283"/>
    <cellStyle name="40% - 강조색3 41 5" xfId="1777"/>
    <cellStyle name="40% - 강조색3 41 6" xfId="894"/>
    <cellStyle name="40% - 강조색3 41 7" xfId="1614"/>
    <cellStyle name="40% - 강조색3 41 8" xfId="2636"/>
    <cellStyle name="40% - 강조색3 41 9" xfId="2936"/>
    <cellStyle name="40% - 강조색3 42" xfId="645"/>
    <cellStyle name="40% - 강조색3 42 10" xfId="2895"/>
    <cellStyle name="40% - 강조색3 42 11" xfId="3239"/>
    <cellStyle name="40% - 강조색3 42 12" xfId="3521"/>
    <cellStyle name="40% - 강조색3 42 13" xfId="4389"/>
    <cellStyle name="40% - 강조색3 42 14" xfId="2881"/>
    <cellStyle name="40% - 강조색3 42 15" xfId="5361"/>
    <cellStyle name="40% - 강조색3 42 16" xfId="5706"/>
    <cellStyle name="40% - 강조색3 42 17" xfId="5804"/>
    <cellStyle name="40% - 강조색3 42 18" xfId="5889"/>
    <cellStyle name="40% - 강조색3 42 19" xfId="6280"/>
    <cellStyle name="40% - 강조색3 42 2" xfId="1148"/>
    <cellStyle name="40% - 강조색3 42 20" xfId="7169"/>
    <cellStyle name="40% - 강조색3 42 21" xfId="7191"/>
    <cellStyle name="40% - 강조색3 42 22" xfId="7791"/>
    <cellStyle name="40% - 강조색3 42 23" xfId="5035"/>
    <cellStyle name="40% - 강조색3 42 24" xfId="8604"/>
    <cellStyle name="40% - 강조색3 42 25" xfId="8866"/>
    <cellStyle name="40% - 강조색3 42 26" xfId="9339"/>
    <cellStyle name="40% - 강조색3 42 27" xfId="3182"/>
    <cellStyle name="40% - 강조색3 42 28" xfId="4576"/>
    <cellStyle name="40% - 강조색3 42 29" xfId="4493"/>
    <cellStyle name="40% - 강조색3 42 3" xfId="1228"/>
    <cellStyle name="40% - 강조색3 42 30" xfId="4215"/>
    <cellStyle name="40% - 강조색3 42 31" xfId="10177"/>
    <cellStyle name="40% - 강조색3 42 32" xfId="7813"/>
    <cellStyle name="40% - 강조색3 42 4" xfId="1320"/>
    <cellStyle name="40% - 강조색3 42 5" xfId="1678"/>
    <cellStyle name="40% - 강조색3 42 6" xfId="2013"/>
    <cellStyle name="40% - 강조색3 42 7" xfId="2346"/>
    <cellStyle name="40% - 강조색3 42 8" xfId="2604"/>
    <cellStyle name="40% - 강조색3 42 9" xfId="2927"/>
    <cellStyle name="40% - 강조색3 43" xfId="663"/>
    <cellStyle name="40% - 강조색3 43 10" xfId="3092"/>
    <cellStyle name="40% - 강조색3 43 11" xfId="3591"/>
    <cellStyle name="40% - 강조색3 43 12" xfId="3967"/>
    <cellStyle name="40% - 강조색3 43 13" xfId="845"/>
    <cellStyle name="40% - 강조색3 43 14" xfId="4606"/>
    <cellStyle name="40% - 강조색3 43 15" xfId="5319"/>
    <cellStyle name="40% - 강조색3 43 16" xfId="4825"/>
    <cellStyle name="40% - 강조색3 43 17" xfId="4902"/>
    <cellStyle name="40% - 강조색3 43 18" xfId="5355"/>
    <cellStyle name="40% - 강조색3 43 19" xfId="6277"/>
    <cellStyle name="40% - 강조색3 43 2" xfId="1166"/>
    <cellStyle name="40% - 강조색3 43 20" xfId="2859"/>
    <cellStyle name="40% - 강조색3 43 21" xfId="3885"/>
    <cellStyle name="40% - 강조색3 43 22" xfId="853"/>
    <cellStyle name="40% - 강조색3 43 23" xfId="7924"/>
    <cellStyle name="40% - 강조색3 43 24" xfId="8547"/>
    <cellStyle name="40% - 강조색3 43 25" xfId="8414"/>
    <cellStyle name="40% - 강조색3 43 26" xfId="9098"/>
    <cellStyle name="40% - 강조색3 43 27" xfId="9509"/>
    <cellStyle name="40% - 강조색3 43 28" xfId="7668"/>
    <cellStyle name="40% - 강조색3 43 29" xfId="3067"/>
    <cellStyle name="40% - 강조색3 43 3" xfId="1246"/>
    <cellStyle name="40% - 강조색3 43 30" xfId="8104"/>
    <cellStyle name="40% - 강조색3 43 31" xfId="10831"/>
    <cellStyle name="40% - 강조색3 43 32" xfId="11176"/>
    <cellStyle name="40% - 강조색3 43 4" xfId="1338"/>
    <cellStyle name="40% - 강조색3 43 5" xfId="1754"/>
    <cellStyle name="40% - 강조색3 43 6" xfId="846"/>
    <cellStyle name="40% - 강조색3 43 7" xfId="2281"/>
    <cellStyle name="40% - 강조색3 43 8" xfId="2648"/>
    <cellStyle name="40% - 강조색3 43 9" xfId="2736"/>
    <cellStyle name="40% - 강조색3 44" xfId="650"/>
    <cellStyle name="40% - 강조색3 44 10" xfId="2230"/>
    <cellStyle name="40% - 강조색3 44 11" xfId="3421"/>
    <cellStyle name="40% - 강조색3 44 12" xfId="798"/>
    <cellStyle name="40% - 강조색3 44 13" xfId="4312"/>
    <cellStyle name="40% - 강조색3 44 14" xfId="820"/>
    <cellStyle name="40% - 강조색3 44 15" xfId="5346"/>
    <cellStyle name="40% - 강조색3 44 16" xfId="4142"/>
    <cellStyle name="40% - 강조색3 44 17" xfId="5507"/>
    <cellStyle name="40% - 강조색3 44 18" xfId="5420"/>
    <cellStyle name="40% - 강조색3 44 19" xfId="6348"/>
    <cellStyle name="40% - 강조색3 44 2" xfId="1153"/>
    <cellStyle name="40% - 강조색3 44 20" xfId="6445"/>
    <cellStyle name="40% - 강조색3 44 21" xfId="6449"/>
    <cellStyle name="40% - 강조색3 44 22" xfId="7435"/>
    <cellStyle name="40% - 강조색3 44 23" xfId="8226"/>
    <cellStyle name="40% - 강조색3 44 24" xfId="5219"/>
    <cellStyle name="40% - 강조색3 44 25" xfId="8958"/>
    <cellStyle name="40% - 강조색3 44 26" xfId="4628"/>
    <cellStyle name="40% - 강조색3 44 27" xfId="4265"/>
    <cellStyle name="40% - 강조색3 44 28" xfId="9911"/>
    <cellStyle name="40% - 강조색3 44 29" xfId="10109"/>
    <cellStyle name="40% - 강조색3 44 3" xfId="1233"/>
    <cellStyle name="40% - 강조색3 44 30" xfId="10467"/>
    <cellStyle name="40% - 강조색3 44 31" xfId="10221"/>
    <cellStyle name="40% - 강조색3 44 32" xfId="11131"/>
    <cellStyle name="40% - 강조색3 44 4" xfId="1325"/>
    <cellStyle name="40% - 강조색3 44 5" xfId="1740"/>
    <cellStyle name="40% - 강조색3 44 6" xfId="2064"/>
    <cellStyle name="40% - 강조색3 44 7" xfId="2302"/>
    <cellStyle name="40% - 강조색3 44 8" xfId="2488"/>
    <cellStyle name="40% - 강조색3 44 9" xfId="2123"/>
    <cellStyle name="40% - 강조색3 45" xfId="633"/>
    <cellStyle name="40% - 강조색3 45 10" xfId="2136"/>
    <cellStyle name="40% - 강조색3 45 11" xfId="3543"/>
    <cellStyle name="40% - 강조색3 45 12" xfId="3847"/>
    <cellStyle name="40% - 강조색3 45 13" xfId="2832"/>
    <cellStyle name="40% - 강조색3 45 14" xfId="4539"/>
    <cellStyle name="40% - 강조색3 45 15" xfId="5555"/>
    <cellStyle name="40% - 강조색3 45 16" xfId="3872"/>
    <cellStyle name="40% - 강조색3 45 17" xfId="5056"/>
    <cellStyle name="40% - 강조색3 45 18" xfId="5452"/>
    <cellStyle name="40% - 강조색3 45 19" xfId="6249"/>
    <cellStyle name="40% - 강조색3 45 2" xfId="1136"/>
    <cellStyle name="40% - 강조색3 45 20" xfId="7106"/>
    <cellStyle name="40% - 강조색3 45 21" xfId="6885"/>
    <cellStyle name="40% - 강조색3 45 22" xfId="7505"/>
    <cellStyle name="40% - 강조색3 45 23" xfId="4513"/>
    <cellStyle name="40% - 강조색3 45 24" xfId="8535"/>
    <cellStyle name="40% - 강조색3 45 25" xfId="8993"/>
    <cellStyle name="40% - 강조색3 45 26" xfId="9107"/>
    <cellStyle name="40% - 강조색3 45 27" xfId="9650"/>
    <cellStyle name="40% - 강조색3 45 28" xfId="9933"/>
    <cellStyle name="40% - 강조색3 45 29" xfId="6771"/>
    <cellStyle name="40% - 강조색3 45 3" xfId="1216"/>
    <cellStyle name="40% - 강조색3 45 30" xfId="10457"/>
    <cellStyle name="40% - 강조색3 45 31" xfId="8751"/>
    <cellStyle name="40% - 강조색3 45 32" xfId="10501"/>
    <cellStyle name="40% - 강조색3 45 4" xfId="1308"/>
    <cellStyle name="40% - 강조색3 45 5" xfId="1709"/>
    <cellStyle name="40% - 강조색3 45 6" xfId="940"/>
    <cellStyle name="40% - 강조색3 45 7" xfId="1923"/>
    <cellStyle name="40% - 강조색3 45 8" xfId="2519"/>
    <cellStyle name="40% - 강조색3 45 9" xfId="2961"/>
    <cellStyle name="40% - 강조색3 46" xfId="653"/>
    <cellStyle name="40% - 강조색3 46 10" xfId="3248"/>
    <cellStyle name="40% - 강조색3 46 11" xfId="3665"/>
    <cellStyle name="40% - 강조색3 46 12" xfId="3980"/>
    <cellStyle name="40% - 강조색3 46 13" xfId="4365"/>
    <cellStyle name="40% - 강조색3 46 14" xfId="727"/>
    <cellStyle name="40% - 강조색3 46 15" xfId="3783"/>
    <cellStyle name="40% - 강조색3 46 16" xfId="4342"/>
    <cellStyle name="40% - 강조색3 46 17" xfId="4136"/>
    <cellStyle name="40% - 강조색3 46 18" xfId="5428"/>
    <cellStyle name="40% - 강조색3 46 19" xfId="6562"/>
    <cellStyle name="40% - 강조색3 46 2" xfId="1156"/>
    <cellStyle name="40% - 강조색3 46 20" xfId="3039"/>
    <cellStyle name="40% - 강조색3 46 21" xfId="6793"/>
    <cellStyle name="40% - 강조색3 46 22" xfId="5148"/>
    <cellStyle name="40% - 강조색3 46 23" xfId="8162"/>
    <cellStyle name="40% - 강조색3 46 24" xfId="6011"/>
    <cellStyle name="40% - 강조색3 46 25" xfId="6023"/>
    <cellStyle name="40% - 강조색3 46 26" xfId="9060"/>
    <cellStyle name="40% - 강조색3 46 27" xfId="9592"/>
    <cellStyle name="40% - 강조색3 46 28" xfId="10032"/>
    <cellStyle name="40% - 강조색3 46 29" xfId="10116"/>
    <cellStyle name="40% - 강조색3 46 3" xfId="1236"/>
    <cellStyle name="40% - 강조색3 46 30" xfId="8540"/>
    <cellStyle name="40% - 강조색3 46 31" xfId="4669"/>
    <cellStyle name="40% - 강조색3 46 32" xfId="11239"/>
    <cellStyle name="40% - 강조색3 46 4" xfId="1328"/>
    <cellStyle name="40% - 강조색3 46 5" xfId="1712"/>
    <cellStyle name="40% - 강조색3 46 6" xfId="1896"/>
    <cellStyle name="40% - 강조색3 46 7" xfId="1543"/>
    <cellStyle name="40% - 강조색3 46 8" xfId="1892"/>
    <cellStyle name="40% - 강조색3 46 9" xfId="791"/>
    <cellStyle name="40% - 강조색3 47" xfId="585"/>
    <cellStyle name="40% - 강조색3 47 10" xfId="1607"/>
    <cellStyle name="40% - 강조색3 47 11" xfId="4630"/>
    <cellStyle name="40% - 강조색3 47 12" xfId="5111"/>
    <cellStyle name="40% - 강조색3 47 13" xfId="5008"/>
    <cellStyle name="40% - 강조색3 47 14" xfId="5627"/>
    <cellStyle name="40% - 강조색3 47 15" xfId="5740"/>
    <cellStyle name="40% - 강조색3 47 16" xfId="6003"/>
    <cellStyle name="40% - 강조색3 47 17" xfId="7222"/>
    <cellStyle name="40% - 강조색3 47 18" xfId="7368"/>
    <cellStyle name="40% - 강조색3 47 19" xfId="7583"/>
    <cellStyle name="40% - 강조색3 47 2" xfId="1070"/>
    <cellStyle name="40% - 강조색3 47 20" xfId="4457"/>
    <cellStyle name="40% - 강조색3 47 21" xfId="1430"/>
    <cellStyle name="40% - 강조색3 47 22" xfId="8760"/>
    <cellStyle name="40% - 강조색3 47 23" xfId="9336"/>
    <cellStyle name="40% - 강조색3 47 24" xfId="6869"/>
    <cellStyle name="40% - 강조색3 47 25" xfId="9776"/>
    <cellStyle name="40% - 강조색3 47 26" xfId="10182"/>
    <cellStyle name="40% - 강조색3 47 27" xfId="10662"/>
    <cellStyle name="40% - 강조색3 47 28" xfId="10836"/>
    <cellStyle name="40% - 강조색3 47 29" xfId="11181"/>
    <cellStyle name="40% - 강조색3 47 3" xfId="851"/>
    <cellStyle name="40% - 강조색3 47 30" xfId="11335"/>
    <cellStyle name="40% - 강조색3 47 31" xfId="11398"/>
    <cellStyle name="40% - 강조색3 47 32" xfId="11406"/>
    <cellStyle name="40% - 강조색3 47 33" xfId="11393"/>
    <cellStyle name="40% - 강조색3 47 4" xfId="2350"/>
    <cellStyle name="40% - 강조색3 47 5" xfId="2639"/>
    <cellStyle name="40% - 강조색3 47 6" xfId="2923"/>
    <cellStyle name="40% - 강조색3 47 7" xfId="3304"/>
    <cellStyle name="40% - 강조색3 47 8" xfId="3570"/>
    <cellStyle name="40% - 강조색3 47 9" xfId="1898"/>
    <cellStyle name="40% - 강조색3 48" xfId="1046"/>
    <cellStyle name="40% - 강조색3 48 10" xfId="2847"/>
    <cellStyle name="40% - 강조색3 48 11" xfId="3767"/>
    <cellStyle name="40% - 강조색3 48 12" xfId="5465"/>
    <cellStyle name="40% - 강조색3 48 13" xfId="5777"/>
    <cellStyle name="40% - 강조색3 48 14" xfId="5869"/>
    <cellStyle name="40% - 강조색3 48 15" xfId="5936"/>
    <cellStyle name="40% - 강조색3 48 16" xfId="2719"/>
    <cellStyle name="40% - 강조색3 48 17" xfId="2734"/>
    <cellStyle name="40% - 강조색3 48 18" xfId="7230"/>
    <cellStyle name="40% - 강조색3 48 19" xfId="6067"/>
    <cellStyle name="40% - 강조색3 48 2" xfId="1722"/>
    <cellStyle name="40% - 강조색3 48 20" xfId="960"/>
    <cellStyle name="40% - 강조색3 48 21" xfId="8486"/>
    <cellStyle name="40% - 강조색3 48 22" xfId="8774"/>
    <cellStyle name="40% - 강조색3 48 23" xfId="9308"/>
    <cellStyle name="40% - 강조색3 48 24" xfId="9666"/>
    <cellStyle name="40% - 강조색3 48 25" xfId="4204"/>
    <cellStyle name="40% - 강조색3 48 26" xfId="9722"/>
    <cellStyle name="40% - 강조색3 48 27" xfId="1426"/>
    <cellStyle name="40% - 강조색3 48 28" xfId="9485"/>
    <cellStyle name="40% - 강조색3 48 29" xfId="6266"/>
    <cellStyle name="40% - 강조색3 48 3" xfId="1521"/>
    <cellStyle name="40% - 강조색3 48 4" xfId="686"/>
    <cellStyle name="40% - 강조색3 48 5" xfId="2541"/>
    <cellStyle name="40% - 강조색3 48 6" xfId="2873"/>
    <cellStyle name="40% - 강조색3 48 7" xfId="996"/>
    <cellStyle name="40% - 강조색3 48 8" xfId="3677"/>
    <cellStyle name="40% - 강조색3 48 9" xfId="2267"/>
    <cellStyle name="40% - 강조색3 49" xfId="1030"/>
    <cellStyle name="40% - 강조색3 49 10" xfId="4330"/>
    <cellStyle name="40% - 강조색3 49 11" xfId="4536"/>
    <cellStyle name="40% - 강조색3 49 12" xfId="5286"/>
    <cellStyle name="40% - 강조색3 49 13" xfId="5736"/>
    <cellStyle name="40% - 강조색3 49 14" xfId="2002"/>
    <cellStyle name="40% - 강조색3 49 15" xfId="5504"/>
    <cellStyle name="40% - 강조색3 49 16" xfId="6600"/>
    <cellStyle name="40% - 강조색3 49 17" xfId="6803"/>
    <cellStyle name="40% - 강조색3 49 18" xfId="7049"/>
    <cellStyle name="40% - 강조색3 49 19" xfId="7566"/>
    <cellStyle name="40% - 강조색3 49 2" xfId="1686"/>
    <cellStyle name="40% - 강조색3 49 20" xfId="7970"/>
    <cellStyle name="40% - 강조색3 49 21" xfId="6095"/>
    <cellStyle name="40% - 강조색3 49 22" xfId="8789"/>
    <cellStyle name="40% - 강조색3 49 23" xfId="9296"/>
    <cellStyle name="40% - 강조색3 49 24" xfId="6443"/>
    <cellStyle name="40% - 강조색3 49 25" xfId="4146"/>
    <cellStyle name="40% - 강조색3 49 26" xfId="9064"/>
    <cellStyle name="40% - 강조색3 49 27" xfId="7703"/>
    <cellStyle name="40% - 강조색3 49 28" xfId="10735"/>
    <cellStyle name="40% - 강조색3 49 29" xfId="11087"/>
    <cellStyle name="40% - 강조색3 49 3" xfId="2042"/>
    <cellStyle name="40% - 강조색3 49 4" xfId="2318"/>
    <cellStyle name="40% - 강조색3 49 5" xfId="2674"/>
    <cellStyle name="40% - 강조색3 49 6" xfId="2789"/>
    <cellStyle name="40% - 강조색3 49 7" xfId="1360"/>
    <cellStyle name="40% - 강조색3 49 8" xfId="3573"/>
    <cellStyle name="40% - 강조색3 49 9" xfId="3868"/>
    <cellStyle name="40% - 강조색3 5" xfId="102"/>
    <cellStyle name="40% - 강조색3 50" xfId="1029"/>
    <cellStyle name="40% - 강조색3 50 10" xfId="4354"/>
    <cellStyle name="40% - 강조색3 50 11" xfId="3148"/>
    <cellStyle name="40% - 강조색3 50 12" xfId="4865"/>
    <cellStyle name="40% - 강조색3 50 13" xfId="5544"/>
    <cellStyle name="40% - 강조색3 50 14" xfId="5491"/>
    <cellStyle name="40% - 강조색3 50 15" xfId="5354"/>
    <cellStyle name="40% - 강조색3 50 16" xfId="6372"/>
    <cellStyle name="40% - 강조색3 50 17" xfId="7013"/>
    <cellStyle name="40% - 강조색3 50 18" xfId="4823"/>
    <cellStyle name="40% - 강조색3 50 19" xfId="3196"/>
    <cellStyle name="40% - 강조색3 50 2" xfId="1685"/>
    <cellStyle name="40% - 강조색3 50 20" xfId="7547"/>
    <cellStyle name="40% - 강조색3 50 21" xfId="8432"/>
    <cellStyle name="40% - 강조색3 50 22" xfId="3492"/>
    <cellStyle name="40% - 강조색3 50 23" xfId="9084"/>
    <cellStyle name="40% - 강조색3 50 24" xfId="4256"/>
    <cellStyle name="40% - 강조색3 50 25" xfId="9834"/>
    <cellStyle name="40% - 강조색3 50 26" xfId="2678"/>
    <cellStyle name="40% - 강조색3 50 27" xfId="8463"/>
    <cellStyle name="40% - 강조색3 50 28" xfId="10829"/>
    <cellStyle name="40% - 강조색3 50 29" xfId="11235"/>
    <cellStyle name="40% - 강조색3 50 3" xfId="2068"/>
    <cellStyle name="40% - 강조색3 50 4" xfId="1486"/>
    <cellStyle name="40% - 강조색3 50 5" xfId="2594"/>
    <cellStyle name="40% - 강조색3 50 6" xfId="2888"/>
    <cellStyle name="40% - 강조색3 50 7" xfId="2128"/>
    <cellStyle name="40% - 강조색3 50 8" xfId="3584"/>
    <cellStyle name="40% - 강조색3 50 9" xfId="2765"/>
    <cellStyle name="40% - 강조색3 51" xfId="1026"/>
    <cellStyle name="40% - 강조색3 51 10" xfId="4308"/>
    <cellStyle name="40% - 강조색3 51 11" xfId="4230"/>
    <cellStyle name="40% - 강조색3 51 12" xfId="4810"/>
    <cellStyle name="40% - 강조색3 51 13" xfId="5069"/>
    <cellStyle name="40% - 강조색3 51 14" xfId="5693"/>
    <cellStyle name="40% - 강조색3 51 15" xfId="5234"/>
    <cellStyle name="40% - 강조색3 51 16" xfId="6497"/>
    <cellStyle name="40% - 강조색3 51 17" xfId="6546"/>
    <cellStyle name="40% - 강조색3 51 18" xfId="6069"/>
    <cellStyle name="40% - 강조색3 51 19" xfId="7487"/>
    <cellStyle name="40% - 강조색3 51 2" xfId="1681"/>
    <cellStyle name="40% - 강조색3 51 20" xfId="7948"/>
    <cellStyle name="40% - 강조색3 51 21" xfId="3918"/>
    <cellStyle name="40% - 강조색3 51 22" xfId="7917"/>
    <cellStyle name="40% - 강조색3 51 23" xfId="8400"/>
    <cellStyle name="40% - 강조색3 51 24" xfId="9714"/>
    <cellStyle name="40% - 강조색3 51 25" xfId="9979"/>
    <cellStyle name="40% - 강조색3 51 26" xfId="2815"/>
    <cellStyle name="40% - 강조색3 51 27" xfId="10656"/>
    <cellStyle name="40% - 강조색3 51 28" xfId="10502"/>
    <cellStyle name="40% - 강조색3 51 29" xfId="11107"/>
    <cellStyle name="40% - 강조색3 51 3" xfId="2015"/>
    <cellStyle name="40% - 강조색3 51 4" xfId="2213"/>
    <cellStyle name="40% - 강조색3 51 5" xfId="2470"/>
    <cellStyle name="40% - 강조색3 51 6" xfId="2935"/>
    <cellStyle name="40% - 강조색3 51 7" xfId="3326"/>
    <cellStyle name="40% - 강조색3 51 8" xfId="3568"/>
    <cellStyle name="40% - 강조색3 51 9" xfId="774"/>
    <cellStyle name="40% - 강조색3 52" xfId="1020"/>
    <cellStyle name="40% - 강조색3 52 10" xfId="4180"/>
    <cellStyle name="40% - 강조색3 52 11" xfId="4123"/>
    <cellStyle name="40% - 강조색3 52 12" xfId="4662"/>
    <cellStyle name="40% - 강조색3 52 13" xfId="5765"/>
    <cellStyle name="40% - 강조색3 52 14" xfId="5863"/>
    <cellStyle name="40% - 강조색3 52 15" xfId="5933"/>
    <cellStyle name="40% - 강조색3 52 16" xfId="6584"/>
    <cellStyle name="40% - 강조색3 52 17" xfId="6071"/>
    <cellStyle name="40% - 강조색3 52 18" xfId="7301"/>
    <cellStyle name="40% - 강조색3 52 19" xfId="6365"/>
    <cellStyle name="40% - 강조색3 52 2" xfId="1671"/>
    <cellStyle name="40% - 강조색3 52 20" xfId="8182"/>
    <cellStyle name="40% - 강조색3 52 21" xfId="8497"/>
    <cellStyle name="40% - 강조색3 52 22" xfId="8323"/>
    <cellStyle name="40% - 강조색3 52 23" xfId="9324"/>
    <cellStyle name="40% - 강조색3 52 24" xfId="9612"/>
    <cellStyle name="40% - 강조색3 52 25" xfId="10017"/>
    <cellStyle name="40% - 강조색3 52 26" xfId="6082"/>
    <cellStyle name="40% - 강조색3 52 27" xfId="10318"/>
    <cellStyle name="40% - 강조색3 52 28" xfId="9342"/>
    <cellStyle name="40% - 강조색3 52 29" xfId="11273"/>
    <cellStyle name="40% - 강조색3 52 3" xfId="1842"/>
    <cellStyle name="40% - 강조색3 52 4" xfId="2289"/>
    <cellStyle name="40% - 강조색3 52 5" xfId="2659"/>
    <cellStyle name="40% - 강조색3 52 6" xfId="2950"/>
    <cellStyle name="40% - 강조색3 52 7" xfId="3257"/>
    <cellStyle name="40% - 강조색3 52 8" xfId="3586"/>
    <cellStyle name="40% - 강조색3 52 9" xfId="1535"/>
    <cellStyle name="40% - 강조색3 53" xfId="1085"/>
    <cellStyle name="40% - 강조색3 53 10" xfId="4316"/>
    <cellStyle name="40% - 강조색3 53 11" xfId="4451"/>
    <cellStyle name="40% - 강조색3 53 12" xfId="4880"/>
    <cellStyle name="40% - 강조색3 53 13" xfId="4780"/>
    <cellStyle name="40% - 강조색3 53 14" xfId="2240"/>
    <cellStyle name="40% - 강조색3 53 15" xfId="5752"/>
    <cellStyle name="40% - 강조색3 53 16" xfId="4550"/>
    <cellStyle name="40% - 강조색3 53 17" xfId="7065"/>
    <cellStyle name="40% - 강조색3 53 18" xfId="7087"/>
    <cellStyle name="40% - 강조색3 53 19" xfId="6061"/>
    <cellStyle name="40% - 강조색3 53 2" xfId="1791"/>
    <cellStyle name="40% - 강조색3 53 20" xfId="8019"/>
    <cellStyle name="40% - 강조색3 53 21" xfId="8620"/>
    <cellStyle name="40% - 강조색3 53 22" xfId="8976"/>
    <cellStyle name="40% - 강조색3 53 23" xfId="9312"/>
    <cellStyle name="40% - 강조색3 53 24" xfId="9515"/>
    <cellStyle name="40% - 강조색3 53 25" xfId="7398"/>
    <cellStyle name="40% - 강조색3 53 26" xfId="5383"/>
    <cellStyle name="40% - 강조색3 53 27" xfId="10632"/>
    <cellStyle name="40% - 강조색3 53 28" xfId="4313"/>
    <cellStyle name="40% - 강조색3 53 29" xfId="4822"/>
    <cellStyle name="40% - 강조색3 53 3" xfId="2016"/>
    <cellStyle name="40% - 강조색3 53 4" xfId="1917"/>
    <cellStyle name="40% - 강조색3 53 5" xfId="2463"/>
    <cellStyle name="40% - 강조색3 53 6" xfId="2835"/>
    <cellStyle name="40% - 강조색3 53 7" xfId="744"/>
    <cellStyle name="40% - 강조색3 53 8" xfId="3578"/>
    <cellStyle name="40% - 강조색3 53 9" xfId="3948"/>
    <cellStyle name="40% - 강조색3 54" xfId="755"/>
    <cellStyle name="40% - 강조색3 54 10" xfId="4498"/>
    <cellStyle name="40% - 강조색3 54 11" xfId="4722"/>
    <cellStyle name="40% - 강조색3 54 12" xfId="5509"/>
    <cellStyle name="40% - 강조색3 54 13" xfId="3110"/>
    <cellStyle name="40% - 강조색3 54 14" xfId="2094"/>
    <cellStyle name="40% - 강조색3 54 15" xfId="6394"/>
    <cellStyle name="40% - 강조색3 54 16" xfId="777"/>
    <cellStyle name="40% - 강조색3 54 17" xfId="7004"/>
    <cellStyle name="40% - 강조색3 54 18" xfId="7390"/>
    <cellStyle name="40% - 강조색3 54 19" xfId="8230"/>
    <cellStyle name="40% - 강조색3 54 2" xfId="1643"/>
    <cellStyle name="40% - 강조색3 54 20" xfId="8439"/>
    <cellStyle name="40% - 강조색3 54 21" xfId="6210"/>
    <cellStyle name="40% - 강조색3 54 22" xfId="9356"/>
    <cellStyle name="40% - 강조색3 54 23" xfId="9683"/>
    <cellStyle name="40% - 강조색3 54 24" xfId="7535"/>
    <cellStyle name="40% - 강조색3 54 25" xfId="7734"/>
    <cellStyle name="40% - 강조색3 54 26" xfId="6092"/>
    <cellStyle name="40% - 강조색3 54 27" xfId="10418"/>
    <cellStyle name="40% - 강조색3 54 28" xfId="11104"/>
    <cellStyle name="40% - 강조색3 54 3" xfId="2357"/>
    <cellStyle name="40% - 강조색3 54 4" xfId="2178"/>
    <cellStyle name="40% - 강조색3 54 5" xfId="2989"/>
    <cellStyle name="40% - 강조색3 54 6" xfId="3295"/>
    <cellStyle name="40% - 강조색3 54 7" xfId="3558"/>
    <cellStyle name="40% - 강조색3 54 8" xfId="3910"/>
    <cellStyle name="40% - 강조색3 54 9" xfId="4107"/>
    <cellStyle name="40% - 강조색3 55" xfId="2051"/>
    <cellStyle name="40% - 강조색3 55 10" xfId="5476"/>
    <cellStyle name="40% - 강조색3 55 11" xfId="5732"/>
    <cellStyle name="40% - 강조색3 55 12" xfId="5487"/>
    <cellStyle name="40% - 강조색3 55 13" xfId="5629"/>
    <cellStyle name="40% - 강조색3 55 14" xfId="6197"/>
    <cellStyle name="40% - 강조색3 55 15" xfId="7070"/>
    <cellStyle name="40% - 강조색3 55 16" xfId="7128"/>
    <cellStyle name="40% - 강조색3 55 17" xfId="7738"/>
    <cellStyle name="40% - 강조색3 55 18" xfId="2590"/>
    <cellStyle name="40% - 강조색3 55 19" xfId="8578"/>
    <cellStyle name="40% - 강조색3 55 2" xfId="2377"/>
    <cellStyle name="40% - 강조색3 55 20" xfId="6790"/>
    <cellStyle name="40% - 강조색3 55 21" xfId="9159"/>
    <cellStyle name="40% - 강조색3 55 22" xfId="3180"/>
    <cellStyle name="40% - 강조색3 55 23" xfId="9832"/>
    <cellStyle name="40% - 강조색3 55 24" xfId="10158"/>
    <cellStyle name="40% - 강조색3 55 25" xfId="9261"/>
    <cellStyle name="40% - 강조색3 55 26" xfId="6848"/>
    <cellStyle name="40% - 강조색3 55 27" xfId="11027"/>
    <cellStyle name="40% - 강조색3 55 3" xfId="2696"/>
    <cellStyle name="40% - 강조색3 55 4" xfId="3011"/>
    <cellStyle name="40% - 강조색3 55 5" xfId="3312"/>
    <cellStyle name="40% - 강조색3 55 6" xfId="3528"/>
    <cellStyle name="40% - 강조색3 55 7" xfId="2943"/>
    <cellStyle name="40% - 강조색3 55 8" xfId="4331"/>
    <cellStyle name="40% - 강조색3 55 9" xfId="4589"/>
    <cellStyle name="40% - 강조색3 56" xfId="2358"/>
    <cellStyle name="40% - 강조색3 56 10" xfId="5557"/>
    <cellStyle name="40% - 강조색3 56 11" xfId="5665"/>
    <cellStyle name="40% - 강조색3 56 12" xfId="3902"/>
    <cellStyle name="40% - 강조색3 56 13" xfId="6261"/>
    <cellStyle name="40% - 강조색3 56 14" xfId="6103"/>
    <cellStyle name="40% - 강조색3 56 15" xfId="6755"/>
    <cellStyle name="40% - 강조색3 56 16" xfId="7793"/>
    <cellStyle name="40% - 강조색3 56 17" xfId="6262"/>
    <cellStyle name="40% - 강조색3 56 18" xfId="7951"/>
    <cellStyle name="40% - 강조색3 56 19" xfId="8808"/>
    <cellStyle name="40% - 강조색3 56 2" xfId="2712"/>
    <cellStyle name="40% - 강조색3 56 20" xfId="3441"/>
    <cellStyle name="40% - 강조색3 56 21" xfId="4440"/>
    <cellStyle name="40% - 강조색3 56 22" xfId="7939"/>
    <cellStyle name="40% - 강조색3 56 23" xfId="8380"/>
    <cellStyle name="40% - 강조색3 56 24" xfId="8766"/>
    <cellStyle name="40% - 강조색3 56 25" xfId="8920"/>
    <cellStyle name="40% - 강조색3 56 26" xfId="10144"/>
    <cellStyle name="40% - 강조색3 56 3" xfId="3027"/>
    <cellStyle name="40% - 강조색3 56 4" xfId="3360"/>
    <cellStyle name="40% - 강조색3 56 5" xfId="3655"/>
    <cellStyle name="40% - 강조색3 56 6" xfId="3838"/>
    <cellStyle name="40% - 강조색3 56 7" xfId="2557"/>
    <cellStyle name="40% - 강조색3 56 8" xfId="4678"/>
    <cellStyle name="40% - 강조색3 56 9" xfId="5600"/>
    <cellStyle name="40% - 강조색3 57" xfId="1969"/>
    <cellStyle name="40% - 강조색3 57 10" xfId="5470"/>
    <cellStyle name="40% - 강조색3 57 11" xfId="5330"/>
    <cellStyle name="40% - 강조색3 57 12" xfId="6527"/>
    <cellStyle name="40% - 강조색3 57 13" xfId="6828"/>
    <cellStyle name="40% - 강조색3 57 14" xfId="6060"/>
    <cellStyle name="40% - 강조색3 57 15" xfId="7570"/>
    <cellStyle name="40% - 강조색3 57 16" xfId="4084"/>
    <cellStyle name="40% - 강조색3 57 17" xfId="1862"/>
    <cellStyle name="40% - 강조색3 57 18" xfId="8885"/>
    <cellStyle name="40% - 강조색3 57 19" xfId="6127"/>
    <cellStyle name="40% - 강조색3 57 2" xfId="3006"/>
    <cellStyle name="40% - 강조색3 57 20" xfId="9569"/>
    <cellStyle name="40% - 강조색3 57 21" xfId="10046"/>
    <cellStyle name="40% - 강조색3 57 22" xfId="6846"/>
    <cellStyle name="40% - 강조색3 57 23" xfId="10462"/>
    <cellStyle name="40% - 강조색3 57 24" xfId="10773"/>
    <cellStyle name="40% - 강조색3 57 25" xfId="11249"/>
    <cellStyle name="40% - 강조색3 57 3" xfId="2872"/>
    <cellStyle name="40% - 강조색3 57 4" xfId="2879"/>
    <cellStyle name="40% - 강조색3 57 5" xfId="2400"/>
    <cellStyle name="40% - 강조색3 57 6" xfId="3164"/>
    <cellStyle name="40% - 강조색3 57 7" xfId="4150"/>
    <cellStyle name="40% - 강조색3 57 8" xfId="2857"/>
    <cellStyle name="40% - 강조색3 57 9" xfId="5607"/>
    <cellStyle name="40% - 강조색3 58" xfId="2926"/>
    <cellStyle name="40% - 강조색3 58 10" xfId="5945"/>
    <cellStyle name="40% - 강조색3 58 11" xfId="6382"/>
    <cellStyle name="40% - 강조색3 58 12" xfId="3242"/>
    <cellStyle name="40% - 강조색3 58 13" xfId="7321"/>
    <cellStyle name="40% - 강조색3 58 14" xfId="7424"/>
    <cellStyle name="40% - 강조색3 58 15" xfId="6001"/>
    <cellStyle name="40% - 강조색3 58 16" xfId="6038"/>
    <cellStyle name="40% - 강조색3 58 17" xfId="8694"/>
    <cellStyle name="40% - 강조색3 58 18" xfId="7438"/>
    <cellStyle name="40% - 강조색3 58 19" xfId="6870"/>
    <cellStyle name="40% - 강조색3 58 2" xfId="3373"/>
    <cellStyle name="40% - 강조색3 58 20" xfId="9961"/>
    <cellStyle name="40% - 강조색3 58 21" xfId="10236"/>
    <cellStyle name="40% - 강조색3 58 22" xfId="10694"/>
    <cellStyle name="40% - 강조색3 58 23" xfId="1542"/>
    <cellStyle name="40% - 강조색3 58 24" xfId="11214"/>
    <cellStyle name="40% - 강조색3 58 3" xfId="3706"/>
    <cellStyle name="40% - 강조색3 58 4" xfId="4044"/>
    <cellStyle name="40% - 강조색3 58 5" xfId="4138"/>
    <cellStyle name="40% - 강조색3 58 6" xfId="2856"/>
    <cellStyle name="40% - 강조색3 58 7" xfId="912"/>
    <cellStyle name="40% - 강조색3 58 8" xfId="5794"/>
    <cellStyle name="40% - 강조색3 58 9" xfId="5882"/>
    <cellStyle name="40% - 강조색3 59" xfId="3261"/>
    <cellStyle name="40% - 강조색3 59 10" xfId="6620"/>
    <cellStyle name="40% - 강조색3 59 11" xfId="7243"/>
    <cellStyle name="40% - 강조색3 59 12" xfId="4129"/>
    <cellStyle name="40% - 강조색3 59 13" xfId="7767"/>
    <cellStyle name="40% - 강조색3 59 14" xfId="7933"/>
    <cellStyle name="40% - 강조색3 59 15" xfId="8589"/>
    <cellStyle name="40% - 강조색3 59 16" xfId="8921"/>
    <cellStyle name="40% - 강조색3 59 17" xfId="9276"/>
    <cellStyle name="40% - 강조색3 59 18" xfId="4298"/>
    <cellStyle name="40% - 강조색3 59 19" xfId="9965"/>
    <cellStyle name="40% - 강조색3 59 2" xfId="3718"/>
    <cellStyle name="40% - 강조색3 59 20" xfId="4423"/>
    <cellStyle name="40% - 강조색3 59 21" xfId="10672"/>
    <cellStyle name="40% - 강조색3 59 22" xfId="7929"/>
    <cellStyle name="40% - 강조색3 59 23" xfId="10810"/>
    <cellStyle name="40% - 강조색3 59 3" xfId="4057"/>
    <cellStyle name="40% - 강조색3 59 4" xfId="4393"/>
    <cellStyle name="40% - 강조색3 59 5" xfId="4523"/>
    <cellStyle name="40% - 강조색3 59 6" xfId="5127"/>
    <cellStyle name="40% - 강조색3 59 7" xfId="5113"/>
    <cellStyle name="40% - 강조색3 59 8" xfId="4885"/>
    <cellStyle name="40% - 강조색3 59 9" xfId="5332"/>
    <cellStyle name="40% - 강조색3 6" xfId="115"/>
    <cellStyle name="40% - 강조색3 60" xfId="3640"/>
    <cellStyle name="40% - 강조색3 60 10" xfId="6949"/>
    <cellStyle name="40% - 강조색3 60 11" xfId="7239"/>
    <cellStyle name="40% - 강조색3 60 12" xfId="7819"/>
    <cellStyle name="40% - 강조색3 60 13" xfId="8125"/>
    <cellStyle name="40% - 강조색3 60 14" xfId="7739"/>
    <cellStyle name="40% - 강조색3 60 15" xfId="7498"/>
    <cellStyle name="40% - 강조색3 60 16" xfId="9137"/>
    <cellStyle name="40% - 강조색3 60 17" xfId="9681"/>
    <cellStyle name="40% - 강조색3 60 18" xfId="6435"/>
    <cellStyle name="40% - 강조색3 60 19" xfId="9903"/>
    <cellStyle name="40% - 강조색3 60 2" xfId="4067"/>
    <cellStyle name="40% - 강조색3 60 20" xfId="10661"/>
    <cellStyle name="40% - 강조색3 60 21" xfId="8786"/>
    <cellStyle name="40% - 강조색3 60 22" xfId="11198"/>
    <cellStyle name="40% - 강조색3 60 3" xfId="4403"/>
    <cellStyle name="40% - 강조색3 60 4" xfId="4756"/>
    <cellStyle name="40% - 강조색3 60 5" xfId="5182"/>
    <cellStyle name="40% - 강조색3 60 6" xfId="3386"/>
    <cellStyle name="40% - 강조색3 60 7" xfId="5534"/>
    <cellStyle name="40% - 강조색3 60 8" xfId="5793"/>
    <cellStyle name="40% - 강조색3 60 9" xfId="6286"/>
    <cellStyle name="40% - 강조색3 61" xfId="3991"/>
    <cellStyle name="40% - 강조색3 61 10" xfId="5434"/>
    <cellStyle name="40% - 강조색3 61 11" xfId="7796"/>
    <cellStyle name="40% - 강조색3 61 12" xfId="8189"/>
    <cellStyle name="40% - 강조색3 61 13" xfId="8530"/>
    <cellStyle name="40% - 강조색3 61 14" xfId="8683"/>
    <cellStyle name="40% - 강조색3 61 15" xfId="9381"/>
    <cellStyle name="40% - 강조색3 61 16" xfId="9615"/>
    <cellStyle name="40% - 강조색3 61 17" xfId="10006"/>
    <cellStyle name="40% - 강조색3 61 18" xfId="10106"/>
    <cellStyle name="40% - 강조색3 61 19" xfId="10668"/>
    <cellStyle name="40% - 강조색3 61 2" xfId="4412"/>
    <cellStyle name="40% - 강조색3 61 20" xfId="10883"/>
    <cellStyle name="40% - 강조색3 61 21" xfId="10527"/>
    <cellStyle name="40% - 강조색3 61 3" xfId="4766"/>
    <cellStyle name="40% - 강조색3 61 4" xfId="5685"/>
    <cellStyle name="40% - 강조색3 61 5" xfId="5725"/>
    <cellStyle name="40% - 강조색3 61 6" xfId="5672"/>
    <cellStyle name="40% - 강조색3 61 7" xfId="5443"/>
    <cellStyle name="40% - 강조색3 61 8" xfId="6624"/>
    <cellStyle name="40% - 강조색3 61 9" xfId="3141"/>
    <cellStyle name="40% - 강조색3 62" xfId="3859"/>
    <cellStyle name="40% - 강조색3 62 10" xfId="4954"/>
    <cellStyle name="40% - 강조색3 62 11" xfId="8171"/>
    <cellStyle name="40% - 강조색3 62 12" xfId="8451"/>
    <cellStyle name="40% - 강조색3 62 13" xfId="9000"/>
    <cellStyle name="40% - 강조색3 62 14" xfId="6902"/>
    <cellStyle name="40% - 강조색3 62 15" xfId="9696"/>
    <cellStyle name="40% - 강조색3 62 16" xfId="9902"/>
    <cellStyle name="40% - 강조색3 62 17" xfId="10273"/>
    <cellStyle name="40% - 강조색3 62 18" xfId="7920"/>
    <cellStyle name="40% - 강조색3 62 19" xfId="10819"/>
    <cellStyle name="40% - 강조색3 62 2" xfId="4763"/>
    <cellStyle name="40% - 강조색3 62 20" xfId="9827"/>
    <cellStyle name="40% - 강조색3 62 3" xfId="5659"/>
    <cellStyle name="40% - 강조색3 62 4" xfId="2729"/>
    <cellStyle name="40% - 강조색3 62 5" xfId="5205"/>
    <cellStyle name="40% - 강조색3 62 6" xfId="2551"/>
    <cellStyle name="40% - 강조색3 62 7" xfId="6606"/>
    <cellStyle name="40% - 강조색3 62 8" xfId="6895"/>
    <cellStyle name="40% - 강조색3 62 9" xfId="7294"/>
    <cellStyle name="40% - 강조색3 63" xfId="4699"/>
    <cellStyle name="40% - 강조색3 63 10" xfId="7973"/>
    <cellStyle name="40% - 강조색3 63 11" xfId="8566"/>
    <cellStyle name="40% - 강조색3 63 12" xfId="6139"/>
    <cellStyle name="40% - 강조색3 63 13" xfId="5315"/>
    <cellStyle name="40% - 강조색3 63 14" xfId="9453"/>
    <cellStyle name="40% - 강조색3 63 15" xfId="6184"/>
    <cellStyle name="40% - 강조색3 63 16" xfId="9949"/>
    <cellStyle name="40% - 강조색3 63 17" xfId="10510"/>
    <cellStyle name="40% - 강조색3 63 18" xfId="1994"/>
    <cellStyle name="40% - 강조색3 63 19" xfId="11177"/>
    <cellStyle name="40% - 강조색3 63 2" xfId="5822"/>
    <cellStyle name="40% - 강조색3 63 3" xfId="5901"/>
    <cellStyle name="40% - 강조색3 63 4" xfId="5959"/>
    <cellStyle name="40% - 강조색3 63 5" xfId="5985"/>
    <cellStyle name="40% - 강조색3 63 6" xfId="6645"/>
    <cellStyle name="40% - 강조색3 63 7" xfId="7115"/>
    <cellStyle name="40% - 강조색3 63 8" xfId="7152"/>
    <cellStyle name="40% - 강조색3 63 9" xfId="7630"/>
    <cellStyle name="40% - 강조색3 64" xfId="5512"/>
    <cellStyle name="40% - 강조색3 64 10" xfId="9677"/>
    <cellStyle name="40% - 강조색3 64 11" xfId="7564"/>
    <cellStyle name="40% - 강조색3 64 12" xfId="6954"/>
    <cellStyle name="40% - 강조색3 64 13" xfId="7784"/>
    <cellStyle name="40% - 강조색3 64 14" xfId="9943"/>
    <cellStyle name="40% - 강조색3 64 15" xfId="10948"/>
    <cellStyle name="40% - 강조색3 64 2" xfId="6674"/>
    <cellStyle name="40% - 강조색3 64 3" xfId="1971"/>
    <cellStyle name="40% - 강조색3 64 4" xfId="6871"/>
    <cellStyle name="40% - 강조색3 64 5" xfId="7730"/>
    <cellStyle name="40% - 강조색3 64 6" xfId="5253"/>
    <cellStyle name="40% - 강조색3 64 7" xfId="8501"/>
    <cellStyle name="40% - 강조색3 64 8" xfId="3736"/>
    <cellStyle name="40% - 강조색3 64 9" xfId="8348"/>
    <cellStyle name="40% - 강조색3 65" xfId="5451"/>
    <cellStyle name="40% - 강조색3 65 10" xfId="8919"/>
    <cellStyle name="40% - 강조색3 65 11" xfId="9991"/>
    <cellStyle name="40% - 강조색3 65 12" xfId="8367"/>
    <cellStyle name="40% - 강조색3 65 13" xfId="8327"/>
    <cellStyle name="40% - 강조색3 65 14" xfId="10879"/>
    <cellStyle name="40% - 강조색3 65 15" xfId="9315"/>
    <cellStyle name="40% - 강조색3 65 2" xfId="6670"/>
    <cellStyle name="40% - 강조색3 65 3" xfId="6702"/>
    <cellStyle name="40% - 강조색3 65 4" xfId="6993"/>
    <cellStyle name="40% - 강조색3 65 5" xfId="7770"/>
    <cellStyle name="40% - 강조색3 65 6" xfId="7416"/>
    <cellStyle name="40% - 강조색3 65 7" xfId="8622"/>
    <cellStyle name="40% - 강조색3 65 8" xfId="8957"/>
    <cellStyle name="40% - 강조색3 65 9" xfId="7615"/>
    <cellStyle name="40% - 강조색3 66" xfId="5681"/>
    <cellStyle name="40% - 강조색3 66 10" xfId="8429"/>
    <cellStyle name="40% - 강조색3 66 11" xfId="10010"/>
    <cellStyle name="40% - 강조색3 66 12" xfId="10240"/>
    <cellStyle name="40% - 강조색3 66 13" xfId="10528"/>
    <cellStyle name="40% - 강조색3 66 14" xfId="10918"/>
    <cellStyle name="40% - 강조색3 66 15" xfId="695"/>
    <cellStyle name="40% - 강조색3 66 2" xfId="6685"/>
    <cellStyle name="40% - 강조색3 66 3" xfId="7302"/>
    <cellStyle name="40% - 강조색3 66 4" xfId="6981"/>
    <cellStyle name="40% - 강조색3 66 5" xfId="7582"/>
    <cellStyle name="40% - 강조색3 66 6" xfId="3483"/>
    <cellStyle name="40% - 강조색3 66 7" xfId="7502"/>
    <cellStyle name="40% - 강조색3 66 8" xfId="8916"/>
    <cellStyle name="40% - 강조색3 66 9" xfId="9269"/>
    <cellStyle name="40% - 강조색3 67" xfId="5485"/>
    <cellStyle name="40% - 강조색3 67 10" xfId="8421"/>
    <cellStyle name="40% - 강조색3 67 11" xfId="9769"/>
    <cellStyle name="40% - 강조색3 67 12" xfId="10213"/>
    <cellStyle name="40% - 강조색3 67 13" xfId="10594"/>
    <cellStyle name="40% - 강조색3 67 14" xfId="10788"/>
    <cellStyle name="40% - 강조색3 67 15" xfId="11110"/>
    <cellStyle name="40% - 강조색3 67 2" xfId="6672"/>
    <cellStyle name="40% - 강조색3 67 3" xfId="6775"/>
    <cellStyle name="40% - 강조색3 67 4" xfId="4894"/>
    <cellStyle name="40% - 강조색3 67 5" xfId="7836"/>
    <cellStyle name="40% - 강조색3 67 6" xfId="8074"/>
    <cellStyle name="40% - 강조색3 67 7" xfId="8587"/>
    <cellStyle name="40% - 강조색3 67 8" xfId="8979"/>
    <cellStyle name="40% - 강조색3 67 9" xfId="840"/>
    <cellStyle name="40% - 강조색3 68" xfId="923"/>
    <cellStyle name="40% - 강조색3 68 10" xfId="9849"/>
    <cellStyle name="40% - 강조색3 68 11" xfId="3588"/>
    <cellStyle name="40% - 강조색3 68 12" xfId="10512"/>
    <cellStyle name="40% - 강조색3 68 13" xfId="8747"/>
    <cellStyle name="40% - 강조색3 68 14" xfId="11119"/>
    <cellStyle name="40% - 강조색3 68 2" xfId="7207"/>
    <cellStyle name="40% - 강조색3 68 3" xfId="3793"/>
    <cellStyle name="40% - 강조색3 68 4" xfId="7598"/>
    <cellStyle name="40% - 강조색3 68 5" xfId="7783"/>
    <cellStyle name="40% - 강조색3 68 6" xfId="8467"/>
    <cellStyle name="40% - 강조색3 68 7" xfId="8831"/>
    <cellStyle name="40% - 강조색3 68 8" xfId="6963"/>
    <cellStyle name="40% - 강조색3 68 9" xfId="7821"/>
    <cellStyle name="40% - 강조색3 69" xfId="7142"/>
    <cellStyle name="40% - 강조색3 69 10" xfId="6926"/>
    <cellStyle name="40% - 강조색3 69 11" xfId="10853"/>
    <cellStyle name="40% - 강조색3 69 12" xfId="11083"/>
    <cellStyle name="40% - 강조색3 69 2" xfId="7884"/>
    <cellStyle name="40% - 강조색3 69 3" xfId="8278"/>
    <cellStyle name="40% - 강조색3 69 4" xfId="8640"/>
    <cellStyle name="40% - 강조색3 69 5" xfId="8902"/>
    <cellStyle name="40% - 강조색3 69 6" xfId="2768"/>
    <cellStyle name="40% - 강조색3 69 7" xfId="6772"/>
    <cellStyle name="40% - 강조색3 69 8" xfId="10024"/>
    <cellStyle name="40% - 강조색3 69 9" xfId="10339"/>
    <cellStyle name="40% - 강조색3 7" xfId="128"/>
    <cellStyle name="40% - 강조색3 70" xfId="7330"/>
    <cellStyle name="40% - 강조색3 70 10" xfId="6008"/>
    <cellStyle name="40% - 강조색3 70 11" xfId="10943"/>
    <cellStyle name="40% - 강조색3 70 12" xfId="9167"/>
    <cellStyle name="40% - 강조색3 70 2" xfId="7895"/>
    <cellStyle name="40% - 강조색3 70 3" xfId="8289"/>
    <cellStyle name="40% - 강조색3 70 4" xfId="8651"/>
    <cellStyle name="40% - 강조색3 70 5" xfId="8908"/>
    <cellStyle name="40% - 강조색3 70 6" xfId="7742"/>
    <cellStyle name="40% - 강조색3 70 7" xfId="6802"/>
    <cellStyle name="40% - 강조색3 70 8" xfId="9800"/>
    <cellStyle name="40% - 강조색3 70 9" xfId="9481"/>
    <cellStyle name="40% - 강조색3 71" xfId="7825"/>
    <cellStyle name="40% - 강조색3 71 10" xfId="9890"/>
    <cellStyle name="40% - 강조색3 71 11" xfId="11213"/>
    <cellStyle name="40% - 강조색3 71 2" xfId="8300"/>
    <cellStyle name="40% - 강조색3 71 3" xfId="8662"/>
    <cellStyle name="40% - 강조색3 71 4" xfId="9026"/>
    <cellStyle name="40% - 강조색3 71 5" xfId="9384"/>
    <cellStyle name="40% - 강조색3 71 6" xfId="8813"/>
    <cellStyle name="40% - 강조색3 71 7" xfId="10048"/>
    <cellStyle name="40% - 강조색3 71 8" xfId="6131"/>
    <cellStyle name="40% - 강조색3 71 9" xfId="10534"/>
    <cellStyle name="40% - 강조색3 72" xfId="8250"/>
    <cellStyle name="40% - 강조색3 72 10" xfId="8515"/>
    <cellStyle name="40% - 강조색3 72 2" xfId="8673"/>
    <cellStyle name="40% - 강조색3 72 3" xfId="9037"/>
    <cellStyle name="40% - 강조색3 72 4" xfId="9396"/>
    <cellStyle name="40% - 강조색3 72 5" xfId="9728"/>
    <cellStyle name="40% - 강조색3 72 6" xfId="9419"/>
    <cellStyle name="40% - 강조색3 72 7" xfId="10261"/>
    <cellStyle name="40% - 강조색3 72 8" xfId="10686"/>
    <cellStyle name="40% - 강조색3 72 9" xfId="3420"/>
    <cellStyle name="40% - 강조색3 73" xfId="8608"/>
    <cellStyle name="40% - 강조색3 73 2" xfId="9043"/>
    <cellStyle name="40% - 강조색3 73 3" xfId="9402"/>
    <cellStyle name="40% - 강조색3 73 4" xfId="9734"/>
    <cellStyle name="40% - 강조색3 73 5" xfId="10060"/>
    <cellStyle name="40% - 강조색3 73 6" xfId="1986"/>
    <cellStyle name="40% - 강조색3 73 7" xfId="9056"/>
    <cellStyle name="40% - 강조색3 73 8" xfId="9955"/>
    <cellStyle name="40% - 강조색3 73 9" xfId="11034"/>
    <cellStyle name="40% - 강조색3 74" xfId="8998"/>
    <cellStyle name="40% - 강조색3 74 2" xfId="9413"/>
    <cellStyle name="40% - 강조색3 74 3" xfId="9745"/>
    <cellStyle name="40% - 강조색3 74 4" xfId="10071"/>
    <cellStyle name="40% - 강조색3 74 5" xfId="10384"/>
    <cellStyle name="40% - 강조색3 74 6" xfId="10681"/>
    <cellStyle name="40% - 강조색3 74 7" xfId="10923"/>
    <cellStyle name="40% - 강조색3 74 8" xfId="9942"/>
    <cellStyle name="40% - 강조색3 75" xfId="9351"/>
    <cellStyle name="40% - 강조색3 75 2" xfId="9754"/>
    <cellStyle name="40% - 강조색3 75 3" xfId="10080"/>
    <cellStyle name="40% - 강조색3 75 4" xfId="10393"/>
    <cellStyle name="40% - 강조색3 75 5" xfId="10702"/>
    <cellStyle name="40% - 강조색3 75 6" xfId="9457"/>
    <cellStyle name="40% - 강조색3 75 7" xfId="8757"/>
    <cellStyle name="40% - 강조색3 76" xfId="6035"/>
    <cellStyle name="40% - 강조색3 76 2" xfId="9875"/>
    <cellStyle name="40% - 강조색3 76 3" xfId="8055"/>
    <cellStyle name="40% - 강조색3 76 4" xfId="6093"/>
    <cellStyle name="40% - 강조색3 76 5" xfId="10843"/>
    <cellStyle name="40% - 강조색3 76 6" xfId="11161"/>
    <cellStyle name="40% - 강조색3 77" xfId="9798"/>
    <cellStyle name="40% - 강조색3 77 2" xfId="10405"/>
    <cellStyle name="40% - 강조색3 77 3" xfId="10715"/>
    <cellStyle name="40% - 강조색3 77 4" xfId="10999"/>
    <cellStyle name="40% - 강조색3 77 5" xfId="6726"/>
    <cellStyle name="40% - 강조색3 78" xfId="10363"/>
    <cellStyle name="40% - 강조색3 78 2" xfId="10729"/>
    <cellStyle name="40% - 강조색3 78 3" xfId="11013"/>
    <cellStyle name="40% - 강조색3 78 4" xfId="11290"/>
    <cellStyle name="40% - 강조색3 79" xfId="10669"/>
    <cellStyle name="40% - 강조색3 79 2" xfId="11021"/>
    <cellStyle name="40% - 강조색3 79 3" xfId="11299"/>
    <cellStyle name="40% - 강조색3 8" xfId="141"/>
    <cellStyle name="40% - 강조색3 80" xfId="10963"/>
    <cellStyle name="40% - 강조색3 80 2" xfId="11307"/>
    <cellStyle name="40% - 강조색3 81" xfId="11253"/>
    <cellStyle name="40% - 강조색3 82" xfId="1037"/>
    <cellStyle name="40% - 강조색3 83" xfId="11410"/>
    <cellStyle name="40% - 강조색3 84" xfId="11365"/>
    <cellStyle name="40% - 강조색3 85" xfId="11377"/>
    <cellStyle name="40% - 강조색3 86" xfId="11443"/>
    <cellStyle name="40% - 강조색3 9" xfId="154"/>
    <cellStyle name="40% - 강조색4" xfId="34" builtinId="43" customBuiltin="1"/>
    <cellStyle name="40% - 강조색4 10" xfId="182"/>
    <cellStyle name="40% - 강조색4 11" xfId="195"/>
    <cellStyle name="40% - 강조색4 12" xfId="208"/>
    <cellStyle name="40% - 강조색4 13" xfId="221"/>
    <cellStyle name="40% - 강조색4 14" xfId="234"/>
    <cellStyle name="40% - 강조색4 15" xfId="247"/>
    <cellStyle name="40% - 강조색4 16" xfId="260"/>
    <cellStyle name="40% - 강조색4 17" xfId="273"/>
    <cellStyle name="40% - 강조색4 18" xfId="286"/>
    <cellStyle name="40% - 강조색4 19" xfId="299"/>
    <cellStyle name="40% - 강조색4 2" xfId="53"/>
    <cellStyle name="40% - 강조색4 20" xfId="312"/>
    <cellStyle name="40% - 강조색4 21" xfId="325"/>
    <cellStyle name="40% - 강조색4 22" xfId="338"/>
    <cellStyle name="40% - 강조색4 23" xfId="351"/>
    <cellStyle name="40% - 강조색4 24" xfId="364"/>
    <cellStyle name="40% - 강조색4 25" xfId="377"/>
    <cellStyle name="40% - 강조색4 26" xfId="390"/>
    <cellStyle name="40% - 강조색4 27" xfId="403"/>
    <cellStyle name="40% - 강조색4 28" xfId="416"/>
    <cellStyle name="40% - 강조색4 29" xfId="429"/>
    <cellStyle name="40% - 강조색4 3" xfId="81"/>
    <cellStyle name="40% - 강조색4 30" xfId="442"/>
    <cellStyle name="40% - 강조색4 31" xfId="454"/>
    <cellStyle name="40% - 강조색4 32" xfId="466"/>
    <cellStyle name="40% - 강조색4 33" xfId="478"/>
    <cellStyle name="40% - 강조색4 34" xfId="490"/>
    <cellStyle name="40% - 강조색4 35" xfId="501"/>
    <cellStyle name="40% - 강조색4 36" xfId="512"/>
    <cellStyle name="40% - 강조색4 37" xfId="523"/>
    <cellStyle name="40% - 강조색4 38" xfId="532"/>
    <cellStyle name="40% - 강조색4 39" xfId="538"/>
    <cellStyle name="40% - 강조색4 4" xfId="104"/>
    <cellStyle name="40% - 강조색4 40" xfId="552"/>
    <cellStyle name="40% - 강조색4 40 10" xfId="2629"/>
    <cellStyle name="40% - 강조색4 40 11" xfId="3555"/>
    <cellStyle name="40% - 강조색4 40 12" xfId="4008"/>
    <cellStyle name="40% - 강조색4 40 13" xfId="1540"/>
    <cellStyle name="40% - 강조색4 40 14" xfId="3785"/>
    <cellStyle name="40% - 강조색4 40 15" xfId="4908"/>
    <cellStyle name="40% - 강조색4 40 16" xfId="3818"/>
    <cellStyle name="40% - 강조색4 40 17" xfId="5475"/>
    <cellStyle name="40% - 강조색4 40 18" xfId="4955"/>
    <cellStyle name="40% - 강조색4 40 19" xfId="3408"/>
    <cellStyle name="40% - 강조색4 40 2" xfId="600"/>
    <cellStyle name="40% - 강조색4 40 20" xfId="3382"/>
    <cellStyle name="40% - 강조색4 40 21" xfId="7367"/>
    <cellStyle name="40% - 강조색4 40 22" xfId="7610"/>
    <cellStyle name="40% - 강조색4 40 23" xfId="3167"/>
    <cellStyle name="40% - 강조색4 40 24" xfId="8359"/>
    <cellStyle name="40% - 강조색4 40 25" xfId="8745"/>
    <cellStyle name="40% - 강조색4 40 26" xfId="6991"/>
    <cellStyle name="40% - 강조색4 40 27" xfId="9503"/>
    <cellStyle name="40% - 강조색4 40 28" xfId="8850"/>
    <cellStyle name="40% - 강조색4 40 29" xfId="7740"/>
    <cellStyle name="40% - 강조색4 40 3" xfId="1011"/>
    <cellStyle name="40% - 강조색4 40 30" xfId="6062"/>
    <cellStyle name="40% - 강조색4 40 31" xfId="10967"/>
    <cellStyle name="40% - 강조색4 40 32" xfId="3754"/>
    <cellStyle name="40% - 강조색4 40 33" xfId="11322"/>
    <cellStyle name="40% - 강조색4 40 34" xfId="568"/>
    <cellStyle name="40% - 강조색4 40 35" xfId="11428"/>
    <cellStyle name="40% - 강조색4 40 36" xfId="11384"/>
    <cellStyle name="40% - 강조색4 40 4" xfId="1275"/>
    <cellStyle name="40% - 강조색4 40 5" xfId="1662"/>
    <cellStyle name="40% - 강조색4 40 6" xfId="908"/>
    <cellStyle name="40% - 강조색4 40 7" xfId="2360"/>
    <cellStyle name="40% - 강조색4 40 8" xfId="2647"/>
    <cellStyle name="40% - 강조색4 40 9" xfId="2914"/>
    <cellStyle name="40% - 강조색4 41" xfId="649"/>
    <cellStyle name="40% - 강조색4 41 10" xfId="1510"/>
    <cellStyle name="40% - 강조색4 41 11" xfId="3611"/>
    <cellStyle name="40% - 강조색4 41 12" xfId="4021"/>
    <cellStyle name="40% - 강조색4 41 13" xfId="3389"/>
    <cellStyle name="40% - 강조색4 41 14" xfId="4687"/>
    <cellStyle name="40% - 강조색4 41 15" xfId="5483"/>
    <cellStyle name="40% - 강조색4 41 16" xfId="2792"/>
    <cellStyle name="40% - 강조색4 41 17" xfId="5171"/>
    <cellStyle name="40% - 강조색4 41 18" xfId="5381"/>
    <cellStyle name="40% - 강조색4 41 19" xfId="6493"/>
    <cellStyle name="40% - 강조색4 41 2" xfId="1152"/>
    <cellStyle name="40% - 강조색4 41 20" xfId="2390"/>
    <cellStyle name="40% - 강조색4 41 21" xfId="6990"/>
    <cellStyle name="40% - 강조색4 41 22" xfId="7475"/>
    <cellStyle name="40% - 강조색4 41 23" xfId="7705"/>
    <cellStyle name="40% - 강조색4 41 24" xfId="8310"/>
    <cellStyle name="40% - 강조색4 41 25" xfId="8928"/>
    <cellStyle name="40% - 강조색4 41 26" xfId="9287"/>
    <cellStyle name="40% - 강조색4 41 27" xfId="3843"/>
    <cellStyle name="40% - 강조색4 41 28" xfId="3622"/>
    <cellStyle name="40% - 강조색4 41 29" xfId="7425"/>
    <cellStyle name="40% - 강조색4 41 3" xfId="1232"/>
    <cellStyle name="40% - 강조색4 41 30" xfId="7996"/>
    <cellStyle name="40% - 강조색4 41 31" xfId="10743"/>
    <cellStyle name="40% - 강조색4 41 32" xfId="9806"/>
    <cellStyle name="40% - 강조색4 41 4" xfId="1324"/>
    <cellStyle name="40% - 강조색4 41 5" xfId="1763"/>
    <cellStyle name="40% - 강조색4 41 6" xfId="847"/>
    <cellStyle name="40% - 강조색4 41 7" xfId="751"/>
    <cellStyle name="40% - 강조색4 41 8" xfId="2605"/>
    <cellStyle name="40% - 강조색4 41 9" xfId="2877"/>
    <cellStyle name="40% - 강조색4 42" xfId="666"/>
    <cellStyle name="40% - 강조색4 42 10" xfId="3209"/>
    <cellStyle name="40% - 강조색4 42 11" xfId="3650"/>
    <cellStyle name="40% - 강조색4 42 12" xfId="2114"/>
    <cellStyle name="40% - 강조색4 42 13" xfId="2520"/>
    <cellStyle name="40% - 강조색4 42 14" xfId="4455"/>
    <cellStyle name="40% - 강조색4 42 15" xfId="5038"/>
    <cellStyle name="40% - 강조색4 42 16" xfId="5741"/>
    <cellStyle name="40% - 강조색4 42 17" xfId="5844"/>
    <cellStyle name="40% - 강조색4 42 18" xfId="5919"/>
    <cellStyle name="40% - 강조색4 42 19" xfId="6285"/>
    <cellStyle name="40% - 강조색4 42 2" xfId="1169"/>
    <cellStyle name="40% - 강조색4 42 20" xfId="6279"/>
    <cellStyle name="40% - 강조색4 42 21" xfId="7305"/>
    <cellStyle name="40% - 강조색4 42 22" xfId="957"/>
    <cellStyle name="40% - 강조색4 42 23" xfId="2490"/>
    <cellStyle name="40% - 강조색4 42 24" xfId="6281"/>
    <cellStyle name="40% - 강조색4 42 25" xfId="5626"/>
    <cellStyle name="40% - 강조색4 42 26" xfId="9144"/>
    <cellStyle name="40% - 강조색4 42 27" xfId="9717"/>
    <cellStyle name="40% - 강조색4 42 28" xfId="6186"/>
    <cellStyle name="40% - 강조색4 42 29" xfId="10247"/>
    <cellStyle name="40% - 강조색4 42 3" xfId="1249"/>
    <cellStyle name="40% - 강조색4 42 30" xfId="10590"/>
    <cellStyle name="40% - 강조색4 42 31" xfId="10901"/>
    <cellStyle name="40% - 강조색4 42 32" xfId="11170"/>
    <cellStyle name="40% - 강조색4 42 4" xfId="1341"/>
    <cellStyle name="40% - 강조색4 42 5" xfId="1723"/>
    <cellStyle name="40% - 강조색4 42 6" xfId="1529"/>
    <cellStyle name="40% - 강조색4 42 7" xfId="838"/>
    <cellStyle name="40% - 강조색4 42 8" xfId="2596"/>
    <cellStyle name="40% - 강조색4 42 9" xfId="2886"/>
    <cellStyle name="40% - 강조색4 43" xfId="647"/>
    <cellStyle name="40% - 강조색4 43 10" xfId="1487"/>
    <cellStyle name="40% - 강조색4 43 11" xfId="3669"/>
    <cellStyle name="40% - 강조색4 43 12" xfId="3937"/>
    <cellStyle name="40% - 강조색4 43 13" xfId="3107"/>
    <cellStyle name="40% - 강조색4 43 14" xfId="4647"/>
    <cellStyle name="40% - 강조색4 43 15" xfId="5611"/>
    <cellStyle name="40% - 강조색4 43 16" xfId="5786"/>
    <cellStyle name="40% - 강조색4 43 17" xfId="5876"/>
    <cellStyle name="40% - 강조색4 43 18" xfId="5941"/>
    <cellStyle name="40% - 강조색4 43 19" xfId="6433"/>
    <cellStyle name="40% - 강조색4 43 2" xfId="1150"/>
    <cellStyle name="40% - 강조색4 43 20" xfId="1588"/>
    <cellStyle name="40% - 강조색4 43 21" xfId="3396"/>
    <cellStyle name="40% - 강조색4 43 22" xfId="4634"/>
    <cellStyle name="40% - 강조색4 43 23" xfId="8170"/>
    <cellStyle name="40% - 강조색4 43 24" xfId="6436"/>
    <cellStyle name="40% - 강조색4 43 25" xfId="8952"/>
    <cellStyle name="40% - 강조색4 43 26" xfId="9158"/>
    <cellStyle name="40% - 강조색4 43 27" xfId="5406"/>
    <cellStyle name="40% - 강조색4 43 28" xfId="7925"/>
    <cellStyle name="40% - 강조색4 43 29" xfId="5049"/>
    <cellStyle name="40% - 강조색4 43 3" xfId="1230"/>
    <cellStyle name="40% - 강조색4 43 30" xfId="7578"/>
    <cellStyle name="40% - 강조색4 43 31" xfId="6349"/>
    <cellStyle name="40% - 강조색4 43 32" xfId="11076"/>
    <cellStyle name="40% - 강조색4 43 4" xfId="1322"/>
    <cellStyle name="40% - 강조색4 43 5" xfId="1691"/>
    <cellStyle name="40% - 강조색4 43 6" xfId="2056"/>
    <cellStyle name="40% - 강조색4 43 7" xfId="2298"/>
    <cellStyle name="40% - 강조색4 43 8" xfId="2619"/>
    <cellStyle name="40% - 강조색4 43 9" xfId="2896"/>
    <cellStyle name="40% - 강조색4 44" xfId="628"/>
    <cellStyle name="40% - 강조색4 44 10" xfId="3194"/>
    <cellStyle name="40% - 강조색4 44 11" xfId="2421"/>
    <cellStyle name="40% - 강조색4 44 12" xfId="3856"/>
    <cellStyle name="40% - 강조색4 44 13" xfId="4086"/>
    <cellStyle name="40% - 강조색4 44 14" xfId="4416"/>
    <cellStyle name="40% - 강조색4 44 15" xfId="1992"/>
    <cellStyle name="40% - 강조색4 44 16" xfId="4952"/>
    <cellStyle name="40% - 강조색4 44 17" xfId="5774"/>
    <cellStyle name="40% - 강조색4 44 18" xfId="5868"/>
    <cellStyle name="40% - 강조색4 44 19" xfId="6347"/>
    <cellStyle name="40% - 강조색4 44 2" xfId="1131"/>
    <cellStyle name="40% - 강조색4 44 20" xfId="3724"/>
    <cellStyle name="40% - 강조색4 44 21" xfId="6202"/>
    <cellStyle name="40% - 강조색4 44 22" xfId="7595"/>
    <cellStyle name="40% - 강조색4 44 23" xfId="6032"/>
    <cellStyle name="40% - 강조색4 44 24" xfId="8394"/>
    <cellStyle name="40% - 강조색4 44 25" xfId="4927"/>
    <cellStyle name="40% - 강조색4 44 26" xfId="8316"/>
    <cellStyle name="40% - 강조색4 44 27" xfId="7811"/>
    <cellStyle name="40% - 강조색4 44 28" xfId="9918"/>
    <cellStyle name="40% - 강조색4 44 29" xfId="9078"/>
    <cellStyle name="40% - 강조색4 44 3" xfId="1211"/>
    <cellStyle name="40% - 강조색4 44 30" xfId="10588"/>
    <cellStyle name="40% - 강조색4 44 31" xfId="1600"/>
    <cellStyle name="40% - 강조색4 44 32" xfId="11183"/>
    <cellStyle name="40% - 강조색4 44 4" xfId="1303"/>
    <cellStyle name="40% - 강조색4 44 5" xfId="1715"/>
    <cellStyle name="40% - 강조색4 44 6" xfId="1550"/>
    <cellStyle name="40% - 강조색4 44 7" xfId="2262"/>
    <cellStyle name="40% - 강조색4 44 8" xfId="2565"/>
    <cellStyle name="40% - 강조색4 44 9" xfId="2449"/>
    <cellStyle name="40% - 강조색4 45" xfId="676"/>
    <cellStyle name="40% - 강조색4 45 10" xfId="3331"/>
    <cellStyle name="40% - 강조색4 45 11" xfId="3494"/>
    <cellStyle name="40% - 강조색4 45 12" xfId="3038"/>
    <cellStyle name="40% - 강조색4 45 13" xfId="4153"/>
    <cellStyle name="40% - 강조색4 45 14" xfId="788"/>
    <cellStyle name="40% - 강조색4 45 15" xfId="5418"/>
    <cellStyle name="40% - 강조색4 45 16" xfId="5136"/>
    <cellStyle name="40% - 강조색4 45 17" xfId="5728"/>
    <cellStyle name="40% - 강조색4 45 18" xfId="4809"/>
    <cellStyle name="40% - 강조색4 45 19" xfId="6399"/>
    <cellStyle name="40% - 강조색4 45 2" xfId="1179"/>
    <cellStyle name="40% - 강조색4 45 20" xfId="7113"/>
    <cellStyle name="40% - 강조색4 45 21" xfId="6997"/>
    <cellStyle name="40% - 강조색4 45 22" xfId="7657"/>
    <cellStyle name="40% - 강조색4 45 23" xfId="8257"/>
    <cellStyle name="40% - 강조색4 45 24" xfId="5518"/>
    <cellStyle name="40% - 강조색4 45 25" xfId="5209"/>
    <cellStyle name="40% - 강조색4 45 26" xfId="9361"/>
    <cellStyle name="40% - 강조색4 45 27" xfId="9053"/>
    <cellStyle name="40% - 강조색4 45 28" xfId="9508"/>
    <cellStyle name="40% - 강조색4 45 29" xfId="3400"/>
    <cellStyle name="40% - 강조색4 45 3" xfId="1259"/>
    <cellStyle name="40% - 강조색4 45 30" xfId="10679"/>
    <cellStyle name="40% - 강조색4 45 31" xfId="9878"/>
    <cellStyle name="40% - 강조색4 45 32" xfId="6389"/>
    <cellStyle name="40% - 강조색4 45 4" xfId="1351"/>
    <cellStyle name="40% - 강조색4 45 5" xfId="1735"/>
    <cellStyle name="40% - 강조색4 45 6" xfId="2045"/>
    <cellStyle name="40% - 강조색4 45 7" xfId="723"/>
    <cellStyle name="40% - 강조색4 45 8" xfId="2103"/>
    <cellStyle name="40% - 강조색4 45 9" xfId="2825"/>
    <cellStyle name="40% - 강조색4 46" xfId="635"/>
    <cellStyle name="40% - 강조색4 46 10" xfId="3215"/>
    <cellStyle name="40% - 강조색4 46 11" xfId="3449"/>
    <cellStyle name="40% - 강조색4 46 12" xfId="3990"/>
    <cellStyle name="40% - 강조색4 46 13" xfId="4109"/>
    <cellStyle name="40% - 강조색4 46 14" xfId="4619"/>
    <cellStyle name="40% - 강조색4 46 15" xfId="4734"/>
    <cellStyle name="40% - 강조색4 46 16" xfId="5734"/>
    <cellStyle name="40% - 강조색4 46 17" xfId="2892"/>
    <cellStyle name="40% - 강조색4 46 18" xfId="3075"/>
    <cellStyle name="40% - 강조색4 46 19" xfId="6027"/>
    <cellStyle name="40% - 강조색4 46 2" xfId="1138"/>
    <cellStyle name="40% - 강조색4 46 20" xfId="4089"/>
    <cellStyle name="40% - 강조색4 46 21" xfId="4287"/>
    <cellStyle name="40% - 강조색4 46 22" xfId="7464"/>
    <cellStyle name="40% - 강조색4 46 23" xfId="8042"/>
    <cellStyle name="40% - 강조색4 46 24" xfId="3442"/>
    <cellStyle name="40% - 강조색4 46 25" xfId="9016"/>
    <cellStyle name="40% - 강조색4 46 26" xfId="843"/>
    <cellStyle name="40% - 강조색4 46 27" xfId="7732"/>
    <cellStyle name="40% - 강조색4 46 28" xfId="9214"/>
    <cellStyle name="40% - 강조색4 46 29" xfId="9382"/>
    <cellStyle name="40% - 강조색4 46 3" xfId="1218"/>
    <cellStyle name="40% - 강조색4 46 30" xfId="8684"/>
    <cellStyle name="40% - 강조색4 46 31" xfId="10939"/>
    <cellStyle name="40% - 강조색4 46 32" xfId="11108"/>
    <cellStyle name="40% - 강조색4 46 4" xfId="1310"/>
    <cellStyle name="40% - 강조색4 46 5" xfId="1767"/>
    <cellStyle name="40% - 강조색4 46 6" xfId="1522"/>
    <cellStyle name="40% - 강조색4 46 7" xfId="1445"/>
    <cellStyle name="40% - 강조색4 46 8" xfId="2652"/>
    <cellStyle name="40% - 강조색4 46 9" xfId="2951"/>
    <cellStyle name="40% - 강조색4 47" xfId="581"/>
    <cellStyle name="40% - 강조색4 47 10" xfId="4322"/>
    <cellStyle name="40% - 강조색4 47 11" xfId="3796"/>
    <cellStyle name="40% - 강조색4 47 12" xfId="4834"/>
    <cellStyle name="40% - 강조색4 47 13" xfId="3384"/>
    <cellStyle name="40% - 강조색4 47 14" xfId="5222"/>
    <cellStyle name="40% - 강조색4 47 15" xfId="5215"/>
    <cellStyle name="40% - 강조색4 47 16" xfId="6599"/>
    <cellStyle name="40% - 강조색4 47 17" xfId="7182"/>
    <cellStyle name="40% - 강조색4 47 18" xfId="7261"/>
    <cellStyle name="40% - 강조색4 47 19" xfId="3839"/>
    <cellStyle name="40% - 강조색4 47 2" xfId="1035"/>
    <cellStyle name="40% - 강조색4 47 20" xfId="7935"/>
    <cellStyle name="40% - 강조색4 47 21" xfId="8494"/>
    <cellStyle name="40% - 강조색4 47 22" xfId="8929"/>
    <cellStyle name="40% - 강조색4 47 23" xfId="9376"/>
    <cellStyle name="40% - 강조색4 47 24" xfId="9559"/>
    <cellStyle name="40% - 강조색4 47 25" xfId="1402"/>
    <cellStyle name="40% - 강조색4 47 26" xfId="10238"/>
    <cellStyle name="40% - 강조색4 47 27" xfId="10609"/>
    <cellStyle name="40% - 강조색4 47 28" xfId="10958"/>
    <cellStyle name="40% - 강조색4 47 29" xfId="11263"/>
    <cellStyle name="40% - 강조색4 47 3" xfId="1496"/>
    <cellStyle name="40% - 강조색4 47 30" xfId="11328"/>
    <cellStyle name="40% - 강조색4 47 31" xfId="11426"/>
    <cellStyle name="40% - 강조색4 47 32" xfId="11379"/>
    <cellStyle name="40% - 강조색4 47 33" xfId="11342"/>
    <cellStyle name="40% - 강조색4 47 4" xfId="2288"/>
    <cellStyle name="40% - 강조색4 47 5" xfId="2161"/>
    <cellStyle name="40% - 강조색4 47 6" xfId="2819"/>
    <cellStyle name="40% - 강조색4 47 7" xfId="3327"/>
    <cellStyle name="40% - 강조색4 47 8" xfId="3639"/>
    <cellStyle name="40% - 강조색4 47 9" xfId="3982"/>
    <cellStyle name="40% - 강조색4 48" xfId="1077"/>
    <cellStyle name="40% - 강조색4 48 10" xfId="4267"/>
    <cellStyle name="40% - 강조색4 48 11" xfId="4489"/>
    <cellStyle name="40% - 강조색4 48 12" xfId="5272"/>
    <cellStyle name="40% - 강조색4 48 13" xfId="5648"/>
    <cellStyle name="40% - 강조색4 48 14" xfId="5625"/>
    <cellStyle name="40% - 강조색4 48 15" xfId="5644"/>
    <cellStyle name="40% - 강조색4 48 16" xfId="6582"/>
    <cellStyle name="40% - 강조색4 48 17" xfId="6972"/>
    <cellStyle name="40% - 강조색4 48 18" xfId="6728"/>
    <cellStyle name="40% - 강조색4 48 19" xfId="7683"/>
    <cellStyle name="40% - 강조색4 48 2" xfId="1776"/>
    <cellStyle name="40% - 강조색4 48 20" xfId="6751"/>
    <cellStyle name="40% - 강조색4 48 21" xfId="8335"/>
    <cellStyle name="40% - 강조색4 48 22" xfId="8904"/>
    <cellStyle name="40% - 강조색4 48 23" xfId="4545"/>
    <cellStyle name="40% - 강조색4 48 24" xfId="9636"/>
    <cellStyle name="40% - 강조색4 48 25" xfId="9838"/>
    <cellStyle name="40% - 강조색4 48 26" xfId="10172"/>
    <cellStyle name="40% - 강조색4 48 27" xfId="10684"/>
    <cellStyle name="40% - 강조색4 48 28" xfId="8392"/>
    <cellStyle name="40% - 강조색4 48 29" xfId="6097"/>
    <cellStyle name="40% - 강조색4 48 3" xfId="1596"/>
    <cellStyle name="40% - 강조색4 48 4" xfId="994"/>
    <cellStyle name="40% - 강조색4 48 5" xfId="2677"/>
    <cellStyle name="40% - 강조색4 48 6" xfId="2955"/>
    <cellStyle name="40% - 강조색4 48 7" xfId="3078"/>
    <cellStyle name="40% - 강조색4 48 8" xfId="3452"/>
    <cellStyle name="40% - 강조색4 48 9" xfId="1996"/>
    <cellStyle name="40% - 강조색4 49" xfId="1025"/>
    <cellStyle name="40% - 강조색4 49 10" xfId="4388"/>
    <cellStyle name="40% - 강조색4 49 11" xfId="4586"/>
    <cellStyle name="40% - 강조색4 49 12" xfId="5152"/>
    <cellStyle name="40% - 강조색4 49 13" xfId="981"/>
    <cellStyle name="40% - 강조색4 49 14" xfId="1931"/>
    <cellStyle name="40% - 강조색4 49 15" xfId="5275"/>
    <cellStyle name="40% - 강조색4 49 16" xfId="6470"/>
    <cellStyle name="40% - 강조색4 49 17" xfId="7127"/>
    <cellStyle name="40% - 강조색4 49 18" xfId="7359"/>
    <cellStyle name="40% - 강조색4 49 19" xfId="1528"/>
    <cellStyle name="40% - 강조색4 49 2" xfId="1679"/>
    <cellStyle name="40% - 강조색4 49 20" xfId="2544"/>
    <cellStyle name="40% - 강조색4 49 21" xfId="1592"/>
    <cellStyle name="40% - 강조색4 49 22" xfId="6588"/>
    <cellStyle name="40% - 강조색4 49 23" xfId="9238"/>
    <cellStyle name="40% - 강조색4 49 24" xfId="9567"/>
    <cellStyle name="40% - 강조색4 49 25" xfId="6416"/>
    <cellStyle name="40% - 강조색4 49 26" xfId="7482"/>
    <cellStyle name="40% - 강조색4 49 27" xfId="10529"/>
    <cellStyle name="40% - 강조색4 49 28" xfId="10953"/>
    <cellStyle name="40% - 강조색4 49 29" xfId="11193"/>
    <cellStyle name="40% - 강조색4 49 3" xfId="2065"/>
    <cellStyle name="40% - 강조색4 49 4" xfId="2296"/>
    <cellStyle name="40% - 강조색4 49 5" xfId="2482"/>
    <cellStyle name="40% - 강조색4 49 6" xfId="1979"/>
    <cellStyle name="40% - 강조색4 49 7" xfId="3255"/>
    <cellStyle name="40% - 강조색4 49 8" xfId="3298"/>
    <cellStyle name="40% - 강조색4 49 9" xfId="3924"/>
    <cellStyle name="40% - 강조색4 5" xfId="117"/>
    <cellStyle name="40% - 강조색4 50" xfId="1054"/>
    <cellStyle name="40% - 강조색4 50 10" xfId="4195"/>
    <cellStyle name="40% - 강조색4 50 11" xfId="4486"/>
    <cellStyle name="40% - 강조색4 50 12" xfId="5580"/>
    <cellStyle name="40% - 강조색4 50 13" xfId="5814"/>
    <cellStyle name="40% - 강조색4 50 14" xfId="5895"/>
    <cellStyle name="40% - 강조색4 50 15" xfId="5953"/>
    <cellStyle name="40% - 강조색4 50 16" xfId="1944"/>
    <cellStyle name="40% - 강조색4 50 17" xfId="4866"/>
    <cellStyle name="40% - 강조색4 50 18" xfId="7124"/>
    <cellStyle name="40% - 강조색4 50 19" xfId="7561"/>
    <cellStyle name="40% - 강조색4 50 2" xfId="1730"/>
    <cellStyle name="40% - 강조색4 50 20" xfId="8120"/>
    <cellStyle name="40% - 강조색4 50 21" xfId="1852"/>
    <cellStyle name="40% - 강조색4 50 22" xfId="8982"/>
    <cellStyle name="40% - 강조색4 50 23" xfId="9226"/>
    <cellStyle name="40% - 강조색4 50 24" xfId="9599"/>
    <cellStyle name="40% - 강조색4 50 25" xfId="6322"/>
    <cellStyle name="40% - 강조색4 50 26" xfId="9935"/>
    <cellStyle name="40% - 강조색4 50 27" xfId="10627"/>
    <cellStyle name="40% - 강조색4 50 28" xfId="1363"/>
    <cellStyle name="40% - 강조색4 50 29" xfId="11138"/>
    <cellStyle name="40% - 강조색4 50 3" xfId="2047"/>
    <cellStyle name="40% - 강조색4 50 4" xfId="2226"/>
    <cellStyle name="40% - 강조색4 50 5" xfId="2428"/>
    <cellStyle name="40% - 강조색4 50 6" xfId="2822"/>
    <cellStyle name="40% - 강조색4 50 7" xfId="3114"/>
    <cellStyle name="40% - 강조색4 50 8" xfId="3680"/>
    <cellStyle name="40% - 강조색4 50 9" xfId="1427"/>
    <cellStyle name="40% - 강조색4 51" xfId="1081"/>
    <cellStyle name="40% - 강조색4 51 10" xfId="767"/>
    <cellStyle name="40% - 강조색4 51 11" xfId="4527"/>
    <cellStyle name="40% - 강조색4 51 12" xfId="5273"/>
    <cellStyle name="40% - 강조색4 51 13" xfId="3781"/>
    <cellStyle name="40% - 강조색4 51 14" xfId="5798"/>
    <cellStyle name="40% - 강조색4 51 15" xfId="5885"/>
    <cellStyle name="40% - 강조색4 51 16" xfId="6558"/>
    <cellStyle name="40% - 강조색4 51 17" xfId="4098"/>
    <cellStyle name="40% - 강조색4 51 18" xfId="6957"/>
    <cellStyle name="40% - 강조색4 51 19" xfId="7713"/>
    <cellStyle name="40% - 강조색4 51 2" xfId="1782"/>
    <cellStyle name="40% - 강조색4 51 20" xfId="8111"/>
    <cellStyle name="40% - 강조색4 51 21" xfId="7728"/>
    <cellStyle name="40% - 강조색4 51 22" xfId="8913"/>
    <cellStyle name="40% - 강조색4 51 23" xfId="9146"/>
    <cellStyle name="40% - 강조색4 51 24" xfId="8512"/>
    <cellStyle name="40% - 강조색4 51 25" xfId="9524"/>
    <cellStyle name="40% - 강조색4 51 26" xfId="10225"/>
    <cellStyle name="40% - 강조색4 51 27" xfId="7974"/>
    <cellStyle name="40% - 강조색4 51 28" xfId="10589"/>
    <cellStyle name="40% - 강조색4 51 29" xfId="10658"/>
    <cellStyle name="40% - 강조색4 51 3" xfId="685"/>
    <cellStyle name="40% - 강조색4 51 4" xfId="1938"/>
    <cellStyle name="40% - 강조색4 51 5" xfId="2653"/>
    <cellStyle name="40% - 강조색4 51 6" xfId="728"/>
    <cellStyle name="40% - 강조색4 51 7" xfId="3281"/>
    <cellStyle name="40% - 강조색4 51 8" xfId="980"/>
    <cellStyle name="40% - 강조색4 51 9" xfId="3146"/>
    <cellStyle name="40% - 강조색4 52" xfId="1047"/>
    <cellStyle name="40% - 강조색4 52 10" xfId="4163"/>
    <cellStyle name="40% - 강조색4 52 11" xfId="4648"/>
    <cellStyle name="40% - 강조색4 52 12" xfId="5004"/>
    <cellStyle name="40% - 강조색4 52 13" xfId="5670"/>
    <cellStyle name="40% - 강조색4 52 14" xfId="2115"/>
    <cellStyle name="40% - 강조색4 52 15" xfId="5489"/>
    <cellStyle name="40% - 강조색4 52 16" xfId="6601"/>
    <cellStyle name="40% - 강조색4 52 17" xfId="7001"/>
    <cellStyle name="40% - 강조색4 52 18" xfId="6918"/>
    <cellStyle name="40% - 강조색4 52 19" xfId="7530"/>
    <cellStyle name="40% - 강조색4 52 2" xfId="1724"/>
    <cellStyle name="40% - 강조색4 52 20" xfId="6429"/>
    <cellStyle name="40% - 강조색4 52 21" xfId="7472"/>
    <cellStyle name="40% - 강조색4 52 22" xfId="6569"/>
    <cellStyle name="40% - 강조색4 52 23" xfId="7499"/>
    <cellStyle name="40% - 강조색4 52 24" xfId="9701"/>
    <cellStyle name="40% - 강조색4 52 25" xfId="5623"/>
    <cellStyle name="40% - 강조색4 52 26" xfId="2833"/>
    <cellStyle name="40% - 강조색4 52 27" xfId="2517"/>
    <cellStyle name="40% - 강조색4 52 28" xfId="8718"/>
    <cellStyle name="40% - 강조색4 52 29" xfId="6051"/>
    <cellStyle name="40% - 강조색4 52 3" xfId="866"/>
    <cellStyle name="40% - 강조색4 52 4" xfId="2096"/>
    <cellStyle name="40% - 강조색4 52 5" xfId="2429"/>
    <cellStyle name="40% - 강조색4 52 6" xfId="1447"/>
    <cellStyle name="40% - 강조색4 52 7" xfId="3183"/>
    <cellStyle name="40% - 강조색4 52 8" xfId="3625"/>
    <cellStyle name="40% - 강조색4 52 9" xfId="3932"/>
    <cellStyle name="40% - 강조색4 53" xfId="1080"/>
    <cellStyle name="40% - 강조색4 53 10" xfId="4314"/>
    <cellStyle name="40% - 강조색4 53 11" xfId="4462"/>
    <cellStyle name="40% - 강조색4 53 12" xfId="3418"/>
    <cellStyle name="40% - 강조색4 53 13" xfId="4850"/>
    <cellStyle name="40% - 강조색4 53 14" xfId="3826"/>
    <cellStyle name="40% - 강조색4 53 15" xfId="5133"/>
    <cellStyle name="40% - 강조색4 53 16" xfId="6316"/>
    <cellStyle name="40% - 강조색4 53 17" xfId="6065"/>
    <cellStyle name="40% - 강조색4 53 18" xfId="6998"/>
    <cellStyle name="40% - 강조색4 53 19" xfId="7454"/>
    <cellStyle name="40% - 강조색4 53 2" xfId="1781"/>
    <cellStyle name="40% - 강조색4 53 20" xfId="6419"/>
    <cellStyle name="40% - 강조색4 53 21" xfId="8636"/>
    <cellStyle name="40% - 강조색4 53 22" xfId="8710"/>
    <cellStyle name="40% - 강조색4 53 23" xfId="9228"/>
    <cellStyle name="40% - 강조색4 53 24" xfId="9608"/>
    <cellStyle name="40% - 강조색4 53 25" xfId="9788"/>
    <cellStyle name="40% - 강조색4 53 26" xfId="10222"/>
    <cellStyle name="40% - 강조색4 53 27" xfId="9221"/>
    <cellStyle name="40% - 강조색4 53 28" xfId="10891"/>
    <cellStyle name="40% - 강조색4 53 29" xfId="9423"/>
    <cellStyle name="40% - 강조색4 53 3" xfId="830"/>
    <cellStyle name="40% - 강조색4 53 4" xfId="1473"/>
    <cellStyle name="40% - 강조색4 53 5" xfId="2624"/>
    <cellStyle name="40% - 강조색4 53 6" xfId="2972"/>
    <cellStyle name="40% - 강조색4 53 7" xfId="943"/>
    <cellStyle name="40% - 강조색4 53 8" xfId="3385"/>
    <cellStyle name="40% - 강조색4 53 9" xfId="3787"/>
    <cellStyle name="40% - 강조색4 54" xfId="1490"/>
    <cellStyle name="40% - 강조색4 54 10" xfId="4470"/>
    <cellStyle name="40% - 강조색4 54 11" xfId="1604"/>
    <cellStyle name="40% - 강조색4 54 12" xfId="815"/>
    <cellStyle name="40% - 강조색4 54 13" xfId="5574"/>
    <cellStyle name="40% - 강조색4 54 14" xfId="2782"/>
    <cellStyle name="40% - 강조색4 54 15" xfId="6219"/>
    <cellStyle name="40% - 강조색4 54 16" xfId="1822"/>
    <cellStyle name="40% - 강조색4 54 17" xfId="4205"/>
    <cellStyle name="40% - 강조색4 54 18" xfId="7634"/>
    <cellStyle name="40% - 강조색4 54 19" xfId="8259"/>
    <cellStyle name="40% - 강조색4 54 2" xfId="2082"/>
    <cellStyle name="40% - 강조색4 54 20" xfId="759"/>
    <cellStyle name="40% - 강조색4 54 21" xfId="3457"/>
    <cellStyle name="40% - 강조색4 54 22" xfId="9360"/>
    <cellStyle name="40% - 강조색4 54 23" xfId="9566"/>
    <cellStyle name="40% - 강조색4 54 24" xfId="10008"/>
    <cellStyle name="40% - 강조색4 54 25" xfId="6180"/>
    <cellStyle name="40% - 강조색4 54 26" xfId="7488"/>
    <cellStyle name="40% - 강조색4 54 27" xfId="10758"/>
    <cellStyle name="40% - 강조색4 54 28" xfId="11073"/>
    <cellStyle name="40% - 강조색4 54 3" xfId="2364"/>
    <cellStyle name="40% - 강조색4 54 4" xfId="2668"/>
    <cellStyle name="40% - 강조색4 54 5" xfId="1424"/>
    <cellStyle name="40% - 강조색4 54 6" xfId="3188"/>
    <cellStyle name="40% - 강조색4 54 7" xfId="3612"/>
    <cellStyle name="40% - 강조색4 54 8" xfId="3969"/>
    <cellStyle name="40% - 강조색4 54 9" xfId="4229"/>
    <cellStyle name="40% - 강조색4 55" xfId="2010"/>
    <cellStyle name="40% - 강조색4 55 10" xfId="5251"/>
    <cellStyle name="40% - 강조색4 55 11" xfId="3399"/>
    <cellStyle name="40% - 강조색4 55 12" xfId="5437"/>
    <cellStyle name="40% - 강조색4 55 13" xfId="5663"/>
    <cellStyle name="40% - 강조색4 55 14" xfId="2555"/>
    <cellStyle name="40% - 강조색4 55 15" xfId="7039"/>
    <cellStyle name="40% - 강조색4 55 16" xfId="6788"/>
    <cellStyle name="40% - 강조색4 55 17" xfId="7579"/>
    <cellStyle name="40% - 강조색4 55 18" xfId="6000"/>
    <cellStyle name="40% - 강조색4 55 19" xfId="8456"/>
    <cellStyle name="40% - 강조색4 55 2" xfId="2373"/>
    <cellStyle name="40% - 강조색4 55 20" xfId="8860"/>
    <cellStyle name="40% - 강조색4 55 21" xfId="9092"/>
    <cellStyle name="40% - 강조색4 55 22" xfId="9634"/>
    <cellStyle name="40% - 강조색4 55 23" xfId="8769"/>
    <cellStyle name="40% - 강조색4 55 24" xfId="10368"/>
    <cellStyle name="40% - 강조색4 55 25" xfId="9303"/>
    <cellStyle name="40% - 강조색4 55 26" xfId="10951"/>
    <cellStyle name="40% - 강조색4 55 27" xfId="3768"/>
    <cellStyle name="40% - 강조색4 55 3" xfId="2692"/>
    <cellStyle name="40% - 강조색4 55 4" xfId="3007"/>
    <cellStyle name="40% - 강조색4 55 5" xfId="3198"/>
    <cellStyle name="40% - 강조색4 55 6" xfId="3679"/>
    <cellStyle name="40% - 강조색4 55 7" xfId="3730"/>
    <cellStyle name="40% - 강조색4 55 8" xfId="4278"/>
    <cellStyle name="40% - 강조색4 55 9" xfId="4698"/>
    <cellStyle name="40% - 강조색4 56" xfId="2294"/>
    <cellStyle name="40% - 강조색4 56 10" xfId="5616"/>
    <cellStyle name="40% - 강조색4 56 11" xfId="5157"/>
    <cellStyle name="40% - 강조색4 56 12" xfId="4864"/>
    <cellStyle name="40% - 강조색4 56 13" xfId="6340"/>
    <cellStyle name="40% - 강조색4 56 14" xfId="2241"/>
    <cellStyle name="40% - 강조색4 56 15" xfId="2392"/>
    <cellStyle name="40% - 강조색4 56 16" xfId="7802"/>
    <cellStyle name="40% - 강조색4 56 17" xfId="1937"/>
    <cellStyle name="40% - 강조색4 56 18" xfId="8373"/>
    <cellStyle name="40% - 강조색4 56 19" xfId="6302"/>
    <cellStyle name="40% - 강조색4 56 2" xfId="2705"/>
    <cellStyle name="40% - 강조색4 56 20" xfId="9373"/>
    <cellStyle name="40% - 강조색4 56 21" xfId="8811"/>
    <cellStyle name="40% - 강조색4 56 22" xfId="10028"/>
    <cellStyle name="40% - 강조색4 56 23" xfId="5408"/>
    <cellStyle name="40% - 강조색4 56 24" xfId="1988"/>
    <cellStyle name="40% - 강조색4 56 25" xfId="9077"/>
    <cellStyle name="40% - 강조색4 56 26" xfId="11038"/>
    <cellStyle name="40% - 강조색4 56 3" xfId="3020"/>
    <cellStyle name="40% - 강조색4 56 4" xfId="3353"/>
    <cellStyle name="40% - 강조색4 56 5" xfId="3319"/>
    <cellStyle name="40% - 강조색4 56 6" xfId="3955"/>
    <cellStyle name="40% - 강조색4 56 7" xfId="4103"/>
    <cellStyle name="40% - 강조색4 56 8" xfId="4503"/>
    <cellStyle name="40% - 강조색4 56 9" xfId="5586"/>
    <cellStyle name="40% - 강조색4 57" xfId="2586"/>
    <cellStyle name="40% - 강조색4 57 10" xfId="5784"/>
    <cellStyle name="40% - 강조색4 57 11" xfId="5874"/>
    <cellStyle name="40% - 강조색4 57 12" xfId="6308"/>
    <cellStyle name="40% - 강조색4 57 13" xfId="6700"/>
    <cellStyle name="40% - 강조색4 57 14" xfId="6774"/>
    <cellStyle name="40% - 강조색4 57 15" xfId="4660"/>
    <cellStyle name="40% - 강조색4 57 16" xfId="8175"/>
    <cellStyle name="40% - 강조색4 57 17" xfId="8563"/>
    <cellStyle name="40% - 강조색4 57 18" xfId="9002"/>
    <cellStyle name="40% - 강조색4 57 19" xfId="6307"/>
    <cellStyle name="40% - 강조색4 57 2" xfId="3029"/>
    <cellStyle name="40% - 강조색4 57 20" xfId="9589"/>
    <cellStyle name="40% - 강조색4 57 21" xfId="10005"/>
    <cellStyle name="40% - 강조색4 57 22" xfId="8740"/>
    <cellStyle name="40% - 강조색4 57 23" xfId="10552"/>
    <cellStyle name="40% - 강조색4 57 24" xfId="8363"/>
    <cellStyle name="40% - 강조색4 57 25" xfId="10290"/>
    <cellStyle name="40% - 강조색4 57 3" xfId="3362"/>
    <cellStyle name="40% - 강조색4 57 4" xfId="3694"/>
    <cellStyle name="40% - 강조색4 57 5" xfId="3927"/>
    <cellStyle name="40% - 강조색4 57 6" xfId="4273"/>
    <cellStyle name="40% - 강조색4 57 7" xfId="829"/>
    <cellStyle name="40% - 강조색4 57 8" xfId="5550"/>
    <cellStyle name="40% - 강조색4 57 9" xfId="5384"/>
    <cellStyle name="40% - 강조색4 58" xfId="2977"/>
    <cellStyle name="40% - 강조색4 58 10" xfId="4997"/>
    <cellStyle name="40% - 강조색4 58 11" xfId="6487"/>
    <cellStyle name="40% - 강조색4 58 12" xfId="7170"/>
    <cellStyle name="40% - 강조색4 58 13" xfId="7077"/>
    <cellStyle name="40% - 강조색4 58 14" xfId="7851"/>
    <cellStyle name="40% - 강조색4 58 15" xfId="8046"/>
    <cellStyle name="40% - 강조색4 58 16" xfId="3090"/>
    <cellStyle name="40% - 강조색4 58 17" xfId="8685"/>
    <cellStyle name="40% - 강조색4 58 18" xfId="8128"/>
    <cellStyle name="40% - 강조색4 58 19" xfId="9606"/>
    <cellStyle name="40% - 강조색4 58 2" xfId="3376"/>
    <cellStyle name="40% - 강조색4 58 20" xfId="10034"/>
    <cellStyle name="40% - 강조색4 58 21" xfId="7922"/>
    <cellStyle name="40% - 강조색4 58 22" xfId="10691"/>
    <cellStyle name="40% - 강조색4 58 23" xfId="7476"/>
    <cellStyle name="40% - 강조색4 58 24" xfId="11092"/>
    <cellStyle name="40% - 강조색4 58 3" xfId="3709"/>
    <cellStyle name="40% - 강조색4 58 4" xfId="4047"/>
    <cellStyle name="40% - 강조색4 58 5" xfId="2458"/>
    <cellStyle name="40% - 강조색4 58 6" xfId="4686"/>
    <cellStyle name="40% - 강조색4 58 7" xfId="5012"/>
    <cellStyle name="40% - 강조색4 58 8" xfId="5197"/>
    <cellStyle name="40% - 강조색4 58 9" xfId="5731"/>
    <cellStyle name="40% - 강조색4 59" xfId="3177"/>
    <cellStyle name="40% - 강조색4 59 10" xfId="6472"/>
    <cellStyle name="40% - 강조색4 59 11" xfId="6798"/>
    <cellStyle name="40% - 강조색4 59 12" xfId="5126"/>
    <cellStyle name="40% - 강조색4 59 13" xfId="3116"/>
    <cellStyle name="40% - 강조색4 59 14" xfId="8050"/>
    <cellStyle name="40% - 강조색4 59 15" xfId="1478"/>
    <cellStyle name="40% - 강조색4 59 16" xfId="8006"/>
    <cellStyle name="40% - 강조색4 59 17" xfId="7536"/>
    <cellStyle name="40% - 강조색4 59 18" xfId="9138"/>
    <cellStyle name="40% - 강조색4 59 19" xfId="10002"/>
    <cellStyle name="40% - 강조색4 59 2" xfId="3717"/>
    <cellStyle name="40% - 강조색4 59 20" xfId="9486"/>
    <cellStyle name="40% - 강조색4 59 21" xfId="10419"/>
    <cellStyle name="40% - 강조색4 59 22" xfId="4876"/>
    <cellStyle name="40% - 강조색4 59 23" xfId="11085"/>
    <cellStyle name="40% - 강조색4 59 3" xfId="4056"/>
    <cellStyle name="40% - 강조색4 59 4" xfId="4392"/>
    <cellStyle name="40% - 강조색4 59 5" xfId="4704"/>
    <cellStyle name="40% - 강조색4 59 6" xfId="3313"/>
    <cellStyle name="40% - 강조색4 59 7" xfId="5742"/>
    <cellStyle name="40% - 강조색4 59 8" xfId="5845"/>
    <cellStyle name="40% - 강조색4 59 9" xfId="5920"/>
    <cellStyle name="40% - 강조색4 6" xfId="130"/>
    <cellStyle name="40% - 강조색4 60" xfId="1624"/>
    <cellStyle name="40% - 강조색4 60 10" xfId="7271"/>
    <cellStyle name="40% - 강조색4 60 11" xfId="7326"/>
    <cellStyle name="40% - 강조색4 60 12" xfId="5110"/>
    <cellStyle name="40% - 강조색4 60 13" xfId="6492"/>
    <cellStyle name="40% - 강조색4 60 14" xfId="7408"/>
    <cellStyle name="40% - 강조색4 60 15" xfId="7495"/>
    <cellStyle name="40% - 강조색4 60 16" xfId="9341"/>
    <cellStyle name="40% - 강조색4 60 17" xfId="4382"/>
    <cellStyle name="40% - 강조색4 60 18" xfId="3744"/>
    <cellStyle name="40% - 강조색4 60 19" xfId="10275"/>
    <cellStyle name="40% - 강조색4 60 2" xfId="3968"/>
    <cellStyle name="40% - 강조색4 60 20" xfId="737"/>
    <cellStyle name="40% - 강조색4 60 21" xfId="10762"/>
    <cellStyle name="40% - 강조색4 60 22" xfId="2858"/>
    <cellStyle name="40% - 강조색4 60 3" xfId="4243"/>
    <cellStyle name="40% - 강조색4 60 4" xfId="4663"/>
    <cellStyle name="40% - 강조색4 60 5" xfId="5471"/>
    <cellStyle name="40% - 강조색4 60 6" xfId="5826"/>
    <cellStyle name="40% - 강조색4 60 7" xfId="5904"/>
    <cellStyle name="40% - 강조색4 60 8" xfId="5962"/>
    <cellStyle name="40% - 강조색4 60 9" xfId="6539"/>
    <cellStyle name="40% - 강조색4 61" xfId="3849"/>
    <cellStyle name="40% - 강조색4 61 10" xfId="3722"/>
    <cellStyle name="40% - 강조색4 61 11" xfId="7607"/>
    <cellStyle name="40% - 강조색4 61 12" xfId="715"/>
    <cellStyle name="40% - 강조색4 61 13" xfId="8485"/>
    <cellStyle name="40% - 강조색4 61 14" xfId="9018"/>
    <cellStyle name="40% - 강조색4 61 15" xfId="4499"/>
    <cellStyle name="40% - 강조색4 61 16" xfId="9590"/>
    <cellStyle name="40% - 강조색4 61 17" xfId="2151"/>
    <cellStyle name="40% - 강조색4 61 18" xfId="7145"/>
    <cellStyle name="40% - 강조색4 61 19" xfId="9980"/>
    <cellStyle name="40% - 강조색4 61 2" xfId="4408"/>
    <cellStyle name="40% - 강조색4 61 20" xfId="10871"/>
    <cellStyle name="40% - 강조색4 61 21" xfId="6431"/>
    <cellStyle name="40% - 강조색4 61 3" xfId="4761"/>
    <cellStyle name="40% - 강조색4 61 4" xfId="5655"/>
    <cellStyle name="40% - 강조색4 61 5" xfId="4185"/>
    <cellStyle name="40% - 강조색4 61 6" xfId="5551"/>
    <cellStyle name="40% - 강조색4 61 7" xfId="5775"/>
    <cellStyle name="40% - 강조색4 61 8" xfId="2383"/>
    <cellStyle name="40% - 강조색4 61 9" xfId="7180"/>
    <cellStyle name="40% - 강조색4 62" xfId="4271"/>
    <cellStyle name="40% - 강조색4 62 10" xfId="7781"/>
    <cellStyle name="40% - 강조색4 62 11" xfId="1935"/>
    <cellStyle name="40% - 강조색4 62 12" xfId="8506"/>
    <cellStyle name="40% - 강조색4 62 13" xfId="6427"/>
    <cellStyle name="40% - 강조색4 62 14" xfId="867"/>
    <cellStyle name="40% - 강조색4 62 15" xfId="8616"/>
    <cellStyle name="40% - 강조색4 62 16" xfId="9905"/>
    <cellStyle name="40% - 강조색4 62 17" xfId="2737"/>
    <cellStyle name="40% - 강조색4 62 18" xfId="10211"/>
    <cellStyle name="40% - 강조색4 62 19" xfId="10790"/>
    <cellStyle name="40% - 강조색4 62 2" xfId="4772"/>
    <cellStyle name="40% - 강조색4 62 20" xfId="9141"/>
    <cellStyle name="40% - 강조색4 62 3" xfId="5735"/>
    <cellStyle name="40% - 강조색4 62 4" xfId="5161"/>
    <cellStyle name="40% - 강조색4 62 5" xfId="5170"/>
    <cellStyle name="40% - 강조색4 62 6" xfId="5068"/>
    <cellStyle name="40% - 강조색4 62 7" xfId="6630"/>
    <cellStyle name="40% - 강조색4 62 8" xfId="7214"/>
    <cellStyle name="40% - 강조색4 62 9" xfId="7160"/>
    <cellStyle name="40% - 강조색4 63" xfId="4435"/>
    <cellStyle name="40% - 강조색4 63 10" xfId="8052"/>
    <cellStyle name="40% - 강조색4 63 11" xfId="8577"/>
    <cellStyle name="40% - 강조색4 63 12" xfId="9006"/>
    <cellStyle name="40% - 강조색4 63 13" xfId="9229"/>
    <cellStyle name="40% - 강조색4 63 14" xfId="3501"/>
    <cellStyle name="40% - 강조색4 63 15" xfId="9801"/>
    <cellStyle name="40% - 강조색4 63 16" xfId="10371"/>
    <cellStyle name="40% - 강조색4 63 17" xfId="10503"/>
    <cellStyle name="40% - 강조색4 63 18" xfId="10804"/>
    <cellStyle name="40% - 강조색4 63 19" xfId="10741"/>
    <cellStyle name="40% - 강조색4 63 2" xfId="5773"/>
    <cellStyle name="40% - 강조색4 63 3" xfId="5867"/>
    <cellStyle name="40% - 강조색4 63 4" xfId="5935"/>
    <cellStyle name="40% - 강조색4 63 5" xfId="5979"/>
    <cellStyle name="40% - 강조색4 63 6" xfId="6638"/>
    <cellStyle name="40% - 강조색4 63 7" xfId="1960"/>
    <cellStyle name="40% - 강조색4 63 8" xfId="3158"/>
    <cellStyle name="40% - 강조색4 63 9" xfId="7720"/>
    <cellStyle name="40% - 강조색4 64" xfId="5173"/>
    <cellStyle name="40% - 강조색4 64 10" xfId="8480"/>
    <cellStyle name="40% - 강조색4 64 11" xfId="6823"/>
    <cellStyle name="40% - 강조색4 64 12" xfId="10344"/>
    <cellStyle name="40% - 강조색4 64 13" xfId="9822"/>
    <cellStyle name="40% - 강조색4 64 14" xfId="10775"/>
    <cellStyle name="40% - 강조색4 64 15" xfId="11079"/>
    <cellStyle name="40% - 강조색4 64 2" xfId="6662"/>
    <cellStyle name="40% - 강조색4 64 3" xfId="7079"/>
    <cellStyle name="40% - 강조색4 64 4" xfId="709"/>
    <cellStyle name="40% - 강조색4 64 5" xfId="7022"/>
    <cellStyle name="40% - 강조색4 64 6" xfId="8034"/>
    <cellStyle name="40% - 강조색4 64 7" xfId="5341"/>
    <cellStyle name="40% - 강조색4 64 8" xfId="8785"/>
    <cellStyle name="40% - 강조색4 64 9" xfId="9095"/>
    <cellStyle name="40% - 강조색4 65" xfId="4564"/>
    <cellStyle name="40% - 강조색4 65 10" xfId="6064"/>
    <cellStyle name="40% - 강조색4 65 11" xfId="9891"/>
    <cellStyle name="40% - 강조색4 65 12" xfId="10274"/>
    <cellStyle name="40% - 강조색4 65 13" xfId="10530"/>
    <cellStyle name="40% - 강조색4 65 14" xfId="8489"/>
    <cellStyle name="40% - 강조색4 65 15" xfId="6535"/>
    <cellStyle name="40% - 강조색4 65 2" xfId="6640"/>
    <cellStyle name="40% - 강조색4 65 3" xfId="6806"/>
    <cellStyle name="40% - 강조색4 65 4" xfId="7176"/>
    <cellStyle name="40% - 강조색4 65 5" xfId="7776"/>
    <cellStyle name="40% - 강조색4 65 6" xfId="5277"/>
    <cellStyle name="40% - 강조색4 65 7" xfId="8570"/>
    <cellStyle name="40% - 강조색4 65 8" xfId="8744"/>
    <cellStyle name="40% - 강조색4 65 9" xfId="8374"/>
    <cellStyle name="40% - 강조색4 66" xfId="4858"/>
    <cellStyle name="40% - 강조색4 66 10" xfId="7434"/>
    <cellStyle name="40% - 강조색4 66 11" xfId="9624"/>
    <cellStyle name="40% - 강조색4 66 12" xfId="10091"/>
    <cellStyle name="40% - 강조색4 66 13" xfId="9493"/>
    <cellStyle name="40% - 강조색4 66 14" xfId="10827"/>
    <cellStyle name="40% - 강조색4 66 15" xfId="11064"/>
    <cellStyle name="40% - 강조색4 66 2" xfId="6650"/>
    <cellStyle name="40% - 강조색4 66 3" xfId="1471"/>
    <cellStyle name="40% - 강조색4 66 4" xfId="6122"/>
    <cellStyle name="40% - 강조색4 66 5" xfId="7850"/>
    <cellStyle name="40% - 강조색4 66 6" xfId="8196"/>
    <cellStyle name="40% - 강조색4 66 7" xfId="8460"/>
    <cellStyle name="40% - 강조색4 66 8" xfId="1873"/>
    <cellStyle name="40% - 강조색4 66 9" xfId="9272"/>
    <cellStyle name="40% - 강조색4 67" xfId="5809"/>
    <cellStyle name="40% - 강조색4 67 10" xfId="9539"/>
    <cellStyle name="40% - 강조색4 67 11" xfId="9124"/>
    <cellStyle name="40% - 강조색4 67 12" xfId="6294"/>
    <cellStyle name="40% - 강조색4 67 13" xfId="10553"/>
    <cellStyle name="40% - 강조색4 67 14" xfId="9831"/>
    <cellStyle name="40% - 강조색4 67 15" xfId="6709"/>
    <cellStyle name="40% - 강조색4 67 2" xfId="6691"/>
    <cellStyle name="40% - 강조색4 67 3" xfId="7316"/>
    <cellStyle name="40% - 강조색4 67 4" xfId="7324"/>
    <cellStyle name="40% - 강조색4 67 5" xfId="7859"/>
    <cellStyle name="40% - 강조색4 67 6" xfId="8017"/>
    <cellStyle name="40% - 강조색4 67 7" xfId="8601"/>
    <cellStyle name="40% - 강조색4 67 8" xfId="9015"/>
    <cellStyle name="40% - 강조색4 67 9" xfId="9349"/>
    <cellStyle name="40% - 강조색4 68" xfId="6513"/>
    <cellStyle name="40% - 강조색4 68 10" xfId="9771"/>
    <cellStyle name="40% - 강조색4 68 11" xfId="10259"/>
    <cellStyle name="40% - 강조색4 68 12" xfId="3427"/>
    <cellStyle name="40% - 강조색4 68 13" xfId="10431"/>
    <cellStyle name="40% - 강조색4 68 14" xfId="1506"/>
    <cellStyle name="40% - 강조색4 68 2" xfId="7358"/>
    <cellStyle name="40% - 강조색4 68 3" xfId="7385"/>
    <cellStyle name="40% - 강조색4 68 4" xfId="7874"/>
    <cellStyle name="40% - 강조색4 68 5" xfId="8073"/>
    <cellStyle name="40% - 강조색4 68 6" xfId="8596"/>
    <cellStyle name="40% - 강조색4 68 7" xfId="8386"/>
    <cellStyle name="40% - 강조색4 68 8" xfId="9331"/>
    <cellStyle name="40% - 강조색4 68 9" xfId="8090"/>
    <cellStyle name="40% - 강조색4 69" xfId="7151"/>
    <cellStyle name="40% - 강조색4 69 10" xfId="10634"/>
    <cellStyle name="40% - 강조색4 69 11" xfId="10096"/>
    <cellStyle name="40% - 강조색4 69 12" xfId="11166"/>
    <cellStyle name="40% - 강조색4 69 2" xfId="7886"/>
    <cellStyle name="40% - 강조색4 69 3" xfId="8280"/>
    <cellStyle name="40% - 강조색4 69 4" xfId="8642"/>
    <cellStyle name="40% - 강조색4 69 5" xfId="8794"/>
    <cellStyle name="40% - 강조색4 69 6" xfId="9355"/>
    <cellStyle name="40% - 강조색4 69 7" xfId="9568"/>
    <cellStyle name="40% - 강조색4 69 8" xfId="9960"/>
    <cellStyle name="40% - 강조색4 69 9" xfId="10149"/>
    <cellStyle name="40% - 강조색4 7" xfId="143"/>
    <cellStyle name="40% - 강조색4 70" xfId="7325"/>
    <cellStyle name="40% - 강조색4 70 10" xfId="10692"/>
    <cellStyle name="40% - 강조색4 70 11" xfId="10774"/>
    <cellStyle name="40% - 강조색4 70 12" xfId="11160"/>
    <cellStyle name="40% - 강조색4 70 2" xfId="7894"/>
    <cellStyle name="40% - 강조색4 70 3" xfId="8288"/>
    <cellStyle name="40% - 강조색4 70 4" xfId="8650"/>
    <cellStyle name="40% - 강조색4 70 5" xfId="6024"/>
    <cellStyle name="40% - 강조색4 70 6" xfId="7696"/>
    <cellStyle name="40% - 강조색4 70 7" xfId="5410"/>
    <cellStyle name="40% - 강조색4 70 8" xfId="5084"/>
    <cellStyle name="40% - 강조색4 70 9" xfId="10250"/>
    <cellStyle name="40% - 강조색4 71" xfId="7823"/>
    <cellStyle name="40% - 강조색4 71 10" xfId="9808"/>
    <cellStyle name="40% - 강조색4 71 11" xfId="7955"/>
    <cellStyle name="40% - 강조색4 71 2" xfId="8299"/>
    <cellStyle name="40% - 강조색4 71 3" xfId="8661"/>
    <cellStyle name="40% - 강조색4 71 4" xfId="9025"/>
    <cellStyle name="40% - 강조색4 71 5" xfId="9383"/>
    <cellStyle name="40% - 강조색4 71 6" xfId="9528"/>
    <cellStyle name="40% - 강조색4 71 7" xfId="10042"/>
    <cellStyle name="40% - 강조색4 71 8" xfId="10283"/>
    <cellStyle name="40% - 강조색4 71 9" xfId="10434"/>
    <cellStyle name="40% - 강조색4 72" xfId="8209"/>
    <cellStyle name="40% - 강조색4 72 10" xfId="6938"/>
    <cellStyle name="40% - 강조색4 72 2" xfId="8672"/>
    <cellStyle name="40% - 강조색4 72 3" xfId="9036"/>
    <cellStyle name="40% - 강조색4 72 4" xfId="9395"/>
    <cellStyle name="40% - 강조색4 72 5" xfId="9727"/>
    <cellStyle name="40% - 강조색4 72 6" xfId="9847"/>
    <cellStyle name="40% - 강조색4 72 7" xfId="9785"/>
    <cellStyle name="40% - 강조색4 72 8" xfId="10532"/>
    <cellStyle name="40% - 강조색4 72 9" xfId="10899"/>
    <cellStyle name="40% - 강조색4 73" xfId="6205"/>
    <cellStyle name="40% - 강조색4 73 2" xfId="8994"/>
    <cellStyle name="40% - 강조색4 73 3" xfId="8150"/>
    <cellStyle name="40% - 강조색4 73 4" xfId="9551"/>
    <cellStyle name="40% - 강조색4 73 5" xfId="8010"/>
    <cellStyle name="40% - 강조색4 73 6" xfId="10133"/>
    <cellStyle name="40% - 강조색4 73 7" xfId="10420"/>
    <cellStyle name="40% - 강조색4 73 8" xfId="4795"/>
    <cellStyle name="40% - 강조색4 73 9" xfId="9234"/>
    <cellStyle name="40% - 강조색4 74" xfId="8899"/>
    <cellStyle name="40% - 강조색4 74 2" xfId="9410"/>
    <cellStyle name="40% - 강조색4 74 3" xfId="9742"/>
    <cellStyle name="40% - 강조색4 74 4" xfId="10068"/>
    <cellStyle name="40% - 강조색4 74 5" xfId="10381"/>
    <cellStyle name="40% - 강조색4 74 6" xfId="10635"/>
    <cellStyle name="40% - 강조색4 74 7" xfId="10947"/>
    <cellStyle name="40% - 강조색4 74 8" xfId="7932"/>
    <cellStyle name="40% - 강조색4 75" xfId="5228"/>
    <cellStyle name="40% - 강조색4 75 2" xfId="3852"/>
    <cellStyle name="40% - 강조색4 75 3" xfId="5293"/>
    <cellStyle name="40% - 강조색4 75 4" xfId="7685"/>
    <cellStyle name="40% - 강조색4 75 5" xfId="10577"/>
    <cellStyle name="40% - 강조색4 75 6" xfId="10863"/>
    <cellStyle name="40% - 강조색4 75 7" xfId="9825"/>
    <cellStyle name="40% - 강조색4 76" xfId="8114"/>
    <cellStyle name="40% - 강조색4 76 2" xfId="7680"/>
    <cellStyle name="40% - 강조색4 76 3" xfId="6275"/>
    <cellStyle name="40% - 강조색4 76 4" xfId="10488"/>
    <cellStyle name="40% - 강조색4 76 5" xfId="10815"/>
    <cellStyle name="40% - 강조색4 76 6" xfId="11095"/>
    <cellStyle name="40% - 강조색4 77" xfId="9977"/>
    <cellStyle name="40% - 강조색4 77 2" xfId="10410"/>
    <cellStyle name="40% - 강조색4 77 3" xfId="10721"/>
    <cellStyle name="40% - 강조색4 77 4" xfId="11005"/>
    <cellStyle name="40% - 강조색4 77 5" xfId="11281"/>
    <cellStyle name="40% - 강조색4 78" xfId="9859"/>
    <cellStyle name="40% - 강조색4 78 2" xfId="10717"/>
    <cellStyle name="40% - 강조색4 78 3" xfId="11001"/>
    <cellStyle name="40% - 강조색4 78 4" xfId="11137"/>
    <cellStyle name="40% - 강조색4 79" xfId="10484"/>
    <cellStyle name="40% - 강조색4 79 2" xfId="11016"/>
    <cellStyle name="40% - 강조색4 79 3" xfId="11293"/>
    <cellStyle name="40% - 강조색4 8" xfId="156"/>
    <cellStyle name="40% - 강조색4 80" xfId="10506"/>
    <cellStyle name="40% - 강조색4 80 2" xfId="11294"/>
    <cellStyle name="40% - 강조색4 81" xfId="11250"/>
    <cellStyle name="40% - 강조색4 82" xfId="1105"/>
    <cellStyle name="40% - 강조색4 83" xfId="11429"/>
    <cellStyle name="40% - 강조색4 84" xfId="11339"/>
    <cellStyle name="40% - 강조색4 85" xfId="11360"/>
    <cellStyle name="40% - 강조색4 86" xfId="11445"/>
    <cellStyle name="40% - 강조색4 9" xfId="169"/>
    <cellStyle name="40% - 강조색5" xfId="38" builtinId="47" customBuiltin="1"/>
    <cellStyle name="40% - 강조색5 10" xfId="174"/>
    <cellStyle name="40% - 강조색5 11" xfId="187"/>
    <cellStyle name="40% - 강조색5 12" xfId="200"/>
    <cellStyle name="40% - 강조색5 13" xfId="213"/>
    <cellStyle name="40% - 강조색5 14" xfId="226"/>
    <cellStyle name="40% - 강조색5 15" xfId="239"/>
    <cellStyle name="40% - 강조색5 16" xfId="252"/>
    <cellStyle name="40% - 강조색5 17" xfId="265"/>
    <cellStyle name="40% - 강조색5 18" xfId="278"/>
    <cellStyle name="40% - 강조색5 19" xfId="291"/>
    <cellStyle name="40% - 강조색5 2" xfId="55"/>
    <cellStyle name="40% - 강조색5 20" xfId="304"/>
    <cellStyle name="40% - 강조색5 21" xfId="317"/>
    <cellStyle name="40% - 강조색5 22" xfId="330"/>
    <cellStyle name="40% - 강조색5 23" xfId="343"/>
    <cellStyle name="40% - 강조색5 24" xfId="356"/>
    <cellStyle name="40% - 강조색5 25" xfId="369"/>
    <cellStyle name="40% - 강조색5 26" xfId="382"/>
    <cellStyle name="40% - 강조색5 27" xfId="395"/>
    <cellStyle name="40% - 강조색5 28" xfId="408"/>
    <cellStyle name="40% - 강조색5 29" xfId="421"/>
    <cellStyle name="40% - 강조색5 3" xfId="85"/>
    <cellStyle name="40% - 강조색5 30" xfId="434"/>
    <cellStyle name="40% - 강조색5 31" xfId="446"/>
    <cellStyle name="40% - 강조색5 32" xfId="458"/>
    <cellStyle name="40% - 강조색5 33" xfId="470"/>
    <cellStyle name="40% - 강조색5 34" xfId="482"/>
    <cellStyle name="40% - 강조색5 35" xfId="493"/>
    <cellStyle name="40% - 강조색5 36" xfId="504"/>
    <cellStyle name="40% - 강조색5 37" xfId="515"/>
    <cellStyle name="40% - 강조색5 38" xfId="526"/>
    <cellStyle name="40% - 강조색5 39" xfId="534"/>
    <cellStyle name="40% - 강조색5 4" xfId="96"/>
    <cellStyle name="40% - 강조색5 40" xfId="554"/>
    <cellStyle name="40% - 강조색5 40 10" xfId="3065"/>
    <cellStyle name="40% - 강조색5 40 11" xfId="1414"/>
    <cellStyle name="40% - 강조색5 40 12" xfId="2127"/>
    <cellStyle name="40% - 강조색5 40 13" xfId="1888"/>
    <cellStyle name="40% - 강조색5 40 14" xfId="4735"/>
    <cellStyle name="40% - 강조색5 40 15" xfId="4464"/>
    <cellStyle name="40% - 강조색5 40 16" xfId="5263"/>
    <cellStyle name="40% - 강조색5 40 17" xfId="5145"/>
    <cellStyle name="40% - 강조색5 40 18" xfId="5353"/>
    <cellStyle name="40% - 강조색5 40 19" xfId="6519"/>
    <cellStyle name="40% - 강조색5 40 2" xfId="602"/>
    <cellStyle name="40% - 강조색5 40 20" xfId="6521"/>
    <cellStyle name="40% - 강조색5 40 21" xfId="7082"/>
    <cellStyle name="40% - 강조색5 40 22" xfId="7672"/>
    <cellStyle name="40% - 강조색5 40 23" xfId="8124"/>
    <cellStyle name="40% - 강조색5 40 24" xfId="3151"/>
    <cellStyle name="40% - 강조색5 40 25" xfId="6240"/>
    <cellStyle name="40% - 강조색5 40 26" xfId="5425"/>
    <cellStyle name="40% - 강조색5 40 27" xfId="9565"/>
    <cellStyle name="40% - 강조색5 40 28" xfId="9791"/>
    <cellStyle name="40% - 강조색5 40 29" xfId="10360"/>
    <cellStyle name="40% - 강조색5 40 3" xfId="1013"/>
    <cellStyle name="40% - 강조색5 40 30" xfId="10117"/>
    <cellStyle name="40% - 강조색5 40 31" xfId="10941"/>
    <cellStyle name="40% - 강조색5 40 32" xfId="11197"/>
    <cellStyle name="40% - 강조색5 40 33" xfId="11324"/>
    <cellStyle name="40% - 강조색5 40 34" xfId="561"/>
    <cellStyle name="40% - 강조색5 40 35" xfId="11380"/>
    <cellStyle name="40% - 강조색5 40 36" xfId="11347"/>
    <cellStyle name="40% - 강조색5 40 4" xfId="1277"/>
    <cellStyle name="40% - 강조색5 40 5" xfId="1664"/>
    <cellStyle name="40% - 강조색5 40 6" xfId="965"/>
    <cellStyle name="40% - 강조색5 40 7" xfId="2359"/>
    <cellStyle name="40% - 강조색5 40 8" xfId="2638"/>
    <cellStyle name="40% - 강조색5 40 9" xfId="2904"/>
    <cellStyle name="40% - 강조색5 41" xfId="641"/>
    <cellStyle name="40% - 강조색5 41 10" xfId="3213"/>
    <cellStyle name="40% - 강조색5 41 11" xfId="3480"/>
    <cellStyle name="40% - 강조색5 41 12" xfId="2820"/>
    <cellStyle name="40% - 강조색5 41 13" xfId="4240"/>
    <cellStyle name="40% - 강조색5 41 14" xfId="4572"/>
    <cellStyle name="40% - 강조색5 41 15" xfId="5370"/>
    <cellStyle name="40% - 강조색5 41 16" xfId="5458"/>
    <cellStyle name="40% - 강조색5 41 17" xfId="5605"/>
    <cellStyle name="40% - 강조색5 41 18" xfId="3860"/>
    <cellStyle name="40% - 강조색5 41 19" xfId="6568"/>
    <cellStyle name="40% - 강조색5 41 2" xfId="1144"/>
    <cellStyle name="40% - 강조색5 41 20" xfId="6089"/>
    <cellStyle name="40% - 강조색5 41 21" xfId="7111"/>
    <cellStyle name="40% - 강조색5 41 22" xfId="7670"/>
    <cellStyle name="40% - 강조색5 41 23" xfId="8047"/>
    <cellStyle name="40% - 강조색5 41 24" xfId="4483"/>
    <cellStyle name="40% - 강조색5 41 25" xfId="3106"/>
    <cellStyle name="40% - 강조색5 41 26" xfId="9330"/>
    <cellStyle name="40% - 강조색5 41 27" xfId="9530"/>
    <cellStyle name="40% - 강조색5 41 28" xfId="6164"/>
    <cellStyle name="40% - 강조색5 41 29" xfId="6124"/>
    <cellStyle name="40% - 강조색5 41 3" xfId="1224"/>
    <cellStyle name="40% - 강조색5 41 30" xfId="10575"/>
    <cellStyle name="40% - 강조색5 41 31" xfId="6142"/>
    <cellStyle name="40% - 강조색5 41 32" xfId="9145"/>
    <cellStyle name="40% - 강조색5 41 4" xfId="1316"/>
    <cellStyle name="40% - 강조색5 41 5" xfId="1755"/>
    <cellStyle name="40% - 강조색5 41 6" xfId="1359"/>
    <cellStyle name="40% - 강조색5 41 7" xfId="806"/>
    <cellStyle name="40% - 강조색5 41 8" xfId="2665"/>
    <cellStyle name="40% - 강조색5 41 9" xfId="2745"/>
    <cellStyle name="40% - 강조색5 42" xfId="667"/>
    <cellStyle name="40% - 강조색5 42 10" xfId="3181"/>
    <cellStyle name="40% - 강조색5 42 11" xfId="3489"/>
    <cellStyle name="40% - 강조색5 42 12" xfId="3904"/>
    <cellStyle name="40% - 강조색5 42 13" xfId="4169"/>
    <cellStyle name="40% - 강조색5 42 14" xfId="1925"/>
    <cellStyle name="40% - 강조색5 42 15" xfId="5088"/>
    <cellStyle name="40% - 강조색5 42 16" xfId="4871"/>
    <cellStyle name="40% - 강조색5 42 17" xfId="5363"/>
    <cellStyle name="40% - 강조색5 42 18" xfId="5339"/>
    <cellStyle name="40% - 강조색5 42 19" xfId="6121"/>
    <cellStyle name="40% - 강조색5 42 2" xfId="1170"/>
    <cellStyle name="40% - 강조색5 42 20" xfId="6859"/>
    <cellStyle name="40% - 강조색5 42 21" xfId="4833"/>
    <cellStyle name="40% - 강조색5 42 22" xfId="7803"/>
    <cellStyle name="40% - 강조색5 42 23" xfId="7990"/>
    <cellStyle name="40% - 강조색5 42 24" xfId="8341"/>
    <cellStyle name="40% - 강조색5 42 25" xfId="6904"/>
    <cellStyle name="40% - 강조색5 42 26" xfId="9285"/>
    <cellStyle name="40% - 강조색5 42 27" xfId="9480"/>
    <cellStyle name="40% - 강조색5 42 28" xfId="9821"/>
    <cellStyle name="40% - 강조색5 42 29" xfId="9435"/>
    <cellStyle name="40% - 강조색5 42 3" xfId="1250"/>
    <cellStyle name="40% - 강조색5 42 30" xfId="928"/>
    <cellStyle name="40% - 강조색5 42 31" xfId="6423"/>
    <cellStyle name="40% - 강조색5 42 32" xfId="9973"/>
    <cellStyle name="40% - 강조색5 42 4" xfId="1342"/>
    <cellStyle name="40% - 강조색5 42 5" xfId="1725"/>
    <cellStyle name="40% - 강조색5 42 6" xfId="1610"/>
    <cellStyle name="40% - 강조색5 42 7" xfId="2231"/>
    <cellStyle name="40% - 강조색5 42 8" xfId="904"/>
    <cellStyle name="40% - 강조색5 42 9" xfId="1961"/>
    <cellStyle name="40% - 강조색5 43" xfId="607"/>
    <cellStyle name="40% - 강조색5 43 10" xfId="2722"/>
    <cellStyle name="40% - 강조색5 43 11" xfId="3595"/>
    <cellStyle name="40% - 강조색5 43 12" xfId="3889"/>
    <cellStyle name="40% - 강조색5 43 13" xfId="4208"/>
    <cellStyle name="40% - 강조색5 43 14" xfId="3789"/>
    <cellStyle name="40% - 강조색5 43 15" xfId="3757"/>
    <cellStyle name="40% - 강조색5 43 16" xfId="2587"/>
    <cellStyle name="40% - 강조색5 43 17" xfId="1448"/>
    <cellStyle name="40% - 강조색5 43 18" xfId="5576"/>
    <cellStyle name="40% - 강조색5 43 19" xfId="6596"/>
    <cellStyle name="40% - 강조색5 43 2" xfId="1110"/>
    <cellStyle name="40% - 강조색5 43 20" xfId="3986"/>
    <cellStyle name="40% - 강조색5 43 21" xfId="4495"/>
    <cellStyle name="40% - 강조색5 43 22" xfId="4808"/>
    <cellStyle name="40% - 강조색5 43 23" xfId="4612"/>
    <cellStyle name="40% - 강조색5 43 24" xfId="8633"/>
    <cellStyle name="40% - 강조색5 43 25" xfId="6336"/>
    <cellStyle name="40% - 강조색5 43 26" xfId="9148"/>
    <cellStyle name="40% - 강조색5 43 27" xfId="9694"/>
    <cellStyle name="40% - 강조색5 43 28" xfId="9899"/>
    <cellStyle name="40% - 강조색5 43 29" xfId="8002"/>
    <cellStyle name="40% - 강조색5 43 3" xfId="1190"/>
    <cellStyle name="40% - 강조색5 43 30" xfId="10335"/>
    <cellStyle name="40% - 강조색5 43 31" xfId="10850"/>
    <cellStyle name="40% - 강조색5 43 32" xfId="11059"/>
    <cellStyle name="40% - 강조색5 43 4" xfId="1282"/>
    <cellStyle name="40% - 강조색5 43 5" xfId="1784"/>
    <cellStyle name="40% - 강조색5 43 6" xfId="2050"/>
    <cellStyle name="40% - 강조색5 43 7" xfId="2204"/>
    <cellStyle name="40% - 강조색5 43 8" xfId="2460"/>
    <cellStyle name="40% - 강조색5 43 9" xfId="1558"/>
    <cellStyle name="40% - 강조색5 44" xfId="640"/>
    <cellStyle name="40% - 강조색5 44 10" xfId="1864"/>
    <cellStyle name="40% - 강조색5 44 11" xfId="2799"/>
    <cellStyle name="40% - 강조색5 44 12" xfId="3726"/>
    <cellStyle name="40% - 강조색5 44 13" xfId="4370"/>
    <cellStyle name="40% - 강조색5 44 14" xfId="4458"/>
    <cellStyle name="40% - 강조색5 44 15" xfId="5240"/>
    <cellStyle name="40% - 강조색5 44 16" xfId="5737"/>
    <cellStyle name="40% - 강조색5 44 17" xfId="5842"/>
    <cellStyle name="40% - 강조색5 44 18" xfId="5918"/>
    <cellStyle name="40% - 강조색5 44 19" xfId="6263"/>
    <cellStyle name="40% - 강조색5 44 2" xfId="1143"/>
    <cellStyle name="40% - 강조색5 44 20" xfId="6970"/>
    <cellStyle name="40% - 강조색5 44 21" xfId="7236"/>
    <cellStyle name="40% - 강조색5 44 22" xfId="4189"/>
    <cellStyle name="40% - 강조색5 44 23" xfId="1645"/>
    <cellStyle name="40% - 강조색5 44 24" xfId="8603"/>
    <cellStyle name="40% - 강조색5 44 25" xfId="7976"/>
    <cellStyle name="40% - 강조색5 44 26" xfId="3417"/>
    <cellStyle name="40% - 강조색5 44 27" xfId="9425"/>
    <cellStyle name="40% - 강조색5 44 28" xfId="7427"/>
    <cellStyle name="40% - 강조색5 44 29" xfId="10245"/>
    <cellStyle name="40% - 강조색5 44 3" xfId="1223"/>
    <cellStyle name="40% - 강조색5 44 30" xfId="10673"/>
    <cellStyle name="40% - 강조색5 44 31" xfId="10897"/>
    <cellStyle name="40% - 강조색5 44 32" xfId="8912"/>
    <cellStyle name="40% - 강조색5 44 4" xfId="1315"/>
    <cellStyle name="40% - 강조색5 44 5" xfId="1698"/>
    <cellStyle name="40% - 강조색5 44 6" xfId="950"/>
    <cellStyle name="40% - 강조색5 44 7" xfId="2097"/>
    <cellStyle name="40% - 강조색5 44 8" xfId="1561"/>
    <cellStyle name="40% - 강조색5 44 9" xfId="2924"/>
    <cellStyle name="40% - 강조색5 45" xfId="634"/>
    <cellStyle name="40% - 강조색5 45 10" xfId="3299"/>
    <cellStyle name="40% - 강조색5 45 11" xfId="2901"/>
    <cellStyle name="40% - 강조색5 45 12" xfId="3723"/>
    <cellStyle name="40% - 강조색5 45 13" xfId="4347"/>
    <cellStyle name="40% - 강조색5 45 14" xfId="4108"/>
    <cellStyle name="40% - 강조색5 45 15" xfId="1485"/>
    <cellStyle name="40% - 강조색5 45 16" xfId="5791"/>
    <cellStyle name="40% - 강조색5 45 17" xfId="5881"/>
    <cellStyle name="40% - 강조색5 45 18" xfId="5944"/>
    <cellStyle name="40% - 강조색5 45 19" xfId="6413"/>
    <cellStyle name="40% - 강조색5 45 2" xfId="1137"/>
    <cellStyle name="40% - 강조색5 45 20" xfId="3506"/>
    <cellStyle name="40% - 강조색5 45 21" xfId="6973"/>
    <cellStyle name="40% - 강조색5 45 22" xfId="4590"/>
    <cellStyle name="40% - 강조색5 45 23" xfId="8212"/>
    <cellStyle name="40% - 강조색5 45 24" xfId="6839"/>
    <cellStyle name="40% - 강조색5 45 25" xfId="8872"/>
    <cellStyle name="40% - 강조색5 45 26" xfId="9264"/>
    <cellStyle name="40% - 강조색5 45 27" xfId="9657"/>
    <cellStyle name="40% - 강조색5 45 28" xfId="9431"/>
    <cellStyle name="40% - 강조색5 45 29" xfId="10153"/>
    <cellStyle name="40% - 강조색5 45 3" xfId="1217"/>
    <cellStyle name="40% - 강조색5 45 30" xfId="10542"/>
    <cellStyle name="40% - 강조색5 45 31" xfId="10888"/>
    <cellStyle name="40% - 강조색5 45 32" xfId="11070"/>
    <cellStyle name="40% - 강조색5 45 4" xfId="1309"/>
    <cellStyle name="40% - 강조색5 45 5" xfId="1739"/>
    <cellStyle name="40% - 강조색5 45 6" xfId="2025"/>
    <cellStyle name="40% - 강조색5 45 7" xfId="2352"/>
    <cellStyle name="40% - 강조색5 45 8" xfId="1880"/>
    <cellStyle name="40% - 강조색5 45 9" xfId="2864"/>
    <cellStyle name="40% - 강조색5 46" xfId="629"/>
    <cellStyle name="40% - 강조색5 46 10" xfId="3324"/>
    <cellStyle name="40% - 강조색5 46 11" xfId="3514"/>
    <cellStyle name="40% - 강조색5 46 12" xfId="3771"/>
    <cellStyle name="40% - 강조색5 46 13" xfId="4144"/>
    <cellStyle name="40% - 강조색5 46 14" xfId="2851"/>
    <cellStyle name="40% - 강조색5 46 15" xfId="4948"/>
    <cellStyle name="40% - 강조색5 46 16" xfId="4913"/>
    <cellStyle name="40% - 강조색5 46 17" xfId="5788"/>
    <cellStyle name="40% - 강조색5 46 18" xfId="5878"/>
    <cellStyle name="40% - 강조색5 46 19" xfId="6477"/>
    <cellStyle name="40% - 강조색5 46 2" xfId="1132"/>
    <cellStyle name="40% - 강조색5 46 20" xfId="6255"/>
    <cellStyle name="40% - 강조색5 46 21" xfId="4791"/>
    <cellStyle name="40% - 강조색5 46 22" xfId="7735"/>
    <cellStyle name="40% - 강조색5 46 23" xfId="7957"/>
    <cellStyle name="40% - 강조색5 46 24" xfId="8598"/>
    <cellStyle name="40% - 강조색5 46 25" xfId="8721"/>
    <cellStyle name="40% - 강조색5 46 26" xfId="9131"/>
    <cellStyle name="40% - 강조색5 46 27" xfId="9487"/>
    <cellStyle name="40% - 강조색5 46 28" xfId="7675"/>
    <cellStyle name="40% - 강조색5 46 29" xfId="9534"/>
    <cellStyle name="40% - 강조색5 46 3" xfId="1212"/>
    <cellStyle name="40% - 강조색5 46 30" xfId="10642"/>
    <cellStyle name="40% - 강조색5 46 31" xfId="8729"/>
    <cellStyle name="40% - 강조색5 46 32" xfId="8037"/>
    <cellStyle name="40% - 강조색5 46 4" xfId="1304"/>
    <cellStyle name="40% - 강조색5 46 5" xfId="1737"/>
    <cellStyle name="40% - 강조색5 46 6" xfId="2075"/>
    <cellStyle name="40% - 강조색5 46 7" xfId="2330"/>
    <cellStyle name="40% - 강조색5 46 8" xfId="876"/>
    <cellStyle name="40% - 강조색5 46 9" xfId="2898"/>
    <cellStyle name="40% - 강조색5 47" xfId="576"/>
    <cellStyle name="40% - 강조색5 47 10" xfId="1616"/>
    <cellStyle name="40% - 강조색5 47 11" xfId="4728"/>
    <cellStyle name="40% - 강조색5 47 12" xfId="4253"/>
    <cellStyle name="40% - 강조색5 47 13" xfId="5415"/>
    <cellStyle name="40% - 강조색5 47 14" xfId="5392"/>
    <cellStyle name="40% - 강조색5 47 15" xfId="5553"/>
    <cellStyle name="40% - 강조색5 47 16" xfId="3260"/>
    <cellStyle name="40% - 강조색5 47 17" xfId="7213"/>
    <cellStyle name="40% - 강조색5 47 18" xfId="7112"/>
    <cellStyle name="40% - 강조색5 47 19" xfId="7790"/>
    <cellStyle name="40% - 강조색5 47 2" xfId="1064"/>
    <cellStyle name="40% - 강조색5 47 20" xfId="8206"/>
    <cellStyle name="40% - 강조색5 47 21" xfId="4359"/>
    <cellStyle name="40% - 강조색5 47 22" xfId="8727"/>
    <cellStyle name="40% - 강조색5 47 23" xfId="693"/>
    <cellStyle name="40% - 강조색5 47 24" xfId="7646"/>
    <cellStyle name="40% - 강조색5 47 25" xfId="9928"/>
    <cellStyle name="40% - 강조색5 47 26" xfId="9874"/>
    <cellStyle name="40% - 강조색5 47 27" xfId="2149"/>
    <cellStyle name="40% - 강조색5 47 28" xfId="10964"/>
    <cellStyle name="40% - 강조색5 47 29" xfId="10772"/>
    <cellStyle name="40% - 강조색5 47 3" xfId="2006"/>
    <cellStyle name="40% - 강조색5 47 30" xfId="11333"/>
    <cellStyle name="40% - 강조색5 47 31" xfId="11402"/>
    <cellStyle name="40% - 강조색5 47 32" xfId="11404"/>
    <cellStyle name="40% - 강조색5 47 33" xfId="11416"/>
    <cellStyle name="40% - 강조색5 47 4" xfId="2297"/>
    <cellStyle name="40% - 강조색5 47 5" xfId="2635"/>
    <cellStyle name="40% - 강조색5 47 6" xfId="1976"/>
    <cellStyle name="40% - 강조색5 47 7" xfId="3102"/>
    <cellStyle name="40% - 강조색5 47 8" xfId="3340"/>
    <cellStyle name="40% - 강조색5 47 9" xfId="3903"/>
    <cellStyle name="40% - 강조색5 48" xfId="1060"/>
    <cellStyle name="40% - 강조색5 48 10" xfId="4201"/>
    <cellStyle name="40% - 강조색5 48 11" xfId="4750"/>
    <cellStyle name="40% - 강조색5 48 12" xfId="5497"/>
    <cellStyle name="40% - 강조색5 48 13" xfId="5516"/>
    <cellStyle name="40% - 강조색5 48 14" xfId="5435"/>
    <cellStyle name="40% - 강조색5 48 15" xfId="5163"/>
    <cellStyle name="40% - 강조색5 48 16" xfId="6417"/>
    <cellStyle name="40% - 강조색5 48 17" xfId="6208"/>
    <cellStyle name="40% - 강조색5 48 18" xfId="7060"/>
    <cellStyle name="40% - 강조색5 48 19" xfId="7400"/>
    <cellStyle name="40% - 강조색5 48 2" xfId="1743"/>
    <cellStyle name="40% - 강조색5 48 20" xfId="8217"/>
    <cellStyle name="40% - 강조색5 48 21" xfId="3845"/>
    <cellStyle name="40% - 강조색5 48 22" xfId="8856"/>
    <cellStyle name="40% - 강조색5 48 23" xfId="9151"/>
    <cellStyle name="40% - 강조색5 48 24" xfId="9700"/>
    <cellStyle name="40% - 강조색5 48 25" xfId="9936"/>
    <cellStyle name="40% - 강조색5 48 26" xfId="10199"/>
    <cellStyle name="40% - 강조색5 48 27" xfId="9197"/>
    <cellStyle name="40% - 강조색5 48 28" xfId="5081"/>
    <cellStyle name="40% - 강조색5 48 29" xfId="11258"/>
    <cellStyle name="40% - 강조색5 48 3" xfId="2072"/>
    <cellStyle name="40% - 강조색5 48 4" xfId="2351"/>
    <cellStyle name="40% - 강조색5 48 5" xfId="1934"/>
    <cellStyle name="40% - 강조색5 48 6" xfId="758"/>
    <cellStyle name="40% - 강조색5 48 7" xfId="3284"/>
    <cellStyle name="40% - 강조색5 48 8" xfId="3155"/>
    <cellStyle name="40% - 강조색5 48 9" xfId="3609"/>
    <cellStyle name="40% - 강조색5 49" xfId="1084"/>
    <cellStyle name="40% - 강조색5 49 10" xfId="4124"/>
    <cellStyle name="40% - 강조색5 49 11" xfId="4692"/>
    <cellStyle name="40% - 강조색5 49 12" xfId="5108"/>
    <cellStyle name="40% - 강조색5 49 13" xfId="5806"/>
    <cellStyle name="40% - 강조색5 49 14" xfId="5890"/>
    <cellStyle name="40% - 강조색5 49 15" xfId="5950"/>
    <cellStyle name="40% - 강조색5 49 16" xfId="1632"/>
    <cellStyle name="40% - 강조색5 49 17" xfId="7276"/>
    <cellStyle name="40% - 강조색5 49 18" xfId="7029"/>
    <cellStyle name="40% - 강조색5 49 19" xfId="7673"/>
    <cellStyle name="40% - 강조색5 49 2" xfId="1786"/>
    <cellStyle name="40% - 강조색5 49 20" xfId="8029"/>
    <cellStyle name="40% - 강조색5 49 21" xfId="8615"/>
    <cellStyle name="40% - 강조색5 49 22" xfId="4217"/>
    <cellStyle name="40% - 강조색5 49 23" xfId="7999"/>
    <cellStyle name="40% - 강조색5 49 24" xfId="9661"/>
    <cellStyle name="40% - 강조색5 49 25" xfId="6451"/>
    <cellStyle name="40% - 강조색5 49 26" xfId="5998"/>
    <cellStyle name="40% - 강조색5 49 27" xfId="2418"/>
    <cellStyle name="40% - 강조색5 49 28" xfId="10983"/>
    <cellStyle name="40% - 강조색5 49 29" xfId="6930"/>
    <cellStyle name="40% - 강조색5 49 3" xfId="2059"/>
    <cellStyle name="40% - 강조색5 49 4" xfId="879"/>
    <cellStyle name="40% - 강조색5 49 5" xfId="2616"/>
    <cellStyle name="40% - 강조색5 49 6" xfId="2131"/>
    <cellStyle name="40% - 강조색5 49 7" xfId="3179"/>
    <cellStyle name="40% - 강조색5 49 8" xfId="951"/>
    <cellStyle name="40% - 강조색5 49 9" xfId="3936"/>
    <cellStyle name="40% - 강조색5 5" xfId="109"/>
    <cellStyle name="40% - 강조색5 50" xfId="1017"/>
    <cellStyle name="40% - 강조색5 50 10" xfId="752"/>
    <cellStyle name="40% - 강조색5 50 11" xfId="1507"/>
    <cellStyle name="40% - 강조색5 50 12" xfId="2107"/>
    <cellStyle name="40% - 강조색5 50 13" xfId="3241"/>
    <cellStyle name="40% - 강조색5 50 14" xfId="3042"/>
    <cellStyle name="40% - 강조색5 50 15" xfId="4882"/>
    <cellStyle name="40% - 강조색5 50 16" xfId="6494"/>
    <cellStyle name="40% - 강조색5 50 17" xfId="7192"/>
    <cellStyle name="40% - 강조색5 50 18" xfId="7194"/>
    <cellStyle name="40% - 강조색5 50 19" xfId="6311"/>
    <cellStyle name="40% - 강조색5 50 2" xfId="1668"/>
    <cellStyle name="40% - 강조색5 50 20" xfId="8249"/>
    <cellStyle name="40% - 강조색5 50 21" xfId="3456"/>
    <cellStyle name="40% - 강조색5 50 22" xfId="8978"/>
    <cellStyle name="40% - 강조색5 50 23" xfId="4926"/>
    <cellStyle name="40% - 강조색5 50 24" xfId="9626"/>
    <cellStyle name="40% - 강조색5 50 25" xfId="9885"/>
    <cellStyle name="40% - 강조색5 50 26" xfId="10159"/>
    <cellStyle name="40% - 강조색5 50 27" xfId="10490"/>
    <cellStyle name="40% - 강조색5 50 28" xfId="8402"/>
    <cellStyle name="40% - 강조색5 50 29" xfId="11189"/>
    <cellStyle name="40% - 강조색5 50 3" xfId="921"/>
    <cellStyle name="40% - 강조색5 50 4" xfId="2333"/>
    <cellStyle name="40% - 강조색5 50 5" xfId="2646"/>
    <cellStyle name="40% - 강조색5 50 6" xfId="2933"/>
    <cellStyle name="40% - 강조색5 50 7" xfId="3321"/>
    <cellStyle name="40% - 강조색5 50 8" xfId="3491"/>
    <cellStyle name="40% - 강조색5 50 9" xfId="3921"/>
    <cellStyle name="40% - 강조색5 51" xfId="1058"/>
    <cellStyle name="40% - 강조색5 51 10" xfId="4280"/>
    <cellStyle name="40% - 강조색5 51 11" xfId="4640"/>
    <cellStyle name="40% - 강조색5 51 12" xfId="5417"/>
    <cellStyle name="40% - 강조색5 51 13" xfId="5442"/>
    <cellStyle name="40% - 강조색5 51 14" xfId="5556"/>
    <cellStyle name="40% - 강조색5 51 15" xfId="5432"/>
    <cellStyle name="40% - 강조색5 51 16" xfId="3159"/>
    <cellStyle name="40% - 강조색5 51 17" xfId="7159"/>
    <cellStyle name="40% - 강조색5 51 18" xfId="6814"/>
    <cellStyle name="40% - 강조색5 51 19" xfId="6227"/>
    <cellStyle name="40% - 강조색5 51 2" xfId="1734"/>
    <cellStyle name="40% - 강조색5 51 20" xfId="8242"/>
    <cellStyle name="40% - 강조색5 51 21" xfId="8309"/>
    <cellStyle name="40% - 강조색5 51 22" xfId="6245"/>
    <cellStyle name="40% - 강조색5 51 23" xfId="9372"/>
    <cellStyle name="40% - 강조색5 51 24" xfId="6923"/>
    <cellStyle name="40% - 강조색5 51 25" xfId="5280"/>
    <cellStyle name="40% - 강조색5 51 26" xfId="3866"/>
    <cellStyle name="40% - 강조색5 51 27" xfId="7267"/>
    <cellStyle name="40% - 강조색5 51 28" xfId="8817"/>
    <cellStyle name="40% - 강조색5 51 29" xfId="11203"/>
    <cellStyle name="40% - 강조색5 51 3" xfId="2071"/>
    <cellStyle name="40% - 강조색5 51 4" xfId="2332"/>
    <cellStyle name="40% - 강조색5 51 5" xfId="1428"/>
    <cellStyle name="40% - 강조색5 51 6" xfId="946"/>
    <cellStyle name="40% - 강조색5 51 7" xfId="1615"/>
    <cellStyle name="40% - 강조색5 51 8" xfId="3620"/>
    <cellStyle name="40% - 강조색5 51 9" xfId="2679"/>
    <cellStyle name="40% - 강조색5 52" xfId="1002"/>
    <cellStyle name="40% - 강조색5 52 10" xfId="2100"/>
    <cellStyle name="40% - 강조색5 52 11" xfId="4618"/>
    <cellStyle name="40% - 강조색5 52 12" xfId="5318"/>
    <cellStyle name="40% - 강조색5 52 13" xfId="5350"/>
    <cellStyle name="40% - 강조색5 52 14" xfId="5543"/>
    <cellStyle name="40% - 강조색5 52 15" xfId="5807"/>
    <cellStyle name="40% - 강조색5 52 16" xfId="6616"/>
    <cellStyle name="40% - 강조색5 52 17" xfId="6244"/>
    <cellStyle name="40% - 강조색5 52 18" xfId="7038"/>
    <cellStyle name="40% - 강조색5 52 19" xfId="6198"/>
    <cellStyle name="40% - 강조색5 52 2" xfId="1652"/>
    <cellStyle name="40% - 강조색5 52 20" xfId="8181"/>
    <cellStyle name="40% - 강조색5 52 21" xfId="1548"/>
    <cellStyle name="40% - 강조색5 52 22" xfId="8696"/>
    <cellStyle name="40% - 강조색5 52 23" xfId="9173"/>
    <cellStyle name="40% - 강조색5 52 24" xfId="9529"/>
    <cellStyle name="40% - 강조색5 52 25" xfId="9996"/>
    <cellStyle name="40% - 강조색5 52 26" xfId="10286"/>
    <cellStyle name="40% - 강조색5 52 27" xfId="10451"/>
    <cellStyle name="40% - 강조색5 52 28" xfId="10928"/>
    <cellStyle name="40% - 강조색5 52 29" xfId="11028"/>
    <cellStyle name="40% - 강조색5 52 3" xfId="1483"/>
    <cellStyle name="40% - 강조색5 52 4" xfId="741"/>
    <cellStyle name="40% - 강조색5 52 5" xfId="2523"/>
    <cellStyle name="40% - 강조색5 52 6" xfId="2472"/>
    <cellStyle name="40% - 강조색5 52 7" xfId="781"/>
    <cellStyle name="40% - 강조색5 52 8" xfId="3163"/>
    <cellStyle name="40% - 강조색5 52 9" xfId="3853"/>
    <cellStyle name="40% - 강조색5 53" xfId="1067"/>
    <cellStyle name="40% - 강조색5 53 10" xfId="4380"/>
    <cellStyle name="40% - 강조색5 53 11" xfId="4633"/>
    <cellStyle name="40% - 강조색5 53 12" xfId="1500"/>
    <cellStyle name="40% - 강조색5 53 13" xfId="5226"/>
    <cellStyle name="40% - 강조색5 53 14" xfId="4792"/>
    <cellStyle name="40% - 강조색5 53 15" xfId="5194"/>
    <cellStyle name="40% - 강조색5 53 16" xfId="6587"/>
    <cellStyle name="40% - 강조색5 53 17" xfId="3529"/>
    <cellStyle name="40% - 강조색5 53 18" xfId="1462"/>
    <cellStyle name="40% - 강조색5 53 19" xfId="6460"/>
    <cellStyle name="40% - 강조색5 53 2" xfId="1750"/>
    <cellStyle name="40% - 강조색5 53 20" xfId="8222"/>
    <cellStyle name="40% - 강조색5 53 21" xfId="5153"/>
    <cellStyle name="40% - 강조색5 53 22" xfId="6375"/>
    <cellStyle name="40% - 강조색5 53 23" xfId="9297"/>
    <cellStyle name="40% - 강조색5 53 24" xfId="9638"/>
    <cellStyle name="40% - 강조색5 53 25" xfId="9895"/>
    <cellStyle name="40% - 강조색5 53 26" xfId="6147"/>
    <cellStyle name="40% - 강조색5 53 27" xfId="10469"/>
    <cellStyle name="40% - 강조색5 53 28" xfId="6220"/>
    <cellStyle name="40% - 강조색5 53 29" xfId="6194"/>
    <cellStyle name="40% - 강조색5 53 3" xfId="895"/>
    <cellStyle name="40% - 강조색5 53 4" xfId="2273"/>
    <cellStyle name="40% - 강조색5 53 5" xfId="2309"/>
    <cellStyle name="40% - 강조색5 53 6" xfId="2804"/>
    <cellStyle name="40% - 강조색5 53 7" xfId="3343"/>
    <cellStyle name="40% - 강조색5 53 8" xfId="3672"/>
    <cellStyle name="40% - 강조색5 53 9" xfId="3844"/>
    <cellStyle name="40% - 강조색5 54" xfId="780"/>
    <cellStyle name="40% - 강조색5 54 10" xfId="4597"/>
    <cellStyle name="40% - 강조색5 54 11" xfId="5382"/>
    <cellStyle name="40% - 강조색5 54 12" xfId="5159"/>
    <cellStyle name="40% - 강조색5 54 13" xfId="4417"/>
    <cellStyle name="40% - 강조색5 54 14" xfId="2493"/>
    <cellStyle name="40% - 강조색5 54 15" xfId="6018"/>
    <cellStyle name="40% - 강조색5 54 16" xfId="1595"/>
    <cellStyle name="40% - 강조색5 54 17" xfId="2969"/>
    <cellStyle name="40% - 강조색5 54 18" xfId="6985"/>
    <cellStyle name="40% - 강조색5 54 19" xfId="6021"/>
    <cellStyle name="40% - 강조색5 54 2" xfId="1601"/>
    <cellStyle name="40% - 강조색5 54 20" xfId="3732"/>
    <cellStyle name="40% - 강조색5 54 21" xfId="8946"/>
    <cellStyle name="40% - 강조색5 54 22" xfId="4849"/>
    <cellStyle name="40% - 강조색5 54 23" xfId="2456"/>
    <cellStyle name="40% - 강조색5 54 24" xfId="10036"/>
    <cellStyle name="40% - 강조색5 54 25" xfId="10207"/>
    <cellStyle name="40% - 강조색5 54 26" xfId="10472"/>
    <cellStyle name="40% - 강조색5 54 27" xfId="10877"/>
    <cellStyle name="40% - 강조색5 54 28" xfId="11188"/>
    <cellStyle name="40% - 강조색5 54 3" xfId="2229"/>
    <cellStyle name="40% - 강조색5 54 4" xfId="2420"/>
    <cellStyle name="40% - 강조색5 54 5" xfId="2983"/>
    <cellStyle name="40% - 강조색5 54 6" xfId="3204"/>
    <cellStyle name="40% - 강조색5 54 7" xfId="3511"/>
    <cellStyle name="40% - 강조색5 54 8" xfId="1545"/>
    <cellStyle name="40% - 강조색5 54 9" xfId="4356"/>
    <cellStyle name="40% - 강조색5 55" xfId="2053"/>
    <cellStyle name="40% - 강조색5 55 10" xfId="5523"/>
    <cellStyle name="40% - 강조색5 55 11" xfId="5689"/>
    <cellStyle name="40% - 강조색5 55 12" xfId="4856"/>
    <cellStyle name="40% - 강조색5 55 13" xfId="5340"/>
    <cellStyle name="40% - 강조색5 55 14" xfId="6107"/>
    <cellStyle name="40% - 강조색5 55 15" xfId="2802"/>
    <cellStyle name="40% - 강조색5 55 16" xfId="7121"/>
    <cellStyle name="40% - 강조색5 55 17" xfId="3748"/>
    <cellStyle name="40% - 강조색5 55 18" xfId="3815"/>
    <cellStyle name="40% - 강조색5 55 19" xfId="8437"/>
    <cellStyle name="40% - 강조색5 55 2" xfId="2378"/>
    <cellStyle name="40% - 강조색5 55 20" xfId="8986"/>
    <cellStyle name="40% - 강조색5 55 21" xfId="9316"/>
    <cellStyle name="40% - 강조색5 55 22" xfId="8927"/>
    <cellStyle name="40% - 강조색5 55 23" xfId="9586"/>
    <cellStyle name="40% - 강조색5 55 24" xfId="8873"/>
    <cellStyle name="40% - 강조색5 55 25" xfId="9945"/>
    <cellStyle name="40% - 강조색5 55 26" xfId="7484"/>
    <cellStyle name="40% - 강조색5 55 27" xfId="10491"/>
    <cellStyle name="40% - 강조색5 55 3" xfId="2697"/>
    <cellStyle name="40% - 강조색5 55 4" xfId="3012"/>
    <cellStyle name="40% - 강조색5 55 5" xfId="3290"/>
    <cellStyle name="40% - 강조색5 55 6" xfId="2720"/>
    <cellStyle name="40% - 강조색5 55 7" xfId="2414"/>
    <cellStyle name="40% - 강조색5 55 8" xfId="4332"/>
    <cellStyle name="40% - 강조색5 55 9" xfId="4421"/>
    <cellStyle name="40% - 강조색5 56" xfId="2306"/>
    <cellStyle name="40% - 강조색5 56 10" xfId="1425"/>
    <cellStyle name="40% - 강조색5 56 11" xfId="5682"/>
    <cellStyle name="40% - 강조색5 56 12" xfId="986"/>
    <cellStyle name="40% - 강조색5 56 13" xfId="6542"/>
    <cellStyle name="40% - 강조색5 56 14" xfId="7021"/>
    <cellStyle name="40% - 강조색5 56 15" xfId="7045"/>
    <cellStyle name="40% - 강조색5 56 16" xfId="2715"/>
    <cellStyle name="40% - 강조색5 56 17" xfId="3769"/>
    <cellStyle name="40% - 강조색5 56 18" xfId="8586"/>
    <cellStyle name="40% - 강조색5 56 19" xfId="6297"/>
    <cellStyle name="40% - 강조색5 56 2" xfId="2706"/>
    <cellStyle name="40% - 강조색5 56 20" xfId="2143"/>
    <cellStyle name="40% - 강조색5 56 21" xfId="9674"/>
    <cellStyle name="40% - 강조색5 56 22" xfId="9839"/>
    <cellStyle name="40% - 강조색5 56 23" xfId="10122"/>
    <cellStyle name="40% - 강조색5 56 24" xfId="10671"/>
    <cellStyle name="40% - 강조색5 56 25" xfId="10991"/>
    <cellStyle name="40% - 강조색5 56 26" xfId="11030"/>
    <cellStyle name="40% - 강조색5 56 3" xfId="3021"/>
    <cellStyle name="40% - 강조색5 56 4" xfId="3354"/>
    <cellStyle name="40% - 강조색5 56 5" xfId="3688"/>
    <cellStyle name="40% - 강조색5 56 6" xfId="997"/>
    <cellStyle name="40% - 강조색5 56 7" xfId="816"/>
    <cellStyle name="40% - 강조색5 56 8" xfId="4683"/>
    <cellStyle name="40% - 강조색5 56 9" xfId="5454"/>
    <cellStyle name="40% - 강조색5 57" xfId="2658"/>
    <cellStyle name="40% - 강조색5 57 10" xfId="4912"/>
    <cellStyle name="40% - 강조색5 57 11" xfId="5183"/>
    <cellStyle name="40% - 강조색5 57 12" xfId="4473"/>
    <cellStyle name="40% - 강조색5 57 13" xfId="1846"/>
    <cellStyle name="40% - 강조색5 57 14" xfId="7096"/>
    <cellStyle name="40% - 강조색5 57 15" xfId="7846"/>
    <cellStyle name="40% - 강조색5 57 16" xfId="4831"/>
    <cellStyle name="40% - 강조색5 57 17" xfId="7516"/>
    <cellStyle name="40% - 강조색5 57 18" xfId="6743"/>
    <cellStyle name="40% - 강조색5 57 19" xfId="8887"/>
    <cellStyle name="40% - 강조색5 57 2" xfId="3034"/>
    <cellStyle name="40% - 강조색5 57 20" xfId="9705"/>
    <cellStyle name="40% - 강조색5 57 21" xfId="10049"/>
    <cellStyle name="40% - 강조색5 57 22" xfId="10380"/>
    <cellStyle name="40% - 강조색5 57 23" xfId="8163"/>
    <cellStyle name="40% - 강조색5 57 24" xfId="10862"/>
    <cellStyle name="40% - 강조색5 57 25" xfId="5022"/>
    <cellStyle name="40% - 강조색5 57 3" xfId="3367"/>
    <cellStyle name="40% - 강조색5 57 4" xfId="3699"/>
    <cellStyle name="40% - 강조색5 57 5" xfId="3438"/>
    <cellStyle name="40% - 강조색5 57 6" xfId="4288"/>
    <cellStyle name="40% - 강조색5 57 7" xfId="4516"/>
    <cellStyle name="40% - 강조색5 57 8" xfId="4968"/>
    <cellStyle name="40% - 강조색5 57 9" xfId="5309"/>
    <cellStyle name="40% - 강조색5 58" xfId="1850"/>
    <cellStyle name="40% - 강조색5 58 10" xfId="5541"/>
    <cellStyle name="40% - 강조색5 58 11" xfId="3109"/>
    <cellStyle name="40% - 강조색5 58 12" xfId="7100"/>
    <cellStyle name="40% - 강조색5 58 13" xfId="7158"/>
    <cellStyle name="40% - 강조색5 58 14" xfId="6401"/>
    <cellStyle name="40% - 강조색5 58 15" xfId="6989"/>
    <cellStyle name="40% - 강조색5 58 16" xfId="6854"/>
    <cellStyle name="40% - 강조색5 58 17" xfId="8770"/>
    <cellStyle name="40% - 강조색5 58 18" xfId="8324"/>
    <cellStyle name="40% - 강조색5 58 19" xfId="9621"/>
    <cellStyle name="40% - 강조색5 58 2" xfId="3293"/>
    <cellStyle name="40% - 강조색5 58 20" xfId="9136"/>
    <cellStyle name="40% - 강조색5 58 21" xfId="10288"/>
    <cellStyle name="40% - 강조색5 58 22" xfId="8738"/>
    <cellStyle name="40% - 강조색5 58 23" xfId="9521"/>
    <cellStyle name="40% - 강조색5 58 24" xfId="11127"/>
    <cellStyle name="40% - 강조색5 58 3" xfId="3524"/>
    <cellStyle name="40% - 강조색5 58 4" xfId="3999"/>
    <cellStyle name="40% - 강조색5 58 5" xfId="4244"/>
    <cellStyle name="40% - 강조색5 58 6" xfId="4703"/>
    <cellStyle name="40% - 강조색5 58 7" xfId="4947"/>
    <cellStyle name="40% - 강조색5 58 8" xfId="3247"/>
    <cellStyle name="40% - 강조색5 58 9" xfId="5687"/>
    <cellStyle name="40% - 강조색5 59" xfId="3073"/>
    <cellStyle name="40% - 강조색5 59 10" xfId="6517"/>
    <cellStyle name="40% - 강조색5 59 11" xfId="3882"/>
    <cellStyle name="40% - 강조색5 59 12" xfId="7327"/>
    <cellStyle name="40% - 강조색5 59 13" xfId="6974"/>
    <cellStyle name="40% - 강조색5 59 14" xfId="8007"/>
    <cellStyle name="40% - 강조색5 59 15" xfId="8481"/>
    <cellStyle name="40% - 강조색5 59 16" xfId="8759"/>
    <cellStyle name="40% - 강조색5 59 17" xfId="9220"/>
    <cellStyle name="40% - 강조색5 59 18" xfId="9576"/>
    <cellStyle name="40% - 강조색5 59 19" xfId="9990"/>
    <cellStyle name="40% - 강조색5 59 2" xfId="3713"/>
    <cellStyle name="40% - 강조색5 59 20" xfId="8520"/>
    <cellStyle name="40% - 강조색5 59 21" xfId="9830"/>
    <cellStyle name="40% - 강조색5 59 22" xfId="3460"/>
    <cellStyle name="40% - 강조색5 59 23" xfId="11241"/>
    <cellStyle name="40% - 강조색5 59 3" xfId="4052"/>
    <cellStyle name="40% - 강조색5 59 4" xfId="1523"/>
    <cellStyle name="40% - 강조색5 59 5" xfId="1830"/>
    <cellStyle name="40% - 강조색5 59 6" xfId="5424"/>
    <cellStyle name="40% - 강조색5 59 7" xfId="1989"/>
    <cellStyle name="40% - 강조색5 59 8" xfId="5427"/>
    <cellStyle name="40% - 강조색5 59 9" xfId="5675"/>
    <cellStyle name="40% - 강조색5 6" xfId="122"/>
    <cellStyle name="40% - 강조색5 60" xfId="3604"/>
    <cellStyle name="40% - 강조색5 60 10" xfId="7234"/>
    <cellStyle name="40% - 강조색5 60 11" xfId="7292"/>
    <cellStyle name="40% - 강조색5 60 12" xfId="7765"/>
    <cellStyle name="40% - 강조색5 60 13" xfId="8199"/>
    <cellStyle name="40% - 강조색5 60 14" xfId="8362"/>
    <cellStyle name="40% - 강조색5 60 15" xfId="8707"/>
    <cellStyle name="40% - 강조색5 60 16" xfId="9201"/>
    <cellStyle name="40% - 강조색5 60 17" xfId="9499"/>
    <cellStyle name="40% - 강조색5 60 18" xfId="6234"/>
    <cellStyle name="40% - 강조색5 60 19" xfId="10349"/>
    <cellStyle name="40% - 강조색5 60 2" xfId="4064"/>
    <cellStyle name="40% - 강조색5 60 20" xfId="9227"/>
    <cellStyle name="40% - 강조색5 60 21" xfId="10857"/>
    <cellStyle name="40% - 강조색5 60 22" xfId="11063"/>
    <cellStyle name="40% - 강조색5 60 3" xfId="4400"/>
    <cellStyle name="40% - 강조색5 60 4" xfId="4753"/>
    <cellStyle name="40% - 강조색5 60 5" xfId="5397"/>
    <cellStyle name="40% - 강조색5 60 6" xfId="5274"/>
    <cellStyle name="40% - 강조색5 60 7" xfId="2122"/>
    <cellStyle name="40% - 강조색5 60 8" xfId="4781"/>
    <cellStyle name="40% - 강조색5 60 9" xfId="6608"/>
    <cellStyle name="40% - 강조색5 61" xfId="2784"/>
    <cellStyle name="40% - 강조색5 61 10" xfId="7002"/>
    <cellStyle name="40% - 강조색5 61 11" xfId="7648"/>
    <cellStyle name="40% - 강조색5 61 12" xfId="8215"/>
    <cellStyle name="40% - 강조색5 61 13" xfId="8571"/>
    <cellStyle name="40% - 강조색5 61 14" xfId="8862"/>
    <cellStyle name="40% - 강조색5 61 15" xfId="9121"/>
    <cellStyle name="40% - 강조색5 61 16" xfId="9578"/>
    <cellStyle name="40% - 강조색5 61 17" xfId="9982"/>
    <cellStyle name="40% - 강조색5 61 18" xfId="8473"/>
    <cellStyle name="40% - 강조색5 61 19" xfId="10453"/>
    <cellStyle name="40% - 강조색5 61 2" xfId="4152"/>
    <cellStyle name="40% - 강조색5 61 20" xfId="1419"/>
    <cellStyle name="40% - 강조색5 61 21" xfId="9523"/>
    <cellStyle name="40% - 강조색5 61 3" xfId="4598"/>
    <cellStyle name="40% - 강조색5 61 4" xfId="1974"/>
    <cellStyle name="40% - 강조색5 61 5" xfId="3765"/>
    <cellStyle name="40% - 강조색5 61 6" xfId="5132"/>
    <cellStyle name="40% - 강조색5 61 7" xfId="5649"/>
    <cellStyle name="40% - 강조색5 61 8" xfId="3728"/>
    <cellStyle name="40% - 강조색5 61 9" xfId="6716"/>
    <cellStyle name="40% - 강조색5 62" xfId="2473"/>
    <cellStyle name="40% - 강조색5 62 10" xfId="7788"/>
    <cellStyle name="40% - 강조색5 62 11" xfId="7938"/>
    <cellStyle name="40% - 강조색5 62 12" xfId="2188"/>
    <cellStyle name="40% - 강조색5 62 13" xfId="3892"/>
    <cellStyle name="40% - 강조색5 62 14" xfId="9327"/>
    <cellStyle name="40% - 강조색5 62 15" xfId="7413"/>
    <cellStyle name="40% - 강조색5 62 16" xfId="10021"/>
    <cellStyle name="40% - 강조색5 62 17" xfId="9082"/>
    <cellStyle name="40% - 강조색5 62 18" xfId="3265"/>
    <cellStyle name="40% - 강조색5 62 19" xfId="4646"/>
    <cellStyle name="40% - 강조색5 62 2" xfId="4552"/>
    <cellStyle name="40% - 강조색5 62 20" xfId="9824"/>
    <cellStyle name="40% - 강조색5 62 3" xfId="1854"/>
    <cellStyle name="40% - 강조색5 62 4" xfId="5160"/>
    <cellStyle name="40% - 강조색5 62 5" xfId="5484"/>
    <cellStyle name="40% - 강조색5 62 6" xfId="2718"/>
    <cellStyle name="40% - 강조색5 62 7" xfId="4556"/>
    <cellStyle name="40% - 강조색5 62 8" xfId="6862"/>
    <cellStyle name="40% - 강조색5 62 9" xfId="6909"/>
    <cellStyle name="40% - 강조색5 63" xfId="4636"/>
    <cellStyle name="40% - 강조색5 63 10" xfId="8152"/>
    <cellStyle name="40% - 강조색5 63 11" xfId="7608"/>
    <cellStyle name="40% - 강조색5 63 12" xfId="8992"/>
    <cellStyle name="40% - 강조색5 63 13" xfId="9119"/>
    <cellStyle name="40% - 강조색5 63 14" xfId="8809"/>
    <cellStyle name="40% - 강조색5 63 15" xfId="5314"/>
    <cellStyle name="40% - 강조색5 63 16" xfId="9337"/>
    <cellStyle name="40% - 강조색5 63 17" xfId="10570"/>
    <cellStyle name="40% - 강조색5 63 18" xfId="10842"/>
    <cellStyle name="40% - 강조색5 63 19" xfId="8960"/>
    <cellStyle name="40% - 강조색5 63 2" xfId="5810"/>
    <cellStyle name="40% - 강조색5 63 3" xfId="5892"/>
    <cellStyle name="40% - 강조색5 63 4" xfId="5951"/>
    <cellStyle name="40% - 강조색5 63 5" xfId="5982"/>
    <cellStyle name="40% - 강조색5 63 6" xfId="6642"/>
    <cellStyle name="40% - 강조색5 63 7" xfId="6992"/>
    <cellStyle name="40% - 강조색5 63 8" xfId="7341"/>
    <cellStyle name="40% - 강조색5 63 9" xfId="7718"/>
    <cellStyle name="40% - 강조색5 64" xfId="5142"/>
    <cellStyle name="40% - 강조색5 64 10" xfId="6141"/>
    <cellStyle name="40% - 강조색5 64 11" xfId="9823"/>
    <cellStyle name="40% - 강조색5 64 12" xfId="9483"/>
    <cellStyle name="40% - 강조색5 64 13" xfId="7478"/>
    <cellStyle name="40% - 강조색5 64 14" xfId="10183"/>
    <cellStyle name="40% - 강조색5 64 15" xfId="11152"/>
    <cellStyle name="40% - 강조색5 64 2" xfId="6660"/>
    <cellStyle name="40% - 강조색5 64 3" xfId="7110"/>
    <cellStyle name="40% - 강조색5 64 4" xfId="6750"/>
    <cellStyle name="40% - 강조색5 64 5" xfId="6440"/>
    <cellStyle name="40% - 강조색5 64 6" xfId="6387"/>
    <cellStyle name="40% - 강조색5 64 7" xfId="8521"/>
    <cellStyle name="40% - 강조색5 64 8" xfId="6482"/>
    <cellStyle name="40% - 강조색5 64 9" xfId="9088"/>
    <cellStyle name="40% - 강조색5 65" xfId="5362"/>
    <cellStyle name="40% - 강조색5 65 10" xfId="9702"/>
    <cellStyle name="40% - 강조색5 65 11" xfId="9799"/>
    <cellStyle name="40% - 강조색5 65 12" xfId="10376"/>
    <cellStyle name="40% - 강조색5 65 13" xfId="3454"/>
    <cellStyle name="40% - 강조색5 65 14" xfId="10909"/>
    <cellStyle name="40% - 강조색5 65 15" xfId="9669"/>
    <cellStyle name="40% - 강조색5 65 2" xfId="6668"/>
    <cellStyle name="40% - 강조색5 65 3" xfId="7101"/>
    <cellStyle name="40% - 강조색5 65 4" xfId="6987"/>
    <cellStyle name="40% - 강조색5 65 5" xfId="7541"/>
    <cellStyle name="40% - 강조색5 65 6" xfId="8041"/>
    <cellStyle name="40% - 강조색5 65 7" xfId="6232"/>
    <cellStyle name="40% - 강조색5 65 8" xfId="9008"/>
    <cellStyle name="40% - 강조색5 65 9" xfId="9213"/>
    <cellStyle name="40% - 강조색5 66" xfId="5568"/>
    <cellStyle name="40% - 강조색5 66 10" xfId="3608"/>
    <cellStyle name="40% - 강조색5 66 11" xfId="4608"/>
    <cellStyle name="40% - 강조색5 66 12" xfId="10206"/>
    <cellStyle name="40% - 강조색5 66 13" xfId="8144"/>
    <cellStyle name="40% - 강조색5 66 14" xfId="9219"/>
    <cellStyle name="40% - 강조색5 66 15" xfId="10865"/>
    <cellStyle name="40% - 강조색5 66 2" xfId="6680"/>
    <cellStyle name="40% - 강조색5 66 3" xfId="7289"/>
    <cellStyle name="40% - 강조색5 66 4" xfId="4175"/>
    <cellStyle name="40% - 강조색5 66 5" xfId="7513"/>
    <cellStyle name="40% - 강조색5 66 6" xfId="8223"/>
    <cellStyle name="40% - 강조색5 66 7" xfId="8459"/>
    <cellStyle name="40% - 강조색5 66 8" xfId="8997"/>
    <cellStyle name="40% - 강조색5 66 9" xfId="4601"/>
    <cellStyle name="40% - 강조색5 67" xfId="5795"/>
    <cellStyle name="40% - 강조색5 67 10" xfId="9668"/>
    <cellStyle name="40% - 강조색5 67 11" xfId="2578"/>
    <cellStyle name="40% - 강조색5 67 12" xfId="10193"/>
    <cellStyle name="40% - 강조색5 67 13" xfId="10526"/>
    <cellStyle name="40% - 강조색5 67 14" xfId="10839"/>
    <cellStyle name="40% - 강조색5 67 15" xfId="11208"/>
    <cellStyle name="40% - 강조색5 67 2" xfId="6689"/>
    <cellStyle name="40% - 강조색5 67 3" xfId="7312"/>
    <cellStyle name="40% - 강조색5 67 4" xfId="7116"/>
    <cellStyle name="40% - 강조색5 67 5" xfId="7857"/>
    <cellStyle name="40% - 강조색5 67 6" xfId="7904"/>
    <cellStyle name="40% - 강조색5 67 7" xfId="8613"/>
    <cellStyle name="40% - 강조색5 67 8" xfId="3472"/>
    <cellStyle name="40% - 강조색5 67 9" xfId="9365"/>
    <cellStyle name="40% - 강조색5 68" xfId="6508"/>
    <cellStyle name="40% - 강조색5 68 10" xfId="9930"/>
    <cellStyle name="40% - 강조색5 68 11" xfId="4467"/>
    <cellStyle name="40% - 강조색5 68 12" xfId="10695"/>
    <cellStyle name="40% - 강조색5 68 13" xfId="6385"/>
    <cellStyle name="40% - 강조색5 68 14" xfId="11211"/>
    <cellStyle name="40% - 강조색5 68 2" xfId="7356"/>
    <cellStyle name="40% - 강조색5 68 3" xfId="7383"/>
    <cellStyle name="40% - 강조색5 68 4" xfId="7872"/>
    <cellStyle name="40% - 강조색5 68 5" xfId="8035"/>
    <cellStyle name="40% - 강조색5 68 6" xfId="8584"/>
    <cellStyle name="40% - 강조색5 68 7" xfId="8941"/>
    <cellStyle name="40% - 강조색5 68 8" xfId="9326"/>
    <cellStyle name="40% - 강조색5 68 9" xfId="6284"/>
    <cellStyle name="40% - 강조색5 69" xfId="7073"/>
    <cellStyle name="40% - 강조색5 69 10" xfId="3499"/>
    <cellStyle name="40% - 강조색5 69 11" xfId="7643"/>
    <cellStyle name="40% - 강조색5 69 12" xfId="11118"/>
    <cellStyle name="40% - 강조색5 69 2" xfId="7882"/>
    <cellStyle name="40% - 강조색5 69 3" xfId="8276"/>
    <cellStyle name="40% - 강조색5 69 4" xfId="3135"/>
    <cellStyle name="40% - 강조색5 69 5" xfId="8909"/>
    <cellStyle name="40% - 강조색5 69 6" xfId="8765"/>
    <cellStyle name="40% - 강조색5 69 7" xfId="7621"/>
    <cellStyle name="40% - 강조색5 69 8" xfId="9972"/>
    <cellStyle name="40% - 강조색5 69 9" xfId="10219"/>
    <cellStyle name="40% - 강조색5 7" xfId="135"/>
    <cellStyle name="40% - 강조색5 70" xfId="7139"/>
    <cellStyle name="40% - 강조색5 70 10" xfId="10521"/>
    <cellStyle name="40% - 강조색5 70 11" xfId="10841"/>
    <cellStyle name="40% - 강조색5 70 12" xfId="9166"/>
    <cellStyle name="40% - 강조색5 70 2" xfId="7883"/>
    <cellStyle name="40% - 강조색5 70 3" xfId="8277"/>
    <cellStyle name="40% - 강조색5 70 4" xfId="8639"/>
    <cellStyle name="40% - 강조색5 70 5" xfId="8796"/>
    <cellStyle name="40% - 강조색5 70 6" xfId="9069"/>
    <cellStyle name="40% - 강조색5 70 7" xfId="6228"/>
    <cellStyle name="40% - 강조색5 70 8" xfId="6761"/>
    <cellStyle name="40% - 강조색5 70 9" xfId="10297"/>
    <cellStyle name="40% - 강조색5 71" xfId="7568"/>
    <cellStyle name="40% - 강조색5 71 10" xfId="10847"/>
    <cellStyle name="40% - 강조색5 71 11" xfId="7463"/>
    <cellStyle name="40% - 강조색5 71 2" xfId="8294"/>
    <cellStyle name="40% - 강조색5 71 3" xfId="8656"/>
    <cellStyle name="40% - 강조색5 71 4" xfId="9020"/>
    <cellStyle name="40% - 강조색5 71 5" xfId="9375"/>
    <cellStyle name="40% - 강조색5 71 6" xfId="9555"/>
    <cellStyle name="40% - 강조색5 71 7" xfId="9775"/>
    <cellStyle name="40% - 강조색5 71 8" xfId="9879"/>
    <cellStyle name="40% - 강조색5 71 9" xfId="10243"/>
    <cellStyle name="40% - 강조색5 72" xfId="8263"/>
    <cellStyle name="40% - 강조색5 72 10" xfId="8119"/>
    <cellStyle name="40% - 강조색5 72 2" xfId="8675"/>
    <cellStyle name="40% - 강조색5 72 3" xfId="9039"/>
    <cellStyle name="40% - 강조색5 72 4" xfId="9398"/>
    <cellStyle name="40% - 강조색5 72 5" xfId="9730"/>
    <cellStyle name="40% - 강조색5 72 6" xfId="4113"/>
    <cellStyle name="40% - 강조색5 72 7" xfId="5030"/>
    <cellStyle name="40% - 강조색5 72 8" xfId="7512"/>
    <cellStyle name="40% - 강조색5 72 9" xfId="903"/>
    <cellStyle name="40% - 강조색5 73" xfId="8614"/>
    <cellStyle name="40% - 강조색5 73 2" xfId="9044"/>
    <cellStyle name="40% - 강조색5 73 3" xfId="9403"/>
    <cellStyle name="40% - 강조색5 73 4" xfId="9735"/>
    <cellStyle name="40% - 강조색5 73 5" xfId="10061"/>
    <cellStyle name="40% - 강조색5 73 6" xfId="9652"/>
    <cellStyle name="40% - 강조색5 73 7" xfId="6402"/>
    <cellStyle name="40% - 강조색5 73 8" xfId="6364"/>
    <cellStyle name="40% - 강조색5 73 9" xfId="11096"/>
    <cellStyle name="40% - 강조색5 74" xfId="9007"/>
    <cellStyle name="40% - 강조색5 74 2" xfId="9416"/>
    <cellStyle name="40% - 강조색5 74 3" xfId="9748"/>
    <cellStyle name="40% - 강조색5 74 4" xfId="10074"/>
    <cellStyle name="40% - 강조색5 74 5" xfId="10387"/>
    <cellStyle name="40% - 강조색5 74 6" xfId="9202"/>
    <cellStyle name="40% - 강조색5 74 7" xfId="6434"/>
    <cellStyle name="40% - 강조색5 74 8" xfId="11261"/>
    <cellStyle name="40% - 강조색5 75" xfId="9379"/>
    <cellStyle name="40% - 강조색5 75 2" xfId="9757"/>
    <cellStyle name="40% - 강조색5 75 3" xfId="10083"/>
    <cellStyle name="40% - 강조색5 75 4" xfId="10396"/>
    <cellStyle name="40% - 강조색5 75 5" xfId="10705"/>
    <cellStyle name="40% - 강조색5 75 6" xfId="10889"/>
    <cellStyle name="40% - 강조색5 75 7" xfId="11113"/>
    <cellStyle name="40% - 강조색5 76" xfId="9720"/>
    <cellStyle name="40% - 강조색5 76 2" xfId="10090"/>
    <cellStyle name="40% - 강조색5 76 3" xfId="10404"/>
    <cellStyle name="40% - 강조색5 76 4" xfId="10714"/>
    <cellStyle name="40% - 강조색5 76 5" xfId="10997"/>
    <cellStyle name="40% - 강조색5 76 6" xfId="11195"/>
    <cellStyle name="40% - 강조색5 77" xfId="9807"/>
    <cellStyle name="40% - 강조색5 77 2" xfId="10406"/>
    <cellStyle name="40% - 강조색5 77 3" xfId="10716"/>
    <cellStyle name="40% - 강조색5 77 4" xfId="11000"/>
    <cellStyle name="40% - 강조색5 77 5" xfId="10619"/>
    <cellStyle name="40% - 강조색5 78" xfId="5503"/>
    <cellStyle name="40% - 강조색5 78 2" xfId="10606"/>
    <cellStyle name="40% - 강조색5 78 3" xfId="10796"/>
    <cellStyle name="40% - 강조색5 78 4" xfId="4611"/>
    <cellStyle name="40% - 강조색5 79" xfId="10682"/>
    <cellStyle name="40% - 강조색5 79 2" xfId="11022"/>
    <cellStyle name="40% - 강조색5 79 3" xfId="11300"/>
    <cellStyle name="40% - 강조색5 8" xfId="148"/>
    <cellStyle name="40% - 강조색5 80" xfId="10985"/>
    <cellStyle name="40% - 강조색5 80 2" xfId="11311"/>
    <cellStyle name="40% - 강조색5 81" xfId="11267"/>
    <cellStyle name="40% - 강조색5 82" xfId="565"/>
    <cellStyle name="40% - 강조색5 83" xfId="11343"/>
    <cellStyle name="40% - 강조색5 84" xfId="11348"/>
    <cellStyle name="40% - 강조색5 85" xfId="11359"/>
    <cellStyle name="40% - 강조색5 86" xfId="11447"/>
    <cellStyle name="40% - 강조색5 9" xfId="161"/>
    <cellStyle name="40% - 강조색6" xfId="42" builtinId="51" customBuiltin="1"/>
    <cellStyle name="40% - 강조색6 10" xfId="177"/>
    <cellStyle name="40% - 강조색6 11" xfId="190"/>
    <cellStyle name="40% - 강조색6 12" xfId="203"/>
    <cellStyle name="40% - 강조색6 13" xfId="216"/>
    <cellStyle name="40% - 강조색6 14" xfId="229"/>
    <cellStyle name="40% - 강조색6 15" xfId="242"/>
    <cellStyle name="40% - 강조색6 16" xfId="255"/>
    <cellStyle name="40% - 강조색6 17" xfId="268"/>
    <cellStyle name="40% - 강조색6 18" xfId="281"/>
    <cellStyle name="40% - 강조색6 19" xfId="294"/>
    <cellStyle name="40% - 강조색6 2" xfId="57"/>
    <cellStyle name="40% - 강조색6 20" xfId="307"/>
    <cellStyle name="40% - 강조색6 21" xfId="320"/>
    <cellStyle name="40% - 강조색6 22" xfId="333"/>
    <cellStyle name="40% - 강조색6 23" xfId="346"/>
    <cellStyle name="40% - 강조색6 24" xfId="359"/>
    <cellStyle name="40% - 강조색6 25" xfId="372"/>
    <cellStyle name="40% - 강조색6 26" xfId="385"/>
    <cellStyle name="40% - 강조색6 27" xfId="398"/>
    <cellStyle name="40% - 강조색6 28" xfId="411"/>
    <cellStyle name="40% - 강조색6 29" xfId="424"/>
    <cellStyle name="40% - 강조색6 3" xfId="89"/>
    <cellStyle name="40% - 강조색6 30" xfId="437"/>
    <cellStyle name="40% - 강조색6 31" xfId="449"/>
    <cellStyle name="40% - 강조색6 32" xfId="461"/>
    <cellStyle name="40% - 강조색6 33" xfId="473"/>
    <cellStyle name="40% - 강조색6 34" xfId="485"/>
    <cellStyle name="40% - 강조색6 35" xfId="496"/>
    <cellStyle name="40% - 강조색6 36" xfId="507"/>
    <cellStyle name="40% - 강조색6 37" xfId="518"/>
    <cellStyle name="40% - 강조색6 38" xfId="528"/>
    <cellStyle name="40% - 강조색6 39" xfId="536"/>
    <cellStyle name="40% - 강조색6 4" xfId="99"/>
    <cellStyle name="40% - 강조색6 40" xfId="556"/>
    <cellStyle name="40% - 강조색6 40 10" xfId="740"/>
    <cellStyle name="40% - 강조색6 40 11" xfId="2101"/>
    <cellStyle name="40% - 강조색6 40 12" xfId="891"/>
    <cellStyle name="40% - 강조색6 40 13" xfId="4242"/>
    <cellStyle name="40% - 강조색6 40 14" xfId="4679"/>
    <cellStyle name="40% - 강조색6 40 15" xfId="3944"/>
    <cellStyle name="40% - 강조색6 40 16" xfId="3066"/>
    <cellStyle name="40% - 강조색6 40 17" xfId="4853"/>
    <cellStyle name="40% - 강조색6 40 18" xfId="5721"/>
    <cellStyle name="40% - 강조색6 40 19" xfId="6432"/>
    <cellStyle name="40% - 강조색6 40 2" xfId="604"/>
    <cellStyle name="40% - 강조색6 40 20" xfId="7078"/>
    <cellStyle name="40% - 강조색6 40 21" xfId="7185"/>
    <cellStyle name="40% - 강조색6 40 22" xfId="5336"/>
    <cellStyle name="40% - 강조색6 40 23" xfId="3828"/>
    <cellStyle name="40% - 강조색6 40 24" xfId="6006"/>
    <cellStyle name="40% - 강조색6 40 25" xfId="4261"/>
    <cellStyle name="40% - 강조색6 40 26" xfId="3522"/>
    <cellStyle name="40% - 강조색6 40 27" xfId="3104"/>
    <cellStyle name="40% - 강조색6 40 28" xfId="8492"/>
    <cellStyle name="40% - 강조색6 40 29" xfId="10334"/>
    <cellStyle name="40% - 강조색6 40 3" xfId="1015"/>
    <cellStyle name="40% - 강조색6 40 30" xfId="4642"/>
    <cellStyle name="40% - 강조색6 40 31" xfId="10925"/>
    <cellStyle name="40% - 강조색6 40 32" xfId="2248"/>
    <cellStyle name="40% - 강조색6 40 33" xfId="11326"/>
    <cellStyle name="40% - 강조색6 40 34" xfId="572"/>
    <cellStyle name="40% - 강조색6 40 35" xfId="11409"/>
    <cellStyle name="40% - 강조색6 40 36" xfId="570"/>
    <cellStyle name="40% - 강조색6 40 4" xfId="1279"/>
    <cellStyle name="40% - 강조색6 40 5" xfId="1666"/>
    <cellStyle name="40% - 강조색6 40 6" xfId="993"/>
    <cellStyle name="40% - 강조색6 40 7" xfId="2205"/>
    <cellStyle name="40% - 강조색6 40 8" xfId="2637"/>
    <cellStyle name="40% - 강조색6 40 9" xfId="2987"/>
    <cellStyle name="40% - 강조색6 41" xfId="637"/>
    <cellStyle name="40% - 강조색6 41 10" xfId="3305"/>
    <cellStyle name="40% - 강조색6 41 11" xfId="2553"/>
    <cellStyle name="40% - 강조색6 41 12" xfId="1824"/>
    <cellStyle name="40% - 강조색6 41 13" xfId="4072"/>
    <cellStyle name="40% - 강조색6 41 14" xfId="4729"/>
    <cellStyle name="40% - 강조색6 41 15" xfId="5199"/>
    <cellStyle name="40% - 강조색6 41 16" xfId="2125"/>
    <cellStyle name="40% - 강조색6 41 17" xfId="5787"/>
    <cellStyle name="40% - 강조색6 41 18" xfId="5877"/>
    <cellStyle name="40% - 강조색6 41 19" xfId="2844"/>
    <cellStyle name="40% - 강조색6 41 2" xfId="1140"/>
    <cellStyle name="40% - 강조색6 41 20" xfId="7201"/>
    <cellStyle name="40% - 강조색6 41 21" xfId="742"/>
    <cellStyle name="40% - 강조색6 41 22" xfId="6832"/>
    <cellStyle name="40% - 강조색6 41 23" xfId="8264"/>
    <cellStyle name="40% - 강조색6 41 24" xfId="2840"/>
    <cellStyle name="40% - 강조색6 41 25" xfId="7449"/>
    <cellStyle name="40% - 강조색6 41 26" xfId="9102"/>
    <cellStyle name="40% - 강조색6 41 27" xfId="7453"/>
    <cellStyle name="40% - 강조색6 41 28" xfId="1887"/>
    <cellStyle name="40% - 강조색6 41 29" xfId="10265"/>
    <cellStyle name="40% - 강조색6 41 3" xfId="1220"/>
    <cellStyle name="40% - 강조색6 41 30" xfId="6253"/>
    <cellStyle name="40% - 강조색6 41 31" xfId="10837"/>
    <cellStyle name="40% - 강조색6 41 32" xfId="9154"/>
    <cellStyle name="40% - 강조색6 41 4" xfId="1312"/>
    <cellStyle name="40% - 강조색6 41 5" xfId="1745"/>
    <cellStyle name="40% - 강조색6 41 6" xfId="2055"/>
    <cellStyle name="40% - 강조색6 41 7" xfId="2224"/>
    <cellStyle name="40% - 강조색6 41 8" xfId="2661"/>
    <cellStyle name="40% - 강조색6 41 9" xfId="1911"/>
    <cellStyle name="40% - 강조색6 42" xfId="627"/>
    <cellStyle name="40% - 강조색6 42 10" xfId="3342"/>
    <cellStyle name="40% - 강조색6 42 11" xfId="3661"/>
    <cellStyle name="40% - 강조색6 42 12" xfId="4018"/>
    <cellStyle name="40% - 강조색6 42 13" xfId="1948"/>
    <cellStyle name="40% - 강조색6 42 14" xfId="4510"/>
    <cellStyle name="40% - 강조색6 42 15" xfId="5288"/>
    <cellStyle name="40% - 강조색6 42 16" xfId="5783"/>
    <cellStyle name="40% - 강조색6 42 17" xfId="5873"/>
    <cellStyle name="40% - 강조색6 42 18" xfId="5940"/>
    <cellStyle name="40% - 강조색6 42 19" xfId="6462"/>
    <cellStyle name="40% - 강조색6 42 2" xfId="1130"/>
    <cellStyle name="40% - 강조색6 42 20" xfId="6887"/>
    <cellStyle name="40% - 강조색6 42 21" xfId="7252"/>
    <cellStyle name="40% - 강조색6 42 22" xfId="7468"/>
    <cellStyle name="40% - 강조색6 42 23" xfId="8204"/>
    <cellStyle name="40% - 강조색6 42 24" xfId="8353"/>
    <cellStyle name="40% - 강조색6 42 25" xfId="8411"/>
    <cellStyle name="40% - 강조색6 42 26" xfId="7807"/>
    <cellStyle name="40% - 강조색6 42 27" xfId="9525"/>
    <cellStyle name="40% - 강조색6 42 28" xfId="9777"/>
    <cellStyle name="40% - 강조색6 42 29" xfId="10348"/>
    <cellStyle name="40% - 강조색6 42 3" xfId="1210"/>
    <cellStyle name="40% - 강조색6 42 30" xfId="10414"/>
    <cellStyle name="40% - 강조색6 42 31" xfId="10866"/>
    <cellStyle name="40% - 강조색6 42 32" xfId="11091"/>
    <cellStyle name="40% - 강조색6 42 4" xfId="1302"/>
    <cellStyle name="40% - 강조색6 42 5" xfId="1766"/>
    <cellStyle name="40% - 강조색6 42 6" xfId="972"/>
    <cellStyle name="40% - 강조색6 42 7" xfId="764"/>
    <cellStyle name="40% - 강조색6 42 8" xfId="1437"/>
    <cellStyle name="40% - 강조색6 42 9" xfId="2988"/>
    <cellStyle name="40% - 강조색6 43" xfId="636"/>
    <cellStyle name="40% - 강조색6 43 10" xfId="3105"/>
    <cellStyle name="40% - 강조색6 43 11" xfId="3649"/>
    <cellStyle name="40% - 강조색6 43 12" xfId="4009"/>
    <cellStyle name="40% - 강조색6 43 13" xfId="4236"/>
    <cellStyle name="40% - 강조색6 43 14" xfId="4643"/>
    <cellStyle name="40% - 강조색6 43 15" xfId="5377"/>
    <cellStyle name="40% - 강조색6 43 16" xfId="3051"/>
    <cellStyle name="40% - 강조색6 43 17" xfId="4980"/>
    <cellStyle name="40% - 강조색6 43 18" xfId="5357"/>
    <cellStyle name="40% - 강조색6 43 19" xfId="6218"/>
    <cellStyle name="40% - 강조색6 43 2" xfId="1139"/>
    <cellStyle name="40% - 강조색6 43 20" xfId="4491"/>
    <cellStyle name="40% - 강조색6 43 21" xfId="7253"/>
    <cellStyle name="40% - 강조색6 43 22" xfId="6437"/>
    <cellStyle name="40% - 강조색6 43 23" xfId="7967"/>
    <cellStyle name="40% - 강조색6 43 24" xfId="713"/>
    <cellStyle name="40% - 강조색6 43 25" xfId="6108"/>
    <cellStyle name="40% - 강조색6 43 26" xfId="9251"/>
    <cellStyle name="40% - 강조색6 43 27" xfId="9721"/>
    <cellStyle name="40% - 강조색6 43 28" xfId="4459"/>
    <cellStyle name="40% - 강조색6 43 29" xfId="8724"/>
    <cellStyle name="40% - 강조색6 43 3" xfId="1219"/>
    <cellStyle name="40% - 강조색6 43 30" xfId="8876"/>
    <cellStyle name="40% - 강조색6 43 31" xfId="10929"/>
    <cellStyle name="40% - 강조색6 43 32" xfId="7527"/>
    <cellStyle name="40% - 강조색6 43 4" xfId="1311"/>
    <cellStyle name="40% - 강조색6 43 5" xfId="1702"/>
    <cellStyle name="40% - 강조색6 43 6" xfId="971"/>
    <cellStyle name="40% - 강조색6 43 7" xfId="1593"/>
    <cellStyle name="40% - 강조색6 43 8" xfId="2602"/>
    <cellStyle name="40% - 강조색6 43 9" xfId="2996"/>
    <cellStyle name="40% - 강조색6 44" xfId="669"/>
    <cellStyle name="40% - 강조색6 44 10" xfId="2099"/>
    <cellStyle name="40% - 강조색6 44 11" xfId="3390"/>
    <cellStyle name="40% - 강조색6 44 12" xfId="3941"/>
    <cellStyle name="40% - 강조색6 44 13" xfId="4290"/>
    <cellStyle name="40% - 강조색6 44 14" xfId="3230"/>
    <cellStyle name="40% - 강조색6 44 15" xfId="3933"/>
    <cellStyle name="40% - 강조색6 44 16" xfId="5052"/>
    <cellStyle name="40% - 강조색6 44 17" xfId="5107"/>
    <cellStyle name="40% - 강조색6 44 18" xfId="5224"/>
    <cellStyle name="40% - 강조색6 44 19" xfId="3175"/>
    <cellStyle name="40% - 강조색6 44 2" xfId="1172"/>
    <cellStyle name="40% - 강조색6 44 20" xfId="7143"/>
    <cellStyle name="40% - 강조색6 44 21" xfId="7287"/>
    <cellStyle name="40% - 강조색6 44 22" xfId="7641"/>
    <cellStyle name="40% - 강조색6 44 23" xfId="7485"/>
    <cellStyle name="40% - 강조색6 44 24" xfId="3094"/>
    <cellStyle name="40% - 강조색6 44 25" xfId="8232"/>
    <cellStyle name="40% - 강조색6 44 26" xfId="6216"/>
    <cellStyle name="40% - 강조색6 44 27" xfId="9593"/>
    <cellStyle name="40% - 강조색6 44 28" xfId="10043"/>
    <cellStyle name="40% - 강조색6 44 29" xfId="3323"/>
    <cellStyle name="40% - 강조색6 44 3" xfId="1252"/>
    <cellStyle name="40% - 강조색6 44 30" xfId="10561"/>
    <cellStyle name="40% - 강조색6 44 31" xfId="10763"/>
    <cellStyle name="40% - 강조색6 44 32" xfId="2885"/>
    <cellStyle name="40% - 강조색6 44 4" xfId="1344"/>
    <cellStyle name="40% - 강조색6 44 5" xfId="1772"/>
    <cellStyle name="40% - 강조색6 44 6" xfId="720"/>
    <cellStyle name="40% - 강조색6 44 7" xfId="1541"/>
    <cellStyle name="40% - 강조색6 44 8" xfId="2644"/>
    <cellStyle name="40% - 강조색6 44 9" xfId="1554"/>
    <cellStyle name="40% - 강조색6 45" xfId="621"/>
    <cellStyle name="40% - 강조색6 45 10" xfId="2790"/>
    <cellStyle name="40% - 강조색6 45 11" xfId="3684"/>
    <cellStyle name="40% - 강조색6 45 12" xfId="4035"/>
    <cellStyle name="40% - 강조색6 45 13" xfId="760"/>
    <cellStyle name="40% - 강조색6 45 14" xfId="4484"/>
    <cellStyle name="40% - 강조색6 45 15" xfId="2174"/>
    <cellStyle name="40% - 강조색6 45 16" xfId="4848"/>
    <cellStyle name="40% - 강조색6 45 17" xfId="4579"/>
    <cellStyle name="40% - 강조색6 45 18" xfId="4537"/>
    <cellStyle name="40% - 강조색6 45 19" xfId="4874"/>
    <cellStyle name="40% - 강조색6 45 2" xfId="1124"/>
    <cellStyle name="40% - 강조색6 45 20" xfId="6717"/>
    <cellStyle name="40% - 강조색6 45 21" xfId="6880"/>
    <cellStyle name="40% - 강조색6 45 22" xfId="4533"/>
    <cellStyle name="40% - 강조색6 45 23" xfId="8229"/>
    <cellStyle name="40% - 강조색6 45 24" xfId="8442"/>
    <cellStyle name="40% - 강조색6 45 25" xfId="4511"/>
    <cellStyle name="40% - 강조색6 45 26" xfId="9079"/>
    <cellStyle name="40% - 강조색6 45 27" xfId="4120"/>
    <cellStyle name="40% - 강조색6 45 28" xfId="2507"/>
    <cellStyle name="40% - 강조색6 45 29" xfId="10345"/>
    <cellStyle name="40% - 강조색6 45 3" xfId="1204"/>
    <cellStyle name="40% - 강조색6 45 30" xfId="9940"/>
    <cellStyle name="40% - 강조색6 45 31" xfId="9417"/>
    <cellStyle name="40% - 강조색6 45 32" xfId="6209"/>
    <cellStyle name="40% - 강조색6 45 4" xfId="1296"/>
    <cellStyle name="40% - 강조색6 45 5" xfId="1765"/>
    <cellStyle name="40% - 강조색6 45 6" xfId="1514"/>
    <cellStyle name="40% - 강조색6 45 7" xfId="835"/>
    <cellStyle name="40% - 강조색6 45 8" xfId="1839"/>
    <cellStyle name="40% - 강조색6 45 9" xfId="2810"/>
    <cellStyle name="40% - 강조색6 46" xfId="664"/>
    <cellStyle name="40% - 강조색6 46 10" xfId="3192"/>
    <cellStyle name="40% - 강조색6 46 11" xfId="1903"/>
    <cellStyle name="40% - 강조색6 46 12" xfId="2464"/>
    <cellStyle name="40% - 강조색6 46 13" xfId="4318"/>
    <cellStyle name="40% - 강조색6 46 14" xfId="4744"/>
    <cellStyle name="40% - 강조색6 46 15" xfId="4303"/>
    <cellStyle name="40% - 강조색6 46 16" xfId="5223"/>
    <cellStyle name="40% - 강조색6 46 17" xfId="5562"/>
    <cellStyle name="40% - 강조색6 46 18" xfId="5051"/>
    <cellStyle name="40% - 강조색6 46 19" xfId="6237"/>
    <cellStyle name="40% - 강조색6 46 2" xfId="1167"/>
    <cellStyle name="40% - 강조색6 46 20" xfId="7202"/>
    <cellStyle name="40% - 강조색6 46 21" xfId="2713"/>
    <cellStyle name="40% - 강조색6 46 22" xfId="2747"/>
    <cellStyle name="40% - 강조색6 46 23" xfId="3607"/>
    <cellStyle name="40% - 강조색6 46 24" xfId="4514"/>
    <cellStyle name="40% - 강조색6 46 25" xfId="8865"/>
    <cellStyle name="40% - 강조색6 46 26" xfId="8938"/>
    <cellStyle name="40% - 강조색6 46 27" xfId="7679"/>
    <cellStyle name="40% - 강조색6 46 28" xfId="2163"/>
    <cellStyle name="40% - 강조색6 46 29" xfId="10214"/>
    <cellStyle name="40% - 강조색6 46 3" xfId="1247"/>
    <cellStyle name="40% - 강조색6 46 30" xfId="8307"/>
    <cellStyle name="40% - 강조색6 46 31" xfId="8951"/>
    <cellStyle name="40% - 강조색6 46 32" xfId="7769"/>
    <cellStyle name="40% - 강조색6 46 4" xfId="1339"/>
    <cellStyle name="40% - 강조색6 46 5" xfId="1707"/>
    <cellStyle name="40% - 강조색6 46 6" xfId="1429"/>
    <cellStyle name="40% - 강조색6 46 7" xfId="990"/>
    <cellStyle name="40% - 강조색6 46 8" xfId="2601"/>
    <cellStyle name="40% - 강조색6 46 9" xfId="2827"/>
    <cellStyle name="40% - 강조색6 47" xfId="573"/>
    <cellStyle name="40% - 강조색6 47 10" xfId="4307"/>
    <cellStyle name="40% - 강조색6 47 11" xfId="4664"/>
    <cellStyle name="40% - 강조색6 47 12" xfId="5137"/>
    <cellStyle name="40% - 강조색6 47 13" xfId="5634"/>
    <cellStyle name="40% - 강조색6 47 14" xfId="3949"/>
    <cellStyle name="40% - 강조색6 47 15" xfId="5085"/>
    <cellStyle name="40% - 강조색6 47 16" xfId="6593"/>
    <cellStyle name="40% - 강조색6 47 17" xfId="7257"/>
    <cellStyle name="40% - 강조색6 47 18" xfId="7075"/>
    <cellStyle name="40% - 강조색6 47 19" xfId="2757"/>
    <cellStyle name="40% - 강조색6 47 2" xfId="1057"/>
    <cellStyle name="40% - 강조색6 47 20" xfId="8267"/>
    <cellStyle name="40% - 강조색6 47 21" xfId="8541"/>
    <cellStyle name="40% - 강조색6 47 22" xfId="8775"/>
    <cellStyle name="40% - 강조색6 47 23" xfId="9153"/>
    <cellStyle name="40% - 강조색6 47 24" xfId="3118"/>
    <cellStyle name="40% - 강조색6 47 25" xfId="1611"/>
    <cellStyle name="40% - 강조색6 47 26" xfId="4607"/>
    <cellStyle name="40% - 강조색6 47 27" xfId="10196"/>
    <cellStyle name="40% - 강조색6 47 28" xfId="10797"/>
    <cellStyle name="40% - 강조색6 47 29" xfId="11168"/>
    <cellStyle name="40% - 강조색6 47 3" xfId="2009"/>
    <cellStyle name="40% - 강조색6 47 30" xfId="11331"/>
    <cellStyle name="40% - 강조색6 47 31" xfId="11419"/>
    <cellStyle name="40% - 강조색6 47 32" xfId="11369"/>
    <cellStyle name="40% - 강조색6 47 33" xfId="11421"/>
    <cellStyle name="40% - 강조색6 47 4" xfId="2353"/>
    <cellStyle name="40% - 강조색6 47 5" xfId="931"/>
    <cellStyle name="40% - 강조색6 47 6" xfId="2475"/>
    <cellStyle name="40% - 강조색6 47 7" xfId="3139"/>
    <cellStyle name="40% - 강조색6 47 8" xfId="3565"/>
    <cellStyle name="40% - 강조색6 47 9" xfId="3928"/>
    <cellStyle name="40% - 강조색6 48" xfId="1079"/>
    <cellStyle name="40% - 강조색6 48 10" xfId="4373"/>
    <cellStyle name="40% - 강조색6 48 11" xfId="3963"/>
    <cellStyle name="40% - 강조색6 48 12" xfId="5345"/>
    <cellStyle name="40% - 강조색6 48 13" xfId="4842"/>
    <cellStyle name="40% - 강조색6 48 14" xfId="5719"/>
    <cellStyle name="40% - 강조색6 48 15" xfId="5015"/>
    <cellStyle name="40% - 강조색6 48 16" xfId="6350"/>
    <cellStyle name="40% - 강조색6 48 17" xfId="6727"/>
    <cellStyle name="40% - 강조색6 48 18" xfId="6442"/>
    <cellStyle name="40% - 강조색6 48 19" xfId="7754"/>
    <cellStyle name="40% - 강조색6 48 2" xfId="1779"/>
    <cellStyle name="40% - 강조색6 48 20" xfId="7533"/>
    <cellStyle name="40% - 강조색6 48 21" xfId="8313"/>
    <cellStyle name="40% - 강조색6 48 22" xfId="8895"/>
    <cellStyle name="40% - 강조색6 48 23" xfId="9199"/>
    <cellStyle name="40% - 강조색6 48 24" xfId="9454"/>
    <cellStyle name="40% - 강조색6 48 25" xfId="9921"/>
    <cellStyle name="40% - 강조색6 48 26" xfId="6248"/>
    <cellStyle name="40% - 강조색6 48 27" xfId="6005"/>
    <cellStyle name="40% - 강조색6 48 28" xfId="10113"/>
    <cellStyle name="40% - 강조색6 48 29" xfId="9797"/>
    <cellStyle name="40% - 강조색6 48 3" xfId="1568"/>
    <cellStyle name="40% - 강조색6 48 4" xfId="2212"/>
    <cellStyle name="40% - 강조색6 48 5" xfId="2548"/>
    <cellStyle name="40% - 강조색6 48 6" xfId="2165"/>
    <cellStyle name="40% - 강조색6 48 7" xfId="3108"/>
    <cellStyle name="40% - 강조색6 48 8" xfId="964"/>
    <cellStyle name="40% - 강조색6 48 9" xfId="3074"/>
    <cellStyle name="40% - 강조색6 49" xfId="1074"/>
    <cellStyle name="40% - 강조색6 49 10" xfId="2447"/>
    <cellStyle name="40% - 강조색6 49 11" xfId="4650"/>
    <cellStyle name="40% - 강조색6 49 12" xfId="5155"/>
    <cellStyle name="40% - 강조색6 49 13" xfId="4945"/>
    <cellStyle name="40% - 강조색6 49 14" xfId="5259"/>
    <cellStyle name="40% - 강조색6 49 15" xfId="4889"/>
    <cellStyle name="40% - 강조색6 49 16" xfId="6578"/>
    <cellStyle name="40% - 강조색6 49 17" xfId="7254"/>
    <cellStyle name="40% - 강조색6 49 18" xfId="7099"/>
    <cellStyle name="40% - 강조색6 49 19" xfId="7782"/>
    <cellStyle name="40% - 강조색6 49 2" xfId="1770"/>
    <cellStyle name="40% - 강조색6 49 20" xfId="7909"/>
    <cellStyle name="40% - 강조색6 49 21" xfId="8554"/>
    <cellStyle name="40% - 강조색6 49 22" xfId="8977"/>
    <cellStyle name="40% - 강조색6 49 23" xfId="9215"/>
    <cellStyle name="40% - 강조색6 49 24" xfId="9533"/>
    <cellStyle name="40% - 강조색6 49 25" xfId="8968"/>
    <cellStyle name="40% - 강조색6 49 26" xfId="7997"/>
    <cellStyle name="40% - 강조색6 49 27" xfId="4546"/>
    <cellStyle name="40% - 강조색6 49 28" xfId="10927"/>
    <cellStyle name="40% - 강조색6 49 29" xfId="11084"/>
    <cellStyle name="40% - 강조색6 49 3" xfId="1438"/>
    <cellStyle name="40% - 강조색6 49 4" xfId="789"/>
    <cellStyle name="40% - 강조색6 49 5" xfId="1884"/>
    <cellStyle name="40% - 강조색6 49 6" xfId="2957"/>
    <cellStyle name="40% - 강조색6 49 7" xfId="3165"/>
    <cellStyle name="40% - 강조색6 49 8" xfId="1899"/>
    <cellStyle name="40% - 강조색6 49 9" xfId="3970"/>
    <cellStyle name="40% - 강조색6 5" xfId="112"/>
    <cellStyle name="40% - 강조색6 50" xfId="1036"/>
    <cellStyle name="40% - 강조색6 50 10" xfId="4257"/>
    <cellStyle name="40% - 강조색6 50 11" xfId="4482"/>
    <cellStyle name="40% - 강조색6 50 12" xfId="5372"/>
    <cellStyle name="40% - 강조색6 50 13" xfId="4162"/>
    <cellStyle name="40% - 강조색6 50 14" xfId="4957"/>
    <cellStyle name="40% - 강조색6 50 15" xfId="5754"/>
    <cellStyle name="40% - 강조색6 50 16" xfId="6586"/>
    <cellStyle name="40% - 강조색6 50 17" xfId="7102"/>
    <cellStyle name="40% - 강조색6 50 18" xfId="3415"/>
    <cellStyle name="40% - 강조색6 50 19" xfId="7669"/>
    <cellStyle name="40% - 강조색6 50 2" xfId="1695"/>
    <cellStyle name="40% - 강조색6 50 20" xfId="6787"/>
    <cellStyle name="40% - 강조색6 50 21" xfId="8012"/>
    <cellStyle name="40% - 강조색6 50 22" xfId="8737"/>
    <cellStyle name="40% - 강조색6 50 23" xfId="9363"/>
    <cellStyle name="40% - 강조색6 50 24" xfId="9575"/>
    <cellStyle name="40% - 강조색6 50 25" xfId="4202"/>
    <cellStyle name="40% - 강조색6 50 26" xfId="10314"/>
    <cellStyle name="40% - 강조색6 50 27" xfId="10550"/>
    <cellStyle name="40% - 강조색6 50 28" xfId="10949"/>
    <cellStyle name="40% - 강조색6 50 29" xfId="11178"/>
    <cellStyle name="40% - 강조색6 50 3" xfId="1436"/>
    <cellStyle name="40% - 강조색6 50 4" xfId="2271"/>
    <cellStyle name="40% - 강조색6 50 5" xfId="2683"/>
    <cellStyle name="40% - 강조색6 50 6" xfId="1952"/>
    <cellStyle name="40% - 강조색6 50 7" xfId="3302"/>
    <cellStyle name="40% - 강조색6 50 8" xfId="3597"/>
    <cellStyle name="40% - 강조색6 50 9" xfId="3734"/>
    <cellStyle name="40% - 강조색6 51" xfId="1052"/>
    <cellStyle name="40% - 강조색6 51 10" xfId="4074"/>
    <cellStyle name="40% - 강조색6 51 11" xfId="4532"/>
    <cellStyle name="40% - 강조색6 51 12" xfId="5368"/>
    <cellStyle name="40% - 강조색6 51 13" xfId="5421"/>
    <cellStyle name="40% - 강조색6 51 14" xfId="5367"/>
    <cellStyle name="40% - 강조색6 51 15" xfId="4148"/>
    <cellStyle name="40% - 강조색6 51 16" xfId="692"/>
    <cellStyle name="40% - 강조색6 51 17" xfId="1553"/>
    <cellStyle name="40% - 강조색6 51 18" xfId="6730"/>
    <cellStyle name="40% - 강조색6 51 19" xfId="3412"/>
    <cellStyle name="40% - 강조색6 51 2" xfId="1729"/>
    <cellStyle name="40% - 강조색6 51 20" xfId="4632"/>
    <cellStyle name="40% - 강조색6 51 21" xfId="2816"/>
    <cellStyle name="40% - 강조색6 51 22" xfId="9004"/>
    <cellStyle name="40% - 강조색6 51 23" xfId="8961"/>
    <cellStyle name="40% - 강조색6 51 24" xfId="9506"/>
    <cellStyle name="40% - 강조색6 51 25" xfId="9970"/>
    <cellStyle name="40% - 강조색6 51 26" xfId="6422"/>
    <cellStyle name="40% - 강조색6 51 27" xfId="9437"/>
    <cellStyle name="40% - 강조색6 51 28" xfId="10986"/>
    <cellStyle name="40% - 강조색6 51 29" xfId="11224"/>
    <cellStyle name="40% - 강조색6 51 3" xfId="937"/>
    <cellStyle name="40% - 강조색6 51 4" xfId="2092"/>
    <cellStyle name="40% - 강조색6 51 5" xfId="1620"/>
    <cellStyle name="40% - 강조색6 51 6" xfId="2887"/>
    <cellStyle name="40% - 강조색6 51 7" xfId="873"/>
    <cellStyle name="40% - 강조색6 51 8" xfId="2388"/>
    <cellStyle name="40% - 강조색6 51 9" xfId="3834"/>
    <cellStyle name="40% - 강조색6 52" xfId="1072"/>
    <cellStyle name="40% - 강조색6 52 10" xfId="2396"/>
    <cellStyle name="40% - 강조색6 52 11" xfId="2203"/>
    <cellStyle name="40% - 강조색6 52 12" xfId="2455"/>
    <cellStyle name="40% - 강조색6 52 13" xfId="5352"/>
    <cellStyle name="40% - 강조색6 52 14" xfId="5679"/>
    <cellStyle name="40% - 강조색6 52 15" xfId="2408"/>
    <cellStyle name="40% - 강조색6 52 16" xfId="6548"/>
    <cellStyle name="40% - 강조색6 52 17" xfId="6865"/>
    <cellStyle name="40% - 강조색6 52 18" xfId="3759"/>
    <cellStyle name="40% - 강조색6 52 19" xfId="4126"/>
    <cellStyle name="40% - 강조색6 52 2" xfId="1764"/>
    <cellStyle name="40% - 강조색6 52 20" xfId="4471"/>
    <cellStyle name="40% - 강조색6 52 21" xfId="1981"/>
    <cellStyle name="40% - 강조색6 52 22" xfId="8923"/>
    <cellStyle name="40% - 강조색6 52 23" xfId="4596"/>
    <cellStyle name="40% - 강조색6 52 24" xfId="8126"/>
    <cellStyle name="40% - 강조색6 52 25" xfId="9114"/>
    <cellStyle name="40% - 강조색6 52 26" xfId="10367"/>
    <cellStyle name="40% - 강조색6 52 27" xfId="3149"/>
    <cellStyle name="40% - 강조색6 52 28" xfId="4492"/>
    <cellStyle name="40% - 강조색6 52 29" xfId="11046"/>
    <cellStyle name="40% - 강조색6 52 3" xfId="1394"/>
    <cellStyle name="40% - 강조색6 52 4" xfId="2253"/>
    <cellStyle name="40% - 강조색6 52 5" xfId="1885"/>
    <cellStyle name="40% - 강조색6 52 6" xfId="2922"/>
    <cellStyle name="40% - 강조색6 52 7" xfId="3296"/>
    <cellStyle name="40% - 강조색6 52 8" xfId="3481"/>
    <cellStyle name="40% - 강조색6 52 9" xfId="3993"/>
    <cellStyle name="40% - 강조색6 53" xfId="1103"/>
    <cellStyle name="40% - 강조색6 53 10" xfId="2110"/>
    <cellStyle name="40% - 강조색6 53 11" xfId="4688"/>
    <cellStyle name="40% - 강조색6 53 12" xfId="5515"/>
    <cellStyle name="40% - 강조색6 53 13" xfId="2755"/>
    <cellStyle name="40% - 강조색6 53 14" xfId="2580"/>
    <cellStyle name="40% - 강조색6 53 15" xfId="5040"/>
    <cellStyle name="40% - 강조색6 53 16" xfId="6251"/>
    <cellStyle name="40% - 강조색6 53 17" xfId="3738"/>
    <cellStyle name="40% - 강조색6 53 18" xfId="7016"/>
    <cellStyle name="40% - 강조색6 53 19" xfId="7727"/>
    <cellStyle name="40% - 강조색6 53 2" xfId="1816"/>
    <cellStyle name="40% - 강조색6 53 20" xfId="1388"/>
    <cellStyle name="40% - 강조색6 53 21" xfId="8628"/>
    <cellStyle name="40% - 강조색6 53 22" xfId="4946"/>
    <cellStyle name="40% - 강조색6 53 23" xfId="9149"/>
    <cellStyle name="40% - 강조색6 53 24" xfId="6912"/>
    <cellStyle name="40% - 강조색6 53 25" xfId="9852"/>
    <cellStyle name="40% - 강조색6 53 26" xfId="9452"/>
    <cellStyle name="40% - 강조색6 53 27" xfId="6178"/>
    <cellStyle name="40% - 강조색6 53 28" xfId="10898"/>
    <cellStyle name="40% - 강조색6 53 29" xfId="11103"/>
    <cellStyle name="40% - 강조색6 53 3" xfId="701"/>
    <cellStyle name="40% - 강조색6 53 4" xfId="1534"/>
    <cellStyle name="40% - 강조색6 53 5" xfId="696"/>
    <cellStyle name="40% - 강조색6 53 6" xfId="2387"/>
    <cellStyle name="40% - 강조색6 53 7" xfId="3081"/>
    <cellStyle name="40% - 강조색6 53 8" xfId="3682"/>
    <cellStyle name="40% - 강조색6 53 9" xfId="3855"/>
    <cellStyle name="40% - 강조색6 54" xfId="1446"/>
    <cellStyle name="40% - 강조색6 54 10" xfId="4682"/>
    <cellStyle name="40% - 강조색6 54 11" xfId="4826"/>
    <cellStyle name="40% - 강조색6 54 12" xfId="5836"/>
    <cellStyle name="40% - 강조색6 54 13" xfId="5913"/>
    <cellStyle name="40% - 강조색6 54 14" xfId="5969"/>
    <cellStyle name="40% - 강조색6 54 15" xfId="2132"/>
    <cellStyle name="40% - 강조색6 54 16" xfId="6707"/>
    <cellStyle name="40% - 강조색6 54 17" xfId="6835"/>
    <cellStyle name="40% - 강조색6 54 18" xfId="7775"/>
    <cellStyle name="40% - 강조색6 54 19" xfId="8218"/>
    <cellStyle name="40% - 강조색6 54 2" xfId="2081"/>
    <cellStyle name="40% - 강조색6 54 20" xfId="7012"/>
    <cellStyle name="40% - 강조색6 54 21" xfId="8932"/>
    <cellStyle name="40% - 강조색6 54 22" xfId="9380"/>
    <cellStyle name="40% - 강조색6 54 23" xfId="6522"/>
    <cellStyle name="40% - 강조색6 54 24" xfId="2167"/>
    <cellStyle name="40% - 강조색6 54 25" xfId="7491"/>
    <cellStyle name="40% - 강조색6 54 26" xfId="10677"/>
    <cellStyle name="40% - 강조색6 54 27" xfId="9580"/>
    <cellStyle name="40% - 강조색6 54 28" xfId="11204"/>
    <cellStyle name="40% - 강조색6 54 3" xfId="2363"/>
    <cellStyle name="40% - 강조색6 54 4" xfId="2607"/>
    <cellStyle name="40% - 강조색6 54 5" xfId="2890"/>
    <cellStyle name="40% - 강조색6 54 6" xfId="795"/>
    <cellStyle name="40% - 강조색6 54 7" xfId="3487"/>
    <cellStyle name="40% - 강조색6 54 8" xfId="3996"/>
    <cellStyle name="40% - 강조색6 54 9" xfId="4337"/>
    <cellStyle name="40% - 강조색6 55" xfId="2035"/>
    <cellStyle name="40% - 강조색6 55 10" xfId="5231"/>
    <cellStyle name="40% - 강조색6 55 11" xfId="3218"/>
    <cellStyle name="40% - 강조색6 55 12" xfId="5661"/>
    <cellStyle name="40% - 강조색6 55 13" xfId="1837"/>
    <cellStyle name="40% - 강조색6 55 14" xfId="6618"/>
    <cellStyle name="40% - 강조색6 55 15" xfId="3347"/>
    <cellStyle name="40% - 강조색6 55 16" xfId="4649"/>
    <cellStyle name="40% - 강조색6 55 17" xfId="7181"/>
    <cellStyle name="40% - 강조색6 55 18" xfId="3925"/>
    <cellStyle name="40% - 강조색6 55 19" xfId="7945"/>
    <cellStyle name="40% - 강조색6 55 2" xfId="2376"/>
    <cellStyle name="40% - 강조색6 55 20" xfId="2382"/>
    <cellStyle name="40% - 강조색6 55 21" xfId="1357"/>
    <cellStyle name="40% - 강조색6 55 22" xfId="4883"/>
    <cellStyle name="40% - 강조색6 55 23" xfId="9795"/>
    <cellStyle name="40% - 강조색6 55 24" xfId="10258"/>
    <cellStyle name="40% - 강조색6 55 25" xfId="6564"/>
    <cellStyle name="40% - 강조색6 55 26" xfId="9501"/>
    <cellStyle name="40% - 강조색6 55 27" xfId="11115"/>
    <cellStyle name="40% - 강조색6 55 3" xfId="2695"/>
    <cellStyle name="40% - 강조색6 55 4" xfId="3010"/>
    <cellStyle name="40% - 강조색6 55 5" xfId="1954"/>
    <cellStyle name="40% - 강조색6 55 6" xfId="1617"/>
    <cellStyle name="40% - 강조색6 55 7" xfId="3784"/>
    <cellStyle name="40% - 강조색6 55 8" xfId="4121"/>
    <cellStyle name="40% - 강조색6 55 9" xfId="4540"/>
    <cellStyle name="40% - 강조색6 56" xfId="2292"/>
    <cellStyle name="40% - 강조색6 56 10" xfId="5151"/>
    <cellStyle name="40% - 강조색6 56 11" xfId="4967"/>
    <cellStyle name="40% - 강조색6 56 12" xfId="4851"/>
    <cellStyle name="40% - 강조색6 56 13" xfId="6274"/>
    <cellStyle name="40% - 강조색6 56 14" xfId="6976"/>
    <cellStyle name="40% - 강조색6 56 15" xfId="775"/>
    <cellStyle name="40% - 강조색6 56 16" xfId="7709"/>
    <cellStyle name="40% - 강조색6 56 17" xfId="8051"/>
    <cellStyle name="40% - 강조색6 56 18" xfId="8556"/>
    <cellStyle name="40% - 강조색6 56 19" xfId="8708"/>
    <cellStyle name="40% - 강조색6 56 2" xfId="2704"/>
    <cellStyle name="40% - 강조색6 56 20" xfId="9364"/>
    <cellStyle name="40% - 강조색6 56 21" xfId="7952"/>
    <cellStyle name="40% - 강조색6 56 22" xfId="2662"/>
    <cellStyle name="40% - 강조색6 56 23" xfId="8849"/>
    <cellStyle name="40% - 강조색6 56 24" xfId="10523"/>
    <cellStyle name="40% - 강조색6 56 25" xfId="8735"/>
    <cellStyle name="40% - 강조색6 56 26" xfId="11117"/>
    <cellStyle name="40% - 강조색6 56 3" xfId="3019"/>
    <cellStyle name="40% - 강조색6 56 4" xfId="3352"/>
    <cellStyle name="40% - 강조색6 56 5" xfId="2129"/>
    <cellStyle name="40% - 강조색6 56 6" xfId="3636"/>
    <cellStyle name="40% - 강조색6 56 7" xfId="4216"/>
    <cellStyle name="40% - 강조색6 56 8" xfId="4134"/>
    <cellStyle name="40% - 강조색6 56 9" xfId="1847"/>
    <cellStyle name="40% - 강조색6 57" xfId="2655"/>
    <cellStyle name="40% - 강조색6 57 10" xfId="5615"/>
    <cellStyle name="40% - 강조색6 57 11" xfId="5399"/>
    <cellStyle name="40% - 강조색6 57 12" xfId="6257"/>
    <cellStyle name="40% - 강조색6 57 13" xfId="7173"/>
    <cellStyle name="40% - 강조색6 57 14" xfId="6863"/>
    <cellStyle name="40% - 강조색6 57 15" xfId="3760"/>
    <cellStyle name="40% - 강조색6 57 16" xfId="8265"/>
    <cellStyle name="40% - 강조색6 57 17" xfId="8573"/>
    <cellStyle name="40% - 강조색6 57 18" xfId="8972"/>
    <cellStyle name="40% - 강조색6 57 19" xfId="8717"/>
    <cellStyle name="40% - 강조색6 57 2" xfId="3033"/>
    <cellStyle name="40% - 강조색6 57 20" xfId="9622"/>
    <cellStyle name="40% - 강조색6 57 21" xfId="9913"/>
    <cellStyle name="40% - 강조색6 57 22" xfId="10156"/>
    <cellStyle name="40% - 강조색6 57 23" xfId="10587"/>
    <cellStyle name="40% - 강조색6 57 24" xfId="10798"/>
    <cellStyle name="40% - 강조색6 57 25" xfId="9794"/>
    <cellStyle name="40% - 강조색6 57 3" xfId="3366"/>
    <cellStyle name="40% - 강조색6 57 4" xfId="3698"/>
    <cellStyle name="40% - 강조색6 57 5" xfId="4001"/>
    <cellStyle name="40% - 강조색6 57 6" xfId="4071"/>
    <cellStyle name="40% - 강조색6 57 7" xfId="4681"/>
    <cellStyle name="40% - 강조색6 57 8" xfId="5236"/>
    <cellStyle name="40% - 강조색6 57 9" xfId="4841"/>
    <cellStyle name="40% - 강조색6 58" xfId="2952"/>
    <cellStyle name="40% - 강조색6 58 10" xfId="5597"/>
    <cellStyle name="40% - 강조색6 58 11" xfId="5995"/>
    <cellStyle name="40% - 강조색6 58 12" xfId="6840"/>
    <cellStyle name="40% - 강조색6 58 13" xfId="4990"/>
    <cellStyle name="40% - 강조색6 58 14" xfId="7733"/>
    <cellStyle name="40% - 강조색6 58 15" xfId="4824"/>
    <cellStyle name="40% - 강조색6 58 16" xfId="8385"/>
    <cellStyle name="40% - 강조색6 58 17" xfId="6150"/>
    <cellStyle name="40% - 강조색6 58 18" xfId="9353"/>
    <cellStyle name="40% - 강조색6 58 19" xfId="9322"/>
    <cellStyle name="40% - 강조색6 58 2" xfId="3375"/>
    <cellStyle name="40% - 강조색6 58 20" xfId="3311"/>
    <cellStyle name="40% - 강조색6 58 21" xfId="10306"/>
    <cellStyle name="40% - 강조색6 58 22" xfId="5006"/>
    <cellStyle name="40% - 강조색6 58 23" xfId="9643"/>
    <cellStyle name="40% - 강조색6 58 24" xfId="11075"/>
    <cellStyle name="40% - 강조색6 58 3" xfId="3708"/>
    <cellStyle name="40% - 강조색6 58 4" xfId="4046"/>
    <cellStyle name="40% - 강조색6 58 5" xfId="4305"/>
    <cellStyle name="40% - 강조색6 58 6" xfId="4743"/>
    <cellStyle name="40% - 강조색6 58 7" xfId="4463"/>
    <cellStyle name="40% - 강조색6 58 8" xfId="5039"/>
    <cellStyle name="40% - 강조색6 58 9" xfId="5472"/>
    <cellStyle name="40% - 강조색6 59" xfId="3140"/>
    <cellStyle name="40% - 강조색6 59 10" xfId="6498"/>
    <cellStyle name="40% - 강조색6 59 11" xfId="6898"/>
    <cellStyle name="40% - 강조색6 59 12" xfId="6236"/>
    <cellStyle name="40% - 강조색6 59 13" xfId="7396"/>
    <cellStyle name="40% - 강조색6 59 14" xfId="8088"/>
    <cellStyle name="40% - 강조색6 59 15" xfId="8594"/>
    <cellStyle name="40% - 강조색6 59 16" xfId="8483"/>
    <cellStyle name="40% - 강조색6 59 17" xfId="6391"/>
    <cellStyle name="40% - 강조색6 59 18" xfId="9495"/>
    <cellStyle name="40% - 강조색6 59 19" xfId="8732"/>
    <cellStyle name="40% - 강조색6 59 2" xfId="3716"/>
    <cellStyle name="40% - 강조색6 59 20" xfId="10140"/>
    <cellStyle name="40% - 강조색6 59 21" xfId="5246"/>
    <cellStyle name="40% - 강조색6 59 22" xfId="6119"/>
    <cellStyle name="40% - 강조색6 59 23" xfId="8470"/>
    <cellStyle name="40% - 강조색6 59 3" xfId="4055"/>
    <cellStyle name="40% - 강조색6 59 4" xfId="4391"/>
    <cellStyle name="40% - 강조색6 59 5" xfId="4727"/>
    <cellStyle name="40% - 강조색6 59 6" xfId="5402"/>
    <cellStyle name="40% - 강조색6 59 7" xfId="5802"/>
    <cellStyle name="40% - 강조색6 59 8" xfId="5888"/>
    <cellStyle name="40% - 강조색6 59 9" xfId="5949"/>
    <cellStyle name="40% - 강조색6 6" xfId="125"/>
    <cellStyle name="40% - 강조색6 60" xfId="3627"/>
    <cellStyle name="40% - 강조색6 60 10" xfId="7083"/>
    <cellStyle name="40% - 강조색6 60 11" xfId="4431"/>
    <cellStyle name="40% - 강조색6 60 12" xfId="7539"/>
    <cellStyle name="40% - 강조색6 60 13" xfId="8178"/>
    <cellStyle name="40% - 강조색6 60 14" xfId="6414"/>
    <cellStyle name="40% - 강조색6 60 15" xfId="7936"/>
    <cellStyle name="40% - 강조색6 60 16" xfId="6339"/>
    <cellStyle name="40% - 강조색6 60 17" xfId="9600"/>
    <cellStyle name="40% - 강조색6 60 18" xfId="9789"/>
    <cellStyle name="40% - 강조색6 60 19" xfId="10358"/>
    <cellStyle name="40% - 강조색6 60 2" xfId="4065"/>
    <cellStyle name="40% - 강조색6 60 20" xfId="10565"/>
    <cellStyle name="40% - 강조색6 60 21" xfId="3914"/>
    <cellStyle name="40% - 강조색6 60 22" xfId="11032"/>
    <cellStyle name="40% - 강조색6 60 3" xfId="4401"/>
    <cellStyle name="40% - 강조색6 60 4" xfId="4754"/>
    <cellStyle name="40% - 강조색6 60 5" xfId="5074"/>
    <cellStyle name="40% - 강조색6 60 6" xfId="2162"/>
    <cellStyle name="40% - 강조색6 60 7" xfId="5593"/>
    <cellStyle name="40% - 강조색6 60 8" xfId="3219"/>
    <cellStyle name="40% - 강조색6 60 9" xfId="6597"/>
    <cellStyle name="40% - 강조색6 61" xfId="3971"/>
    <cellStyle name="40% - 강조색6 61 10" xfId="2001"/>
    <cellStyle name="40% - 강조색6 61 11" xfId="7773"/>
    <cellStyle name="40% - 강조색6 61 12" xfId="8235"/>
    <cellStyle name="40% - 강조색6 61 13" xfId="8410"/>
    <cellStyle name="40% - 강조색6 61 14" xfId="4542"/>
    <cellStyle name="40% - 강조색6 61 15" xfId="7500"/>
    <cellStyle name="40% - 강조색6 61 16" xfId="9707"/>
    <cellStyle name="40% - 강조색6 61 17" xfId="9105"/>
    <cellStyle name="40% - 강조색6 61 18" xfId="9816"/>
    <cellStyle name="40% - 강조색6 61 19" xfId="2781"/>
    <cellStyle name="40% - 강조색6 61 2" xfId="4410"/>
    <cellStyle name="40% - 강조색6 61 20" xfId="10882"/>
    <cellStyle name="40% - 강조색6 61 21" xfId="11051"/>
    <cellStyle name="40% - 강조색6 61 3" xfId="4764"/>
    <cellStyle name="40% - 강조색6 61 4" xfId="5678"/>
    <cellStyle name="40% - 강조색6 61 5" xfId="5529"/>
    <cellStyle name="40% - 강조색6 61 6" xfId="5297"/>
    <cellStyle name="40% - 강조색6 61 7" xfId="1825"/>
    <cellStyle name="40% - 강조색6 61 8" xfId="6622"/>
    <cellStyle name="40% - 강조색6 61 9" xfId="7129"/>
    <cellStyle name="40% - 강조색6 62" xfId="4325"/>
    <cellStyle name="40% - 강조색6 62 10" xfId="7726"/>
    <cellStyle name="40% - 강조색6 62 11" xfId="8129"/>
    <cellStyle name="40% - 강조색6 62 12" xfId="7676"/>
    <cellStyle name="40% - 강조색6 62 13" xfId="8317"/>
    <cellStyle name="40% - 강조색6 62 14" xfId="9370"/>
    <cellStyle name="40% - 강조색6 62 15" xfId="9710"/>
    <cellStyle name="40% - 강조색6 62 16" xfId="9983"/>
    <cellStyle name="40% - 강조색6 62 17" xfId="10171"/>
    <cellStyle name="40% - 강조색6 62 18" xfId="10454"/>
    <cellStyle name="40% - 강조색6 62 19" xfId="10935"/>
    <cellStyle name="40% - 강조색6 62 2" xfId="4773"/>
    <cellStyle name="40% - 강조색6 62 20" xfId="11200"/>
    <cellStyle name="40% - 강조색6 62 3" xfId="5744"/>
    <cellStyle name="40% - 강조색6 62 4" xfId="5847"/>
    <cellStyle name="40% - 강조색6 62 5" xfId="5922"/>
    <cellStyle name="40% - 강조색6 62 6" xfId="5972"/>
    <cellStyle name="40% - 강조색6 62 7" xfId="6631"/>
    <cellStyle name="40% - 강조색6 62 8" xfId="7052"/>
    <cellStyle name="40% - 강조색6 62 9" xfId="7297"/>
    <cellStyle name="40% - 강조색6 63" xfId="2453"/>
    <cellStyle name="40% - 강조색6 63 10" xfId="8148"/>
    <cellStyle name="40% - 강조색6 63 11" xfId="7961"/>
    <cellStyle name="40% - 강조색6 63 12" xfId="7493"/>
    <cellStyle name="40% - 강조색6 63 13" xfId="9306"/>
    <cellStyle name="40% - 강조색6 63 14" xfId="9488"/>
    <cellStyle name="40% - 강조색6 63 15" xfId="9840"/>
    <cellStyle name="40% - 강조색6 63 16" xfId="8345"/>
    <cellStyle name="40% - 강조색6 63 17" xfId="10466"/>
    <cellStyle name="40% - 강조색6 63 18" xfId="10812"/>
    <cellStyle name="40% - 강조색6 63 19" xfId="8559"/>
    <cellStyle name="40% - 강조색6 63 2" xfId="4613"/>
    <cellStyle name="40% - 강조색6 63 3" xfId="5778"/>
    <cellStyle name="40% - 강조색6 63 4" xfId="5870"/>
    <cellStyle name="40% - 강조색6 63 5" xfId="5937"/>
    <cellStyle name="40% - 강조색6 63 6" xfId="6614"/>
    <cellStyle name="40% - 강조색6 63 7" xfId="7280"/>
    <cellStyle name="40% - 강조색6 63 8" xfId="7085"/>
    <cellStyle name="40% - 강조색6 63 9" xfId="6456"/>
    <cellStyle name="40% - 강조색6 64" xfId="5011"/>
    <cellStyle name="40% - 강조색6 64 10" xfId="9541"/>
    <cellStyle name="40% - 강조색6 64 11" xfId="9856"/>
    <cellStyle name="40% - 강조색6 64 12" xfId="8714"/>
    <cellStyle name="40% - 강조색6 64 13" xfId="814"/>
    <cellStyle name="40% - 강조색6 64 14" xfId="10800"/>
    <cellStyle name="40% - 강조색6 64 15" xfId="11222"/>
    <cellStyle name="40% - 강조색6 64 2" xfId="6655"/>
    <cellStyle name="40% - 강조색6 64 3" xfId="2443"/>
    <cellStyle name="40% - 강조색6 64 4" xfId="6866"/>
    <cellStyle name="40% - 강조색6 64 5" xfId="1905"/>
    <cellStyle name="40% - 강조색6 64 6" xfId="6052"/>
    <cellStyle name="40% - 강조색6 64 7" xfId="4888"/>
    <cellStyle name="40% - 강조색6 64 8" xfId="8818"/>
    <cellStyle name="40% - 강조색6 64 9" xfId="9358"/>
    <cellStyle name="40% - 강조색6 65" xfId="2411"/>
    <cellStyle name="40% - 강조색6 65 10" xfId="9680"/>
    <cellStyle name="40% - 강조색6 65 11" xfId="8883"/>
    <cellStyle name="40% - 강조색6 65 12" xfId="9828"/>
    <cellStyle name="40% - 강조색6 65 13" xfId="10628"/>
    <cellStyle name="40% - 강조색6 65 14" xfId="7820"/>
    <cellStyle name="40% - 강조색6 65 15" xfId="7626"/>
    <cellStyle name="40% - 강조색6 65 2" xfId="6510"/>
    <cellStyle name="40% - 강조색6 65 3" xfId="3402"/>
    <cellStyle name="40% - 강조색6 65 4" xfId="7167"/>
    <cellStyle name="40% - 강조색6 65 5" xfId="7612"/>
    <cellStyle name="40% - 강조색6 65 6" xfId="8258"/>
    <cellStyle name="40% - 강조색6 65 7" xfId="8382"/>
    <cellStyle name="40% - 강조색6 65 8" xfId="6851"/>
    <cellStyle name="40% - 강조색6 65 9" xfId="6734"/>
    <cellStyle name="40% - 강조색6 66" xfId="5519"/>
    <cellStyle name="40% - 강조색6 66 10" xfId="8679"/>
    <cellStyle name="40% - 강조색6 66 11" xfId="9869"/>
    <cellStyle name="40% - 강조색6 66 12" xfId="10263"/>
    <cellStyle name="40% - 강조색6 66 13" xfId="7631"/>
    <cellStyle name="40% - 강조색6 66 14" xfId="3894"/>
    <cellStyle name="40% - 강조색6 66 15" xfId="11217"/>
    <cellStyle name="40% - 강조색6 66 2" xfId="6675"/>
    <cellStyle name="40% - 강조색6 66 3" xfId="698"/>
    <cellStyle name="40% - 강조색6 66 4" xfId="2399"/>
    <cellStyle name="40% - 강조색6 66 5" xfId="7833"/>
    <cellStyle name="40% - 강조색6 66 6" xfId="7397"/>
    <cellStyle name="40% - 강조색6 66 7" xfId="8477"/>
    <cellStyle name="40% - 강조색6 66 8" xfId="4544"/>
    <cellStyle name="40% - 강조색6 66 9" xfId="9113"/>
    <cellStyle name="40% - 강조색6 67" xfId="5805"/>
    <cellStyle name="40% - 강조색6 67 10" xfId="9191"/>
    <cellStyle name="40% - 강조색6 67 11" xfId="9851"/>
    <cellStyle name="40% - 강조색6 67 12" xfId="8800"/>
    <cellStyle name="40% - 강조색6 67 13" xfId="3129"/>
    <cellStyle name="40% - 강조색6 67 14" xfId="10750"/>
    <cellStyle name="40% - 강조색6 67 15" xfId="3983"/>
    <cellStyle name="40% - 강조색6 67 2" xfId="6690"/>
    <cellStyle name="40% - 강조색6 67 3" xfId="7313"/>
    <cellStyle name="40% - 강조색6 67 4" xfId="7231"/>
    <cellStyle name="40% - 강조색6 67 5" xfId="7858"/>
    <cellStyle name="40% - 강조색6 67 6" xfId="7980"/>
    <cellStyle name="40% - 강조색6 67 7" xfId="8579"/>
    <cellStyle name="40% - 강조색6 67 8" xfId="6903"/>
    <cellStyle name="40% - 강조색6 67 9" xfId="9344"/>
    <cellStyle name="40% - 강조색6 68" xfId="6511"/>
    <cellStyle name="40% - 강조색6 68 10" xfId="9474"/>
    <cellStyle name="40% - 강조색6 68 11" xfId="6900"/>
    <cellStyle name="40% - 강조색6 68 12" xfId="10657"/>
    <cellStyle name="40% - 강조색6 68 13" xfId="8379"/>
    <cellStyle name="40% - 강조색6 68 14" xfId="7574"/>
    <cellStyle name="40% - 강조색6 68 2" xfId="7357"/>
    <cellStyle name="40% - 강조색6 68 3" xfId="7384"/>
    <cellStyle name="40% - 강조색6 68 4" xfId="7873"/>
    <cellStyle name="40% - 강조색6 68 5" xfId="8142"/>
    <cellStyle name="40% - 강조색6 68 6" xfId="7956"/>
    <cellStyle name="40% - 강조색6 68 7" xfId="8839"/>
    <cellStyle name="40% - 강조색6 68 8" xfId="9240"/>
    <cellStyle name="40% - 강조색6 68 9" xfId="9697"/>
    <cellStyle name="40% - 강조색6 69" xfId="7219"/>
    <cellStyle name="40% - 강조색6 69 10" xfId="10448"/>
    <cellStyle name="40% - 강조색6 69 11" xfId="10166"/>
    <cellStyle name="40% - 강조색6 69 12" xfId="7515"/>
    <cellStyle name="40% - 강조색6 69 2" xfId="7889"/>
    <cellStyle name="40% - 강조색6 69 3" xfId="8283"/>
    <cellStyle name="40% - 강조색6 69 4" xfId="8645"/>
    <cellStyle name="40% - 강조색6 69 5" xfId="8947"/>
    <cellStyle name="40% - 강조색6 69 6" xfId="9143"/>
    <cellStyle name="40% - 강조색6 69 7" xfId="6278"/>
    <cellStyle name="40% - 강조색6 69 8" xfId="2153"/>
    <cellStyle name="40% - 강조색6 69 9" xfId="10123"/>
    <cellStyle name="40% - 강조색6 7" xfId="138"/>
    <cellStyle name="40% - 강조색6 70" xfId="7183"/>
    <cellStyle name="40% - 강조색6 70 10" xfId="6113"/>
    <cellStyle name="40% - 강조색6 70 11" xfId="9421"/>
    <cellStyle name="40% - 강조색6 70 12" xfId="11077"/>
    <cellStyle name="40% - 강조색6 70 2" xfId="7888"/>
    <cellStyle name="40% - 강조색6 70 3" xfId="8282"/>
    <cellStyle name="40% - 강조색6 70 4" xfId="8644"/>
    <cellStyle name="40% - 강조색6 70 5" xfId="8956"/>
    <cellStyle name="40% - 강조색6 70 6" xfId="3128"/>
    <cellStyle name="40% - 강조색6 70 7" xfId="1435"/>
    <cellStyle name="40% - 강조색6 70 8" xfId="9872"/>
    <cellStyle name="40% - 강조색6 70 9" xfId="10169"/>
    <cellStyle name="40% - 강조색6 71" xfId="7655"/>
    <cellStyle name="40% - 강조색6 71 10" xfId="10770"/>
    <cellStyle name="40% - 강조색6 71 11" xfId="4432"/>
    <cellStyle name="40% - 강조색6 71 2" xfId="8296"/>
    <cellStyle name="40% - 강조색6 71 3" xfId="8658"/>
    <cellStyle name="40% - 강조색6 71 4" xfId="9022"/>
    <cellStyle name="40% - 강조색6 71 5" xfId="9203"/>
    <cellStyle name="40% - 강조색6 71 6" xfId="6464"/>
    <cellStyle name="40% - 강조색6 71 7" xfId="1912"/>
    <cellStyle name="40% - 강조색6 71 8" xfId="1416"/>
    <cellStyle name="40% - 강조색6 71 9" xfId="10461"/>
    <cellStyle name="40% - 강조색6 72" xfId="8187"/>
    <cellStyle name="40% - 강조색6 72 10" xfId="1831"/>
    <cellStyle name="40% - 강조색6 72 2" xfId="8670"/>
    <cellStyle name="40% - 강조색6 72 3" xfId="9034"/>
    <cellStyle name="40% - 강조색6 72 4" xfId="9393"/>
    <cellStyle name="40% - 강조색6 72 5" xfId="9725"/>
    <cellStyle name="40% - 강조색6 72 6" xfId="9867"/>
    <cellStyle name="40% - 강조색6 72 7" xfId="10179"/>
    <cellStyle name="40% - 강조색6 72 8" xfId="6033"/>
    <cellStyle name="40% - 강조색6 72 9" xfId="10852"/>
    <cellStyle name="40% - 강조색6 73" xfId="8602"/>
    <cellStyle name="40% - 강조색6 73 2" xfId="9042"/>
    <cellStyle name="40% - 강조색6 73 3" xfId="9401"/>
    <cellStyle name="40% - 강조색6 73 4" xfId="9733"/>
    <cellStyle name="40% - 강조색6 73 5" xfId="10059"/>
    <cellStyle name="40% - 강조색6 73 6" xfId="10178"/>
    <cellStyle name="40% - 강조색6 73 7" xfId="1644"/>
    <cellStyle name="40% - 강조색6 73 8" xfId="10742"/>
    <cellStyle name="40% - 강조색6 73 9" xfId="4600"/>
    <cellStyle name="40% - 강조색6 74" xfId="2089"/>
    <cellStyle name="40% - 강조색6 74 2" xfId="4852"/>
    <cellStyle name="40% - 강조색6 74 3" xfId="3774"/>
    <cellStyle name="40% - 강조색6 74 4" xfId="6288"/>
    <cellStyle name="40% - 강조색6 74 5" xfId="10200"/>
    <cellStyle name="40% - 강조색6 74 6" xfId="8790"/>
    <cellStyle name="40% - 강조색6 74 7" xfId="883"/>
    <cellStyle name="40% - 강조색6 74 8" xfId="8305"/>
    <cellStyle name="40% - 강조색6 75" xfId="9266"/>
    <cellStyle name="40% - 강조색6 75 2" xfId="9752"/>
    <cellStyle name="40% - 강조색6 75 3" xfId="10078"/>
    <cellStyle name="40% - 강조색6 75 4" xfId="10391"/>
    <cellStyle name="40% - 강조색6 75 5" xfId="10700"/>
    <cellStyle name="40% - 강조색6 75 6" xfId="10873"/>
    <cellStyle name="40% - 강조색6 75 7" xfId="11240"/>
    <cellStyle name="40% - 강조색6 76" xfId="9463"/>
    <cellStyle name="40% - 강조색6 76 2" xfId="10085"/>
    <cellStyle name="40% - 강조색6 76 3" xfId="10398"/>
    <cellStyle name="40% - 강조색6 76 4" xfId="10707"/>
    <cellStyle name="40% - 강조색6 76 5" xfId="9896"/>
    <cellStyle name="40% - 강조색6 76 6" xfId="10189"/>
    <cellStyle name="40% - 강조색6 77" xfId="10001"/>
    <cellStyle name="40% - 강조색6 77 2" xfId="10412"/>
    <cellStyle name="40% - 강조색6 77 3" xfId="10723"/>
    <cellStyle name="40% - 강조색6 77 4" xfId="11007"/>
    <cellStyle name="40% - 강조색6 77 5" xfId="11283"/>
    <cellStyle name="40% - 강조색6 78" xfId="10272"/>
    <cellStyle name="40% - 강조색6 78 2" xfId="10726"/>
    <cellStyle name="40% - 강조색6 78 3" xfId="11010"/>
    <cellStyle name="40% - 강조색6 78 4" xfId="11287"/>
    <cellStyle name="40% - 강조색6 79" xfId="10598"/>
    <cellStyle name="40% - 강조색6 79 2" xfId="11018"/>
    <cellStyle name="40% - 강조색6 79 3" xfId="11296"/>
    <cellStyle name="40% - 강조색6 8" xfId="151"/>
    <cellStyle name="40% - 강조색6 80" xfId="10101"/>
    <cellStyle name="40% - 강조색6 80 2" xfId="11285"/>
    <cellStyle name="40% - 강조색6 81" xfId="11187"/>
    <cellStyle name="40% - 강조색6 82" xfId="569"/>
    <cellStyle name="40% - 강조색6 83" xfId="11417"/>
    <cellStyle name="40% - 강조색6 84" xfId="11399"/>
    <cellStyle name="40% - 강조색6 85" xfId="11350"/>
    <cellStyle name="40% - 강조색6 86" xfId="11449"/>
    <cellStyle name="40% - 강조색6 9" xfId="164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3" builtinId="22" customBuiltin="1"/>
    <cellStyle name="나쁨" xfId="9" builtinId="27" customBuiltin="1"/>
    <cellStyle name="메모" xfId="17" builtinId="10" customBuiltin="1"/>
    <cellStyle name="메모 10" xfId="183"/>
    <cellStyle name="메모 11" xfId="196"/>
    <cellStyle name="메모 12" xfId="209"/>
    <cellStyle name="메모 13" xfId="222"/>
    <cellStyle name="메모 14" xfId="235"/>
    <cellStyle name="메모 15" xfId="248"/>
    <cellStyle name="메모 16" xfId="261"/>
    <cellStyle name="메모 17" xfId="274"/>
    <cellStyle name="메모 18" xfId="287"/>
    <cellStyle name="메모 19" xfId="300"/>
    <cellStyle name="메모 2" xfId="45"/>
    <cellStyle name="메모 20" xfId="313"/>
    <cellStyle name="메모 21" xfId="326"/>
    <cellStyle name="메모 22" xfId="339"/>
    <cellStyle name="메모 23" xfId="352"/>
    <cellStyle name="메모 24" xfId="365"/>
    <cellStyle name="메모 25" xfId="378"/>
    <cellStyle name="메모 26" xfId="391"/>
    <cellStyle name="메모 27" xfId="404"/>
    <cellStyle name="메모 28" xfId="417"/>
    <cellStyle name="메모 29" xfId="430"/>
    <cellStyle name="메모 3" xfId="66"/>
    <cellStyle name="메모 30" xfId="443"/>
    <cellStyle name="메모 31" xfId="455"/>
    <cellStyle name="메모 32" xfId="467"/>
    <cellStyle name="메모 33" xfId="479"/>
    <cellStyle name="메모 34" xfId="491"/>
    <cellStyle name="메모 35" xfId="502"/>
    <cellStyle name="메모 36" xfId="513"/>
    <cellStyle name="메모 37" xfId="524"/>
    <cellStyle name="메모 38" xfId="533"/>
    <cellStyle name="메모 39" xfId="539"/>
    <cellStyle name="메모 4" xfId="105"/>
    <cellStyle name="메모 40" xfId="543"/>
    <cellStyle name="메모 40 10" xfId="3300"/>
    <cellStyle name="메모 40 11" xfId="3440"/>
    <cellStyle name="메모 40 12" xfId="1455"/>
    <cellStyle name="메모 40 13" xfId="1622"/>
    <cellStyle name="메모 40 14" xfId="4566"/>
    <cellStyle name="메모 40 15" xfId="5295"/>
    <cellStyle name="메모 40 16" xfId="5279"/>
    <cellStyle name="메모 40 17" xfId="4428"/>
    <cellStyle name="메모 40 18" xfId="5566"/>
    <cellStyle name="메모 40 19" xfId="3580"/>
    <cellStyle name="메모 40 2" xfId="591"/>
    <cellStyle name="메모 40 20" xfId="7186"/>
    <cellStyle name="메모 40 21" xfId="7028"/>
    <cellStyle name="메모 40 22" xfId="7490"/>
    <cellStyle name="메모 40 23" xfId="8176"/>
    <cellStyle name="메모 40 24" xfId="6009"/>
    <cellStyle name="메모 40 25" xfId="7589"/>
    <cellStyle name="메모 40 26" xfId="8713"/>
    <cellStyle name="메모 40 27" xfId="8807"/>
    <cellStyle name="메모 40 28" xfId="9953"/>
    <cellStyle name="메모 40 29" xfId="9479"/>
    <cellStyle name="메모 40 3" xfId="1003"/>
    <cellStyle name="메모 40 30" xfId="10582"/>
    <cellStyle name="메모 40 31" xfId="3055"/>
    <cellStyle name="메모 40 32" xfId="11029"/>
    <cellStyle name="메모 40 33" xfId="11314"/>
    <cellStyle name="메모 40 34" xfId="1690"/>
    <cellStyle name="메모 40 35" xfId="11381"/>
    <cellStyle name="메모 40 36" xfId="11403"/>
    <cellStyle name="메모 40 4" xfId="1266"/>
    <cellStyle name="메모 40 5" xfId="1653"/>
    <cellStyle name="메모 40 6" xfId="871"/>
    <cellStyle name="메모 40 7" xfId="2234"/>
    <cellStyle name="메모 40 8" xfId="2571"/>
    <cellStyle name="메모 40 9" xfId="1638"/>
    <cellStyle name="메모 41" xfId="614"/>
    <cellStyle name="메모 41 10" xfId="3309"/>
    <cellStyle name="메모 41 11" xfId="2121"/>
    <cellStyle name="메모 41 12" xfId="3997"/>
    <cellStyle name="메모 41 13" xfId="2416"/>
    <cellStyle name="메모 41 14" xfId="4616"/>
    <cellStyle name="메모 41 15" xfId="911"/>
    <cellStyle name="메모 41 16" xfId="5385"/>
    <cellStyle name="메모 41 17" xfId="3513"/>
    <cellStyle name="메모 41 18" xfId="5603"/>
    <cellStyle name="메모 41 19" xfId="6570"/>
    <cellStyle name="메모 41 2" xfId="1117"/>
    <cellStyle name="메모 41 20" xfId="3662"/>
    <cellStyle name="메모 41 21" xfId="7054"/>
    <cellStyle name="메모 41 22" xfId="7847"/>
    <cellStyle name="메모 41 23" xfId="8200"/>
    <cellStyle name="메모 41 24" xfId="8320"/>
    <cellStyle name="메모 41 25" xfId="8983"/>
    <cellStyle name="메모 41 26" xfId="9217"/>
    <cellStyle name="메모 41 27" xfId="7227"/>
    <cellStyle name="메모 41 28" xfId="7528"/>
    <cellStyle name="메모 41 29" xfId="8987"/>
    <cellStyle name="메모 41 3" xfId="1197"/>
    <cellStyle name="메모 41 30" xfId="10601"/>
    <cellStyle name="메모 41 31" xfId="10885"/>
    <cellStyle name="메모 41 32" xfId="11126"/>
    <cellStyle name="메모 41 4" xfId="1289"/>
    <cellStyle name="메모 41 5" xfId="1650"/>
    <cellStyle name="메모 41 6" xfId="1532"/>
    <cellStyle name="메모 41 7" xfId="1456"/>
    <cellStyle name="메모 41 8" xfId="2172"/>
    <cellStyle name="메모 41 9" xfId="2871"/>
    <cellStyle name="메모 42" xfId="592"/>
    <cellStyle name="메모 42 10" xfId="3318"/>
    <cellStyle name="메모 42 11" xfId="2109"/>
    <cellStyle name="메모 42 12" xfId="3745"/>
    <cellStyle name="메모 42 13" xfId="2595"/>
    <cellStyle name="메모 42 14" xfId="4706"/>
    <cellStyle name="메모 42 15" xfId="5592"/>
    <cellStyle name="메모 42 16" xfId="3931"/>
    <cellStyle name="메모 42 17" xfId="5115"/>
    <cellStyle name="메모 42 18" xfId="5130"/>
    <cellStyle name="메모 42 19" xfId="6320"/>
    <cellStyle name="메모 42 2" xfId="1106"/>
    <cellStyle name="메모 42 20" xfId="7131"/>
    <cellStyle name="메모 42 21" xfId="6748"/>
    <cellStyle name="메모 42 22" xfId="7725"/>
    <cellStyle name="메모 42 23" xfId="8011"/>
    <cellStyle name="메모 42 24" xfId="8014"/>
    <cellStyle name="메모 42 25" xfId="2676"/>
    <cellStyle name="메모 42 26" xfId="9255"/>
    <cellStyle name="메모 42 27" xfId="5045"/>
    <cellStyle name="메모 42 28" xfId="9989"/>
    <cellStyle name="메모 42 29" xfId="5400"/>
    <cellStyle name="메모 42 3" xfId="1187"/>
    <cellStyle name="메모 42 30" xfId="5146"/>
    <cellStyle name="메모 42 31" xfId="10801"/>
    <cellStyle name="메모 42 32" xfId="11143"/>
    <cellStyle name="메모 42 4" xfId="1267"/>
    <cellStyle name="메모 42 5" xfId="1654"/>
    <cellStyle name="메모 42 6" xfId="1384"/>
    <cellStyle name="메모 42 7" xfId="2256"/>
    <cellStyle name="메모 42 8" xfId="2468"/>
    <cellStyle name="메모 42 9" xfId="2999"/>
    <cellStyle name="메모 43" xfId="673"/>
    <cellStyle name="메모 43 10" xfId="3259"/>
    <cellStyle name="메모 43 11" xfId="2308"/>
    <cellStyle name="메모 43 12" xfId="3569"/>
    <cellStyle name="메모 43 13" xfId="2195"/>
    <cellStyle name="메모 43 14" xfId="4745"/>
    <cellStyle name="메모 43 15" xfId="5327"/>
    <cellStyle name="메모 43 16" xfId="5168"/>
    <cellStyle name="메모 43 17" xfId="5602"/>
    <cellStyle name="메모 43 18" xfId="875"/>
    <cellStyle name="메모 43 19" xfId="6134"/>
    <cellStyle name="메모 43 2" xfId="1176"/>
    <cellStyle name="메모 43 20" xfId="5581"/>
    <cellStyle name="메모 43 21" xfId="7251"/>
    <cellStyle name="메모 43 22" xfId="7844"/>
    <cellStyle name="메모 43 23" xfId="8069"/>
    <cellStyle name="메모 43 24" xfId="6486"/>
    <cellStyle name="메모 43 25" xfId="8954"/>
    <cellStyle name="메모 43 26" xfId="9257"/>
    <cellStyle name="메모 43 27" xfId="9609"/>
    <cellStyle name="메모 43 28" xfId="9233"/>
    <cellStyle name="메모 43 29" xfId="6231"/>
    <cellStyle name="메모 43 3" xfId="1256"/>
    <cellStyle name="메모 43 30" xfId="6485"/>
    <cellStyle name="메모 43 31" xfId="10821"/>
    <cellStyle name="메모 43 32" xfId="11232"/>
    <cellStyle name="메모 43 4" xfId="1348"/>
    <cellStyle name="메모 43 5" xfId="1696"/>
    <cellStyle name="메모 43 6" xfId="1378"/>
    <cellStyle name="메모 43 7" xfId="690"/>
    <cellStyle name="메모 43 8" xfId="2634"/>
    <cellStyle name="메모 43 9" xfId="2976"/>
    <cellStyle name="메모 44" xfId="611"/>
    <cellStyle name="메모 44 10" xfId="3328"/>
    <cellStyle name="메모 44 11" xfId="3579"/>
    <cellStyle name="메모 44 12" xfId="2763"/>
    <cellStyle name="메모 44 13" xfId="3263"/>
    <cellStyle name="메모 44 14" xfId="4700"/>
    <cellStyle name="메모 44 15" xfId="5433"/>
    <cellStyle name="메모 44 16" xfId="5782"/>
    <cellStyle name="메모 44 17" xfId="5872"/>
    <cellStyle name="메모 44 18" xfId="5939"/>
    <cellStyle name="메모 44 19" xfId="6523"/>
    <cellStyle name="메모 44 2" xfId="1114"/>
    <cellStyle name="메모 44 20" xfId="7123"/>
    <cellStyle name="메모 44 21" xfId="6173"/>
    <cellStyle name="메모 44 22" xfId="7440"/>
    <cellStyle name="메모 44 23" xfId="8191"/>
    <cellStyle name="메모 44 24" xfId="8406"/>
    <cellStyle name="메모 44 25" xfId="9012"/>
    <cellStyle name="메모 44 26" xfId="949"/>
    <cellStyle name="메모 44 27" xfId="9577"/>
    <cellStyle name="메모 44 28" xfId="9881"/>
    <cellStyle name="메모 44 29" xfId="7594"/>
    <cellStyle name="메모 44 3" xfId="1194"/>
    <cellStyle name="메모 44 30" xfId="10621"/>
    <cellStyle name="메모 44 31" xfId="10950"/>
    <cellStyle name="메모 44 32" xfId="10744"/>
    <cellStyle name="메모 44 4" xfId="1286"/>
    <cellStyle name="메모 44 5" xfId="1747"/>
    <cellStyle name="메모 44 6" xfId="773"/>
    <cellStyle name="메모 44 7" xfId="2278"/>
    <cellStyle name="메모 44 8" xfId="2628"/>
    <cellStyle name="메모 44 9" xfId="2716"/>
    <cellStyle name="메모 45" xfId="677"/>
    <cellStyle name="메모 45 10" xfId="3086"/>
    <cellStyle name="메모 45 11" xfId="2625"/>
    <cellStyle name="메모 45 12" xfId="2133"/>
    <cellStyle name="메모 45 13" xfId="2558"/>
    <cellStyle name="메모 45 14" xfId="3922"/>
    <cellStyle name="메모 45 15" xfId="5189"/>
    <cellStyle name="메모 45 16" xfId="2124"/>
    <cellStyle name="메모 45 17" xfId="5588"/>
    <cellStyle name="메모 45 18" xfId="5570"/>
    <cellStyle name="메모 45 19" xfId="6605"/>
    <cellStyle name="메모 45 2" xfId="1180"/>
    <cellStyle name="메모 45 20" xfId="7273"/>
    <cellStyle name="메모 45 21" xfId="6740"/>
    <cellStyle name="메모 45 22" xfId="7845"/>
    <cellStyle name="메모 45 23" xfId="8271"/>
    <cellStyle name="메모 45 24" xfId="3383"/>
    <cellStyle name="메모 45 25" xfId="6371"/>
    <cellStyle name="메모 45 26" xfId="7640"/>
    <cellStyle name="메모 45 27" xfId="1564"/>
    <cellStyle name="메모 45 28" xfId="10020"/>
    <cellStyle name="메모 45 29" xfId="10137"/>
    <cellStyle name="메모 45 3" xfId="1260"/>
    <cellStyle name="메모 45 30" xfId="10482"/>
    <cellStyle name="메모 45 31" xfId="6058"/>
    <cellStyle name="메모 45 32" xfId="10262"/>
    <cellStyle name="메모 45 4" xfId="1352"/>
    <cellStyle name="메모 45 5" xfId="1733"/>
    <cellStyle name="메모 45 6" xfId="2032"/>
    <cellStyle name="메모 45 7" xfId="2329"/>
    <cellStyle name="메모 45 8" xfId="2181"/>
    <cellStyle name="메모 45 9" xfId="1392"/>
    <cellStyle name="메모 46" xfId="618"/>
    <cellStyle name="메모 46 10" xfId="3250"/>
    <cellStyle name="메모 46 11" xfId="3550"/>
    <cellStyle name="메모 46 12" xfId="748"/>
    <cellStyle name="메모 46 13" xfId="4339"/>
    <cellStyle name="메모 46 14" xfId="4203"/>
    <cellStyle name="메모 46 15" xfId="3047"/>
    <cellStyle name="메모 46 16" xfId="5466"/>
    <cellStyle name="메모 46 17" xfId="5419"/>
    <cellStyle name="메모 46 18" xfId="5610"/>
    <cellStyle name="메모 46 19" xfId="6408"/>
    <cellStyle name="메모 46 2" xfId="1121"/>
    <cellStyle name="메모 46 20" xfId="6857"/>
    <cellStyle name="메모 46 21" xfId="7255"/>
    <cellStyle name="메모 46 22" xfId="7552"/>
    <cellStyle name="메모 46 23" xfId="6029"/>
    <cellStyle name="메모 46 24" xfId="8609"/>
    <cellStyle name="메모 46 25" xfId="8859"/>
    <cellStyle name="메모 46 26" xfId="9299"/>
    <cellStyle name="메모 46 27" xfId="8458"/>
    <cellStyle name="메모 46 28" xfId="6233"/>
    <cellStyle name="메모 46 29" xfId="10337"/>
    <cellStyle name="메모 46 3" xfId="1201"/>
    <cellStyle name="메모 46 30" xfId="10531"/>
    <cellStyle name="메모 46 31" xfId="10802"/>
    <cellStyle name="메모 46 32" xfId="3426"/>
    <cellStyle name="메모 46 4" xfId="1293"/>
    <cellStyle name="메모 46 5" xfId="1789"/>
    <cellStyle name="메모 46 6" xfId="2066"/>
    <cellStyle name="메모 46 7" xfId="2264"/>
    <cellStyle name="메모 46 8" xfId="901"/>
    <cellStyle name="메모 46 9" xfId="2929"/>
    <cellStyle name="메모 47" xfId="544"/>
    <cellStyle name="메모 47 10" xfId="2183"/>
    <cellStyle name="메모 47 11" xfId="4524"/>
    <cellStyle name="메모 47 12" xfId="2422"/>
    <cellStyle name="메모 47 13" xfId="4994"/>
    <cellStyle name="메모 47 14" xfId="5528"/>
    <cellStyle name="메모 47 15" xfId="3232"/>
    <cellStyle name="메모 47 16" xfId="6403"/>
    <cellStyle name="메모 47 17" xfId="3823"/>
    <cellStyle name="메모 47 18" xfId="7036"/>
    <cellStyle name="메모 47 19" xfId="7815"/>
    <cellStyle name="메모 47 2" xfId="1087"/>
    <cellStyle name="메모 47 20" xfId="2126"/>
    <cellStyle name="메모 47 21" xfId="5369"/>
    <cellStyle name="메모 47 22" xfId="1919"/>
    <cellStyle name="메모 47 23" xfId="9132"/>
    <cellStyle name="메모 47 24" xfId="968"/>
    <cellStyle name="메모 47 25" xfId="10041"/>
    <cellStyle name="메모 47 26" xfId="1391"/>
    <cellStyle name="메모 47 27" xfId="10544"/>
    <cellStyle name="메모 47 28" xfId="963"/>
    <cellStyle name="메모 47 29" xfId="11069"/>
    <cellStyle name="메모 47 3" xfId="2017"/>
    <cellStyle name="메모 47 30" xfId="11337"/>
    <cellStyle name="메모 47 31" xfId="11383"/>
    <cellStyle name="메모 47 32" xfId="11385"/>
    <cellStyle name="메모 47 33" xfId="11363"/>
    <cellStyle name="메모 47 4" xfId="2257"/>
    <cellStyle name="메모 47 5" xfId="1967"/>
    <cellStyle name="메모 47 6" xfId="2860"/>
    <cellStyle name="메모 47 7" xfId="3339"/>
    <cellStyle name="메모 47 8" xfId="3581"/>
    <cellStyle name="메모 47 9" xfId="3985"/>
    <cellStyle name="메모 48" xfId="1089"/>
    <cellStyle name="메모 48 10" xfId="2812"/>
    <cellStyle name="메모 48 11" xfId="4657"/>
    <cellStyle name="메모 48 12" xfId="2743"/>
    <cellStyle name="메모 48 13" xfId="5478"/>
    <cellStyle name="메모 48 14" xfId="5834"/>
    <cellStyle name="메모 48 15" xfId="5911"/>
    <cellStyle name="메모 48 16" xfId="1449"/>
    <cellStyle name="메모 48 17" xfId="6797"/>
    <cellStyle name="메모 48 18" xfId="7017"/>
    <cellStyle name="메모 48 19" xfId="7563"/>
    <cellStyle name="메모 48 2" xfId="1797"/>
    <cellStyle name="메모 48 20" xfId="8044"/>
    <cellStyle name="메모 48 21" xfId="1877"/>
    <cellStyle name="메모 48 22" xfId="4581"/>
    <cellStyle name="메모 48 23" xfId="9262"/>
    <cellStyle name="메모 48 24" xfId="6022"/>
    <cellStyle name="메모 48 25" xfId="9833"/>
    <cellStyle name="메모 48 26" xfId="10134"/>
    <cellStyle name="메모 48 27" xfId="8816"/>
    <cellStyle name="메모 48 28" xfId="10781"/>
    <cellStyle name="메모 48 29" xfId="11271"/>
    <cellStyle name="메모 48 3" xfId="2074"/>
    <cellStyle name="메모 48 4" xfId="2192"/>
    <cellStyle name="메모 48 5" xfId="1628"/>
    <cellStyle name="메모 48 6" xfId="2739"/>
    <cellStyle name="메모 48 7" xfId="716"/>
    <cellStyle name="메모 48 8" xfId="3527"/>
    <cellStyle name="메모 48 9" xfId="1947"/>
    <cellStyle name="메모 49" xfId="1091"/>
    <cellStyle name="메모 49 10" xfId="2448"/>
    <cellStyle name="메모 49 11" xfId="4712"/>
    <cellStyle name="메모 49 12" xfId="2237"/>
    <cellStyle name="메모 49 13" xfId="4801"/>
    <cellStyle name="메모 49 14" xfId="5387"/>
    <cellStyle name="메모 49 15" xfId="5338"/>
    <cellStyle name="메모 49 16" xfId="6250"/>
    <cellStyle name="메모 49 17" xfId="6195"/>
    <cellStyle name="메모 49 18" xfId="7331"/>
    <cellStyle name="메모 49 19" xfId="7522"/>
    <cellStyle name="메모 49 2" xfId="1801"/>
    <cellStyle name="메모 49 20" xfId="3589"/>
    <cellStyle name="메모 49 21" xfId="8338"/>
    <cellStyle name="메모 49 22" xfId="8949"/>
    <cellStyle name="메모 49 23" xfId="9058"/>
    <cellStyle name="메모 49 24" xfId="9627"/>
    <cellStyle name="메모 49 25" xfId="8792"/>
    <cellStyle name="메모 49 26" xfId="10110"/>
    <cellStyle name="메모 49 27" xfId="10571"/>
    <cellStyle name="메모 49 28" xfId="10556"/>
    <cellStyle name="메모 49 29" xfId="6305"/>
    <cellStyle name="메모 49 3" xfId="2028"/>
    <cellStyle name="메모 49 4" xfId="2326"/>
    <cellStyle name="메모 49 5" xfId="1370"/>
    <cellStyle name="메모 49 6" xfId="2801"/>
    <cellStyle name="메모 49 7" xfId="3190"/>
    <cellStyle name="메모 49 8" xfId="3533"/>
    <cellStyle name="메모 49 9" xfId="3920"/>
    <cellStyle name="메모 5" xfId="118"/>
    <cellStyle name="메모 50" xfId="1001"/>
    <cellStyle name="메모 50 10" xfId="4140"/>
    <cellStyle name="메모 50 11" xfId="4449"/>
    <cellStyle name="메모 50 12" xfId="5103"/>
    <cellStyle name="메모 50 13" xfId="1470"/>
    <cellStyle name="메모 50 14" xfId="5290"/>
    <cellStyle name="메모 50 15" xfId="3512"/>
    <cellStyle name="메모 50 16" xfId="6312"/>
    <cellStyle name="메모 50 17" xfId="6749"/>
    <cellStyle name="메모 50 18" xfId="5991"/>
    <cellStyle name="메모 50 19" xfId="7580"/>
    <cellStyle name="메모 50 2" xfId="1651"/>
    <cellStyle name="메모 50 20" xfId="8186"/>
    <cellStyle name="메모 50 21" xfId="6007"/>
    <cellStyle name="메모 50 22" xfId="4975"/>
    <cellStyle name="메모 50 23" xfId="7717"/>
    <cellStyle name="메모 50 24" xfId="8022"/>
    <cellStyle name="메모 50 25" xfId="9909"/>
    <cellStyle name="메모 50 26" xfId="10105"/>
    <cellStyle name="메모 50 27" xfId="9583"/>
    <cellStyle name="메모 50 28" xfId="10755"/>
    <cellStyle name="메모 50 29" xfId="11053"/>
    <cellStyle name="메모 50 3" xfId="1451"/>
    <cellStyle name="메모 50 4" xfId="1488"/>
    <cellStyle name="메모 50 5" xfId="2503"/>
    <cellStyle name="메모 50 6" xfId="2884"/>
    <cellStyle name="메모 50 7" xfId="694"/>
    <cellStyle name="메모 50 8" xfId="3600"/>
    <cellStyle name="메모 50 9" xfId="3984"/>
    <cellStyle name="메모 51" xfId="1000"/>
    <cellStyle name="메모 51 10" xfId="4133"/>
    <cellStyle name="메모 51 11" xfId="4568"/>
    <cellStyle name="메모 51 12" xfId="4746"/>
    <cellStyle name="메모 51 13" xfId="5621"/>
    <cellStyle name="메모 51 14" xfId="3786"/>
    <cellStyle name="메모 51 15" xfId="5284"/>
    <cellStyle name="메모 51 16" xfId="6594"/>
    <cellStyle name="메모 51 17" xfId="1605"/>
    <cellStyle name="메모 51 18" xfId="2435"/>
    <cellStyle name="메모 51 19" xfId="7596"/>
    <cellStyle name="메모 51 2" xfId="1649"/>
    <cellStyle name="메모 51 20" xfId="4293"/>
    <cellStyle name="메모 51 21" xfId="4535"/>
    <cellStyle name="메모 51 22" xfId="722"/>
    <cellStyle name="메모 51 23" xfId="7489"/>
    <cellStyle name="메모 51 24" xfId="8407"/>
    <cellStyle name="메모 51 25" xfId="10029"/>
    <cellStyle name="메모 51 26" xfId="4164"/>
    <cellStyle name="메모 51 27" xfId="10522"/>
    <cellStyle name="메모 51 28" xfId="10933"/>
    <cellStyle name="메모 51 29" xfId="11234"/>
    <cellStyle name="메모 51 3" xfId="941"/>
    <cellStyle name="메모 51 4" xfId="2258"/>
    <cellStyle name="메모 51 5" xfId="2459"/>
    <cellStyle name="메모 51 6" xfId="1412"/>
    <cellStyle name="메모 51 7" xfId="3334"/>
    <cellStyle name="메모 51 8" xfId="938"/>
    <cellStyle name="메모 51 9" xfId="3934"/>
    <cellStyle name="메모 52" xfId="1069"/>
    <cellStyle name="메모 52 10" xfId="3899"/>
    <cellStyle name="메모 52 11" xfId="4696"/>
    <cellStyle name="메모 52 12" xfId="5337"/>
    <cellStyle name="메모 52 13" xfId="1978"/>
    <cellStyle name="메모 52 14" xfId="5525"/>
    <cellStyle name="메모 52 15" xfId="4918"/>
    <cellStyle name="메모 52 16" xfId="6583"/>
    <cellStyle name="메모 52 17" xfId="2974"/>
    <cellStyle name="메모 52 18" xfId="3606"/>
    <cellStyle name="메모 52 19" xfId="7569"/>
    <cellStyle name="메모 52 2" xfId="1753"/>
    <cellStyle name="메모 52 20" xfId="7971"/>
    <cellStyle name="메모 52 21" xfId="8408"/>
    <cellStyle name="메모 52 22" xfId="8926"/>
    <cellStyle name="메모 52 23" xfId="9130"/>
    <cellStyle name="메모 52 24" xfId="9461"/>
    <cellStyle name="메모 52 25" xfId="10013"/>
    <cellStyle name="메모 52 26" xfId="10308"/>
    <cellStyle name="메모 52 27" xfId="9206"/>
    <cellStyle name="메모 52 28" xfId="10754"/>
    <cellStyle name="메모 52 29" xfId="11132"/>
    <cellStyle name="메모 52 3" xfId="1408"/>
    <cellStyle name="메모 52 4" xfId="2300"/>
    <cellStyle name="메모 52 5" xfId="1883"/>
    <cellStyle name="메모 52 6" xfId="2968"/>
    <cellStyle name="메모 52 7" xfId="3138"/>
    <cellStyle name="메모 52 8" xfId="2777"/>
    <cellStyle name="메모 52 9" xfId="3633"/>
    <cellStyle name="메모 53" xfId="1051"/>
    <cellStyle name="메모 53 10" xfId="2405"/>
    <cellStyle name="메모 53 11" xfId="4645"/>
    <cellStyle name="메모 53 12" xfId="2432"/>
    <cellStyle name="메모 53 13" xfId="5482"/>
    <cellStyle name="메모 53 14" xfId="1975"/>
    <cellStyle name="메모 53 15" xfId="4806"/>
    <cellStyle name="메모 53 16" xfId="6412"/>
    <cellStyle name="메모 53 17" xfId="6758"/>
    <cellStyle name="메모 53 18" xfId="6910"/>
    <cellStyle name="메모 53 19" xfId="4238"/>
    <cellStyle name="메모 53 2" xfId="1728"/>
    <cellStyle name="메모 53 20" xfId="6015"/>
    <cellStyle name="메모 53 21" xfId="8525"/>
    <cellStyle name="메모 53 22" xfId="8030"/>
    <cellStyle name="메모 53 23" xfId="9086"/>
    <cellStyle name="메모 53 24" xfId="8270"/>
    <cellStyle name="메모 53 25" xfId="4214"/>
    <cellStyle name="메모 53 26" xfId="9640"/>
    <cellStyle name="메모 53 27" xfId="6555"/>
    <cellStyle name="메모 53 28" xfId="10738"/>
    <cellStyle name="메모 53 29" xfId="9496"/>
    <cellStyle name="메모 53 3" xfId="932"/>
    <cellStyle name="메모 53 4" xfId="2206"/>
    <cellStyle name="메모 53 5" xfId="2552"/>
    <cellStyle name="메모 53 6" xfId="726"/>
    <cellStyle name="메모 53 7" xfId="3091"/>
    <cellStyle name="메모 53 8" xfId="3624"/>
    <cellStyle name="메모 53 9" xfId="1939"/>
    <cellStyle name="메모 54" xfId="792"/>
    <cellStyle name="메모 54 10" xfId="4520"/>
    <cellStyle name="메모 54 11" xfId="5304"/>
    <cellStyle name="메모 54 12" xfId="5166"/>
    <cellStyle name="메모 54 13" xfId="2441"/>
    <cellStyle name="메모 54 14" xfId="4983"/>
    <cellStyle name="메모 54 15" xfId="6172"/>
    <cellStyle name="메모 54 16" xfId="7146"/>
    <cellStyle name="메모 54 17" xfId="6969"/>
    <cellStyle name="메모 54 18" xfId="7600"/>
    <cellStyle name="메모 54 19" xfId="8168"/>
    <cellStyle name="메모 54 2" xfId="1571"/>
    <cellStyle name="메모 54 20" xfId="8564"/>
    <cellStyle name="메모 54 21" xfId="939"/>
    <cellStyle name="메모 54 22" xfId="9275"/>
    <cellStyle name="메모 54 23" xfId="9581"/>
    <cellStyle name="메모 54 24" xfId="10019"/>
    <cellStyle name="메모 54 25" xfId="6995"/>
    <cellStyle name="메모 54 26" xfId="10549"/>
    <cellStyle name="메모 54 27" xfId="10868"/>
    <cellStyle name="메모 54 28" xfId="3407"/>
    <cellStyle name="메모 54 3" xfId="2325"/>
    <cellStyle name="메모 54 4" xfId="2534"/>
    <cellStyle name="메모 54 5" xfId="2994"/>
    <cellStyle name="메모 54 6" xfId="3171"/>
    <cellStyle name="메모 54 7" xfId="3692"/>
    <cellStyle name="메모 54 8" xfId="3977"/>
    <cellStyle name="메모 54 9" xfId="4376"/>
    <cellStyle name="메모 55" xfId="1897"/>
    <cellStyle name="메모 55 10" xfId="5496"/>
    <cellStyle name="메모 55 11" xfId="5664"/>
    <cellStyle name="메모 55 12" xfId="5462"/>
    <cellStyle name="메모 55 13" xfId="5698"/>
    <cellStyle name="메모 55 14" xfId="6488"/>
    <cellStyle name="메모 55 15" xfId="7014"/>
    <cellStyle name="메모 55 16" xfId="7076"/>
    <cellStyle name="메모 55 17" xfId="6773"/>
    <cellStyle name="메모 55 18" xfId="8097"/>
    <cellStyle name="메모 55 19" xfId="2254"/>
    <cellStyle name="메모 55 2" xfId="2372"/>
    <cellStyle name="메모 55 20" xfId="6932"/>
    <cellStyle name="메모 55 21" xfId="9193"/>
    <cellStyle name="메모 55 22" xfId="9655"/>
    <cellStyle name="메모 55 23" xfId="10058"/>
    <cellStyle name="메모 55 24" xfId="9877"/>
    <cellStyle name="메모 55 25" xfId="3939"/>
    <cellStyle name="메모 55 26" xfId="10640"/>
    <cellStyle name="메모 55 27" xfId="11120"/>
    <cellStyle name="메모 55 3" xfId="2691"/>
    <cellStyle name="메모 55 4" xfId="3005"/>
    <cellStyle name="메모 55 5" xfId="3061"/>
    <cellStyle name="메모 55 6" xfId="3486"/>
    <cellStyle name="메모 55 7" xfId="2186"/>
    <cellStyle name="메모 55 8" xfId="4211"/>
    <cellStyle name="메모 55 9" xfId="967"/>
    <cellStyle name="메모 56" xfId="2098"/>
    <cellStyle name="메모 56 10" xfId="5840"/>
    <cellStyle name="메모 56 11" xfId="5916"/>
    <cellStyle name="메모 56 12" xfId="5971"/>
    <cellStyle name="메모 56 13" xfId="6561"/>
    <cellStyle name="메모 56 14" xfId="6996"/>
    <cellStyle name="메모 56 15" xfId="7281"/>
    <cellStyle name="메모 56 16" xfId="7822"/>
    <cellStyle name="메모 56 17" xfId="8082"/>
    <cellStyle name="메모 56 18" xfId="6742"/>
    <cellStyle name="메모 56 19" xfId="8847"/>
    <cellStyle name="메모 56 2" xfId="2701"/>
    <cellStyle name="메모 56 20" xfId="8711"/>
    <cellStyle name="메모 56 21" xfId="9632"/>
    <cellStyle name="메모 56 22" xfId="10039"/>
    <cellStyle name="메모 56 23" xfId="10162"/>
    <cellStyle name="메모 56 24" xfId="10595"/>
    <cellStyle name="메모 56 25" xfId="10884"/>
    <cellStyle name="메모 56 26" xfId="7604"/>
    <cellStyle name="메모 56 3" xfId="3016"/>
    <cellStyle name="메모 56 4" xfId="3308"/>
    <cellStyle name="메모 56 5" xfId="1484"/>
    <cellStyle name="메모 56 6" xfId="4036"/>
    <cellStyle name="메모 56 7" xfId="4311"/>
    <cellStyle name="메모 56 8" xfId="4151"/>
    <cellStyle name="메모 56 9" xfId="947"/>
    <cellStyle name="메모 57" xfId="1562"/>
    <cellStyle name="메모 57 10" xfId="5547"/>
    <cellStyle name="메모 57 11" xfId="5083"/>
    <cellStyle name="메모 57 12" xfId="4668"/>
    <cellStyle name="메모 57 13" xfId="7009"/>
    <cellStyle name="메모 57 14" xfId="4594"/>
    <cellStyle name="메모 57 15" xfId="7389"/>
    <cellStyle name="메모 57 16" xfId="3422"/>
    <cellStyle name="메모 57 17" xfId="8627"/>
    <cellStyle name="메모 57 18" xfId="3043"/>
    <cellStyle name="메모 57 19" xfId="6066"/>
    <cellStyle name="메모 57 2" xfId="918"/>
    <cellStyle name="메모 57 20" xfId="9693"/>
    <cellStyle name="메모 57 21" xfId="7968"/>
    <cellStyle name="메모 57 22" xfId="8917"/>
    <cellStyle name="메모 57 23" xfId="10533"/>
    <cellStyle name="메모 57 24" xfId="849"/>
    <cellStyle name="메모 57 25" xfId="10784"/>
    <cellStyle name="메모 57 3" xfId="3174"/>
    <cellStyle name="메모 57 4" xfId="927"/>
    <cellStyle name="메모 57 5" xfId="1368"/>
    <cellStyle name="메모 57 6" xfId="4343"/>
    <cellStyle name="메모 57 7" xfId="4565"/>
    <cellStyle name="메모 57 8" xfId="2401"/>
    <cellStyle name="메모 57 9" xfId="5335"/>
    <cellStyle name="메모 58" xfId="2717"/>
    <cellStyle name="메모 58 10" xfId="5230"/>
    <cellStyle name="메모 58 11" xfId="6369"/>
    <cellStyle name="메모 58 12" xfId="7086"/>
    <cellStyle name="메모 58 13" xfId="6807"/>
    <cellStyle name="메모 58 14" xfId="3687"/>
    <cellStyle name="메모 58 15" xfId="6906"/>
    <cellStyle name="메모 58 16" xfId="3496"/>
    <cellStyle name="메모 58 17" xfId="8988"/>
    <cellStyle name="메모 58 18" xfId="6012"/>
    <cellStyle name="메모 58 19" xfId="9440"/>
    <cellStyle name="메모 58 2" xfId="3370"/>
    <cellStyle name="메모 58 20" xfId="6933"/>
    <cellStyle name="메모 58 21" xfId="8127"/>
    <cellStyle name="메모 58 22" xfId="10499"/>
    <cellStyle name="메모 58 23" xfId="10835"/>
    <cellStyle name="메모 58 24" xfId="11238"/>
    <cellStyle name="메모 58 3" xfId="3702"/>
    <cellStyle name="메모 58 4" xfId="3502"/>
    <cellStyle name="메모 58 5" xfId="4345"/>
    <cellStyle name="메모 58 6" xfId="2243"/>
    <cellStyle name="메모 58 7" xfId="5630"/>
    <cellStyle name="메모 58 8" xfId="5542"/>
    <cellStyle name="메모 58 9" xfId="855"/>
    <cellStyle name="메모 59" xfId="2791"/>
    <cellStyle name="메모 59 10" xfId="3479"/>
    <cellStyle name="메모 59 11" xfId="6956"/>
    <cellStyle name="메모 59 12" xfId="6920"/>
    <cellStyle name="메모 59 13" xfId="7401"/>
    <cellStyle name="메모 59 14" xfId="7402"/>
    <cellStyle name="메모 59 15" xfId="6041"/>
    <cellStyle name="메모 59 16" xfId="7496"/>
    <cellStyle name="메모 59 17" xfId="9314"/>
    <cellStyle name="메모 59 18" xfId="9605"/>
    <cellStyle name="메모 59 19" xfId="974"/>
    <cellStyle name="메모 59 2" xfId="3703"/>
    <cellStyle name="메모 59 20" xfId="5386"/>
    <cellStyle name="메모 59 21" xfId="10547"/>
    <cellStyle name="메모 59 22" xfId="10516"/>
    <cellStyle name="메모 59 23" xfId="10586"/>
    <cellStyle name="메모 59 3" xfId="3869"/>
    <cellStyle name="메모 59 4" xfId="4276"/>
    <cellStyle name="메모 59 5" xfId="2259"/>
    <cellStyle name="메모 59 6" xfId="5033"/>
    <cellStyle name="메모 59 7" xfId="5833"/>
    <cellStyle name="메모 59 8" xfId="5910"/>
    <cellStyle name="메모 59 9" xfId="5967"/>
    <cellStyle name="메모 6" xfId="131"/>
    <cellStyle name="메모 60" xfId="987"/>
    <cellStyle name="메모 60 10" xfId="3037"/>
    <cellStyle name="메모 60 11" xfId="7177"/>
    <cellStyle name="메모 60 12" xfId="7710"/>
    <cellStyle name="메모 60 13" xfId="7958"/>
    <cellStyle name="메모 60 14" xfId="8572"/>
    <cellStyle name="메모 60 15" xfId="8911"/>
    <cellStyle name="메모 60 16" xfId="9188"/>
    <cellStyle name="메모 60 17" xfId="9546"/>
    <cellStyle name="메모 60 18" xfId="3782"/>
    <cellStyle name="메모 60 19" xfId="10210"/>
    <cellStyle name="메모 60 2" xfId="3943"/>
    <cellStyle name="메모 60 20" xfId="8894"/>
    <cellStyle name="메모 60 21" xfId="10962"/>
    <cellStyle name="메모 60 22" xfId="11274"/>
    <cellStyle name="메모 60 3" xfId="4363"/>
    <cellStyle name="메모 60 4" xfId="4652"/>
    <cellStyle name="메모 60 5" xfId="5522"/>
    <cellStyle name="메모 60 6" xfId="5005"/>
    <cellStyle name="메모 60 7" xfId="3516"/>
    <cellStyle name="메모 60 8" xfId="4695"/>
    <cellStyle name="메모 60 9" xfId="6298"/>
    <cellStyle name="메모 61" xfId="1567"/>
    <cellStyle name="메모 61 10" xfId="7092"/>
    <cellStyle name="메모 61 11" xfId="2753"/>
    <cellStyle name="메모 61 12" xfId="8234"/>
    <cellStyle name="메모 61 13" xfId="8361"/>
    <cellStyle name="메모 61 14" xfId="7797"/>
    <cellStyle name="메모 61 15" xfId="9186"/>
    <cellStyle name="메모 61 16" xfId="5092"/>
    <cellStyle name="메모 61 17" xfId="7442"/>
    <cellStyle name="메모 61 18" xfId="9284"/>
    <cellStyle name="메모 61 19" xfId="4141"/>
    <cellStyle name="메모 61 2" xfId="4381"/>
    <cellStyle name="메모 61 20" xfId="10979"/>
    <cellStyle name="메모 61 21" xfId="10539"/>
    <cellStyle name="메모 61 3" xfId="2956"/>
    <cellStyle name="메모 61 4" xfId="5207"/>
    <cellStyle name="메모 61 5" xfId="4076"/>
    <cellStyle name="메모 61 6" xfId="5027"/>
    <cellStyle name="메모 61 7" xfId="3951"/>
    <cellStyle name="메모 61 8" xfId="5054"/>
    <cellStyle name="메모 61 9" xfId="1983"/>
    <cellStyle name="메모 62" xfId="4093"/>
    <cellStyle name="메모 62 10" xfId="7599"/>
    <cellStyle name="메모 62 11" xfId="6338"/>
    <cellStyle name="메모 62 12" xfId="8315"/>
    <cellStyle name="메모 62 13" xfId="8864"/>
    <cellStyle name="메모 62 14" xfId="4701"/>
    <cellStyle name="메모 62 15" xfId="9642"/>
    <cellStyle name="메모 62 16" xfId="9766"/>
    <cellStyle name="메모 62 17" xfId="10331"/>
    <cellStyle name="메모 62 18" xfId="6468"/>
    <cellStyle name="메모 62 19" xfId="10881"/>
    <cellStyle name="메모 62 2" xfId="4770"/>
    <cellStyle name="메모 62 20" xfId="6039"/>
    <cellStyle name="메모 62 3" xfId="5709"/>
    <cellStyle name="메모 62 4" xfId="4935"/>
    <cellStyle name="메모 62 5" xfId="5829"/>
    <cellStyle name="메모 62 6" xfId="5907"/>
    <cellStyle name="메모 62 7" xfId="6628"/>
    <cellStyle name="메모 62 8" xfId="6783"/>
    <cellStyle name="메모 62 9" xfId="4506"/>
    <cellStyle name="메모 63" xfId="4575"/>
    <cellStyle name="메모 63 10" xfId="8205"/>
    <cellStyle name="메모 63 11" xfId="8491"/>
    <cellStyle name="메모 63 12" xfId="1942"/>
    <cellStyle name="메모 63 13" xfId="9252"/>
    <cellStyle name="메모 63 14" xfId="2727"/>
    <cellStyle name="메모 63 15" xfId="9784"/>
    <cellStyle name="메모 63 16" xfId="6170"/>
    <cellStyle name="메모 63 17" xfId="7543"/>
    <cellStyle name="메모 63 18" xfId="1381"/>
    <cellStyle name="메모 63 19" xfId="11275"/>
    <cellStyle name="메모 63 2" xfId="5796"/>
    <cellStyle name="메모 63 3" xfId="5883"/>
    <cellStyle name="메모 63 4" xfId="5946"/>
    <cellStyle name="메모 63 5" xfId="5981"/>
    <cellStyle name="메모 63 6" xfId="6641"/>
    <cellStyle name="메모 63 7" xfId="6732"/>
    <cellStyle name="메모 63 8" xfId="7334"/>
    <cellStyle name="메모 63 9" xfId="7573"/>
    <cellStyle name="메모 64" xfId="3850"/>
    <cellStyle name="메모 64 10" xfId="6087"/>
    <cellStyle name="메모 64 11" xfId="9817"/>
    <cellStyle name="메모 64 12" xfId="10130"/>
    <cellStyle name="메모 64 13" xfId="10495"/>
    <cellStyle name="메모 64 14" xfId="9205"/>
    <cellStyle name="메모 64 15" xfId="11082"/>
    <cellStyle name="메모 64 2" xfId="3762"/>
    <cellStyle name="메모 64 3" xfId="7140"/>
    <cellStyle name="메모 64 4" xfId="7238"/>
    <cellStyle name="메모 64 5" xfId="7480"/>
    <cellStyle name="메모 64 6" xfId="8141"/>
    <cellStyle name="메모 64 7" xfId="8544"/>
    <cellStyle name="메모 64 8" xfId="9017"/>
    <cellStyle name="메모 64 9" xfId="1458"/>
    <cellStyle name="메모 65" xfId="5179"/>
    <cellStyle name="메모 65 10" xfId="9572"/>
    <cellStyle name="메모 65 11" xfId="9779"/>
    <cellStyle name="메모 65 12" xfId="8524"/>
    <cellStyle name="메모 65 13" xfId="868"/>
    <cellStyle name="메모 65 14" xfId="10903"/>
    <cellStyle name="메모 65 15" xfId="6239"/>
    <cellStyle name="메모 65 2" xfId="6663"/>
    <cellStyle name="메모 65 3" xfId="3915"/>
    <cellStyle name="메모 65 4" xfId="7351"/>
    <cellStyle name="메모 65 5" xfId="7681"/>
    <cellStyle name="메모 65 6" xfId="8147"/>
    <cellStyle name="메모 65 7" xfId="8585"/>
    <cellStyle name="메모 65 8" xfId="5195"/>
    <cellStyle name="메모 65 9" xfId="9134"/>
    <cellStyle name="메모 66" xfId="5343"/>
    <cellStyle name="메모 66 10" xfId="9623"/>
    <cellStyle name="메모 66 11" xfId="10050"/>
    <cellStyle name="메모 66 12" xfId="10365"/>
    <cellStyle name="메모 66 13" xfId="10504"/>
    <cellStyle name="메모 66 14" xfId="8221"/>
    <cellStyle name="메모 66 15" xfId="11042"/>
    <cellStyle name="메모 66 2" xfId="6667"/>
    <cellStyle name="메모 66 3" xfId="7217"/>
    <cellStyle name="메모 66 4" xfId="3594"/>
    <cellStyle name="메모 66 5" xfId="7834"/>
    <cellStyle name="메모 66 6" xfId="8077"/>
    <cellStyle name="메모 66 7" xfId="8401"/>
    <cellStyle name="메모 66 8" xfId="1956"/>
    <cellStyle name="메모 66 9" xfId="7786"/>
    <cellStyle name="메모 67" xfId="5278"/>
    <cellStyle name="메모 67 10" xfId="2569"/>
    <cellStyle name="메모 67 11" xfId="7653"/>
    <cellStyle name="메모 67 12" xfId="7501"/>
    <cellStyle name="메모 67 13" xfId="10559"/>
    <cellStyle name="메모 67 14" xfId="9289"/>
    <cellStyle name="메모 67 15" xfId="10429"/>
    <cellStyle name="메모 67 2" xfId="6664"/>
    <cellStyle name="메모 67 3" xfId="7153"/>
    <cellStyle name="메모 67 4" xfId="7291"/>
    <cellStyle name="메모 67 5" xfId="4838"/>
    <cellStyle name="메모 67 6" xfId="8003"/>
    <cellStyle name="메모 67 7" xfId="8558"/>
    <cellStyle name="메모 67 8" xfId="8875"/>
    <cellStyle name="메모 67 9" xfId="7743"/>
    <cellStyle name="메모 68" xfId="6479"/>
    <cellStyle name="메모 68 10" xfId="9844"/>
    <cellStyle name="메모 68 11" xfId="9249"/>
    <cellStyle name="메모 68 12" xfId="1493"/>
    <cellStyle name="메모 68 13" xfId="10823"/>
    <cellStyle name="메모 68 14" xfId="11179"/>
    <cellStyle name="메모 68 2" xfId="7353"/>
    <cellStyle name="메모 68 3" xfId="7382"/>
    <cellStyle name="메모 68 4" xfId="7871"/>
    <cellStyle name="메모 68 5" xfId="4900"/>
    <cellStyle name="메모 68 6" xfId="8522"/>
    <cellStyle name="메모 68 7" xfId="8970"/>
    <cellStyle name="메모 68 8" xfId="8702"/>
    <cellStyle name="메모 68 9" xfId="9163"/>
    <cellStyle name="메모 69" xfId="6892"/>
    <cellStyle name="메모 69 10" xfId="10641"/>
    <cellStyle name="메모 69 11" xfId="10233"/>
    <cellStyle name="메모 69 12" xfId="9438"/>
    <cellStyle name="메모 69 2" xfId="7878"/>
    <cellStyle name="메모 69 3" xfId="8272"/>
    <cellStyle name="메모 69 4" xfId="8085"/>
    <cellStyle name="메모 69 5" xfId="6393"/>
    <cellStyle name="메모 69 6" xfId="8009"/>
    <cellStyle name="메모 69 7" xfId="9475"/>
    <cellStyle name="메모 69 8" xfId="9469"/>
    <cellStyle name="메모 69 9" xfId="5990"/>
    <cellStyle name="메모 7" xfId="144"/>
    <cellStyle name="메모 70" xfId="6955"/>
    <cellStyle name="메모 70 10" xfId="2176"/>
    <cellStyle name="메모 70 11" xfId="10919"/>
    <cellStyle name="메모 70 12" xfId="10739"/>
    <cellStyle name="메모 70 2" xfId="7879"/>
    <cellStyle name="메모 70 3" xfId="8273"/>
    <cellStyle name="메모 70 4" xfId="3080"/>
    <cellStyle name="메모 70 5" xfId="2577"/>
    <cellStyle name="메모 70 6" xfId="6821"/>
    <cellStyle name="메모 70 7" xfId="1908"/>
    <cellStyle name="메모 70 8" xfId="9952"/>
    <cellStyle name="메모 70 9" xfId="8874"/>
    <cellStyle name="메모 71" xfId="5001"/>
    <cellStyle name="메모 71 10" xfId="3808"/>
    <cellStyle name="메모 71 11" xfId="11114"/>
    <cellStyle name="메모 71 2" xfId="8098"/>
    <cellStyle name="메모 71 3" xfId="8352"/>
    <cellStyle name="메모 71 4" xfId="6529"/>
    <cellStyle name="메모 71 5" xfId="7540"/>
    <cellStyle name="메모 71 6" xfId="9631"/>
    <cellStyle name="메모 71 7" xfId="9819"/>
    <cellStyle name="메모 71 8" xfId="10163"/>
    <cellStyle name="메모 71 9" xfId="2788"/>
    <cellStyle name="메모 72" xfId="7918"/>
    <cellStyle name="메모 72 10" xfId="10436"/>
    <cellStyle name="메모 72 2" xfId="8667"/>
    <cellStyle name="메모 72 3" xfId="9031"/>
    <cellStyle name="메모 72 4" xfId="9390"/>
    <cellStyle name="메모 72 5" xfId="7613"/>
    <cellStyle name="메모 72 6" xfId="9826"/>
    <cellStyle name="메모 72 7" xfId="10305"/>
    <cellStyle name="메모 72 8" xfId="10536"/>
    <cellStyle name="메모 72 9" xfId="2786"/>
    <cellStyle name="메모 73" xfId="6724"/>
    <cellStyle name="메모 73 2" xfId="6744"/>
    <cellStyle name="메모 73 3" xfId="2406"/>
    <cellStyle name="메모 73 4" xfId="9556"/>
    <cellStyle name="메모 73 5" xfId="6020"/>
    <cellStyle name="메모 73 6" xfId="10316"/>
    <cellStyle name="메모 73 7" xfId="10551"/>
    <cellStyle name="메모 73 8" xfId="10972"/>
    <cellStyle name="메모 73 9" xfId="11192"/>
    <cellStyle name="메모 74" xfId="7913"/>
    <cellStyle name="메모 74 2" xfId="9389"/>
    <cellStyle name="메모 74 3" xfId="9698"/>
    <cellStyle name="메모 74 4" xfId="9864"/>
    <cellStyle name="메모 74 5" xfId="10160"/>
    <cellStyle name="메모 74 6" xfId="10625"/>
    <cellStyle name="메모 74 7" xfId="10444"/>
    <cellStyle name="메모 74 8" xfId="8355"/>
    <cellStyle name="메모 75" xfId="2511"/>
    <cellStyle name="메모 75 2" xfId="9441"/>
    <cellStyle name="메모 75 3" xfId="9837"/>
    <cellStyle name="메모 75 4" xfId="10257"/>
    <cellStyle name="메모 75 5" xfId="4836"/>
    <cellStyle name="메모 75 6" xfId="10922"/>
    <cellStyle name="메모 75 7" xfId="11162"/>
    <cellStyle name="메모 76" xfId="9542"/>
    <cellStyle name="메모 76 2" xfId="10086"/>
    <cellStyle name="메모 76 3" xfId="10399"/>
    <cellStyle name="메모 76 4" xfId="10708"/>
    <cellStyle name="메모 76 5" xfId="6354"/>
    <cellStyle name="메모 76 6" xfId="1367"/>
    <cellStyle name="메모 77" xfId="4179"/>
    <cellStyle name="메모 77 2" xfId="9518"/>
    <cellStyle name="메모 77 3" xfId="10497"/>
    <cellStyle name="메모 77 4" xfId="10930"/>
    <cellStyle name="메모 77 5" xfId="3809"/>
    <cellStyle name="메모 78" xfId="3490"/>
    <cellStyle name="메모 78 2" xfId="10562"/>
    <cellStyle name="메모 78 3" xfId="9770"/>
    <cellStyle name="메모 78 4" xfId="11052"/>
    <cellStyle name="메모 79" xfId="9464"/>
    <cellStyle name="메모 79 2" xfId="9659"/>
    <cellStyle name="메모 79 3" xfId="11078"/>
    <cellStyle name="메모 8" xfId="157"/>
    <cellStyle name="메모 80" xfId="10808"/>
    <cellStyle name="메모 80 2" xfId="11303"/>
    <cellStyle name="메모 81" xfId="9787"/>
    <cellStyle name="메모 82" xfId="590"/>
    <cellStyle name="메모 83" xfId="683"/>
    <cellStyle name="메모 84" xfId="571"/>
    <cellStyle name="메모 85" xfId="11361"/>
    <cellStyle name="메모 86" xfId="11437"/>
    <cellStyle name="메모 9" xfId="170"/>
    <cellStyle name="백분율" xfId="2" builtinId="5"/>
    <cellStyle name="백분율 2" xfId="58"/>
    <cellStyle name="보통" xfId="10" builtinId="28" customBuiltin="1"/>
    <cellStyle name="설명 텍스트" xfId="18" builtinId="53" customBuiltin="1"/>
    <cellStyle name="셀 확인" xfId="15" builtinId="23" customBuiltin="1"/>
    <cellStyle name="쉼표 [0]" xfId="1" builtinId="6"/>
    <cellStyle name="쉼표 [0] 2" xfId="540"/>
    <cellStyle name="쉼표 [0] 3" xfId="541"/>
    <cellStyle name="연결된 셀" xfId="14" builtinId="24" customBuiltin="1"/>
    <cellStyle name="요약" xfId="19" builtinId="25" customBuiltin="1"/>
    <cellStyle name="입력" xfId="11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2" builtinId="21" customBuiltin="1"/>
    <cellStyle name="표준" xfId="0" builtinId="0"/>
    <cellStyle name="표준 2" xfId="44"/>
    <cellStyle name="표준 3" xfId="542"/>
  </cellStyles>
  <dxfs count="2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/>
        <xdr:cNvSpPr/>
      </xdr:nvSpPr>
      <xdr:spPr>
        <a:xfrm>
          <a:off x="2165985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4" name="모서리가 둥근 직사각형 3"/>
        <xdr:cNvSpPr/>
      </xdr:nvSpPr>
      <xdr:spPr>
        <a:xfrm>
          <a:off x="1701165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DB217"/>
  <sheetViews>
    <sheetView topLeftCell="A4" zoomScale="70" zoomScaleNormal="70" workbookViewId="0">
      <pane ySplit="7785" topLeftCell="A100"/>
      <selection activeCell="I7" sqref="I7"/>
      <selection pane="bottomLeft" activeCell="AY33" sqref="AY33"/>
    </sheetView>
  </sheetViews>
  <sheetFormatPr defaultRowHeight="18.75"/>
  <cols>
    <col min="1" max="1" width="11.875" style="1" customWidth="1"/>
    <col min="2" max="2" width="15.625" style="1" customWidth="1"/>
    <col min="3" max="3" width="5.625" style="59" customWidth="1"/>
    <col min="4" max="16" width="5.625" style="1" customWidth="1"/>
    <col min="17" max="17" width="5.75" style="1" customWidth="1"/>
    <col min="18" max="50" width="5.625" style="1" hidden="1" customWidth="1"/>
    <col min="51" max="51" width="5.625" style="1" customWidth="1"/>
    <col min="52" max="58" width="5.625" style="59" customWidth="1"/>
    <col min="59" max="103" width="5.625" style="1" customWidth="1"/>
    <col min="104" max="16384" width="9" style="1"/>
  </cols>
  <sheetData>
    <row r="1" spans="1:103" ht="22.5">
      <c r="A1" s="63" t="s">
        <v>701</v>
      </c>
      <c r="B1" s="2"/>
      <c r="C1" s="94"/>
      <c r="D1" s="3"/>
      <c r="E1" s="3"/>
      <c r="F1" s="3"/>
      <c r="G1" s="208" t="s">
        <v>829</v>
      </c>
      <c r="H1" s="3"/>
      <c r="I1" s="3"/>
      <c r="J1" s="3"/>
      <c r="K1" s="3"/>
      <c r="L1" s="3"/>
      <c r="M1" s="3"/>
      <c r="N1" s="3" t="s">
        <v>876</v>
      </c>
      <c r="O1" s="3"/>
      <c r="P1" s="3"/>
      <c r="Q1" s="3"/>
      <c r="R1" s="3"/>
      <c r="S1" s="3" t="s">
        <v>893</v>
      </c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1" t="s">
        <v>847</v>
      </c>
      <c r="BS1" s="1" t="s">
        <v>850</v>
      </c>
      <c r="BY1" s="1" t="s">
        <v>852</v>
      </c>
    </row>
    <row r="2" spans="1:103">
      <c r="A2" s="4" t="s">
        <v>542</v>
      </c>
      <c r="B2" s="56">
        <f ca="1">TODAY()</f>
        <v>42649</v>
      </c>
      <c r="C2" s="94"/>
      <c r="D2" s="3">
        <f>MAX(집계!B5:B1014)</f>
        <v>722</v>
      </c>
      <c r="E2" s="3">
        <f>집계!T2</f>
        <v>139.163179916318</v>
      </c>
      <c r="F2" s="3"/>
      <c r="G2" s="3"/>
      <c r="H2" s="3"/>
      <c r="I2" s="495" t="s">
        <v>661</v>
      </c>
      <c r="J2" s="496"/>
      <c r="K2" s="496"/>
      <c r="L2" s="496"/>
      <c r="M2" s="3"/>
      <c r="N2" s="3" t="s">
        <v>853</v>
      </c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</row>
    <row r="3" spans="1:103" ht="5.25" customHeight="1">
      <c r="A3" s="4"/>
      <c r="B3" s="56"/>
      <c r="C3" s="9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103">
      <c r="A4" s="51" t="s">
        <v>543</v>
      </c>
      <c r="B4" s="51">
        <f>$J$34+$L$34</f>
        <v>45</v>
      </c>
      <c r="C4" s="499" t="s">
        <v>544</v>
      </c>
      <c r="D4" s="499"/>
      <c r="E4" s="500">
        <f>$J$34/$B$34</f>
        <v>0.48888888888888887</v>
      </c>
      <c r="F4" s="500"/>
      <c r="G4" s="500">
        <f>$L$34/$B$34</f>
        <v>0.51111111111111107</v>
      </c>
      <c r="H4" s="500"/>
      <c r="I4" s="60" t="s">
        <v>545</v>
      </c>
      <c r="J4" s="60">
        <f>COUNTIFS(당첨,"당첨",홀짝수,"홀수")</f>
        <v>22</v>
      </c>
      <c r="K4" s="60" t="s">
        <v>546</v>
      </c>
      <c r="L4" s="60">
        <f>COUNTIFS(당첨,"당첨",홀짝수,"짝수")</f>
        <v>23</v>
      </c>
      <c r="M4" s="3"/>
      <c r="N4" s="3">
        <v>14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</row>
    <row r="5" spans="1:103" ht="5.25" customHeight="1" thickBot="1">
      <c r="A5" s="4"/>
      <c r="B5" s="23"/>
      <c r="C5" s="94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</row>
    <row r="6" spans="1:103" ht="20.25" thickTop="1" thickBot="1">
      <c r="A6" s="7" t="s">
        <v>547</v>
      </c>
      <c r="B6" s="8" t="s">
        <v>548</v>
      </c>
      <c r="C6" s="24" t="s">
        <v>549</v>
      </c>
      <c r="D6" s="25" t="s">
        <v>5</v>
      </c>
      <c r="E6" s="25" t="s">
        <v>6</v>
      </c>
      <c r="F6" s="25" t="s">
        <v>7</v>
      </c>
      <c r="G6" s="25" t="s">
        <v>8</v>
      </c>
      <c r="H6" s="25" t="s">
        <v>9</v>
      </c>
      <c r="I6" s="25" t="s">
        <v>10</v>
      </c>
      <c r="J6" s="26" t="s">
        <v>11</v>
      </c>
      <c r="K6" s="25" t="s">
        <v>12</v>
      </c>
      <c r="L6" s="25" t="s">
        <v>13</v>
      </c>
      <c r="M6" s="25" t="s">
        <v>14</v>
      </c>
      <c r="N6" s="25" t="s">
        <v>15</v>
      </c>
      <c r="O6" s="25" t="s">
        <v>16</v>
      </c>
      <c r="P6" s="25" t="s">
        <v>17</v>
      </c>
      <c r="Q6" s="25" t="s">
        <v>471</v>
      </c>
      <c r="R6" s="25" t="s">
        <v>856</v>
      </c>
      <c r="S6" s="25" t="s">
        <v>857</v>
      </c>
      <c r="T6" s="25" t="s">
        <v>858</v>
      </c>
      <c r="U6" s="25" t="s">
        <v>859</v>
      </c>
      <c r="V6" s="25" t="s">
        <v>860</v>
      </c>
      <c r="W6" s="25" t="s">
        <v>861</v>
      </c>
      <c r="X6" s="25" t="s">
        <v>862</v>
      </c>
      <c r="Y6" s="25" t="s">
        <v>863</v>
      </c>
      <c r="Z6" s="25" t="s">
        <v>864</v>
      </c>
      <c r="AA6" s="25" t="s">
        <v>865</v>
      </c>
      <c r="AB6" s="25" t="s">
        <v>866</v>
      </c>
      <c r="AC6" s="25" t="s">
        <v>867</v>
      </c>
      <c r="AD6" s="25" t="s">
        <v>868</v>
      </c>
      <c r="AE6" s="25" t="s">
        <v>869</v>
      </c>
      <c r="AF6" s="25" t="s">
        <v>870</v>
      </c>
      <c r="AG6" s="25" t="s">
        <v>871</v>
      </c>
      <c r="AH6" s="25" t="s">
        <v>872</v>
      </c>
      <c r="AI6" s="25" t="s">
        <v>873</v>
      </c>
      <c r="AJ6" s="25" t="s">
        <v>874</v>
      </c>
      <c r="AK6" s="25" t="s">
        <v>875</v>
      </c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48"/>
      <c r="AW6" s="248"/>
      <c r="AX6" s="248"/>
      <c r="AZ6" s="60">
        <v>1</v>
      </c>
      <c r="BA6" s="60">
        <v>2</v>
      </c>
      <c r="BB6" s="60">
        <v>3</v>
      </c>
      <c r="BC6" s="60">
        <v>4</v>
      </c>
      <c r="BD6" s="60">
        <v>5</v>
      </c>
      <c r="BE6" s="60">
        <v>6</v>
      </c>
      <c r="BF6" s="60">
        <v>7</v>
      </c>
    </row>
    <row r="7" spans="1:103" ht="19.5" thickTop="1">
      <c r="A7" s="9" t="s">
        <v>550</v>
      </c>
      <c r="B7" s="10" t="s">
        <v>572</v>
      </c>
      <c r="C7" s="443">
        <f ca="1">INDEX($C38:$AM38,RANK(C44,$C44:$AM44))</f>
        <v>32</v>
      </c>
      <c r="D7" s="443">
        <f ca="1">INDEX($C38:$AM38,RANK(D44,$C44:$AM44))</f>
        <v>26</v>
      </c>
      <c r="E7" s="443">
        <f t="shared" ref="E7:Q7" ca="1" si="0">INDEX($C38:$AM38,RANK(E44,$C44:$AM44))</f>
        <v>5</v>
      </c>
      <c r="F7" s="443">
        <f t="shared" ca="1" si="0"/>
        <v>35</v>
      </c>
      <c r="G7" s="443">
        <f t="shared" ref="G7" ca="1" si="1">INDEX($C38:$AM38,RANK(G44,$C44:$AM44))</f>
        <v>2</v>
      </c>
      <c r="H7" s="443">
        <f t="shared" ca="1" si="0"/>
        <v>15</v>
      </c>
      <c r="I7" s="443">
        <f t="shared" ca="1" si="0"/>
        <v>27</v>
      </c>
      <c r="J7" s="443">
        <f t="shared" ca="1" si="0"/>
        <v>16</v>
      </c>
      <c r="K7" s="443">
        <f t="shared" ca="1" si="0"/>
        <v>29</v>
      </c>
      <c r="L7" s="443">
        <f t="shared" ca="1" si="0"/>
        <v>21</v>
      </c>
      <c r="M7" s="443">
        <f t="shared" ca="1" si="0"/>
        <v>1</v>
      </c>
      <c r="N7" s="443">
        <f t="shared" ca="1" si="0"/>
        <v>6</v>
      </c>
      <c r="O7" s="443">
        <f ca="1">INDEX($C38:$AM38,RANK(O44,$C44:$AM44))</f>
        <v>17</v>
      </c>
      <c r="P7" s="443">
        <f t="shared" ca="1" si="0"/>
        <v>24</v>
      </c>
      <c r="Q7" s="443">
        <f t="shared" ca="1" si="0"/>
        <v>8</v>
      </c>
      <c r="R7" s="244"/>
      <c r="S7" s="244"/>
      <c r="T7" s="244"/>
      <c r="U7" s="244"/>
      <c r="V7" s="244"/>
      <c r="W7" s="244"/>
      <c r="X7" s="244"/>
      <c r="Y7" s="244"/>
      <c r="Z7" s="244"/>
      <c r="AA7" s="244"/>
      <c r="AB7" s="244"/>
      <c r="AC7" s="244"/>
      <c r="AD7" s="244"/>
      <c r="AE7" s="244"/>
      <c r="AF7" s="244"/>
      <c r="AG7" s="244"/>
      <c r="AH7" s="244"/>
      <c r="AI7" s="244"/>
      <c r="AJ7" s="244"/>
      <c r="AK7" s="244"/>
      <c r="AL7" s="244"/>
      <c r="AM7" s="244"/>
      <c r="AN7" s="244"/>
      <c r="AO7" s="244"/>
      <c r="AP7" s="244"/>
      <c r="AQ7" s="244"/>
      <c r="AR7" s="244"/>
      <c r="AS7" s="244"/>
      <c r="AT7" s="244"/>
      <c r="AU7" s="244"/>
      <c r="AV7" s="249"/>
      <c r="AW7" s="249"/>
      <c r="AX7" s="249"/>
      <c r="AZ7" s="60">
        <f t="shared" ref="AZ7:AZ12" si="2">BF6+1</f>
        <v>8</v>
      </c>
      <c r="BA7" s="60">
        <v>9</v>
      </c>
      <c r="BB7" s="60">
        <f>BA7+1</f>
        <v>10</v>
      </c>
      <c r="BC7" s="60">
        <f>BB7+1</f>
        <v>11</v>
      </c>
      <c r="BD7" s="60">
        <f>BC7+1</f>
        <v>12</v>
      </c>
      <c r="BE7" s="60">
        <f>BD7+1</f>
        <v>13</v>
      </c>
      <c r="BF7" s="60">
        <f>BE7+1</f>
        <v>14</v>
      </c>
    </row>
    <row r="8" spans="1:103">
      <c r="A8" s="11" t="s">
        <v>0</v>
      </c>
      <c r="B8" s="12" t="s">
        <v>573</v>
      </c>
      <c r="C8" s="443">
        <f ca="1">INDEX($C39:$AM39,RANK(C45,$C45:$AM45))</f>
        <v>37</v>
      </c>
      <c r="D8" s="443">
        <f t="shared" ref="D8:Q8" ca="1" si="3">INDEX($C39:$AM39,RANK(D45,$C45:$AM45))</f>
        <v>4</v>
      </c>
      <c r="E8" s="443">
        <f t="shared" ca="1" si="3"/>
        <v>20</v>
      </c>
      <c r="F8" s="443">
        <f t="shared" ca="1" si="3"/>
        <v>28</v>
      </c>
      <c r="G8" s="443">
        <f t="shared" ref="G8" ca="1" si="4">INDEX($C39:$AM39,RANK(G45,$C45:$AM45))</f>
        <v>32</v>
      </c>
      <c r="H8" s="443">
        <f t="shared" ca="1" si="3"/>
        <v>26</v>
      </c>
      <c r="I8" s="443">
        <f t="shared" ca="1" si="3"/>
        <v>6</v>
      </c>
      <c r="J8" s="443">
        <f t="shared" ca="1" si="3"/>
        <v>35</v>
      </c>
      <c r="K8" s="443">
        <f t="shared" ca="1" si="3"/>
        <v>16</v>
      </c>
      <c r="L8" s="443">
        <f t="shared" ca="1" si="3"/>
        <v>21</v>
      </c>
      <c r="M8" s="443">
        <f t="shared" ca="1" si="3"/>
        <v>24</v>
      </c>
      <c r="N8" s="443">
        <f t="shared" ca="1" si="3"/>
        <v>3</v>
      </c>
      <c r="O8" s="443">
        <f t="shared" ca="1" si="3"/>
        <v>29</v>
      </c>
      <c r="P8" s="443">
        <f t="shared" ca="1" si="3"/>
        <v>14</v>
      </c>
      <c r="Q8" s="443">
        <f t="shared" ca="1" si="3"/>
        <v>15</v>
      </c>
      <c r="R8" s="245"/>
      <c r="S8" s="245"/>
      <c r="T8" s="245"/>
      <c r="U8" s="245"/>
      <c r="V8" s="245"/>
      <c r="W8" s="245"/>
      <c r="X8" s="245"/>
      <c r="Y8" s="245"/>
      <c r="Z8" s="245"/>
      <c r="AA8" s="245"/>
      <c r="AB8" s="245"/>
      <c r="AC8" s="245"/>
      <c r="AD8" s="245"/>
      <c r="AE8" s="245"/>
      <c r="AF8" s="245"/>
      <c r="AG8" s="245"/>
      <c r="AH8" s="245"/>
      <c r="AI8" s="245"/>
      <c r="AJ8" s="245"/>
      <c r="AK8" s="245"/>
      <c r="AL8" s="245"/>
      <c r="AM8" s="245"/>
      <c r="AN8" s="245"/>
      <c r="AO8" s="245"/>
      <c r="AP8" s="245"/>
      <c r="AQ8" s="245"/>
      <c r="AR8" s="245"/>
      <c r="AS8" s="245"/>
      <c r="AT8" s="245"/>
      <c r="AU8" s="245"/>
      <c r="AV8" s="249"/>
      <c r="AW8" s="249"/>
      <c r="AX8" s="249"/>
      <c r="AZ8" s="60">
        <f t="shared" si="2"/>
        <v>15</v>
      </c>
      <c r="BA8" s="60">
        <f t="shared" ref="BA8:BF8" si="5">AZ8+1</f>
        <v>16</v>
      </c>
      <c r="BB8" s="60">
        <f t="shared" si="5"/>
        <v>17</v>
      </c>
      <c r="BC8" s="60">
        <f t="shared" si="5"/>
        <v>18</v>
      </c>
      <c r="BD8" s="60">
        <f t="shared" si="5"/>
        <v>19</v>
      </c>
      <c r="BE8" s="60">
        <f t="shared" si="5"/>
        <v>20</v>
      </c>
      <c r="BF8" s="60">
        <f t="shared" si="5"/>
        <v>21</v>
      </c>
    </row>
    <row r="9" spans="1:103">
      <c r="A9" s="11" t="s">
        <v>1</v>
      </c>
      <c r="B9" s="12" t="s">
        <v>574</v>
      </c>
      <c r="C9" s="443">
        <f ca="1">INDEX($C40:$AM40,RANK(C46,$C46:$AM46))</f>
        <v>25</v>
      </c>
      <c r="D9" s="443">
        <f t="shared" ref="D9:Q9" ca="1" si="6">INDEX($C40:$AM40,RANK(D46,$C46:$AM46))</f>
        <v>10</v>
      </c>
      <c r="E9" s="443">
        <f t="shared" ca="1" si="6"/>
        <v>13</v>
      </c>
      <c r="F9" s="443">
        <f t="shared" ca="1" si="6"/>
        <v>35</v>
      </c>
      <c r="G9" s="443">
        <f t="shared" ref="G9" ca="1" si="7">INDEX($C40:$AM40,RANK(G46,$C46:$AM46))</f>
        <v>34</v>
      </c>
      <c r="H9" s="443">
        <f t="shared" ca="1" si="6"/>
        <v>19</v>
      </c>
      <c r="I9" s="443">
        <f t="shared" ca="1" si="6"/>
        <v>1</v>
      </c>
      <c r="J9" s="443">
        <f t="shared" ca="1" si="6"/>
        <v>33</v>
      </c>
      <c r="K9" s="443">
        <f t="shared" ca="1" si="6"/>
        <v>22</v>
      </c>
      <c r="L9" s="443">
        <f t="shared" ca="1" si="6"/>
        <v>5</v>
      </c>
      <c r="M9" s="443">
        <f t="shared" ca="1" si="6"/>
        <v>23</v>
      </c>
      <c r="N9" s="443">
        <f t="shared" ca="1" si="6"/>
        <v>9</v>
      </c>
      <c r="O9" s="443">
        <f t="shared" ca="1" si="6"/>
        <v>4</v>
      </c>
      <c r="P9" s="443">
        <f t="shared" ca="1" si="6"/>
        <v>26</v>
      </c>
      <c r="Q9" s="443">
        <f t="shared" ca="1" si="6"/>
        <v>20</v>
      </c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E9" s="245"/>
      <c r="AF9" s="245"/>
      <c r="AG9" s="245"/>
      <c r="AH9" s="245"/>
      <c r="AI9" s="245"/>
      <c r="AJ9" s="245"/>
      <c r="AK9" s="245"/>
      <c r="AL9" s="245"/>
      <c r="AM9" s="245"/>
      <c r="AN9" s="245"/>
      <c r="AO9" s="245"/>
      <c r="AP9" s="245"/>
      <c r="AQ9" s="245"/>
      <c r="AR9" s="245"/>
      <c r="AS9" s="245"/>
      <c r="AT9" s="245"/>
      <c r="AU9" s="245"/>
      <c r="AV9" s="249"/>
      <c r="AW9" s="249"/>
      <c r="AX9" s="249"/>
      <c r="AZ9" s="60">
        <f t="shared" si="2"/>
        <v>22</v>
      </c>
      <c r="BA9" s="60">
        <f t="shared" ref="BA9:BF9" si="8">AZ9+1</f>
        <v>23</v>
      </c>
      <c r="BB9" s="60">
        <f t="shared" si="8"/>
        <v>24</v>
      </c>
      <c r="BC9" s="60">
        <f t="shared" si="8"/>
        <v>25</v>
      </c>
      <c r="BD9" s="60">
        <f t="shared" si="8"/>
        <v>26</v>
      </c>
      <c r="BE9" s="60">
        <f t="shared" si="8"/>
        <v>27</v>
      </c>
      <c r="BF9" s="60">
        <f t="shared" si="8"/>
        <v>28</v>
      </c>
    </row>
    <row r="10" spans="1:103">
      <c r="A10" s="11" t="s">
        <v>2</v>
      </c>
      <c r="B10" s="12" t="s">
        <v>575</v>
      </c>
      <c r="C10" s="443">
        <f ca="1">INDEX($C41:$AM41,RANK(C47,$C47:$AM47))</f>
        <v>25</v>
      </c>
      <c r="D10" s="443">
        <f t="shared" ref="D10:Q10" ca="1" si="9">INDEX($C41:$AM41,RANK(D47,$C47:$AM47))</f>
        <v>32</v>
      </c>
      <c r="E10" s="443">
        <f t="shared" ca="1" si="9"/>
        <v>15</v>
      </c>
      <c r="F10" s="443">
        <f t="shared" ca="1" si="9"/>
        <v>35</v>
      </c>
      <c r="G10" s="443">
        <f t="shared" ref="G10" ca="1" si="10">INDEX($C41:$AM41,RANK(G47,$C47:$AM47))</f>
        <v>5</v>
      </c>
      <c r="H10" s="443">
        <f t="shared" ca="1" si="9"/>
        <v>12</v>
      </c>
      <c r="I10" s="443">
        <f t="shared" ca="1" si="9"/>
        <v>31</v>
      </c>
      <c r="J10" s="443">
        <f t="shared" ca="1" si="9"/>
        <v>29</v>
      </c>
      <c r="K10" s="443">
        <f t="shared" ca="1" si="9"/>
        <v>36</v>
      </c>
      <c r="L10" s="443">
        <f t="shared" ca="1" si="9"/>
        <v>21</v>
      </c>
      <c r="M10" s="443">
        <f t="shared" ca="1" si="9"/>
        <v>20</v>
      </c>
      <c r="N10" s="443">
        <f t="shared" ca="1" si="9"/>
        <v>4</v>
      </c>
      <c r="O10" s="443">
        <f t="shared" ca="1" si="9"/>
        <v>14</v>
      </c>
      <c r="P10" s="443">
        <f t="shared" ca="1" si="9"/>
        <v>10</v>
      </c>
      <c r="Q10" s="443">
        <f t="shared" ca="1" si="9"/>
        <v>27</v>
      </c>
      <c r="R10" s="245"/>
      <c r="S10" s="245"/>
      <c r="T10" s="245"/>
      <c r="U10" s="245"/>
      <c r="V10" s="245"/>
      <c r="W10" s="245"/>
      <c r="X10" s="245"/>
      <c r="Y10" s="245"/>
      <c r="Z10" s="245"/>
      <c r="AA10" s="245"/>
      <c r="AB10" s="245"/>
      <c r="AC10" s="245"/>
      <c r="AD10" s="245"/>
      <c r="AE10" s="245"/>
      <c r="AF10" s="245"/>
      <c r="AG10" s="245"/>
      <c r="AH10" s="245"/>
      <c r="AI10" s="245"/>
      <c r="AJ10" s="245"/>
      <c r="AK10" s="245"/>
      <c r="AL10" s="245"/>
      <c r="AM10" s="245"/>
      <c r="AN10" s="245"/>
      <c r="AO10" s="245"/>
      <c r="AP10" s="245"/>
      <c r="AQ10" s="245"/>
      <c r="AR10" s="245"/>
      <c r="AS10" s="245"/>
      <c r="AT10" s="245"/>
      <c r="AU10" s="245"/>
      <c r="AV10" s="249"/>
      <c r="AW10" s="249"/>
      <c r="AX10" s="249"/>
      <c r="AZ10" s="60">
        <f t="shared" si="2"/>
        <v>29</v>
      </c>
      <c r="BA10" s="60">
        <f t="shared" ref="BA10:BF10" si="11">AZ10+1</f>
        <v>30</v>
      </c>
      <c r="BB10" s="60">
        <f t="shared" si="11"/>
        <v>31</v>
      </c>
      <c r="BC10" s="60">
        <f t="shared" si="11"/>
        <v>32</v>
      </c>
      <c r="BD10" s="60">
        <f t="shared" si="11"/>
        <v>33</v>
      </c>
      <c r="BE10" s="60">
        <f t="shared" si="11"/>
        <v>34</v>
      </c>
      <c r="BF10" s="60">
        <f t="shared" si="11"/>
        <v>35</v>
      </c>
    </row>
    <row r="11" spans="1:103">
      <c r="A11" s="11" t="s">
        <v>3</v>
      </c>
      <c r="B11" s="12" t="s">
        <v>576</v>
      </c>
      <c r="C11" s="443">
        <f ca="1">INDEX($C42:$AM42,RANK(C48,$C48:$AM48))</f>
        <v>31</v>
      </c>
      <c r="D11" s="443">
        <f t="shared" ref="D11:Q11" ca="1" si="12">INDEX($C42:$AM42,RANK(D48,$C48:$AM48))</f>
        <v>2</v>
      </c>
      <c r="E11" s="443">
        <f t="shared" ca="1" si="12"/>
        <v>21</v>
      </c>
      <c r="F11" s="443">
        <f t="shared" ca="1" si="12"/>
        <v>25</v>
      </c>
      <c r="G11" s="443">
        <f t="shared" ref="G11" ca="1" si="13">INDEX($C42:$AM42,RANK(G48,$C48:$AM48))</f>
        <v>8</v>
      </c>
      <c r="H11" s="443">
        <f t="shared" ca="1" si="12"/>
        <v>18</v>
      </c>
      <c r="I11" s="443">
        <f t="shared" ca="1" si="12"/>
        <v>1</v>
      </c>
      <c r="J11" s="443">
        <f t="shared" ca="1" si="12"/>
        <v>34</v>
      </c>
      <c r="K11" s="443">
        <f t="shared" ca="1" si="12"/>
        <v>10</v>
      </c>
      <c r="L11" s="443">
        <f t="shared" ca="1" si="12"/>
        <v>29</v>
      </c>
      <c r="M11" s="443">
        <f t="shared" ca="1" si="12"/>
        <v>12</v>
      </c>
      <c r="N11" s="443">
        <f t="shared" ca="1" si="12"/>
        <v>22</v>
      </c>
      <c r="O11" s="443">
        <f t="shared" ca="1" si="12"/>
        <v>9</v>
      </c>
      <c r="P11" s="443">
        <f t="shared" ca="1" si="12"/>
        <v>24</v>
      </c>
      <c r="Q11" s="443">
        <f t="shared" ca="1" si="12"/>
        <v>35</v>
      </c>
      <c r="R11" s="245"/>
      <c r="S11" s="245"/>
      <c r="T11" s="245"/>
      <c r="U11" s="245"/>
      <c r="V11" s="245"/>
      <c r="W11" s="245"/>
      <c r="X11" s="245"/>
      <c r="Y11" s="245"/>
      <c r="Z11" s="245"/>
      <c r="AA11" s="245"/>
      <c r="AB11" s="245"/>
      <c r="AC11" s="245"/>
      <c r="AD11" s="245"/>
      <c r="AE11" s="245"/>
      <c r="AF11" s="245"/>
      <c r="AG11" s="245"/>
      <c r="AH11" s="245"/>
      <c r="AI11" s="245"/>
      <c r="AJ11" s="245"/>
      <c r="AK11" s="245"/>
      <c r="AL11" s="245"/>
      <c r="AM11" s="245"/>
      <c r="AN11" s="245"/>
      <c r="AO11" s="245"/>
      <c r="AP11" s="245"/>
      <c r="AQ11" s="245"/>
      <c r="AR11" s="245"/>
      <c r="AS11" s="245"/>
      <c r="AT11" s="245"/>
      <c r="AU11" s="245"/>
      <c r="AV11" s="249"/>
      <c r="AW11" s="249"/>
      <c r="AX11" s="249"/>
      <c r="AZ11" s="60">
        <f t="shared" si="2"/>
        <v>36</v>
      </c>
      <c r="BA11" s="60">
        <f t="shared" ref="BA11:BF11" si="14">AZ11+1</f>
        <v>37</v>
      </c>
      <c r="BB11" s="60">
        <f t="shared" si="14"/>
        <v>38</v>
      </c>
      <c r="BC11" s="60">
        <f t="shared" si="14"/>
        <v>39</v>
      </c>
      <c r="BD11" s="60">
        <f t="shared" si="14"/>
        <v>40</v>
      </c>
      <c r="BE11" s="60">
        <f t="shared" si="14"/>
        <v>41</v>
      </c>
      <c r="BF11" s="60">
        <f t="shared" si="14"/>
        <v>42</v>
      </c>
    </row>
    <row r="12" spans="1:103" ht="19.5" thickBot="1">
      <c r="A12" s="13" t="s">
        <v>4</v>
      </c>
      <c r="B12" s="21" t="s">
        <v>577</v>
      </c>
      <c r="C12" s="443">
        <f ca="1">INDEX($C43:$AM43,RANK(C49,$C49:$AM49))</f>
        <v>9</v>
      </c>
      <c r="D12" s="443">
        <f t="shared" ref="D12:Q12" ca="1" si="15">INDEX($C43:$AM43,RANK(D49,$C49:$AM49))</f>
        <v>15</v>
      </c>
      <c r="E12" s="443">
        <f t="shared" ca="1" si="15"/>
        <v>29</v>
      </c>
      <c r="F12" s="443">
        <f t="shared" ca="1" si="15"/>
        <v>12</v>
      </c>
      <c r="G12" s="443">
        <f t="shared" ref="G12" ca="1" si="16">INDEX($C43:$AM43,RANK(G49,$C49:$AM49))</f>
        <v>28</v>
      </c>
      <c r="H12" s="443">
        <f t="shared" ca="1" si="15"/>
        <v>6</v>
      </c>
      <c r="I12" s="443">
        <f t="shared" ca="1" si="15"/>
        <v>16</v>
      </c>
      <c r="J12" s="443">
        <f t="shared" ca="1" si="15"/>
        <v>36</v>
      </c>
      <c r="K12" s="443">
        <f t="shared" ca="1" si="15"/>
        <v>5</v>
      </c>
      <c r="L12" s="443">
        <f t="shared" ca="1" si="15"/>
        <v>8</v>
      </c>
      <c r="M12" s="443">
        <f t="shared" ca="1" si="15"/>
        <v>13</v>
      </c>
      <c r="N12" s="443">
        <f t="shared" ca="1" si="15"/>
        <v>19</v>
      </c>
      <c r="O12" s="443">
        <f t="shared" ca="1" si="15"/>
        <v>33</v>
      </c>
      <c r="P12" s="443">
        <f t="shared" ca="1" si="15"/>
        <v>10</v>
      </c>
      <c r="Q12" s="443">
        <f t="shared" ca="1" si="15"/>
        <v>23</v>
      </c>
      <c r="R12" s="246"/>
      <c r="S12" s="246"/>
      <c r="T12" s="246"/>
      <c r="U12" s="246"/>
      <c r="V12" s="246"/>
      <c r="W12" s="246"/>
      <c r="X12" s="246"/>
      <c r="Y12" s="246"/>
      <c r="Z12" s="246"/>
      <c r="AA12" s="246"/>
      <c r="AB12" s="246"/>
      <c r="AC12" s="246"/>
      <c r="AD12" s="246"/>
      <c r="AE12" s="246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9"/>
      <c r="AW12" s="249"/>
      <c r="AX12" s="249"/>
      <c r="AZ12" s="60">
        <f t="shared" si="2"/>
        <v>43</v>
      </c>
      <c r="BA12" s="60">
        <f>AZ12+1</f>
        <v>44</v>
      </c>
      <c r="BB12" s="60">
        <f>BA12+1</f>
        <v>45</v>
      </c>
      <c r="BC12" s="60"/>
      <c r="BD12" s="60"/>
      <c r="BE12" s="60"/>
      <c r="BF12" s="60"/>
    </row>
    <row r="13" spans="1:103" ht="3.75" customHeight="1" thickTop="1" thickBot="1">
      <c r="A13" s="14"/>
      <c r="B13" s="14"/>
      <c r="C13" s="1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</row>
    <row r="14" spans="1:103" ht="20.25" thickTop="1" thickBot="1">
      <c r="A14" s="501" t="s">
        <v>551</v>
      </c>
      <c r="B14" s="502"/>
      <c r="C14" s="409">
        <f ca="1">SUM(C7:C13)</f>
        <v>159</v>
      </c>
      <c r="D14" s="410">
        <f t="shared" ref="D14:Q14" ca="1" si="17">SUM(D7:D13)</f>
        <v>89</v>
      </c>
      <c r="E14" s="410">
        <f t="shared" ca="1" si="17"/>
        <v>103</v>
      </c>
      <c r="F14" s="410">
        <f t="shared" ca="1" si="17"/>
        <v>170</v>
      </c>
      <c r="G14" s="410">
        <f t="shared" ca="1" si="17"/>
        <v>109</v>
      </c>
      <c r="H14" s="410">
        <f t="shared" ca="1" si="17"/>
        <v>96</v>
      </c>
      <c r="I14" s="410">
        <f t="shared" ca="1" si="17"/>
        <v>82</v>
      </c>
      <c r="J14" s="410">
        <f t="shared" ca="1" si="17"/>
        <v>183</v>
      </c>
      <c r="K14" s="410">
        <f t="shared" ca="1" si="17"/>
        <v>118</v>
      </c>
      <c r="L14" s="410">
        <f t="shared" ca="1" si="17"/>
        <v>105</v>
      </c>
      <c r="M14" s="410">
        <f t="shared" ca="1" si="17"/>
        <v>93</v>
      </c>
      <c r="N14" s="410">
        <f t="shared" ca="1" si="17"/>
        <v>63</v>
      </c>
      <c r="O14" s="410">
        <f t="shared" ca="1" si="17"/>
        <v>106</v>
      </c>
      <c r="P14" s="410">
        <f t="shared" ca="1" si="17"/>
        <v>108</v>
      </c>
      <c r="Q14" s="410">
        <f t="shared" ca="1" si="17"/>
        <v>128</v>
      </c>
      <c r="R14" s="15">
        <f t="shared" ref="R14:AU14" si="18">SUM(R7:R13)</f>
        <v>0</v>
      </c>
      <c r="S14" s="15">
        <f t="shared" si="18"/>
        <v>0</v>
      </c>
      <c r="T14" s="15">
        <f t="shared" si="18"/>
        <v>0</v>
      </c>
      <c r="U14" s="15">
        <f t="shared" si="18"/>
        <v>0</v>
      </c>
      <c r="V14" s="15">
        <f t="shared" si="18"/>
        <v>0</v>
      </c>
      <c r="W14" s="15">
        <f t="shared" si="18"/>
        <v>0</v>
      </c>
      <c r="X14" s="15">
        <f t="shared" si="18"/>
        <v>0</v>
      </c>
      <c r="Y14" s="15">
        <f t="shared" si="18"/>
        <v>0</v>
      </c>
      <c r="Z14" s="15">
        <f t="shared" si="18"/>
        <v>0</v>
      </c>
      <c r="AA14" s="15">
        <f t="shared" si="18"/>
        <v>0</v>
      </c>
      <c r="AB14" s="15">
        <f t="shared" si="18"/>
        <v>0</v>
      </c>
      <c r="AC14" s="15">
        <f t="shared" si="18"/>
        <v>0</v>
      </c>
      <c r="AD14" s="15">
        <f t="shared" si="18"/>
        <v>0</v>
      </c>
      <c r="AE14" s="15">
        <f t="shared" si="18"/>
        <v>0</v>
      </c>
      <c r="AF14" s="15">
        <f t="shared" si="18"/>
        <v>0</v>
      </c>
      <c r="AG14" s="15">
        <f t="shared" si="18"/>
        <v>0</v>
      </c>
      <c r="AH14" s="15">
        <f t="shared" si="18"/>
        <v>0</v>
      </c>
      <c r="AI14" s="15">
        <f t="shared" si="18"/>
        <v>0</v>
      </c>
      <c r="AJ14" s="15">
        <f t="shared" si="18"/>
        <v>0</v>
      </c>
      <c r="AK14" s="15">
        <f t="shared" si="18"/>
        <v>0</v>
      </c>
      <c r="AL14" s="15">
        <f t="shared" si="18"/>
        <v>0</v>
      </c>
      <c r="AM14" s="15">
        <f t="shared" si="18"/>
        <v>0</v>
      </c>
      <c r="AN14" s="15">
        <f t="shared" si="18"/>
        <v>0</v>
      </c>
      <c r="AO14" s="15">
        <f t="shared" si="18"/>
        <v>0</v>
      </c>
      <c r="AP14" s="15">
        <f t="shared" si="18"/>
        <v>0</v>
      </c>
      <c r="AQ14" s="15">
        <f t="shared" si="18"/>
        <v>0</v>
      </c>
      <c r="AR14" s="15">
        <f t="shared" si="18"/>
        <v>0</v>
      </c>
      <c r="AS14" s="15">
        <f t="shared" si="18"/>
        <v>0</v>
      </c>
      <c r="AT14" s="15">
        <f t="shared" si="18"/>
        <v>0</v>
      </c>
      <c r="AU14" s="15">
        <f t="shared" si="18"/>
        <v>0</v>
      </c>
      <c r="AV14" s="250"/>
      <c r="AW14" s="250"/>
      <c r="AX14" s="250"/>
      <c r="AZ14" s="512" t="s">
        <v>704</v>
      </c>
      <c r="BA14" s="513"/>
      <c r="BB14" s="514"/>
      <c r="BC14" s="122" t="s">
        <v>681</v>
      </c>
      <c r="BD14" s="122" t="s">
        <v>682</v>
      </c>
      <c r="BE14" s="122" t="s">
        <v>683</v>
      </c>
      <c r="BF14" s="122" t="s">
        <v>684</v>
      </c>
      <c r="BG14" s="122" t="s">
        <v>685</v>
      </c>
      <c r="BH14" s="122" t="s">
        <v>686</v>
      </c>
      <c r="BI14" s="122" t="s">
        <v>687</v>
      </c>
      <c r="BJ14" s="122" t="s">
        <v>688</v>
      </c>
      <c r="BK14" s="122" t="s">
        <v>689</v>
      </c>
      <c r="BL14" s="122" t="s">
        <v>690</v>
      </c>
      <c r="BM14" s="122" t="s">
        <v>691</v>
      </c>
      <c r="BN14" s="122" t="s">
        <v>692</v>
      </c>
      <c r="BO14" s="122" t="s">
        <v>693</v>
      </c>
      <c r="BP14" s="122" t="s">
        <v>694</v>
      </c>
      <c r="BQ14" s="122" t="s">
        <v>803</v>
      </c>
      <c r="BR14" s="122" t="s">
        <v>804</v>
      </c>
      <c r="BS14" s="122" t="s">
        <v>805</v>
      </c>
      <c r="BT14" s="122" t="s">
        <v>806</v>
      </c>
      <c r="BU14" s="122" t="s">
        <v>807</v>
      </c>
      <c r="BV14" s="122" t="s">
        <v>808</v>
      </c>
      <c r="BW14" s="122" t="s">
        <v>809</v>
      </c>
      <c r="BX14" s="122" t="s">
        <v>810</v>
      </c>
      <c r="BY14" s="122" t="s">
        <v>814</v>
      </c>
      <c r="BZ14" s="122" t="s">
        <v>815</v>
      </c>
      <c r="CA14" s="122" t="s">
        <v>816</v>
      </c>
      <c r="CB14" s="122" t="s">
        <v>817</v>
      </c>
      <c r="CC14" s="122"/>
      <c r="CD14" s="122"/>
      <c r="CE14" s="122"/>
      <c r="CF14" s="122"/>
      <c r="CG14" s="122"/>
      <c r="CH14" s="122"/>
      <c r="CI14" s="122"/>
      <c r="CJ14" s="122"/>
      <c r="CK14" s="122"/>
      <c r="CL14" s="122"/>
      <c r="CM14" s="122"/>
      <c r="CN14" s="122"/>
      <c r="CO14" s="122"/>
      <c r="CP14" s="122"/>
      <c r="CQ14" s="122"/>
      <c r="CR14" s="122"/>
      <c r="CS14" s="122"/>
      <c r="CT14" s="122"/>
      <c r="CU14" s="122" t="s">
        <v>693</v>
      </c>
      <c r="CV14" s="122" t="s">
        <v>694</v>
      </c>
      <c r="CW14" s="122" t="s">
        <v>811</v>
      </c>
      <c r="CX14" s="122" t="s">
        <v>812</v>
      </c>
    </row>
    <row r="15" spans="1:103" ht="19.5" customHeight="1" thickTop="1">
      <c r="A15" s="405" t="s">
        <v>748</v>
      </c>
      <c r="B15" s="413" t="s">
        <v>894</v>
      </c>
      <c r="C15" s="414" t="str">
        <f ca="1">IF(C$14&lt;$BC$15,"낙첨",IF(C$14&gt;$BD$15,"낙첨","당첨"))</f>
        <v>당첨</v>
      </c>
      <c r="D15" s="414" t="str">
        <f t="shared" ref="D15:Q15" ca="1" si="19">IF(D$14&lt;$BC$15,"낙첨",IF(D$14&gt;$BD$15,"낙첨","당첨"))</f>
        <v>낙첨</v>
      </c>
      <c r="E15" s="414" t="str">
        <f t="shared" ca="1" si="19"/>
        <v>당첨</v>
      </c>
      <c r="F15" s="414" t="str">
        <f t="shared" ca="1" si="19"/>
        <v>당첨</v>
      </c>
      <c r="G15" s="414" t="str">
        <f t="shared" ca="1" si="19"/>
        <v>당첨</v>
      </c>
      <c r="H15" s="414" t="str">
        <f t="shared" ca="1" si="19"/>
        <v>당첨</v>
      </c>
      <c r="I15" s="414" t="str">
        <f t="shared" ca="1" si="19"/>
        <v>낙첨</v>
      </c>
      <c r="J15" s="414" t="str">
        <f t="shared" ca="1" si="19"/>
        <v>낙첨</v>
      </c>
      <c r="K15" s="414" t="str">
        <f t="shared" ca="1" si="19"/>
        <v>당첨</v>
      </c>
      <c r="L15" s="414" t="str">
        <f t="shared" ca="1" si="19"/>
        <v>당첨</v>
      </c>
      <c r="M15" s="414" t="str">
        <f t="shared" ca="1" si="19"/>
        <v>당첨</v>
      </c>
      <c r="N15" s="414" t="str">
        <f t="shared" ca="1" si="19"/>
        <v>낙첨</v>
      </c>
      <c r="O15" s="414" t="str">
        <f t="shared" ca="1" si="19"/>
        <v>당첨</v>
      </c>
      <c r="P15" s="414" t="str">
        <f t="shared" ca="1" si="19"/>
        <v>당첨</v>
      </c>
      <c r="Q15" s="415" t="str">
        <f t="shared" ca="1" si="19"/>
        <v>당첨</v>
      </c>
      <c r="R15" s="407" t="str">
        <f t="shared" ref="R15:AU15" si="20">IF(R$14&lt;$BC$15,"낙첨",IF(R$14&gt;$BD$15,"낙첨","당첨"))</f>
        <v>낙첨</v>
      </c>
      <c r="S15" s="218" t="str">
        <f t="shared" si="20"/>
        <v>낙첨</v>
      </c>
      <c r="T15" s="218" t="str">
        <f t="shared" si="20"/>
        <v>낙첨</v>
      </c>
      <c r="U15" s="218" t="str">
        <f t="shared" si="20"/>
        <v>낙첨</v>
      </c>
      <c r="V15" s="218" t="str">
        <f t="shared" si="20"/>
        <v>낙첨</v>
      </c>
      <c r="W15" s="218" t="str">
        <f t="shared" si="20"/>
        <v>낙첨</v>
      </c>
      <c r="X15" s="218" t="str">
        <f t="shared" si="20"/>
        <v>낙첨</v>
      </c>
      <c r="Y15" s="218" t="str">
        <f t="shared" si="20"/>
        <v>낙첨</v>
      </c>
      <c r="Z15" s="218" t="str">
        <f t="shared" si="20"/>
        <v>낙첨</v>
      </c>
      <c r="AA15" s="218" t="str">
        <f t="shared" si="20"/>
        <v>낙첨</v>
      </c>
      <c r="AB15" s="218" t="str">
        <f t="shared" si="20"/>
        <v>낙첨</v>
      </c>
      <c r="AC15" s="218" t="str">
        <f t="shared" si="20"/>
        <v>낙첨</v>
      </c>
      <c r="AD15" s="218" t="str">
        <f t="shared" si="20"/>
        <v>낙첨</v>
      </c>
      <c r="AE15" s="218" t="str">
        <f t="shared" si="20"/>
        <v>낙첨</v>
      </c>
      <c r="AF15" s="218" t="str">
        <f t="shared" si="20"/>
        <v>낙첨</v>
      </c>
      <c r="AG15" s="218" t="str">
        <f t="shared" si="20"/>
        <v>낙첨</v>
      </c>
      <c r="AH15" s="218" t="str">
        <f t="shared" si="20"/>
        <v>낙첨</v>
      </c>
      <c r="AI15" s="218" t="str">
        <f t="shared" si="20"/>
        <v>낙첨</v>
      </c>
      <c r="AJ15" s="218" t="str">
        <f t="shared" si="20"/>
        <v>낙첨</v>
      </c>
      <c r="AK15" s="218" t="str">
        <f t="shared" si="20"/>
        <v>낙첨</v>
      </c>
      <c r="AL15" s="218" t="str">
        <f t="shared" si="20"/>
        <v>낙첨</v>
      </c>
      <c r="AM15" s="218" t="str">
        <f t="shared" si="20"/>
        <v>낙첨</v>
      </c>
      <c r="AN15" s="218" t="str">
        <f t="shared" si="20"/>
        <v>낙첨</v>
      </c>
      <c r="AO15" s="218" t="str">
        <f t="shared" si="20"/>
        <v>낙첨</v>
      </c>
      <c r="AP15" s="218" t="str">
        <f t="shared" si="20"/>
        <v>낙첨</v>
      </c>
      <c r="AQ15" s="218" t="str">
        <f t="shared" si="20"/>
        <v>낙첨</v>
      </c>
      <c r="AR15" s="218" t="str">
        <f t="shared" si="20"/>
        <v>낙첨</v>
      </c>
      <c r="AS15" s="218" t="str">
        <f t="shared" si="20"/>
        <v>낙첨</v>
      </c>
      <c r="AT15" s="218" t="str">
        <f t="shared" si="20"/>
        <v>낙첨</v>
      </c>
      <c r="AU15" s="218" t="str">
        <f t="shared" si="20"/>
        <v>낙첨</v>
      </c>
      <c r="AV15" s="251"/>
      <c r="AW15" s="251"/>
      <c r="AX15" s="251"/>
      <c r="AY15" s="422" t="s">
        <v>1025</v>
      </c>
      <c r="AZ15" s="311">
        <v>1</v>
      </c>
      <c r="BA15" s="508" t="s">
        <v>903</v>
      </c>
      <c r="BB15" s="509"/>
      <c r="BC15" s="175">
        <v>90</v>
      </c>
      <c r="BD15" s="175">
        <v>180</v>
      </c>
      <c r="BE15" s="123"/>
      <c r="BF15" s="123"/>
      <c r="BG15" s="123"/>
      <c r="BH15" s="123"/>
      <c r="BI15" s="123"/>
      <c r="BJ15" s="123"/>
      <c r="BK15" s="123"/>
      <c r="BL15" s="123"/>
      <c r="BM15" s="321"/>
      <c r="BN15" s="321"/>
      <c r="BO15" s="321"/>
      <c r="BP15" s="321"/>
      <c r="BQ15" s="321"/>
      <c r="BR15" s="321"/>
      <c r="BS15" s="321"/>
      <c r="BT15" s="321"/>
      <c r="BU15" s="321"/>
      <c r="BV15" s="321"/>
      <c r="BW15" s="321"/>
      <c r="BX15" s="321"/>
      <c r="BY15" s="321"/>
      <c r="BZ15" s="321"/>
      <c r="CA15" s="321"/>
      <c r="CB15" s="321"/>
      <c r="CC15" s="321"/>
      <c r="CD15" s="321"/>
      <c r="CE15" s="321"/>
      <c r="CF15" s="321"/>
      <c r="CG15" s="321"/>
      <c r="CH15" s="321"/>
      <c r="CI15" s="321"/>
      <c r="CJ15" s="321"/>
      <c r="CK15" s="321"/>
      <c r="CL15" s="321"/>
      <c r="CM15" s="321"/>
      <c r="CN15" s="321"/>
      <c r="CO15" s="321"/>
      <c r="CP15" s="321"/>
      <c r="CQ15" s="321"/>
      <c r="CR15" s="321"/>
      <c r="CS15" s="321"/>
      <c r="CT15" s="321"/>
      <c r="CU15" s="321"/>
      <c r="CV15" s="321"/>
      <c r="CW15" s="321"/>
      <c r="CX15" s="321"/>
      <c r="CY15" s="59"/>
    </row>
    <row r="16" spans="1:103" ht="19.5" customHeight="1">
      <c r="A16" s="406" t="s">
        <v>18</v>
      </c>
      <c r="B16" s="416" t="s">
        <v>631</v>
      </c>
      <c r="C16" s="219" t="str">
        <f ca="1">IF(C58="2:4","당첨",IF(C58="3:3","당첨",IF(C58="4:2","당첨","낙첨")))</f>
        <v>낙첨</v>
      </c>
      <c r="D16" s="219" t="str">
        <f t="shared" ref="D16:Q16" ca="1" si="21">IF(D58="2:4","당첨",IF(D58="3:3","당첨",IF(D58="4:2","당첨","낙첨")))</f>
        <v>낙첨</v>
      </c>
      <c r="E16" s="219" t="str">
        <f t="shared" ca="1" si="21"/>
        <v>낙첨</v>
      </c>
      <c r="F16" s="219" t="str">
        <f t="shared" ca="1" si="21"/>
        <v>당첨</v>
      </c>
      <c r="G16" s="219" t="str">
        <f t="shared" ca="1" si="21"/>
        <v>낙첨</v>
      </c>
      <c r="H16" s="219" t="str">
        <f t="shared" ca="1" si="21"/>
        <v>당첨</v>
      </c>
      <c r="I16" s="219" t="str">
        <f t="shared" ca="1" si="21"/>
        <v>당첨</v>
      </c>
      <c r="J16" s="219" t="str">
        <f t="shared" ca="1" si="21"/>
        <v>당첨</v>
      </c>
      <c r="K16" s="219" t="str">
        <f t="shared" ca="1" si="21"/>
        <v>당첨</v>
      </c>
      <c r="L16" s="219" t="str">
        <f t="shared" ca="1" si="21"/>
        <v>낙첨</v>
      </c>
      <c r="M16" s="219" t="str">
        <f t="shared" ca="1" si="21"/>
        <v>당첨</v>
      </c>
      <c r="N16" s="219" t="str">
        <f t="shared" ca="1" si="21"/>
        <v>당첨</v>
      </c>
      <c r="O16" s="219" t="str">
        <f t="shared" ca="1" si="21"/>
        <v>당첨</v>
      </c>
      <c r="P16" s="219" t="str">
        <f t="shared" ca="1" si="21"/>
        <v>낙첨</v>
      </c>
      <c r="Q16" s="417" t="str">
        <f t="shared" ca="1" si="21"/>
        <v>당첨</v>
      </c>
      <c r="R16" s="408" t="str">
        <f t="shared" ref="R16:AU16" si="22">IF(R58="2:4","당첨",IF(R58="3:3","당첨",IF(R58="4:2","당첨","낙첨")))</f>
        <v>낙첨</v>
      </c>
      <c r="S16" s="219" t="str">
        <f t="shared" si="22"/>
        <v>낙첨</v>
      </c>
      <c r="T16" s="219" t="str">
        <f t="shared" si="22"/>
        <v>낙첨</v>
      </c>
      <c r="U16" s="219" t="str">
        <f t="shared" si="22"/>
        <v>낙첨</v>
      </c>
      <c r="V16" s="219" t="str">
        <f t="shared" si="22"/>
        <v>낙첨</v>
      </c>
      <c r="W16" s="219" t="str">
        <f t="shared" si="22"/>
        <v>낙첨</v>
      </c>
      <c r="X16" s="219" t="str">
        <f t="shared" si="22"/>
        <v>낙첨</v>
      </c>
      <c r="Y16" s="219" t="str">
        <f t="shared" si="22"/>
        <v>낙첨</v>
      </c>
      <c r="Z16" s="219" t="str">
        <f t="shared" si="22"/>
        <v>낙첨</v>
      </c>
      <c r="AA16" s="219" t="str">
        <f t="shared" si="22"/>
        <v>낙첨</v>
      </c>
      <c r="AB16" s="219" t="str">
        <f t="shared" si="22"/>
        <v>낙첨</v>
      </c>
      <c r="AC16" s="219" t="str">
        <f t="shared" si="22"/>
        <v>낙첨</v>
      </c>
      <c r="AD16" s="219" t="str">
        <f t="shared" si="22"/>
        <v>낙첨</v>
      </c>
      <c r="AE16" s="219" t="str">
        <f t="shared" si="22"/>
        <v>낙첨</v>
      </c>
      <c r="AF16" s="219" t="str">
        <f t="shared" si="22"/>
        <v>낙첨</v>
      </c>
      <c r="AG16" s="219" t="str">
        <f t="shared" si="22"/>
        <v>낙첨</v>
      </c>
      <c r="AH16" s="219" t="str">
        <f t="shared" si="22"/>
        <v>낙첨</v>
      </c>
      <c r="AI16" s="219" t="str">
        <f t="shared" si="22"/>
        <v>낙첨</v>
      </c>
      <c r="AJ16" s="219" t="str">
        <f t="shared" si="22"/>
        <v>낙첨</v>
      </c>
      <c r="AK16" s="219" t="str">
        <f t="shared" si="22"/>
        <v>낙첨</v>
      </c>
      <c r="AL16" s="219" t="str">
        <f t="shared" si="22"/>
        <v>낙첨</v>
      </c>
      <c r="AM16" s="219" t="str">
        <f t="shared" si="22"/>
        <v>낙첨</v>
      </c>
      <c r="AN16" s="219" t="str">
        <f t="shared" si="22"/>
        <v>낙첨</v>
      </c>
      <c r="AO16" s="219" t="str">
        <f t="shared" si="22"/>
        <v>낙첨</v>
      </c>
      <c r="AP16" s="219" t="str">
        <f t="shared" si="22"/>
        <v>낙첨</v>
      </c>
      <c r="AQ16" s="219" t="str">
        <f t="shared" si="22"/>
        <v>낙첨</v>
      </c>
      <c r="AR16" s="219" t="str">
        <f t="shared" si="22"/>
        <v>낙첨</v>
      </c>
      <c r="AS16" s="219" t="str">
        <f t="shared" si="22"/>
        <v>낙첨</v>
      </c>
      <c r="AT16" s="219" t="str">
        <f t="shared" si="22"/>
        <v>낙첨</v>
      </c>
      <c r="AU16" s="219" t="str">
        <f t="shared" si="22"/>
        <v>낙첨</v>
      </c>
      <c r="AV16" s="251"/>
      <c r="AW16" s="251"/>
      <c r="AX16" s="251"/>
      <c r="AZ16" s="311">
        <v>2</v>
      </c>
      <c r="BA16" s="508" t="s">
        <v>904</v>
      </c>
      <c r="BB16" s="509"/>
      <c r="BC16" s="176"/>
      <c r="BD16" s="176"/>
      <c r="BE16" s="177" t="s">
        <v>834</v>
      </c>
      <c r="BF16" s="177" t="s">
        <v>835</v>
      </c>
      <c r="BG16" s="177" t="s">
        <v>836</v>
      </c>
      <c r="BH16" s="177"/>
      <c r="BI16" s="177"/>
      <c r="BJ16" s="123"/>
      <c r="BK16" s="123"/>
      <c r="BL16" s="123"/>
      <c r="BM16" s="321"/>
      <c r="BN16" s="321"/>
      <c r="BO16" s="321"/>
      <c r="BP16" s="321"/>
      <c r="BQ16" s="321"/>
      <c r="BR16" s="321"/>
      <c r="BS16" s="321"/>
      <c r="BT16" s="321"/>
      <c r="BU16" s="321"/>
      <c r="BV16" s="321"/>
      <c r="BW16" s="321"/>
      <c r="BX16" s="321"/>
      <c r="BY16" s="321"/>
      <c r="BZ16" s="321"/>
      <c r="CA16" s="321"/>
      <c r="CB16" s="321"/>
      <c r="CC16" s="321"/>
      <c r="CD16" s="321"/>
      <c r="CE16" s="321"/>
      <c r="CF16" s="321"/>
      <c r="CG16" s="321"/>
      <c r="CH16" s="321"/>
      <c r="CI16" s="321"/>
      <c r="CJ16" s="321"/>
      <c r="CK16" s="321"/>
      <c r="CL16" s="321"/>
      <c r="CM16" s="321"/>
      <c r="CN16" s="321"/>
      <c r="CO16" s="321"/>
      <c r="CP16" s="321"/>
      <c r="CQ16" s="321"/>
      <c r="CR16" s="321"/>
      <c r="CS16" s="321"/>
      <c r="CT16" s="321"/>
      <c r="CU16" s="321"/>
      <c r="CV16" s="321"/>
      <c r="CW16" s="321"/>
      <c r="CX16" s="321"/>
      <c r="CY16" s="59"/>
    </row>
    <row r="17" spans="1:106" ht="19.5" customHeight="1">
      <c r="A17" s="406" t="s">
        <v>19</v>
      </c>
      <c r="B17" s="418" t="s">
        <v>630</v>
      </c>
      <c r="C17" s="219" t="str">
        <f ca="1">IF(C87="4:2","당첨",IF(C87="2:4","당첨",IF(C87="3:3","당첨",IF(C87="1:5","당첨","낙첨"))))</f>
        <v>당첨</v>
      </c>
      <c r="D17" s="219" t="str">
        <f t="shared" ref="D17:Q17" ca="1" si="23">IF(D87="4:2","당첨",IF(D87="2:4","당첨",IF(D87="3:3","당첨",IF(D87="1:5","당첨","낙첨"))))</f>
        <v>당첨</v>
      </c>
      <c r="E17" s="219" t="str">
        <f t="shared" ca="1" si="23"/>
        <v>낙첨</v>
      </c>
      <c r="F17" s="219" t="str">
        <f t="shared" ca="1" si="23"/>
        <v>당첨</v>
      </c>
      <c r="G17" s="219" t="str">
        <f t="shared" ca="1" si="23"/>
        <v>당첨</v>
      </c>
      <c r="H17" s="219" t="str">
        <f t="shared" ca="1" si="23"/>
        <v>낙첨</v>
      </c>
      <c r="I17" s="219" t="str">
        <f t="shared" ca="1" si="23"/>
        <v>당첨</v>
      </c>
      <c r="J17" s="219" t="str">
        <f t="shared" ca="1" si="23"/>
        <v>당첨</v>
      </c>
      <c r="K17" s="219" t="str">
        <f t="shared" ca="1" si="23"/>
        <v>당첨</v>
      </c>
      <c r="L17" s="219" t="str">
        <f t="shared" ca="1" si="23"/>
        <v>낙첨</v>
      </c>
      <c r="M17" s="219" t="str">
        <f t="shared" ca="1" si="23"/>
        <v>당첨</v>
      </c>
      <c r="N17" s="219" t="str">
        <f t="shared" ca="1" si="23"/>
        <v>낙첨</v>
      </c>
      <c r="O17" s="219" t="str">
        <f t="shared" ca="1" si="23"/>
        <v>당첨</v>
      </c>
      <c r="P17" s="219" t="str">
        <f t="shared" ca="1" si="23"/>
        <v>당첨</v>
      </c>
      <c r="Q17" s="417" t="str">
        <f t="shared" ca="1" si="23"/>
        <v>당첨</v>
      </c>
      <c r="R17" s="408" t="str">
        <f t="shared" ref="R17:AU17" si="24">IF(R87="4:2","당첨",IF(R87="2:4","당첨",IF(R87="3:3","당첨",IF(R87="1:5","당첨","낙첨"))))</f>
        <v>낙첨</v>
      </c>
      <c r="S17" s="219" t="str">
        <f t="shared" si="24"/>
        <v>낙첨</v>
      </c>
      <c r="T17" s="219" t="str">
        <f t="shared" si="24"/>
        <v>낙첨</v>
      </c>
      <c r="U17" s="219" t="str">
        <f t="shared" si="24"/>
        <v>낙첨</v>
      </c>
      <c r="V17" s="219" t="str">
        <f t="shared" si="24"/>
        <v>낙첨</v>
      </c>
      <c r="W17" s="219" t="str">
        <f t="shared" si="24"/>
        <v>낙첨</v>
      </c>
      <c r="X17" s="219" t="str">
        <f t="shared" si="24"/>
        <v>낙첨</v>
      </c>
      <c r="Y17" s="219" t="str">
        <f t="shared" si="24"/>
        <v>낙첨</v>
      </c>
      <c r="Z17" s="219" t="str">
        <f t="shared" si="24"/>
        <v>낙첨</v>
      </c>
      <c r="AA17" s="219" t="str">
        <f t="shared" si="24"/>
        <v>낙첨</v>
      </c>
      <c r="AB17" s="219" t="str">
        <f t="shared" si="24"/>
        <v>낙첨</v>
      </c>
      <c r="AC17" s="219" t="str">
        <f t="shared" si="24"/>
        <v>낙첨</v>
      </c>
      <c r="AD17" s="219" t="str">
        <f t="shared" si="24"/>
        <v>낙첨</v>
      </c>
      <c r="AE17" s="219" t="str">
        <f t="shared" si="24"/>
        <v>낙첨</v>
      </c>
      <c r="AF17" s="219" t="str">
        <f t="shared" si="24"/>
        <v>낙첨</v>
      </c>
      <c r="AG17" s="219" t="str">
        <f t="shared" si="24"/>
        <v>낙첨</v>
      </c>
      <c r="AH17" s="219" t="str">
        <f t="shared" si="24"/>
        <v>낙첨</v>
      </c>
      <c r="AI17" s="219" t="str">
        <f t="shared" si="24"/>
        <v>낙첨</v>
      </c>
      <c r="AJ17" s="219" t="str">
        <f t="shared" si="24"/>
        <v>낙첨</v>
      </c>
      <c r="AK17" s="219" t="str">
        <f t="shared" si="24"/>
        <v>낙첨</v>
      </c>
      <c r="AL17" s="219" t="str">
        <f t="shared" si="24"/>
        <v>낙첨</v>
      </c>
      <c r="AM17" s="219" t="str">
        <f t="shared" si="24"/>
        <v>낙첨</v>
      </c>
      <c r="AN17" s="219" t="str">
        <f t="shared" si="24"/>
        <v>낙첨</v>
      </c>
      <c r="AO17" s="219" t="str">
        <f t="shared" si="24"/>
        <v>낙첨</v>
      </c>
      <c r="AP17" s="219" t="str">
        <f t="shared" si="24"/>
        <v>낙첨</v>
      </c>
      <c r="AQ17" s="219" t="str">
        <f t="shared" si="24"/>
        <v>낙첨</v>
      </c>
      <c r="AR17" s="219" t="str">
        <f t="shared" si="24"/>
        <v>낙첨</v>
      </c>
      <c r="AS17" s="219" t="str">
        <f t="shared" si="24"/>
        <v>낙첨</v>
      </c>
      <c r="AT17" s="219" t="str">
        <f t="shared" si="24"/>
        <v>낙첨</v>
      </c>
      <c r="AU17" s="219" t="str">
        <f t="shared" si="24"/>
        <v>낙첨</v>
      </c>
      <c r="AV17" s="251"/>
      <c r="AW17" s="251"/>
      <c r="AX17" s="251"/>
      <c r="AZ17" s="311">
        <v>3</v>
      </c>
      <c r="BA17" s="508" t="s">
        <v>905</v>
      </c>
      <c r="BB17" s="509"/>
      <c r="BC17" s="177" t="s">
        <v>848</v>
      </c>
      <c r="BD17" s="177" t="s">
        <v>834</v>
      </c>
      <c r="BE17" s="177" t="s">
        <v>835</v>
      </c>
      <c r="BF17" s="177" t="s">
        <v>851</v>
      </c>
      <c r="BG17" s="177"/>
      <c r="BH17" s="123"/>
      <c r="BI17" s="123"/>
      <c r="BJ17" s="123"/>
      <c r="BK17" s="123"/>
      <c r="BL17" s="123"/>
      <c r="BM17" s="321"/>
      <c r="BN17" s="321"/>
      <c r="BO17" s="321"/>
      <c r="BP17" s="321"/>
      <c r="BQ17" s="321"/>
      <c r="BR17" s="321"/>
      <c r="BS17" s="321"/>
      <c r="BT17" s="321"/>
      <c r="BU17" s="321"/>
      <c r="BV17" s="321"/>
      <c r="BW17" s="321"/>
      <c r="BX17" s="321"/>
      <c r="BY17" s="321"/>
      <c r="BZ17" s="321"/>
      <c r="CA17" s="321"/>
      <c r="CB17" s="321"/>
      <c r="CC17" s="321"/>
      <c r="CD17" s="321"/>
      <c r="CE17" s="321"/>
      <c r="CF17" s="321"/>
      <c r="CG17" s="321"/>
      <c r="CH17" s="321"/>
      <c r="CI17" s="321"/>
      <c r="CJ17" s="321"/>
      <c r="CK17" s="321"/>
      <c r="CL17" s="321"/>
      <c r="CM17" s="321"/>
      <c r="CN17" s="321"/>
      <c r="CO17" s="321"/>
      <c r="CP17" s="321"/>
      <c r="CQ17" s="321"/>
      <c r="CR17" s="321"/>
      <c r="CS17" s="321"/>
      <c r="CT17" s="321"/>
      <c r="CU17" s="321"/>
      <c r="CV17" s="321"/>
      <c r="CW17" s="321"/>
      <c r="CX17" s="321"/>
      <c r="CY17" s="59"/>
    </row>
    <row r="18" spans="1:106" ht="19.5" customHeight="1">
      <c r="A18" s="406" t="s">
        <v>571</v>
      </c>
      <c r="B18" s="416" t="s">
        <v>678</v>
      </c>
      <c r="C18" s="219" t="str">
        <f ca="1">IF(C$210&gt;=1,"당첨","낙첨")</f>
        <v>당첨</v>
      </c>
      <c r="D18" s="219" t="str">
        <f t="shared" ref="D18:Q18" ca="1" si="25">IF(D$210&gt;=1,"당첨","낙첨")</f>
        <v>당첨</v>
      </c>
      <c r="E18" s="219" t="str">
        <f t="shared" ca="1" si="25"/>
        <v>당첨</v>
      </c>
      <c r="F18" s="219" t="str">
        <f t="shared" ca="1" si="25"/>
        <v>당첨</v>
      </c>
      <c r="G18" s="219" t="str">
        <f t="shared" ca="1" si="25"/>
        <v>당첨</v>
      </c>
      <c r="H18" s="219" t="str">
        <f t="shared" ca="1" si="25"/>
        <v>당첨</v>
      </c>
      <c r="I18" s="219" t="str">
        <f t="shared" ca="1" si="25"/>
        <v>당첨</v>
      </c>
      <c r="J18" s="219" t="str">
        <f t="shared" ca="1" si="25"/>
        <v>당첨</v>
      </c>
      <c r="K18" s="219" t="str">
        <f t="shared" ca="1" si="25"/>
        <v>당첨</v>
      </c>
      <c r="L18" s="219" t="str">
        <f t="shared" ca="1" si="25"/>
        <v>당첨</v>
      </c>
      <c r="M18" s="219" t="str">
        <f t="shared" ca="1" si="25"/>
        <v>낙첨</v>
      </c>
      <c r="N18" s="219" t="str">
        <f t="shared" ca="1" si="25"/>
        <v>당첨</v>
      </c>
      <c r="O18" s="219" t="str">
        <f t="shared" ca="1" si="25"/>
        <v>당첨</v>
      </c>
      <c r="P18" s="219" t="str">
        <f t="shared" ca="1" si="25"/>
        <v>당첨</v>
      </c>
      <c r="Q18" s="417" t="str">
        <f t="shared" ca="1" si="25"/>
        <v>당첨</v>
      </c>
      <c r="R18" s="408" t="str">
        <f t="shared" ref="R18:AU18" si="26">IF(R$210&gt;=1,"당첨","낙첨")</f>
        <v>낙첨</v>
      </c>
      <c r="S18" s="219" t="str">
        <f t="shared" si="26"/>
        <v>낙첨</v>
      </c>
      <c r="T18" s="219" t="str">
        <f t="shared" si="26"/>
        <v>낙첨</v>
      </c>
      <c r="U18" s="219" t="str">
        <f t="shared" si="26"/>
        <v>낙첨</v>
      </c>
      <c r="V18" s="219" t="str">
        <f t="shared" si="26"/>
        <v>낙첨</v>
      </c>
      <c r="W18" s="219" t="str">
        <f t="shared" si="26"/>
        <v>낙첨</v>
      </c>
      <c r="X18" s="219" t="str">
        <f t="shared" si="26"/>
        <v>낙첨</v>
      </c>
      <c r="Y18" s="219" t="str">
        <f t="shared" si="26"/>
        <v>낙첨</v>
      </c>
      <c r="Z18" s="219" t="str">
        <f t="shared" si="26"/>
        <v>낙첨</v>
      </c>
      <c r="AA18" s="219" t="str">
        <f t="shared" si="26"/>
        <v>낙첨</v>
      </c>
      <c r="AB18" s="219" t="str">
        <f t="shared" si="26"/>
        <v>낙첨</v>
      </c>
      <c r="AC18" s="219" t="str">
        <f t="shared" si="26"/>
        <v>낙첨</v>
      </c>
      <c r="AD18" s="219" t="str">
        <f t="shared" si="26"/>
        <v>낙첨</v>
      </c>
      <c r="AE18" s="219" t="str">
        <f t="shared" si="26"/>
        <v>낙첨</v>
      </c>
      <c r="AF18" s="219" t="str">
        <f t="shared" si="26"/>
        <v>낙첨</v>
      </c>
      <c r="AG18" s="219" t="str">
        <f t="shared" si="26"/>
        <v>낙첨</v>
      </c>
      <c r="AH18" s="219" t="str">
        <f t="shared" si="26"/>
        <v>낙첨</v>
      </c>
      <c r="AI18" s="219" t="str">
        <f t="shared" si="26"/>
        <v>낙첨</v>
      </c>
      <c r="AJ18" s="219" t="str">
        <f t="shared" si="26"/>
        <v>낙첨</v>
      </c>
      <c r="AK18" s="219" t="str">
        <f t="shared" si="26"/>
        <v>낙첨</v>
      </c>
      <c r="AL18" s="219" t="str">
        <f t="shared" si="26"/>
        <v>낙첨</v>
      </c>
      <c r="AM18" s="219" t="str">
        <f t="shared" si="26"/>
        <v>낙첨</v>
      </c>
      <c r="AN18" s="219" t="str">
        <f t="shared" si="26"/>
        <v>낙첨</v>
      </c>
      <c r="AO18" s="219" t="str">
        <f t="shared" si="26"/>
        <v>낙첨</v>
      </c>
      <c r="AP18" s="219" t="str">
        <f t="shared" si="26"/>
        <v>낙첨</v>
      </c>
      <c r="AQ18" s="219" t="str">
        <f t="shared" si="26"/>
        <v>낙첨</v>
      </c>
      <c r="AR18" s="219" t="str">
        <f t="shared" si="26"/>
        <v>낙첨</v>
      </c>
      <c r="AS18" s="219" t="str">
        <f t="shared" si="26"/>
        <v>낙첨</v>
      </c>
      <c r="AT18" s="219" t="str">
        <f t="shared" si="26"/>
        <v>낙첨</v>
      </c>
      <c r="AU18" s="219" t="str">
        <f t="shared" si="26"/>
        <v>낙첨</v>
      </c>
      <c r="AV18" s="251"/>
      <c r="AW18" s="251"/>
      <c r="AX18" s="251"/>
      <c r="AZ18" s="311">
        <v>4</v>
      </c>
      <c r="BA18" s="508" t="s">
        <v>906</v>
      </c>
      <c r="BB18" s="509"/>
      <c r="BC18" s="173">
        <v>16</v>
      </c>
      <c r="BD18" s="173">
        <v>18</v>
      </c>
      <c r="BE18" s="173">
        <v>19</v>
      </c>
      <c r="BF18" s="173">
        <v>20</v>
      </c>
      <c r="BG18" s="173">
        <v>21</v>
      </c>
      <c r="BH18" s="173">
        <v>22</v>
      </c>
      <c r="BI18" s="173">
        <v>23</v>
      </c>
      <c r="BJ18" s="173">
        <v>24</v>
      </c>
      <c r="BK18" s="173">
        <v>25</v>
      </c>
      <c r="BL18" s="173">
        <v>26</v>
      </c>
      <c r="BM18" s="186">
        <v>27</v>
      </c>
      <c r="BN18" s="186">
        <v>28</v>
      </c>
      <c r="BO18" s="186">
        <v>29</v>
      </c>
      <c r="BP18" s="186">
        <v>30</v>
      </c>
      <c r="BQ18" s="186">
        <v>31</v>
      </c>
      <c r="BR18" s="186">
        <v>32</v>
      </c>
      <c r="BS18" s="186">
        <v>33</v>
      </c>
      <c r="BT18" s="186">
        <v>34</v>
      </c>
      <c r="BU18" s="186">
        <v>35</v>
      </c>
      <c r="BV18" s="186">
        <v>36</v>
      </c>
      <c r="BW18" s="321"/>
      <c r="BX18" s="321"/>
      <c r="BY18" s="321"/>
      <c r="BZ18" s="321"/>
      <c r="CA18" s="321"/>
      <c r="CB18" s="321"/>
      <c r="CC18" s="321"/>
      <c r="CD18" s="321"/>
      <c r="CE18" s="321"/>
      <c r="CF18" s="321"/>
      <c r="CG18" s="321"/>
      <c r="CH18" s="321"/>
      <c r="CI18" s="321"/>
      <c r="CJ18" s="321"/>
      <c r="CK18" s="321"/>
      <c r="CL18" s="321"/>
      <c r="CM18" s="321"/>
      <c r="CN18" s="321"/>
      <c r="CO18" s="321"/>
      <c r="CP18" s="321"/>
      <c r="CQ18" s="321"/>
      <c r="CR18" s="321"/>
      <c r="CS18" s="321"/>
      <c r="CT18" s="321"/>
      <c r="CU18" s="321"/>
      <c r="CV18" s="321"/>
      <c r="CW18" s="321"/>
      <c r="CX18" s="321"/>
      <c r="CY18" s="59"/>
    </row>
    <row r="19" spans="1:106" ht="19.5" customHeight="1" thickBot="1">
      <c r="A19" s="406" t="s">
        <v>580</v>
      </c>
      <c r="B19" s="419" t="s">
        <v>677</v>
      </c>
      <c r="C19" s="420" t="str">
        <f t="shared" ref="C19:Q19" ca="1" si="27">IF(C101=$BC$19,"당첨",IF(C101=$BD$19,"당첨",IF(C101=$BE$19,"당첨",IF(C101=$BF$19,"당첨",IF(C101=$BG$19,"당첨","낙첨")))))</f>
        <v>당첨</v>
      </c>
      <c r="D19" s="420" t="str">
        <f t="shared" ca="1" si="27"/>
        <v>당첨</v>
      </c>
      <c r="E19" s="420" t="str">
        <f t="shared" ca="1" si="27"/>
        <v>당첨</v>
      </c>
      <c r="F19" s="420" t="str">
        <f t="shared" ca="1" si="27"/>
        <v>낙첨</v>
      </c>
      <c r="G19" s="420" t="str">
        <f t="shared" ca="1" si="27"/>
        <v>당첨</v>
      </c>
      <c r="H19" s="420" t="str">
        <f t="shared" ca="1" si="27"/>
        <v>당첨</v>
      </c>
      <c r="I19" s="420" t="str">
        <f t="shared" ca="1" si="27"/>
        <v>당첨</v>
      </c>
      <c r="J19" s="420" t="str">
        <f t="shared" ca="1" si="27"/>
        <v>당첨</v>
      </c>
      <c r="K19" s="420" t="str">
        <f t="shared" ca="1" si="27"/>
        <v>당첨</v>
      </c>
      <c r="L19" s="420" t="str">
        <f t="shared" ca="1" si="27"/>
        <v>당첨</v>
      </c>
      <c r="M19" s="420" t="str">
        <f t="shared" ca="1" si="27"/>
        <v>당첨</v>
      </c>
      <c r="N19" s="420" t="str">
        <f t="shared" ca="1" si="27"/>
        <v>당첨</v>
      </c>
      <c r="O19" s="420" t="str">
        <f t="shared" ca="1" si="27"/>
        <v>당첨</v>
      </c>
      <c r="P19" s="420" t="str">
        <f t="shared" ca="1" si="27"/>
        <v>낙첨</v>
      </c>
      <c r="Q19" s="421" t="str">
        <f t="shared" ca="1" si="27"/>
        <v>당첨</v>
      </c>
      <c r="R19" s="408" t="str">
        <f t="shared" ref="R19:AU19" si="28">IF(R101=$BC$19,"당첨",IF(R101=$BD$19,"당첨",IF(R101=$BE$19,"당첨",IF(R101=$BF$19,"당첨","낙첨"))))</f>
        <v>낙첨</v>
      </c>
      <c r="S19" s="219" t="str">
        <f t="shared" si="28"/>
        <v>낙첨</v>
      </c>
      <c r="T19" s="219" t="str">
        <f t="shared" si="28"/>
        <v>낙첨</v>
      </c>
      <c r="U19" s="219" t="str">
        <f t="shared" si="28"/>
        <v>낙첨</v>
      </c>
      <c r="V19" s="219" t="str">
        <f t="shared" si="28"/>
        <v>낙첨</v>
      </c>
      <c r="W19" s="219" t="str">
        <f t="shared" si="28"/>
        <v>낙첨</v>
      </c>
      <c r="X19" s="219" t="str">
        <f t="shared" si="28"/>
        <v>낙첨</v>
      </c>
      <c r="Y19" s="219" t="str">
        <f t="shared" si="28"/>
        <v>낙첨</v>
      </c>
      <c r="Z19" s="219" t="str">
        <f t="shared" si="28"/>
        <v>낙첨</v>
      </c>
      <c r="AA19" s="219" t="str">
        <f t="shared" si="28"/>
        <v>낙첨</v>
      </c>
      <c r="AB19" s="219" t="str">
        <f t="shared" si="28"/>
        <v>낙첨</v>
      </c>
      <c r="AC19" s="219" t="str">
        <f t="shared" si="28"/>
        <v>낙첨</v>
      </c>
      <c r="AD19" s="219" t="str">
        <f t="shared" si="28"/>
        <v>낙첨</v>
      </c>
      <c r="AE19" s="219" t="str">
        <f t="shared" si="28"/>
        <v>낙첨</v>
      </c>
      <c r="AF19" s="219" t="str">
        <f t="shared" si="28"/>
        <v>낙첨</v>
      </c>
      <c r="AG19" s="219" t="str">
        <f t="shared" si="28"/>
        <v>낙첨</v>
      </c>
      <c r="AH19" s="219" t="str">
        <f t="shared" si="28"/>
        <v>낙첨</v>
      </c>
      <c r="AI19" s="219" t="str">
        <f t="shared" si="28"/>
        <v>낙첨</v>
      </c>
      <c r="AJ19" s="219" t="str">
        <f t="shared" si="28"/>
        <v>낙첨</v>
      </c>
      <c r="AK19" s="219" t="str">
        <f t="shared" si="28"/>
        <v>낙첨</v>
      </c>
      <c r="AL19" s="219" t="str">
        <f t="shared" si="28"/>
        <v>낙첨</v>
      </c>
      <c r="AM19" s="219" t="str">
        <f t="shared" si="28"/>
        <v>낙첨</v>
      </c>
      <c r="AN19" s="219" t="str">
        <f t="shared" si="28"/>
        <v>낙첨</v>
      </c>
      <c r="AO19" s="219" t="str">
        <f t="shared" si="28"/>
        <v>낙첨</v>
      </c>
      <c r="AP19" s="219" t="str">
        <f t="shared" si="28"/>
        <v>낙첨</v>
      </c>
      <c r="AQ19" s="219" t="str">
        <f t="shared" si="28"/>
        <v>낙첨</v>
      </c>
      <c r="AR19" s="219" t="str">
        <f t="shared" si="28"/>
        <v>낙첨</v>
      </c>
      <c r="AS19" s="219" t="str">
        <f t="shared" si="28"/>
        <v>낙첨</v>
      </c>
      <c r="AT19" s="219" t="str">
        <f t="shared" si="28"/>
        <v>낙첨</v>
      </c>
      <c r="AU19" s="219" t="str">
        <f t="shared" si="28"/>
        <v>낙첨</v>
      </c>
      <c r="AV19" s="251"/>
      <c r="AW19" s="251"/>
      <c r="AX19" s="251"/>
      <c r="AZ19" s="311">
        <v>5</v>
      </c>
      <c r="BA19" s="508" t="s">
        <v>907</v>
      </c>
      <c r="BB19" s="509"/>
      <c r="BC19" s="173">
        <v>1</v>
      </c>
      <c r="BD19" s="173">
        <v>1</v>
      </c>
      <c r="BE19" s="173">
        <v>2</v>
      </c>
      <c r="BF19" s="173">
        <v>3</v>
      </c>
      <c r="BG19" s="173">
        <v>3</v>
      </c>
      <c r="BH19" s="173"/>
      <c r="BI19" s="123"/>
      <c r="BJ19" s="123"/>
      <c r="BK19" s="123"/>
      <c r="BL19" s="123"/>
      <c r="BM19" s="321"/>
      <c r="BN19" s="321"/>
      <c r="BO19" s="321"/>
      <c r="BP19" s="321"/>
      <c r="BQ19" s="321"/>
      <c r="BR19" s="321"/>
      <c r="BS19" s="321"/>
      <c r="BT19" s="321"/>
      <c r="BU19" s="321"/>
      <c r="BV19" s="321"/>
      <c r="BW19" s="321"/>
      <c r="BX19" s="321"/>
      <c r="BY19" s="321"/>
      <c r="BZ19" s="321"/>
      <c r="CA19" s="321"/>
      <c r="CB19" s="321"/>
      <c r="CC19" s="321"/>
      <c r="CD19" s="321"/>
      <c r="CE19" s="321"/>
      <c r="CF19" s="321"/>
      <c r="CG19" s="321"/>
      <c r="CH19" s="321"/>
      <c r="CI19" s="321"/>
      <c r="CJ19" s="321"/>
      <c r="CK19" s="321"/>
      <c r="CL19" s="321"/>
      <c r="CM19" s="321"/>
      <c r="CN19" s="321"/>
      <c r="CO19" s="321"/>
      <c r="CP19" s="321"/>
      <c r="CQ19" s="321"/>
      <c r="CR19" s="321"/>
      <c r="CS19" s="321"/>
      <c r="CT19" s="321"/>
      <c r="CU19" s="321"/>
      <c r="CV19" s="321"/>
      <c r="CW19" s="321"/>
      <c r="CX19" s="321"/>
      <c r="CY19" s="59"/>
    </row>
    <row r="20" spans="1:106">
      <c r="A20" s="220" t="s">
        <v>629</v>
      </c>
      <c r="B20" s="411" t="s">
        <v>926</v>
      </c>
      <c r="C20" s="412" t="str">
        <f t="shared" ref="C20:P20" ca="1" si="29">IF(C108=$CU$20,"당첨",IF(C108=$CV$20,"당첨",IF(C108=$CW$20,"당첨",IF(C108=$CX$20,"당첨",IF(C108=$CY$20,"당첨","낙첨")))))</f>
        <v>당첨</v>
      </c>
      <c r="D20" s="412" t="str">
        <f t="shared" ca="1" si="29"/>
        <v>당첨</v>
      </c>
      <c r="E20" s="412" t="str">
        <f t="shared" ca="1" si="29"/>
        <v>당첨</v>
      </c>
      <c r="F20" s="412" t="str">
        <f t="shared" ca="1" si="29"/>
        <v>당첨</v>
      </c>
      <c r="G20" s="412" t="str">
        <f t="shared" ca="1" si="29"/>
        <v>당첨</v>
      </c>
      <c r="H20" s="412" t="str">
        <f t="shared" ca="1" si="29"/>
        <v>당첨</v>
      </c>
      <c r="I20" s="412" t="str">
        <f t="shared" ca="1" si="29"/>
        <v>당첨</v>
      </c>
      <c r="J20" s="412" t="str">
        <f t="shared" ca="1" si="29"/>
        <v>당첨</v>
      </c>
      <c r="K20" s="412" t="str">
        <f t="shared" ca="1" si="29"/>
        <v>당첨</v>
      </c>
      <c r="L20" s="412" t="str">
        <f t="shared" ca="1" si="29"/>
        <v>당첨</v>
      </c>
      <c r="M20" s="412" t="str">
        <f t="shared" ca="1" si="29"/>
        <v>당첨</v>
      </c>
      <c r="N20" s="412" t="str">
        <f t="shared" ca="1" si="29"/>
        <v>당첨</v>
      </c>
      <c r="O20" s="412" t="str">
        <f t="shared" ca="1" si="29"/>
        <v>당첨</v>
      </c>
      <c r="P20" s="412" t="str">
        <f t="shared" ca="1" si="29"/>
        <v>당첨</v>
      </c>
      <c r="Q20" s="412" t="str">
        <f ca="1">IF(Q108=$CU$20,"당첨",IF(Q108=$CV$20,"당첨",IF(Q108=$CW$20,"당첨",IF(Q108=$CX$20,"당첨",IF(Q108=$CY$20,"당첨","낙첨")))))</f>
        <v>당첨</v>
      </c>
      <c r="R20" s="219" t="str">
        <f t="shared" ref="R20:AU20" si="30">IF(R108=$CU$20,"당첨",IF(R108=$CV$20,"당첨",IF(R108=$CW$20,"당첨",IF(R108=$CX$20,"당첨","낙첨"))))</f>
        <v>낙첨</v>
      </c>
      <c r="S20" s="219" t="str">
        <f t="shared" si="30"/>
        <v>낙첨</v>
      </c>
      <c r="T20" s="219" t="str">
        <f t="shared" si="30"/>
        <v>낙첨</v>
      </c>
      <c r="U20" s="219" t="str">
        <f t="shared" si="30"/>
        <v>낙첨</v>
      </c>
      <c r="V20" s="219" t="str">
        <f t="shared" si="30"/>
        <v>낙첨</v>
      </c>
      <c r="W20" s="219" t="str">
        <f t="shared" si="30"/>
        <v>낙첨</v>
      </c>
      <c r="X20" s="219" t="str">
        <f t="shared" si="30"/>
        <v>낙첨</v>
      </c>
      <c r="Y20" s="219" t="str">
        <f t="shared" si="30"/>
        <v>낙첨</v>
      </c>
      <c r="Z20" s="219" t="str">
        <f t="shared" si="30"/>
        <v>낙첨</v>
      </c>
      <c r="AA20" s="219" t="str">
        <f t="shared" si="30"/>
        <v>낙첨</v>
      </c>
      <c r="AB20" s="219" t="str">
        <f t="shared" si="30"/>
        <v>낙첨</v>
      </c>
      <c r="AC20" s="219" t="str">
        <f t="shared" si="30"/>
        <v>낙첨</v>
      </c>
      <c r="AD20" s="219" t="str">
        <f t="shared" si="30"/>
        <v>낙첨</v>
      </c>
      <c r="AE20" s="219" t="str">
        <f t="shared" si="30"/>
        <v>낙첨</v>
      </c>
      <c r="AF20" s="219" t="str">
        <f t="shared" si="30"/>
        <v>낙첨</v>
      </c>
      <c r="AG20" s="219" t="str">
        <f t="shared" si="30"/>
        <v>낙첨</v>
      </c>
      <c r="AH20" s="219" t="str">
        <f t="shared" si="30"/>
        <v>낙첨</v>
      </c>
      <c r="AI20" s="219" t="str">
        <f t="shared" si="30"/>
        <v>낙첨</v>
      </c>
      <c r="AJ20" s="219" t="str">
        <f t="shared" si="30"/>
        <v>낙첨</v>
      </c>
      <c r="AK20" s="219" t="str">
        <f t="shared" si="30"/>
        <v>낙첨</v>
      </c>
      <c r="AL20" s="219" t="str">
        <f t="shared" si="30"/>
        <v>낙첨</v>
      </c>
      <c r="AM20" s="219" t="str">
        <f t="shared" si="30"/>
        <v>낙첨</v>
      </c>
      <c r="AN20" s="219" t="str">
        <f t="shared" si="30"/>
        <v>낙첨</v>
      </c>
      <c r="AO20" s="219" t="str">
        <f t="shared" si="30"/>
        <v>낙첨</v>
      </c>
      <c r="AP20" s="219" t="str">
        <f t="shared" si="30"/>
        <v>낙첨</v>
      </c>
      <c r="AQ20" s="219" t="str">
        <f t="shared" si="30"/>
        <v>낙첨</v>
      </c>
      <c r="AR20" s="219" t="str">
        <f t="shared" si="30"/>
        <v>낙첨</v>
      </c>
      <c r="AS20" s="219" t="str">
        <f t="shared" si="30"/>
        <v>낙첨</v>
      </c>
      <c r="AT20" s="219" t="str">
        <f t="shared" si="30"/>
        <v>낙첨</v>
      </c>
      <c r="AU20" s="219" t="str">
        <f t="shared" si="30"/>
        <v>낙첨</v>
      </c>
      <c r="AV20" s="251"/>
      <c r="AW20" s="251"/>
      <c r="AX20" s="251"/>
      <c r="AZ20" s="482">
        <v>6</v>
      </c>
      <c r="BA20" s="515" t="s">
        <v>977</v>
      </c>
      <c r="BB20" s="516"/>
      <c r="BC20" s="489">
        <v>1</v>
      </c>
      <c r="BD20" s="489">
        <v>2</v>
      </c>
      <c r="BE20" s="489">
        <v>3</v>
      </c>
      <c r="BF20" s="489">
        <v>4</v>
      </c>
      <c r="BG20" s="489">
        <v>7</v>
      </c>
      <c r="BH20" s="489">
        <v>8</v>
      </c>
      <c r="BI20" s="489">
        <v>9</v>
      </c>
      <c r="BJ20" s="489">
        <v>10</v>
      </c>
      <c r="BK20" s="489">
        <v>12</v>
      </c>
      <c r="BL20" s="492">
        <v>15</v>
      </c>
      <c r="BM20" s="489">
        <v>16</v>
      </c>
      <c r="BN20" s="492">
        <v>17</v>
      </c>
      <c r="BO20" s="489">
        <v>18</v>
      </c>
      <c r="BP20" s="489">
        <v>19</v>
      </c>
      <c r="BQ20" s="489">
        <v>22</v>
      </c>
      <c r="BR20" s="489">
        <v>23</v>
      </c>
      <c r="BS20" s="489">
        <v>24</v>
      </c>
      <c r="BT20" s="489">
        <v>26</v>
      </c>
      <c r="BU20" s="489">
        <v>27</v>
      </c>
      <c r="BV20" s="489">
        <v>28</v>
      </c>
      <c r="BW20" s="489">
        <v>29</v>
      </c>
      <c r="BX20" s="489">
        <v>31</v>
      </c>
      <c r="BY20" s="489">
        <v>32</v>
      </c>
      <c r="BZ20" s="489">
        <v>33</v>
      </c>
      <c r="CA20" s="489">
        <v>34</v>
      </c>
      <c r="CB20" s="489">
        <v>35</v>
      </c>
      <c r="CC20" s="489">
        <v>36</v>
      </c>
      <c r="CD20" s="489">
        <v>37</v>
      </c>
      <c r="CE20" s="489">
        <v>38</v>
      </c>
      <c r="CF20" s="489">
        <v>41</v>
      </c>
      <c r="CG20" s="489">
        <v>43</v>
      </c>
      <c r="CH20" s="489">
        <v>44</v>
      </c>
      <c r="CI20" s="489">
        <v>45</v>
      </c>
      <c r="CJ20" s="489">
        <v>46</v>
      </c>
      <c r="CK20" s="489">
        <v>46</v>
      </c>
      <c r="CL20" s="489">
        <v>46</v>
      </c>
      <c r="CM20" s="489">
        <v>46</v>
      </c>
      <c r="CN20" s="489">
        <v>46</v>
      </c>
      <c r="CO20" s="489">
        <v>46</v>
      </c>
      <c r="CP20" s="489">
        <v>46</v>
      </c>
      <c r="CQ20" s="494"/>
      <c r="CR20" s="494"/>
      <c r="CS20" s="494"/>
      <c r="CT20" s="494"/>
      <c r="CU20" s="488">
        <v>2</v>
      </c>
      <c r="CV20" s="488">
        <v>3</v>
      </c>
      <c r="CW20" s="488">
        <v>4</v>
      </c>
      <c r="CX20" s="488">
        <v>5</v>
      </c>
      <c r="CY20" s="488">
        <v>6</v>
      </c>
      <c r="CZ20" s="485"/>
      <c r="DA20" s="485"/>
    </row>
    <row r="21" spans="1:106">
      <c r="A21" s="220" t="s">
        <v>679</v>
      </c>
      <c r="B21" s="291" t="s">
        <v>925</v>
      </c>
      <c r="C21" s="219" t="str">
        <f t="shared" ref="C21:AU21" ca="1" si="31">IF(C115=$CU$21,"당첨",IF(C115=$CV$21,"당첨",IF(C115=$CW$21,"당첨",IF(C115=$CX$21,"당첨","낙첨"))))</f>
        <v>당첨</v>
      </c>
      <c r="D21" s="219" t="str">
        <f t="shared" ca="1" si="31"/>
        <v>당첨</v>
      </c>
      <c r="E21" s="219" t="str">
        <f t="shared" ca="1" si="31"/>
        <v>당첨</v>
      </c>
      <c r="F21" s="219" t="str">
        <f t="shared" ca="1" si="31"/>
        <v>당첨</v>
      </c>
      <c r="G21" s="219" t="str">
        <f t="shared" ca="1" si="31"/>
        <v>당첨</v>
      </c>
      <c r="H21" s="219" t="str">
        <f t="shared" ca="1" si="31"/>
        <v>당첨</v>
      </c>
      <c r="I21" s="219" t="str">
        <f t="shared" ca="1" si="31"/>
        <v>당첨</v>
      </c>
      <c r="J21" s="219" t="str">
        <f t="shared" ca="1" si="31"/>
        <v>당첨</v>
      </c>
      <c r="K21" s="219" t="str">
        <f t="shared" ca="1" si="31"/>
        <v>당첨</v>
      </c>
      <c r="L21" s="219" t="str">
        <f t="shared" ca="1" si="31"/>
        <v>당첨</v>
      </c>
      <c r="M21" s="219" t="str">
        <f t="shared" ca="1" si="31"/>
        <v>당첨</v>
      </c>
      <c r="N21" s="219" t="str">
        <f t="shared" ca="1" si="31"/>
        <v>당첨</v>
      </c>
      <c r="O21" s="219" t="str">
        <f t="shared" ca="1" si="31"/>
        <v>당첨</v>
      </c>
      <c r="P21" s="219" t="str">
        <f t="shared" ca="1" si="31"/>
        <v>당첨</v>
      </c>
      <c r="Q21" s="219" t="str">
        <f ca="1">IF(Q115=$CU$21,"당첨",IF(Q115=$CV$21,"당첨",IF(Q115=$CW$21,"당첨",IF(Q115=$CX$21,"당첨","낙첨"))))</f>
        <v>당첨</v>
      </c>
      <c r="R21" s="219" t="str">
        <f t="shared" si="31"/>
        <v>낙첨</v>
      </c>
      <c r="S21" s="219" t="str">
        <f t="shared" si="31"/>
        <v>낙첨</v>
      </c>
      <c r="T21" s="219" t="str">
        <f t="shared" si="31"/>
        <v>낙첨</v>
      </c>
      <c r="U21" s="219" t="str">
        <f t="shared" si="31"/>
        <v>낙첨</v>
      </c>
      <c r="V21" s="219" t="str">
        <f t="shared" si="31"/>
        <v>낙첨</v>
      </c>
      <c r="W21" s="219" t="str">
        <f t="shared" si="31"/>
        <v>낙첨</v>
      </c>
      <c r="X21" s="219" t="str">
        <f t="shared" si="31"/>
        <v>낙첨</v>
      </c>
      <c r="Y21" s="219" t="str">
        <f t="shared" si="31"/>
        <v>낙첨</v>
      </c>
      <c r="Z21" s="219" t="str">
        <f t="shared" si="31"/>
        <v>낙첨</v>
      </c>
      <c r="AA21" s="219" t="str">
        <f t="shared" si="31"/>
        <v>낙첨</v>
      </c>
      <c r="AB21" s="219" t="str">
        <f t="shared" si="31"/>
        <v>낙첨</v>
      </c>
      <c r="AC21" s="219" t="str">
        <f t="shared" si="31"/>
        <v>낙첨</v>
      </c>
      <c r="AD21" s="219" t="str">
        <f t="shared" si="31"/>
        <v>낙첨</v>
      </c>
      <c r="AE21" s="219" t="str">
        <f t="shared" si="31"/>
        <v>낙첨</v>
      </c>
      <c r="AF21" s="219" t="str">
        <f t="shared" si="31"/>
        <v>낙첨</v>
      </c>
      <c r="AG21" s="219" t="str">
        <f t="shared" si="31"/>
        <v>낙첨</v>
      </c>
      <c r="AH21" s="219" t="str">
        <f t="shared" si="31"/>
        <v>낙첨</v>
      </c>
      <c r="AI21" s="219" t="str">
        <f t="shared" si="31"/>
        <v>낙첨</v>
      </c>
      <c r="AJ21" s="219" t="str">
        <f t="shared" si="31"/>
        <v>낙첨</v>
      </c>
      <c r="AK21" s="219" t="str">
        <f t="shared" si="31"/>
        <v>낙첨</v>
      </c>
      <c r="AL21" s="219" t="str">
        <f t="shared" si="31"/>
        <v>낙첨</v>
      </c>
      <c r="AM21" s="219" t="str">
        <f t="shared" si="31"/>
        <v>낙첨</v>
      </c>
      <c r="AN21" s="219" t="str">
        <f t="shared" si="31"/>
        <v>낙첨</v>
      </c>
      <c r="AO21" s="219" t="str">
        <f t="shared" si="31"/>
        <v>낙첨</v>
      </c>
      <c r="AP21" s="219" t="str">
        <f t="shared" si="31"/>
        <v>낙첨</v>
      </c>
      <c r="AQ21" s="219" t="str">
        <f t="shared" si="31"/>
        <v>낙첨</v>
      </c>
      <c r="AR21" s="219" t="str">
        <f t="shared" si="31"/>
        <v>낙첨</v>
      </c>
      <c r="AS21" s="219" t="str">
        <f t="shared" si="31"/>
        <v>낙첨</v>
      </c>
      <c r="AT21" s="219" t="str">
        <f t="shared" si="31"/>
        <v>낙첨</v>
      </c>
      <c r="AU21" s="219" t="str">
        <f t="shared" si="31"/>
        <v>낙첨</v>
      </c>
      <c r="AV21" s="251"/>
      <c r="AW21" s="251"/>
      <c r="AX21" s="251"/>
      <c r="AZ21" s="482">
        <v>7</v>
      </c>
      <c r="BA21" s="515" t="s">
        <v>978</v>
      </c>
      <c r="BB21" s="516"/>
      <c r="BC21" s="489">
        <v>1</v>
      </c>
      <c r="BD21" s="489">
        <v>2</v>
      </c>
      <c r="BE21" s="489">
        <v>3</v>
      </c>
      <c r="BF21" s="489">
        <v>4</v>
      </c>
      <c r="BG21" s="489">
        <v>5</v>
      </c>
      <c r="BH21" s="489">
        <v>7</v>
      </c>
      <c r="BI21" s="489">
        <v>8</v>
      </c>
      <c r="BJ21" s="489">
        <v>9</v>
      </c>
      <c r="BK21" s="489">
        <v>10</v>
      </c>
      <c r="BL21" s="489">
        <v>11</v>
      </c>
      <c r="BM21" s="489">
        <v>13</v>
      </c>
      <c r="BN21" s="489">
        <v>14</v>
      </c>
      <c r="BO21" s="489">
        <v>15</v>
      </c>
      <c r="BP21" s="489">
        <v>16</v>
      </c>
      <c r="BQ21" s="489">
        <v>17</v>
      </c>
      <c r="BR21" s="489">
        <v>18</v>
      </c>
      <c r="BS21" s="489">
        <v>19</v>
      </c>
      <c r="BT21" s="489">
        <v>22</v>
      </c>
      <c r="BU21" s="489">
        <v>23</v>
      </c>
      <c r="BV21" s="489">
        <v>26</v>
      </c>
      <c r="BW21" s="489">
        <v>27</v>
      </c>
      <c r="BX21" s="489">
        <v>28</v>
      </c>
      <c r="BY21" s="489">
        <v>29</v>
      </c>
      <c r="BZ21" s="489">
        <v>31</v>
      </c>
      <c r="CA21" s="489">
        <v>32</v>
      </c>
      <c r="CB21" s="489">
        <v>33</v>
      </c>
      <c r="CC21" s="489">
        <v>35</v>
      </c>
      <c r="CD21" s="489">
        <v>36</v>
      </c>
      <c r="CE21" s="489">
        <v>37</v>
      </c>
      <c r="CF21" s="489">
        <v>38</v>
      </c>
      <c r="CG21" s="489">
        <v>40</v>
      </c>
      <c r="CH21" s="489">
        <v>41</v>
      </c>
      <c r="CI21" s="489">
        <v>43</v>
      </c>
      <c r="CJ21" s="489">
        <v>44</v>
      </c>
      <c r="CK21" s="489">
        <v>45</v>
      </c>
      <c r="CL21" s="489">
        <v>46</v>
      </c>
      <c r="CM21" s="489">
        <v>46</v>
      </c>
      <c r="CN21" s="489">
        <v>46</v>
      </c>
      <c r="CO21" s="489">
        <v>46</v>
      </c>
      <c r="CP21" s="489">
        <v>46</v>
      </c>
      <c r="CQ21" s="489">
        <v>46</v>
      </c>
      <c r="CR21" s="489">
        <v>46</v>
      </c>
      <c r="CS21" s="489">
        <v>46</v>
      </c>
      <c r="CT21" s="489">
        <v>46</v>
      </c>
      <c r="CU21" s="488">
        <v>3</v>
      </c>
      <c r="CV21" s="488">
        <v>4</v>
      </c>
      <c r="CW21" s="488">
        <v>5</v>
      </c>
      <c r="CX21" s="488">
        <v>6</v>
      </c>
      <c r="CY21" s="486"/>
      <c r="CZ21" s="485"/>
      <c r="DA21" s="485"/>
    </row>
    <row r="22" spans="1:106">
      <c r="A22" s="220" t="s">
        <v>742</v>
      </c>
      <c r="B22" s="291" t="s">
        <v>927</v>
      </c>
      <c r="C22" s="219" t="str">
        <f t="shared" ref="C22:P22" ca="1" si="32">IF(C122=$CU$22,"당첨",IF(C122=$CV$22,"당첨",IF(C122=$CW$22,"당첨",IF(C122=$CX$22,"당첨",IF(C122=$CY$22,"당첨",IF(C122=$CZ$22,"당첨",IF(C122=$DA$22,"당첨","낙첨")))))))</f>
        <v>당첨</v>
      </c>
      <c r="D22" s="219" t="str">
        <f t="shared" ca="1" si="32"/>
        <v>당첨</v>
      </c>
      <c r="E22" s="219" t="str">
        <f t="shared" ca="1" si="32"/>
        <v>당첨</v>
      </c>
      <c r="F22" s="219" t="str">
        <f t="shared" ca="1" si="32"/>
        <v>당첨</v>
      </c>
      <c r="G22" s="219" t="str">
        <f t="shared" ca="1" si="32"/>
        <v>당첨</v>
      </c>
      <c r="H22" s="219" t="str">
        <f t="shared" ca="1" si="32"/>
        <v>당첨</v>
      </c>
      <c r="I22" s="219" t="str">
        <f t="shared" ca="1" si="32"/>
        <v>당첨</v>
      </c>
      <c r="J22" s="219" t="str">
        <f t="shared" ca="1" si="32"/>
        <v>당첨</v>
      </c>
      <c r="K22" s="219" t="str">
        <f t="shared" ca="1" si="32"/>
        <v>당첨</v>
      </c>
      <c r="L22" s="219" t="str">
        <f t="shared" ca="1" si="32"/>
        <v>당첨</v>
      </c>
      <c r="M22" s="219" t="str">
        <f t="shared" ca="1" si="32"/>
        <v>당첨</v>
      </c>
      <c r="N22" s="219" t="str">
        <f t="shared" ca="1" si="32"/>
        <v>당첨</v>
      </c>
      <c r="O22" s="219" t="str">
        <f t="shared" ca="1" si="32"/>
        <v>당첨</v>
      </c>
      <c r="P22" s="219" t="str">
        <f t="shared" ca="1" si="32"/>
        <v>당첨</v>
      </c>
      <c r="Q22" s="219" t="str">
        <f ca="1">IF(Q122=$CU$22,"당첨",IF(Q122=$CV$22,"당첨",IF(Q122=$CW$22,"당첨",IF(Q122=$CX$22,"당첨",IF(Q122=$CY$22,"당첨",IF(Q122=$CZ$22,"당첨",IF(Q122=$DA$22,"당첨","낙첨")))))))</f>
        <v>당첨</v>
      </c>
      <c r="R22" s="219" t="str">
        <f t="shared" ref="R22:AU22" si="33">IF(R122=$CU$22,"당첨",IF(R122=$CV$22,"당첨",IF(R122=$CW$22,"당첨",IF(R122=$CX$22,"당첨","낙첨"))))</f>
        <v>낙첨</v>
      </c>
      <c r="S22" s="219" t="str">
        <f t="shared" si="33"/>
        <v>낙첨</v>
      </c>
      <c r="T22" s="219" t="str">
        <f t="shared" si="33"/>
        <v>낙첨</v>
      </c>
      <c r="U22" s="219" t="str">
        <f t="shared" si="33"/>
        <v>낙첨</v>
      </c>
      <c r="V22" s="219" t="str">
        <f t="shared" si="33"/>
        <v>낙첨</v>
      </c>
      <c r="W22" s="219" t="str">
        <f t="shared" si="33"/>
        <v>낙첨</v>
      </c>
      <c r="X22" s="219" t="str">
        <f t="shared" si="33"/>
        <v>낙첨</v>
      </c>
      <c r="Y22" s="219" t="str">
        <f t="shared" si="33"/>
        <v>낙첨</v>
      </c>
      <c r="Z22" s="219" t="str">
        <f t="shared" si="33"/>
        <v>낙첨</v>
      </c>
      <c r="AA22" s="219" t="str">
        <f t="shared" si="33"/>
        <v>낙첨</v>
      </c>
      <c r="AB22" s="219" t="str">
        <f t="shared" si="33"/>
        <v>낙첨</v>
      </c>
      <c r="AC22" s="219" t="str">
        <f t="shared" si="33"/>
        <v>낙첨</v>
      </c>
      <c r="AD22" s="219" t="str">
        <f t="shared" si="33"/>
        <v>낙첨</v>
      </c>
      <c r="AE22" s="219" t="str">
        <f t="shared" si="33"/>
        <v>낙첨</v>
      </c>
      <c r="AF22" s="219" t="str">
        <f t="shared" si="33"/>
        <v>낙첨</v>
      </c>
      <c r="AG22" s="219" t="str">
        <f t="shared" si="33"/>
        <v>낙첨</v>
      </c>
      <c r="AH22" s="219" t="str">
        <f t="shared" si="33"/>
        <v>낙첨</v>
      </c>
      <c r="AI22" s="219" t="str">
        <f t="shared" si="33"/>
        <v>낙첨</v>
      </c>
      <c r="AJ22" s="219" t="str">
        <f t="shared" si="33"/>
        <v>낙첨</v>
      </c>
      <c r="AK22" s="219" t="str">
        <f t="shared" si="33"/>
        <v>낙첨</v>
      </c>
      <c r="AL22" s="219" t="str">
        <f t="shared" si="33"/>
        <v>낙첨</v>
      </c>
      <c r="AM22" s="219" t="str">
        <f t="shared" si="33"/>
        <v>낙첨</v>
      </c>
      <c r="AN22" s="219" t="str">
        <f t="shared" si="33"/>
        <v>낙첨</v>
      </c>
      <c r="AO22" s="219" t="str">
        <f t="shared" si="33"/>
        <v>낙첨</v>
      </c>
      <c r="AP22" s="219" t="str">
        <f t="shared" si="33"/>
        <v>낙첨</v>
      </c>
      <c r="AQ22" s="219" t="str">
        <f t="shared" si="33"/>
        <v>낙첨</v>
      </c>
      <c r="AR22" s="219" t="str">
        <f t="shared" si="33"/>
        <v>낙첨</v>
      </c>
      <c r="AS22" s="219" t="str">
        <f t="shared" si="33"/>
        <v>낙첨</v>
      </c>
      <c r="AT22" s="219" t="str">
        <f t="shared" si="33"/>
        <v>낙첨</v>
      </c>
      <c r="AU22" s="219" t="str">
        <f t="shared" si="33"/>
        <v>낙첨</v>
      </c>
      <c r="AV22" s="251"/>
      <c r="AW22" s="251"/>
      <c r="AX22" s="251"/>
      <c r="AZ22" s="482">
        <v>8</v>
      </c>
      <c r="BA22" s="515" t="s">
        <v>990</v>
      </c>
      <c r="BB22" s="516"/>
      <c r="BC22" s="489">
        <v>1</v>
      </c>
      <c r="BD22" s="493">
        <v>2</v>
      </c>
      <c r="BE22" s="489">
        <v>3</v>
      </c>
      <c r="BF22" s="489">
        <v>4</v>
      </c>
      <c r="BG22" s="493">
        <v>5</v>
      </c>
      <c r="BH22" s="489">
        <v>7</v>
      </c>
      <c r="BI22" s="489">
        <v>8</v>
      </c>
      <c r="BJ22" s="489">
        <v>10</v>
      </c>
      <c r="BK22" s="489">
        <v>11</v>
      </c>
      <c r="BL22" s="489">
        <v>13</v>
      </c>
      <c r="BM22" s="489">
        <v>14</v>
      </c>
      <c r="BN22" s="489">
        <v>15</v>
      </c>
      <c r="BO22" s="489">
        <v>17</v>
      </c>
      <c r="BP22" s="489">
        <v>19</v>
      </c>
      <c r="BQ22" s="489">
        <v>20</v>
      </c>
      <c r="BR22" s="489">
        <v>24</v>
      </c>
      <c r="BS22" s="489">
        <v>25</v>
      </c>
      <c r="BT22" s="489">
        <v>26</v>
      </c>
      <c r="BU22" s="489">
        <v>27</v>
      </c>
      <c r="BV22" s="489">
        <v>31</v>
      </c>
      <c r="BW22" s="489">
        <v>33</v>
      </c>
      <c r="BX22" s="489">
        <v>34</v>
      </c>
      <c r="BY22" s="489">
        <v>35</v>
      </c>
      <c r="BZ22" s="489">
        <v>37</v>
      </c>
      <c r="CA22" s="489">
        <v>39</v>
      </c>
      <c r="CB22" s="489">
        <v>40</v>
      </c>
      <c r="CC22" s="489">
        <v>43</v>
      </c>
      <c r="CD22" s="489">
        <v>44</v>
      </c>
      <c r="CE22" s="489">
        <v>46</v>
      </c>
      <c r="CF22" s="489">
        <v>46</v>
      </c>
      <c r="CG22" s="489">
        <v>46</v>
      </c>
      <c r="CH22" s="489">
        <v>46</v>
      </c>
      <c r="CI22" s="489">
        <v>46</v>
      </c>
      <c r="CJ22" s="489">
        <v>46</v>
      </c>
      <c r="CK22" s="489">
        <v>46</v>
      </c>
      <c r="CL22" s="489">
        <v>46</v>
      </c>
      <c r="CM22" s="489">
        <v>46</v>
      </c>
      <c r="CN22" s="489">
        <v>46</v>
      </c>
      <c r="CO22" s="489">
        <v>46</v>
      </c>
      <c r="CP22" s="489">
        <v>46</v>
      </c>
      <c r="CQ22" s="494"/>
      <c r="CR22" s="494"/>
      <c r="CS22" s="494"/>
      <c r="CT22" s="494"/>
      <c r="CU22" s="488">
        <v>2</v>
      </c>
      <c r="CV22" s="488">
        <v>3</v>
      </c>
      <c r="CW22" s="488">
        <v>4</v>
      </c>
      <c r="CX22" s="488">
        <v>5</v>
      </c>
      <c r="CY22" s="488">
        <v>6</v>
      </c>
      <c r="CZ22" s="488">
        <v>5</v>
      </c>
      <c r="DA22" s="488">
        <v>6</v>
      </c>
    </row>
    <row r="23" spans="1:106">
      <c r="A23" s="220" t="s">
        <v>752</v>
      </c>
      <c r="B23" s="291" t="s">
        <v>928</v>
      </c>
      <c r="C23" s="219" t="str">
        <f t="shared" ref="C23:P23" ca="1" si="34">IF(C129=$CU$23,"당첨",IF(C129=$CV$23,"당첨",IF(C129=$CW$23,"당첨",IF(C129=$CX$23,"당첨",IF(C129=$CY$23,"당첨",IF(C129=$CZ$23,"당첨","낙첨"))))))</f>
        <v>당첨</v>
      </c>
      <c r="D23" s="219" t="str">
        <f t="shared" ca="1" si="34"/>
        <v>당첨</v>
      </c>
      <c r="E23" s="219" t="str">
        <f t="shared" ca="1" si="34"/>
        <v>당첨</v>
      </c>
      <c r="F23" s="219" t="str">
        <f t="shared" ca="1" si="34"/>
        <v>당첨</v>
      </c>
      <c r="G23" s="219" t="str">
        <f t="shared" ca="1" si="34"/>
        <v>당첨</v>
      </c>
      <c r="H23" s="219" t="str">
        <f t="shared" ca="1" si="34"/>
        <v>당첨</v>
      </c>
      <c r="I23" s="219" t="str">
        <f t="shared" ca="1" si="34"/>
        <v>당첨</v>
      </c>
      <c r="J23" s="219" t="str">
        <f t="shared" ca="1" si="34"/>
        <v>당첨</v>
      </c>
      <c r="K23" s="219" t="str">
        <f t="shared" ca="1" si="34"/>
        <v>당첨</v>
      </c>
      <c r="L23" s="219" t="str">
        <f t="shared" ca="1" si="34"/>
        <v>당첨</v>
      </c>
      <c r="M23" s="219" t="str">
        <f t="shared" ca="1" si="34"/>
        <v>당첨</v>
      </c>
      <c r="N23" s="219" t="str">
        <f t="shared" ca="1" si="34"/>
        <v>당첨</v>
      </c>
      <c r="O23" s="219" t="str">
        <f t="shared" ca="1" si="34"/>
        <v>당첨</v>
      </c>
      <c r="P23" s="219" t="str">
        <f t="shared" ca="1" si="34"/>
        <v>낙첨</v>
      </c>
      <c r="Q23" s="219" t="str">
        <f ca="1">IF(Q129=$CU$23,"당첨",IF(Q129=$CV$23,"당첨",IF(Q129=$CW$23,"당첨",IF(Q129=$CX$23,"당첨",IF(Q129=$CY$23,"당첨",IF(Q129=$CZ$23,"당첨","낙첨"))))))</f>
        <v>당첨</v>
      </c>
      <c r="R23" s="219" t="str">
        <f t="shared" ref="R23:AU23" si="35">IF(R129=$CU$23,"당첨",IF(R129=$CV$23,"당첨",IF(R129=$CW$23,"당첨",IF(R129=$CX$23,"당첨",IF(R129=$CP$23,"당첨","낙첨")))))</f>
        <v>낙첨</v>
      </c>
      <c r="S23" s="219" t="str">
        <f t="shared" si="35"/>
        <v>낙첨</v>
      </c>
      <c r="T23" s="219" t="str">
        <f t="shared" si="35"/>
        <v>낙첨</v>
      </c>
      <c r="U23" s="219" t="str">
        <f t="shared" si="35"/>
        <v>낙첨</v>
      </c>
      <c r="V23" s="219" t="str">
        <f t="shared" si="35"/>
        <v>낙첨</v>
      </c>
      <c r="W23" s="219" t="str">
        <f t="shared" si="35"/>
        <v>낙첨</v>
      </c>
      <c r="X23" s="219" t="str">
        <f t="shared" si="35"/>
        <v>낙첨</v>
      </c>
      <c r="Y23" s="219" t="str">
        <f t="shared" si="35"/>
        <v>낙첨</v>
      </c>
      <c r="Z23" s="219" t="str">
        <f t="shared" si="35"/>
        <v>낙첨</v>
      </c>
      <c r="AA23" s="219" t="str">
        <f t="shared" si="35"/>
        <v>낙첨</v>
      </c>
      <c r="AB23" s="219" t="str">
        <f t="shared" si="35"/>
        <v>낙첨</v>
      </c>
      <c r="AC23" s="219" t="str">
        <f t="shared" si="35"/>
        <v>낙첨</v>
      </c>
      <c r="AD23" s="219" t="str">
        <f t="shared" si="35"/>
        <v>낙첨</v>
      </c>
      <c r="AE23" s="219" t="str">
        <f t="shared" si="35"/>
        <v>낙첨</v>
      </c>
      <c r="AF23" s="219" t="str">
        <f t="shared" si="35"/>
        <v>낙첨</v>
      </c>
      <c r="AG23" s="219" t="str">
        <f t="shared" si="35"/>
        <v>낙첨</v>
      </c>
      <c r="AH23" s="219" t="str">
        <f t="shared" si="35"/>
        <v>낙첨</v>
      </c>
      <c r="AI23" s="219" t="str">
        <f t="shared" si="35"/>
        <v>낙첨</v>
      </c>
      <c r="AJ23" s="219" t="str">
        <f t="shared" si="35"/>
        <v>낙첨</v>
      </c>
      <c r="AK23" s="219" t="str">
        <f t="shared" si="35"/>
        <v>낙첨</v>
      </c>
      <c r="AL23" s="219" t="str">
        <f t="shared" si="35"/>
        <v>낙첨</v>
      </c>
      <c r="AM23" s="219" t="str">
        <f t="shared" si="35"/>
        <v>낙첨</v>
      </c>
      <c r="AN23" s="219" t="str">
        <f t="shared" si="35"/>
        <v>낙첨</v>
      </c>
      <c r="AO23" s="219" t="str">
        <f t="shared" si="35"/>
        <v>낙첨</v>
      </c>
      <c r="AP23" s="219" t="str">
        <f t="shared" si="35"/>
        <v>낙첨</v>
      </c>
      <c r="AQ23" s="219" t="str">
        <f t="shared" si="35"/>
        <v>낙첨</v>
      </c>
      <c r="AR23" s="219" t="str">
        <f t="shared" si="35"/>
        <v>낙첨</v>
      </c>
      <c r="AS23" s="219" t="str">
        <f t="shared" si="35"/>
        <v>낙첨</v>
      </c>
      <c r="AT23" s="219" t="str">
        <f t="shared" si="35"/>
        <v>낙첨</v>
      </c>
      <c r="AU23" s="219" t="str">
        <f t="shared" si="35"/>
        <v>낙첨</v>
      </c>
      <c r="AV23" s="251"/>
      <c r="AW23" s="251"/>
      <c r="AX23" s="251"/>
      <c r="AZ23" s="482">
        <v>9</v>
      </c>
      <c r="BA23" s="515" t="s">
        <v>979</v>
      </c>
      <c r="BB23" s="516"/>
      <c r="BC23" s="489">
        <v>1</v>
      </c>
      <c r="BD23" s="489">
        <v>28</v>
      </c>
      <c r="BE23" s="489">
        <v>35</v>
      </c>
      <c r="BF23" s="489">
        <v>41</v>
      </c>
      <c r="BG23" s="489">
        <v>43</v>
      </c>
      <c r="BH23" s="489">
        <v>44</v>
      </c>
      <c r="BI23" s="489">
        <v>1</v>
      </c>
      <c r="BJ23" s="489">
        <v>12</v>
      </c>
      <c r="BK23" s="489">
        <v>29</v>
      </c>
      <c r="BL23" s="489">
        <v>34</v>
      </c>
      <c r="BM23" s="489">
        <v>36</v>
      </c>
      <c r="BN23" s="489">
        <v>37</v>
      </c>
      <c r="BO23" s="489">
        <v>4</v>
      </c>
      <c r="BP23" s="489">
        <v>8</v>
      </c>
      <c r="BQ23" s="489">
        <v>13</v>
      </c>
      <c r="BR23" s="489">
        <v>19</v>
      </c>
      <c r="BS23" s="489">
        <v>20</v>
      </c>
      <c r="BT23" s="489">
        <v>43</v>
      </c>
      <c r="BU23" s="489">
        <v>4</v>
      </c>
      <c r="BV23" s="489">
        <v>11</v>
      </c>
      <c r="BW23" s="488">
        <v>20</v>
      </c>
      <c r="BX23" s="488">
        <v>23</v>
      </c>
      <c r="BY23" s="488">
        <v>32</v>
      </c>
      <c r="BZ23" s="488">
        <v>39</v>
      </c>
      <c r="CA23" s="489">
        <v>46</v>
      </c>
      <c r="CB23" s="489">
        <v>46</v>
      </c>
      <c r="CC23" s="489">
        <v>46</v>
      </c>
      <c r="CD23" s="489">
        <v>46</v>
      </c>
      <c r="CE23" s="489">
        <v>46</v>
      </c>
      <c r="CF23" s="489">
        <v>46</v>
      </c>
      <c r="CG23" s="489">
        <v>46</v>
      </c>
      <c r="CH23" s="489">
        <v>46</v>
      </c>
      <c r="CI23" s="489">
        <v>46</v>
      </c>
      <c r="CJ23" s="489">
        <v>46</v>
      </c>
      <c r="CK23" s="489">
        <v>46</v>
      </c>
      <c r="CL23" s="489">
        <v>46</v>
      </c>
      <c r="CM23" s="489">
        <v>46</v>
      </c>
      <c r="CN23" s="489">
        <v>46</v>
      </c>
      <c r="CO23" s="489">
        <v>46</v>
      </c>
      <c r="CP23" s="489">
        <v>46</v>
      </c>
      <c r="CQ23" s="494"/>
      <c r="CR23" s="494"/>
      <c r="CS23" s="494"/>
      <c r="CT23" s="494"/>
      <c r="CU23" s="488">
        <v>1</v>
      </c>
      <c r="CV23" s="488">
        <v>2</v>
      </c>
      <c r="CW23" s="488">
        <v>3</v>
      </c>
      <c r="CX23" s="488">
        <v>4</v>
      </c>
      <c r="CY23" s="488">
        <v>5</v>
      </c>
      <c r="CZ23" s="488">
        <v>2</v>
      </c>
      <c r="DA23" s="485"/>
    </row>
    <row r="24" spans="1:106">
      <c r="A24" s="220" t="s">
        <v>818</v>
      </c>
      <c r="B24" s="291" t="s">
        <v>929</v>
      </c>
      <c r="C24" s="219" t="str">
        <f t="shared" ref="C24:P24" ca="1" si="36">IF(C136=$CU$24,"당첨",IF(C136=$CV$24,"당첨",IF(C136=$CW$24,"당첨",IF(C136=$CX$24,"당첨",IF(C136=$CY$24,"당첨","낙첨")))))</f>
        <v>당첨</v>
      </c>
      <c r="D24" s="219" t="str">
        <f t="shared" ca="1" si="36"/>
        <v>당첨</v>
      </c>
      <c r="E24" s="219" t="str">
        <f t="shared" ca="1" si="36"/>
        <v>당첨</v>
      </c>
      <c r="F24" s="219" t="str">
        <f t="shared" ca="1" si="36"/>
        <v>당첨</v>
      </c>
      <c r="G24" s="219" t="str">
        <f t="shared" ca="1" si="36"/>
        <v>당첨</v>
      </c>
      <c r="H24" s="219" t="str">
        <f t="shared" ca="1" si="36"/>
        <v>당첨</v>
      </c>
      <c r="I24" s="219" t="str">
        <f t="shared" ca="1" si="36"/>
        <v>당첨</v>
      </c>
      <c r="J24" s="219" t="str">
        <f t="shared" ca="1" si="36"/>
        <v>당첨</v>
      </c>
      <c r="K24" s="219" t="str">
        <f t="shared" ca="1" si="36"/>
        <v>당첨</v>
      </c>
      <c r="L24" s="219" t="str">
        <f t="shared" ca="1" si="36"/>
        <v>당첨</v>
      </c>
      <c r="M24" s="219" t="str">
        <f t="shared" ca="1" si="36"/>
        <v>당첨</v>
      </c>
      <c r="N24" s="219" t="str">
        <f t="shared" ca="1" si="36"/>
        <v>당첨</v>
      </c>
      <c r="O24" s="219" t="str">
        <f t="shared" ca="1" si="36"/>
        <v>당첨</v>
      </c>
      <c r="P24" s="219" t="str">
        <f t="shared" ca="1" si="36"/>
        <v>당첨</v>
      </c>
      <c r="Q24" s="219" t="str">
        <f ca="1">IF(Q136=$CU$24,"당첨",IF(Q136=$CV$24,"당첨",IF(Q136=$CW$24,"당첨",IF(Q136=$CX$24,"당첨",IF(Q136=$CY$24,"당첨","낙첨")))))</f>
        <v>당첨</v>
      </c>
      <c r="R24" s="219" t="str">
        <f t="shared" ref="R24:AU24" si="37">IF(R136=$CU$24,"당첨",IF(R136=$CV$24,"당첨",IF(R136=$CW$24,"당첨",IF(R136=$CX$24,"당첨","낙첨"))))</f>
        <v>낙첨</v>
      </c>
      <c r="S24" s="219" t="str">
        <f t="shared" si="37"/>
        <v>낙첨</v>
      </c>
      <c r="T24" s="219" t="str">
        <f t="shared" si="37"/>
        <v>낙첨</v>
      </c>
      <c r="U24" s="219" t="str">
        <f t="shared" si="37"/>
        <v>낙첨</v>
      </c>
      <c r="V24" s="219" t="str">
        <f t="shared" si="37"/>
        <v>낙첨</v>
      </c>
      <c r="W24" s="219" t="str">
        <f t="shared" si="37"/>
        <v>낙첨</v>
      </c>
      <c r="X24" s="219" t="str">
        <f t="shared" si="37"/>
        <v>낙첨</v>
      </c>
      <c r="Y24" s="219" t="str">
        <f t="shared" si="37"/>
        <v>낙첨</v>
      </c>
      <c r="Z24" s="219" t="str">
        <f t="shared" si="37"/>
        <v>낙첨</v>
      </c>
      <c r="AA24" s="219" t="str">
        <f t="shared" si="37"/>
        <v>낙첨</v>
      </c>
      <c r="AB24" s="219" t="str">
        <f t="shared" si="37"/>
        <v>낙첨</v>
      </c>
      <c r="AC24" s="219" t="str">
        <f t="shared" si="37"/>
        <v>낙첨</v>
      </c>
      <c r="AD24" s="219" t="str">
        <f t="shared" si="37"/>
        <v>낙첨</v>
      </c>
      <c r="AE24" s="219" t="str">
        <f t="shared" si="37"/>
        <v>낙첨</v>
      </c>
      <c r="AF24" s="219" t="str">
        <f t="shared" si="37"/>
        <v>낙첨</v>
      </c>
      <c r="AG24" s="219" t="str">
        <f t="shared" si="37"/>
        <v>낙첨</v>
      </c>
      <c r="AH24" s="219" t="str">
        <f t="shared" si="37"/>
        <v>낙첨</v>
      </c>
      <c r="AI24" s="219" t="str">
        <f t="shared" si="37"/>
        <v>낙첨</v>
      </c>
      <c r="AJ24" s="219" t="str">
        <f t="shared" si="37"/>
        <v>낙첨</v>
      </c>
      <c r="AK24" s="219" t="str">
        <f t="shared" si="37"/>
        <v>낙첨</v>
      </c>
      <c r="AL24" s="219" t="str">
        <f t="shared" si="37"/>
        <v>낙첨</v>
      </c>
      <c r="AM24" s="219" t="str">
        <f t="shared" si="37"/>
        <v>낙첨</v>
      </c>
      <c r="AN24" s="219" t="str">
        <f t="shared" si="37"/>
        <v>낙첨</v>
      </c>
      <c r="AO24" s="219" t="str">
        <f t="shared" si="37"/>
        <v>낙첨</v>
      </c>
      <c r="AP24" s="219" t="str">
        <f t="shared" si="37"/>
        <v>낙첨</v>
      </c>
      <c r="AQ24" s="219" t="str">
        <f t="shared" si="37"/>
        <v>낙첨</v>
      </c>
      <c r="AR24" s="219" t="str">
        <f t="shared" si="37"/>
        <v>낙첨</v>
      </c>
      <c r="AS24" s="219" t="str">
        <f t="shared" si="37"/>
        <v>낙첨</v>
      </c>
      <c r="AT24" s="219" t="str">
        <f t="shared" si="37"/>
        <v>낙첨</v>
      </c>
      <c r="AU24" s="219" t="str">
        <f t="shared" si="37"/>
        <v>낙첨</v>
      </c>
      <c r="AV24" s="251"/>
      <c r="AW24" s="251"/>
      <c r="AX24" s="251"/>
      <c r="AZ24" s="482">
        <v>10</v>
      </c>
      <c r="BA24" s="515" t="s">
        <v>980</v>
      </c>
      <c r="BB24" s="516"/>
      <c r="BC24" s="489">
        <v>1</v>
      </c>
      <c r="BD24" s="489">
        <v>2</v>
      </c>
      <c r="BE24" s="489">
        <v>3</v>
      </c>
      <c r="BF24" s="489">
        <v>4</v>
      </c>
      <c r="BG24" s="489">
        <v>8</v>
      </c>
      <c r="BH24" s="489">
        <v>10</v>
      </c>
      <c r="BI24" s="489">
        <v>11</v>
      </c>
      <c r="BJ24" s="489">
        <v>13</v>
      </c>
      <c r="BK24" s="489">
        <v>16</v>
      </c>
      <c r="BL24" s="489">
        <v>18</v>
      </c>
      <c r="BM24" s="489">
        <v>19</v>
      </c>
      <c r="BN24" s="489">
        <v>20</v>
      </c>
      <c r="BO24" s="489">
        <v>21</v>
      </c>
      <c r="BP24" s="489">
        <v>23</v>
      </c>
      <c r="BQ24" s="489">
        <v>24</v>
      </c>
      <c r="BR24" s="489">
        <v>28</v>
      </c>
      <c r="BS24" s="489">
        <v>29</v>
      </c>
      <c r="BT24" s="489">
        <v>30</v>
      </c>
      <c r="BU24" s="489">
        <v>31</v>
      </c>
      <c r="BV24" s="489">
        <v>33</v>
      </c>
      <c r="BW24" s="489">
        <v>34</v>
      </c>
      <c r="BX24" s="489">
        <v>35</v>
      </c>
      <c r="BY24" s="489">
        <v>37</v>
      </c>
      <c r="BZ24" s="489">
        <v>39</v>
      </c>
      <c r="CA24" s="489">
        <v>41</v>
      </c>
      <c r="CB24" s="489">
        <v>44</v>
      </c>
      <c r="CC24" s="489">
        <v>45</v>
      </c>
      <c r="CD24" s="489">
        <v>46</v>
      </c>
      <c r="CE24" s="489">
        <v>46</v>
      </c>
      <c r="CF24" s="489">
        <v>46</v>
      </c>
      <c r="CG24" s="489">
        <v>46</v>
      </c>
      <c r="CH24" s="489">
        <v>46</v>
      </c>
      <c r="CI24" s="489">
        <v>46</v>
      </c>
      <c r="CJ24" s="489">
        <v>46</v>
      </c>
      <c r="CK24" s="489">
        <v>46</v>
      </c>
      <c r="CL24" s="489">
        <v>46</v>
      </c>
      <c r="CM24" s="489">
        <v>46</v>
      </c>
      <c r="CN24" s="489">
        <v>46</v>
      </c>
      <c r="CO24" s="489">
        <v>46</v>
      </c>
      <c r="CP24" s="489">
        <v>46</v>
      </c>
      <c r="CQ24" s="494"/>
      <c r="CR24" s="494"/>
      <c r="CS24" s="494"/>
      <c r="CT24" s="494"/>
      <c r="CU24" s="488">
        <v>2</v>
      </c>
      <c r="CV24" s="488">
        <v>3</v>
      </c>
      <c r="CW24" s="488">
        <v>4</v>
      </c>
      <c r="CX24" s="488">
        <v>5</v>
      </c>
      <c r="CY24" s="488">
        <v>6</v>
      </c>
      <c r="CZ24" s="485"/>
      <c r="DA24" s="485"/>
    </row>
    <row r="25" spans="1:106">
      <c r="A25" s="220" t="s">
        <v>819</v>
      </c>
      <c r="B25" s="291" t="s">
        <v>930</v>
      </c>
      <c r="C25" s="219" t="str">
        <f t="shared" ref="C25:P25" ca="1" si="38">IF(C143=$CU$25,"당첨",IF(C143=$CV$25,"당첨",IF(C143=$CW$25,"당첨",IF(C143=$CX$25,"당첨",IF(C143=$CY$25,"당첨","낙첨")))))</f>
        <v>당첨</v>
      </c>
      <c r="D25" s="219" t="str">
        <f t="shared" ca="1" si="38"/>
        <v>당첨</v>
      </c>
      <c r="E25" s="219" t="str">
        <f t="shared" ca="1" si="38"/>
        <v>당첨</v>
      </c>
      <c r="F25" s="219" t="str">
        <f t="shared" ca="1" si="38"/>
        <v>당첨</v>
      </c>
      <c r="G25" s="219" t="str">
        <f t="shared" ca="1" si="38"/>
        <v>당첨</v>
      </c>
      <c r="H25" s="219" t="str">
        <f t="shared" ca="1" si="38"/>
        <v>당첨</v>
      </c>
      <c r="I25" s="219" t="str">
        <f t="shared" ca="1" si="38"/>
        <v>당첨</v>
      </c>
      <c r="J25" s="219" t="str">
        <f t="shared" ca="1" si="38"/>
        <v>당첨</v>
      </c>
      <c r="K25" s="219" t="str">
        <f t="shared" ca="1" si="38"/>
        <v>당첨</v>
      </c>
      <c r="L25" s="219" t="str">
        <f t="shared" ca="1" si="38"/>
        <v>낙첨</v>
      </c>
      <c r="M25" s="219" t="str">
        <f t="shared" ca="1" si="38"/>
        <v>당첨</v>
      </c>
      <c r="N25" s="219" t="str">
        <f t="shared" ca="1" si="38"/>
        <v>당첨</v>
      </c>
      <c r="O25" s="219" t="str">
        <f t="shared" ca="1" si="38"/>
        <v>당첨</v>
      </c>
      <c r="P25" s="219" t="str">
        <f t="shared" ca="1" si="38"/>
        <v>당첨</v>
      </c>
      <c r="Q25" s="219" t="str">
        <f ca="1">IF(Q143=$CU$25,"당첨",IF(Q143=$CV$25,"당첨",IF(Q143=$CW$25,"당첨",IF(Q143=$CX$25,"당첨",IF(Q143=$CY$25,"당첨","낙첨")))))</f>
        <v>당첨</v>
      </c>
      <c r="R25" s="219" t="str">
        <f t="shared" ref="R25:AU25" si="39">IF(R143=$CU$25,"당첨",IF(R143=$CV$25,"당첨",IF(R143=$CW$25,"당첨",IF(R143=$CX$25,"당첨","낙첨"))))</f>
        <v>낙첨</v>
      </c>
      <c r="S25" s="219" t="str">
        <f t="shared" si="39"/>
        <v>낙첨</v>
      </c>
      <c r="T25" s="219" t="str">
        <f t="shared" si="39"/>
        <v>낙첨</v>
      </c>
      <c r="U25" s="219" t="str">
        <f t="shared" si="39"/>
        <v>낙첨</v>
      </c>
      <c r="V25" s="219" t="str">
        <f t="shared" si="39"/>
        <v>낙첨</v>
      </c>
      <c r="W25" s="219" t="str">
        <f t="shared" si="39"/>
        <v>낙첨</v>
      </c>
      <c r="X25" s="219" t="str">
        <f t="shared" si="39"/>
        <v>낙첨</v>
      </c>
      <c r="Y25" s="219" t="str">
        <f t="shared" si="39"/>
        <v>낙첨</v>
      </c>
      <c r="Z25" s="219" t="str">
        <f t="shared" si="39"/>
        <v>낙첨</v>
      </c>
      <c r="AA25" s="219" t="str">
        <f t="shared" si="39"/>
        <v>낙첨</v>
      </c>
      <c r="AB25" s="219" t="str">
        <f t="shared" si="39"/>
        <v>낙첨</v>
      </c>
      <c r="AC25" s="219" t="str">
        <f t="shared" si="39"/>
        <v>낙첨</v>
      </c>
      <c r="AD25" s="219" t="str">
        <f t="shared" si="39"/>
        <v>낙첨</v>
      </c>
      <c r="AE25" s="219" t="str">
        <f t="shared" si="39"/>
        <v>낙첨</v>
      </c>
      <c r="AF25" s="219" t="str">
        <f t="shared" si="39"/>
        <v>낙첨</v>
      </c>
      <c r="AG25" s="219" t="str">
        <f t="shared" si="39"/>
        <v>낙첨</v>
      </c>
      <c r="AH25" s="219" t="str">
        <f t="shared" si="39"/>
        <v>낙첨</v>
      </c>
      <c r="AI25" s="219" t="str">
        <f t="shared" si="39"/>
        <v>낙첨</v>
      </c>
      <c r="AJ25" s="219" t="str">
        <f t="shared" si="39"/>
        <v>낙첨</v>
      </c>
      <c r="AK25" s="219" t="str">
        <f t="shared" si="39"/>
        <v>낙첨</v>
      </c>
      <c r="AL25" s="219" t="str">
        <f t="shared" si="39"/>
        <v>낙첨</v>
      </c>
      <c r="AM25" s="219" t="str">
        <f t="shared" si="39"/>
        <v>낙첨</v>
      </c>
      <c r="AN25" s="219" t="str">
        <f t="shared" si="39"/>
        <v>낙첨</v>
      </c>
      <c r="AO25" s="219" t="str">
        <f t="shared" si="39"/>
        <v>낙첨</v>
      </c>
      <c r="AP25" s="219" t="str">
        <f t="shared" si="39"/>
        <v>낙첨</v>
      </c>
      <c r="AQ25" s="219" t="str">
        <f t="shared" si="39"/>
        <v>낙첨</v>
      </c>
      <c r="AR25" s="219" t="str">
        <f t="shared" si="39"/>
        <v>낙첨</v>
      </c>
      <c r="AS25" s="219" t="str">
        <f t="shared" si="39"/>
        <v>낙첨</v>
      </c>
      <c r="AT25" s="219" t="str">
        <f t="shared" si="39"/>
        <v>낙첨</v>
      </c>
      <c r="AU25" s="219" t="str">
        <f t="shared" si="39"/>
        <v>낙첨</v>
      </c>
      <c r="AV25" s="251"/>
      <c r="AW25" s="251"/>
      <c r="AX25" s="251"/>
      <c r="AZ25" s="482">
        <v>11</v>
      </c>
      <c r="BA25" s="515" t="s">
        <v>981</v>
      </c>
      <c r="BB25" s="516"/>
      <c r="BC25" s="489">
        <v>10</v>
      </c>
      <c r="BD25" s="489">
        <v>1</v>
      </c>
      <c r="BE25" s="489">
        <v>2</v>
      </c>
      <c r="BF25" s="489">
        <v>3</v>
      </c>
      <c r="BG25" s="489">
        <v>4</v>
      </c>
      <c r="BH25" s="489">
        <v>6</v>
      </c>
      <c r="BI25" s="489">
        <v>11</v>
      </c>
      <c r="BJ25" s="489">
        <v>13</v>
      </c>
      <c r="BK25" s="489">
        <v>16</v>
      </c>
      <c r="BL25" s="489">
        <v>19</v>
      </c>
      <c r="BM25" s="489">
        <v>20</v>
      </c>
      <c r="BN25" s="489">
        <v>23</v>
      </c>
      <c r="BO25" s="489">
        <v>24</v>
      </c>
      <c r="BP25" s="489">
        <v>28</v>
      </c>
      <c r="BQ25" s="489">
        <v>29</v>
      </c>
      <c r="BR25" s="489">
        <v>30</v>
      </c>
      <c r="BS25" s="489">
        <v>31</v>
      </c>
      <c r="BT25" s="489">
        <v>32</v>
      </c>
      <c r="BU25" s="489">
        <v>33</v>
      </c>
      <c r="BV25" s="489">
        <v>35</v>
      </c>
      <c r="BW25" s="489">
        <v>37</v>
      </c>
      <c r="BX25" s="489">
        <v>39</v>
      </c>
      <c r="BY25" s="489">
        <v>41</v>
      </c>
      <c r="BZ25" s="489">
        <v>44</v>
      </c>
      <c r="CA25" s="489">
        <v>45</v>
      </c>
      <c r="CB25" s="489">
        <v>46</v>
      </c>
      <c r="CC25" s="489">
        <v>46</v>
      </c>
      <c r="CD25" s="489">
        <v>46</v>
      </c>
      <c r="CE25" s="489">
        <v>46</v>
      </c>
      <c r="CF25" s="489">
        <v>46</v>
      </c>
      <c r="CG25" s="489">
        <v>46</v>
      </c>
      <c r="CH25" s="489">
        <v>46</v>
      </c>
      <c r="CI25" s="489">
        <v>46</v>
      </c>
      <c r="CJ25" s="489">
        <v>46</v>
      </c>
      <c r="CK25" s="489">
        <v>46</v>
      </c>
      <c r="CL25" s="489">
        <v>46</v>
      </c>
      <c r="CM25" s="489">
        <v>46</v>
      </c>
      <c r="CN25" s="489">
        <v>46</v>
      </c>
      <c r="CO25" s="489">
        <v>46</v>
      </c>
      <c r="CP25" s="489">
        <v>46</v>
      </c>
      <c r="CQ25" s="494"/>
      <c r="CR25" s="494"/>
      <c r="CS25" s="494"/>
      <c r="CT25" s="494"/>
      <c r="CU25" s="488">
        <v>2</v>
      </c>
      <c r="CV25" s="488">
        <v>3</v>
      </c>
      <c r="CW25" s="488">
        <v>4</v>
      </c>
      <c r="CX25" s="488">
        <v>5</v>
      </c>
      <c r="CY25" s="488">
        <v>6</v>
      </c>
      <c r="CZ25" s="485"/>
      <c r="DA25" s="485"/>
    </row>
    <row r="26" spans="1:106">
      <c r="A26" s="220" t="s">
        <v>820</v>
      </c>
      <c r="B26" s="291" t="s">
        <v>931</v>
      </c>
      <c r="C26" s="219" t="str">
        <f t="shared" ref="C26:P26" ca="1" si="40">IF(C150=$CU$26,"당첨",IF(C150=$CV$26,"당첨",IF(C150=$CW$26,"당첨",IF(C150=$CX$26,"당첨",IF(C150=$CY$26,"당첨",IF(C150=$CZ$26,"당첨","낙첨"))))))</f>
        <v>당첨</v>
      </c>
      <c r="D26" s="219" t="str">
        <f t="shared" ca="1" si="40"/>
        <v>당첨</v>
      </c>
      <c r="E26" s="219" t="str">
        <f t="shared" ca="1" si="40"/>
        <v>당첨</v>
      </c>
      <c r="F26" s="219" t="str">
        <f t="shared" ca="1" si="40"/>
        <v>낙첨</v>
      </c>
      <c r="G26" s="219" t="str">
        <f t="shared" ca="1" si="40"/>
        <v>당첨</v>
      </c>
      <c r="H26" s="219" t="str">
        <f t="shared" ca="1" si="40"/>
        <v>당첨</v>
      </c>
      <c r="I26" s="219" t="str">
        <f t="shared" ca="1" si="40"/>
        <v>당첨</v>
      </c>
      <c r="J26" s="219" t="str">
        <f t="shared" ca="1" si="40"/>
        <v>당첨</v>
      </c>
      <c r="K26" s="219" t="str">
        <f t="shared" ca="1" si="40"/>
        <v>당첨</v>
      </c>
      <c r="L26" s="219" t="str">
        <f t="shared" ca="1" si="40"/>
        <v>당첨</v>
      </c>
      <c r="M26" s="219" t="str">
        <f t="shared" ca="1" si="40"/>
        <v>당첨</v>
      </c>
      <c r="N26" s="219" t="str">
        <f t="shared" ca="1" si="40"/>
        <v>당첨</v>
      </c>
      <c r="O26" s="219" t="str">
        <f t="shared" ca="1" si="40"/>
        <v>당첨</v>
      </c>
      <c r="P26" s="219" t="str">
        <f t="shared" ca="1" si="40"/>
        <v>낙첨</v>
      </c>
      <c r="Q26" s="219" t="str">
        <f ca="1">IF(Q150=$CU$26,"당첨",IF(Q150=$CV$26,"당첨",IF(Q150=$CW$26,"당첨",IF(Q150=$CX$26,"당첨",IF(Q150=$CY$26,"당첨",IF(Q150=$CZ$26,"당첨","낙첨"))))))</f>
        <v>당첨</v>
      </c>
      <c r="R26" s="219" t="str">
        <f t="shared" ref="R26:AU26" si="41">IF(R150=$CU$26,"당첨",IF(R150=$CV$26,"당첨",IF(R150=$CW$26,"당첨",IF(R150=$CX$26,"당첨","낙첨"))))</f>
        <v>낙첨</v>
      </c>
      <c r="S26" s="219" t="str">
        <f t="shared" si="41"/>
        <v>낙첨</v>
      </c>
      <c r="T26" s="219" t="str">
        <f t="shared" si="41"/>
        <v>낙첨</v>
      </c>
      <c r="U26" s="219" t="str">
        <f t="shared" si="41"/>
        <v>낙첨</v>
      </c>
      <c r="V26" s="219" t="str">
        <f t="shared" si="41"/>
        <v>낙첨</v>
      </c>
      <c r="W26" s="219" t="str">
        <f t="shared" si="41"/>
        <v>낙첨</v>
      </c>
      <c r="X26" s="219" t="str">
        <f t="shared" si="41"/>
        <v>낙첨</v>
      </c>
      <c r="Y26" s="219" t="str">
        <f t="shared" si="41"/>
        <v>낙첨</v>
      </c>
      <c r="Z26" s="219" t="str">
        <f t="shared" si="41"/>
        <v>낙첨</v>
      </c>
      <c r="AA26" s="219" t="str">
        <f t="shared" si="41"/>
        <v>낙첨</v>
      </c>
      <c r="AB26" s="219" t="str">
        <f t="shared" si="41"/>
        <v>낙첨</v>
      </c>
      <c r="AC26" s="219" t="str">
        <f t="shared" si="41"/>
        <v>낙첨</v>
      </c>
      <c r="AD26" s="219" t="str">
        <f t="shared" si="41"/>
        <v>낙첨</v>
      </c>
      <c r="AE26" s="219" t="str">
        <f t="shared" si="41"/>
        <v>낙첨</v>
      </c>
      <c r="AF26" s="219" t="str">
        <f t="shared" si="41"/>
        <v>낙첨</v>
      </c>
      <c r="AG26" s="219" t="str">
        <f t="shared" si="41"/>
        <v>낙첨</v>
      </c>
      <c r="AH26" s="219" t="str">
        <f t="shared" si="41"/>
        <v>낙첨</v>
      </c>
      <c r="AI26" s="219" t="str">
        <f t="shared" si="41"/>
        <v>낙첨</v>
      </c>
      <c r="AJ26" s="219" t="str">
        <f t="shared" si="41"/>
        <v>낙첨</v>
      </c>
      <c r="AK26" s="219" t="str">
        <f t="shared" si="41"/>
        <v>낙첨</v>
      </c>
      <c r="AL26" s="219" t="str">
        <f t="shared" si="41"/>
        <v>낙첨</v>
      </c>
      <c r="AM26" s="219" t="str">
        <f t="shared" si="41"/>
        <v>낙첨</v>
      </c>
      <c r="AN26" s="219" t="str">
        <f t="shared" si="41"/>
        <v>낙첨</v>
      </c>
      <c r="AO26" s="219" t="str">
        <f t="shared" si="41"/>
        <v>낙첨</v>
      </c>
      <c r="AP26" s="219" t="str">
        <f t="shared" si="41"/>
        <v>낙첨</v>
      </c>
      <c r="AQ26" s="219" t="str">
        <f t="shared" si="41"/>
        <v>낙첨</v>
      </c>
      <c r="AR26" s="219" t="str">
        <f t="shared" si="41"/>
        <v>낙첨</v>
      </c>
      <c r="AS26" s="219" t="str">
        <f t="shared" si="41"/>
        <v>낙첨</v>
      </c>
      <c r="AT26" s="219" t="str">
        <f t="shared" si="41"/>
        <v>낙첨</v>
      </c>
      <c r="AU26" s="219" t="str">
        <f t="shared" si="41"/>
        <v>낙첨</v>
      </c>
      <c r="AV26" s="251"/>
      <c r="AW26" s="251"/>
      <c r="AX26" s="251"/>
      <c r="AZ26" s="482">
        <v>12</v>
      </c>
      <c r="BA26" s="515" t="s">
        <v>982</v>
      </c>
      <c r="BB26" s="516"/>
      <c r="BC26" s="489">
        <v>1</v>
      </c>
      <c r="BD26" s="489">
        <v>28</v>
      </c>
      <c r="BE26" s="489">
        <v>35</v>
      </c>
      <c r="BF26" s="489">
        <v>41</v>
      </c>
      <c r="BG26" s="489">
        <v>43</v>
      </c>
      <c r="BH26" s="489">
        <v>44</v>
      </c>
      <c r="BI26" s="489">
        <v>1</v>
      </c>
      <c r="BJ26" s="489">
        <v>12</v>
      </c>
      <c r="BK26" s="489">
        <v>29</v>
      </c>
      <c r="BL26" s="489">
        <v>34</v>
      </c>
      <c r="BM26" s="489">
        <v>36</v>
      </c>
      <c r="BN26" s="489">
        <v>37</v>
      </c>
      <c r="BO26" s="489">
        <v>4</v>
      </c>
      <c r="BP26" s="489">
        <v>8</v>
      </c>
      <c r="BQ26" s="489">
        <v>13</v>
      </c>
      <c r="BR26" s="489">
        <v>19</v>
      </c>
      <c r="BS26" s="489">
        <v>20</v>
      </c>
      <c r="BT26" s="489">
        <v>43</v>
      </c>
      <c r="BU26" s="489">
        <v>46</v>
      </c>
      <c r="BV26" s="489">
        <v>46</v>
      </c>
      <c r="BW26" s="489">
        <v>46</v>
      </c>
      <c r="BX26" s="489">
        <v>46</v>
      </c>
      <c r="BY26" s="489">
        <v>46</v>
      </c>
      <c r="BZ26" s="489">
        <v>46</v>
      </c>
      <c r="CA26" s="489">
        <v>46</v>
      </c>
      <c r="CB26" s="489">
        <v>46</v>
      </c>
      <c r="CC26" s="491"/>
      <c r="CD26" s="491"/>
      <c r="CE26" s="491"/>
      <c r="CF26" s="491"/>
      <c r="CG26" s="491"/>
      <c r="CH26" s="491"/>
      <c r="CI26" s="491"/>
      <c r="CJ26" s="491"/>
      <c r="CK26" s="491"/>
      <c r="CL26" s="491"/>
      <c r="CM26" s="487"/>
      <c r="CN26" s="487"/>
      <c r="CO26" s="487"/>
      <c r="CP26" s="487"/>
      <c r="CQ26" s="487"/>
      <c r="CR26" s="487"/>
      <c r="CS26" s="487"/>
      <c r="CT26" s="487"/>
      <c r="CU26" s="488">
        <v>1</v>
      </c>
      <c r="CV26" s="488">
        <v>2</v>
      </c>
      <c r="CW26" s="488">
        <v>3</v>
      </c>
      <c r="CX26" s="488">
        <v>4</v>
      </c>
      <c r="CY26" s="488">
        <v>1</v>
      </c>
      <c r="CZ26" s="488">
        <v>1</v>
      </c>
      <c r="DA26" s="485"/>
    </row>
    <row r="27" spans="1:106">
      <c r="A27" s="220" t="s">
        <v>821</v>
      </c>
      <c r="B27" s="291" t="s">
        <v>932</v>
      </c>
      <c r="C27" s="219" t="str">
        <f t="shared" ref="C27:AU27" ca="1" si="42">IF(C157=$CU$27,"당첨",IF(C157=$CV$27,"당첨",IF(C157=$CW$27,"당첨",IF(C157=$CX$27,"당첨",IF(C157=$CY$27,"당첨","낙첨")))))</f>
        <v>당첨</v>
      </c>
      <c r="D27" s="219" t="str">
        <f t="shared" ca="1" si="42"/>
        <v>당첨</v>
      </c>
      <c r="E27" s="219" t="str">
        <f t="shared" ca="1" si="42"/>
        <v>당첨</v>
      </c>
      <c r="F27" s="219" t="str">
        <f t="shared" ca="1" si="42"/>
        <v>낙첨</v>
      </c>
      <c r="G27" s="219" t="str">
        <f t="shared" ca="1" si="42"/>
        <v>당첨</v>
      </c>
      <c r="H27" s="219" t="str">
        <f t="shared" ca="1" si="42"/>
        <v>당첨</v>
      </c>
      <c r="I27" s="219" t="str">
        <f t="shared" ca="1" si="42"/>
        <v>당첨</v>
      </c>
      <c r="J27" s="219" t="str">
        <f t="shared" ca="1" si="42"/>
        <v>당첨</v>
      </c>
      <c r="K27" s="219" t="str">
        <f t="shared" ca="1" si="42"/>
        <v>당첨</v>
      </c>
      <c r="L27" s="219" t="str">
        <f t="shared" ca="1" si="42"/>
        <v>당첨</v>
      </c>
      <c r="M27" s="219" t="str">
        <f t="shared" ca="1" si="42"/>
        <v>당첨</v>
      </c>
      <c r="N27" s="219" t="str">
        <f t="shared" ca="1" si="42"/>
        <v>당첨</v>
      </c>
      <c r="O27" s="219" t="str">
        <f t="shared" ca="1" si="42"/>
        <v>당첨</v>
      </c>
      <c r="P27" s="219" t="str">
        <f t="shared" ca="1" si="42"/>
        <v>당첨</v>
      </c>
      <c r="Q27" s="219" t="str">
        <f ca="1">IF(Q157=$CU$27,"당첨",IF(Q157=$CV$27,"당첨",IF(Q157=$CW$27,"당첨",IF(Q157=$CX$27,"당첨",IF(Q157=$CY$27,"당첨","낙첨")))))</f>
        <v>당첨</v>
      </c>
      <c r="R27" s="219" t="str">
        <f t="shared" si="42"/>
        <v>당첨</v>
      </c>
      <c r="S27" s="219" t="str">
        <f t="shared" si="42"/>
        <v>당첨</v>
      </c>
      <c r="T27" s="219" t="str">
        <f t="shared" si="42"/>
        <v>당첨</v>
      </c>
      <c r="U27" s="219" t="str">
        <f t="shared" si="42"/>
        <v>당첨</v>
      </c>
      <c r="V27" s="219" t="str">
        <f t="shared" si="42"/>
        <v>당첨</v>
      </c>
      <c r="W27" s="219" t="str">
        <f t="shared" si="42"/>
        <v>당첨</v>
      </c>
      <c r="X27" s="219" t="str">
        <f t="shared" si="42"/>
        <v>당첨</v>
      </c>
      <c r="Y27" s="219" t="str">
        <f t="shared" si="42"/>
        <v>당첨</v>
      </c>
      <c r="Z27" s="219" t="str">
        <f t="shared" si="42"/>
        <v>당첨</v>
      </c>
      <c r="AA27" s="219" t="str">
        <f t="shared" si="42"/>
        <v>당첨</v>
      </c>
      <c r="AB27" s="219" t="str">
        <f t="shared" si="42"/>
        <v>당첨</v>
      </c>
      <c r="AC27" s="219" t="str">
        <f t="shared" si="42"/>
        <v>당첨</v>
      </c>
      <c r="AD27" s="219" t="str">
        <f t="shared" si="42"/>
        <v>당첨</v>
      </c>
      <c r="AE27" s="219" t="str">
        <f t="shared" si="42"/>
        <v>당첨</v>
      </c>
      <c r="AF27" s="219" t="str">
        <f t="shared" si="42"/>
        <v>당첨</v>
      </c>
      <c r="AG27" s="219" t="str">
        <f t="shared" si="42"/>
        <v>당첨</v>
      </c>
      <c r="AH27" s="219" t="str">
        <f t="shared" si="42"/>
        <v>당첨</v>
      </c>
      <c r="AI27" s="219" t="str">
        <f t="shared" si="42"/>
        <v>당첨</v>
      </c>
      <c r="AJ27" s="219" t="str">
        <f t="shared" si="42"/>
        <v>당첨</v>
      </c>
      <c r="AK27" s="219" t="str">
        <f t="shared" si="42"/>
        <v>당첨</v>
      </c>
      <c r="AL27" s="219" t="str">
        <f t="shared" si="42"/>
        <v>당첨</v>
      </c>
      <c r="AM27" s="219" t="str">
        <f t="shared" si="42"/>
        <v>당첨</v>
      </c>
      <c r="AN27" s="219" t="str">
        <f t="shared" si="42"/>
        <v>당첨</v>
      </c>
      <c r="AO27" s="219" t="str">
        <f t="shared" si="42"/>
        <v>당첨</v>
      </c>
      <c r="AP27" s="219" t="str">
        <f t="shared" si="42"/>
        <v>당첨</v>
      </c>
      <c r="AQ27" s="219" t="str">
        <f t="shared" si="42"/>
        <v>당첨</v>
      </c>
      <c r="AR27" s="219" t="str">
        <f t="shared" si="42"/>
        <v>당첨</v>
      </c>
      <c r="AS27" s="219" t="str">
        <f t="shared" si="42"/>
        <v>당첨</v>
      </c>
      <c r="AT27" s="219" t="str">
        <f t="shared" si="42"/>
        <v>당첨</v>
      </c>
      <c r="AU27" s="219" t="str">
        <f t="shared" si="42"/>
        <v>당첨</v>
      </c>
      <c r="AV27" s="251"/>
      <c r="AW27" s="251"/>
      <c r="AX27" s="251"/>
      <c r="AZ27" s="482">
        <v>13</v>
      </c>
      <c r="BA27" s="515" t="s">
        <v>983</v>
      </c>
      <c r="BB27" s="516"/>
      <c r="BC27" s="489">
        <v>1</v>
      </c>
      <c r="BD27" s="489">
        <v>28</v>
      </c>
      <c r="BE27" s="489">
        <v>35</v>
      </c>
      <c r="BF27" s="489">
        <v>41</v>
      </c>
      <c r="BG27" s="489">
        <v>43</v>
      </c>
      <c r="BH27" s="489">
        <v>44</v>
      </c>
      <c r="BI27" s="489">
        <v>46</v>
      </c>
      <c r="BJ27" s="489">
        <v>46</v>
      </c>
      <c r="BK27" s="489">
        <v>46</v>
      </c>
      <c r="BL27" s="489">
        <v>46</v>
      </c>
      <c r="BM27" s="489">
        <v>46</v>
      </c>
      <c r="BN27" s="489">
        <v>46</v>
      </c>
      <c r="BO27" s="489">
        <v>46</v>
      </c>
      <c r="BP27" s="489">
        <v>46</v>
      </c>
      <c r="BQ27" s="489">
        <v>46</v>
      </c>
      <c r="BR27" s="489">
        <v>46</v>
      </c>
      <c r="BS27" s="489">
        <v>46</v>
      </c>
      <c r="BT27" s="489">
        <v>46</v>
      </c>
      <c r="BU27" s="489">
        <v>46</v>
      </c>
      <c r="BV27" s="489">
        <v>46</v>
      </c>
      <c r="BW27" s="489">
        <v>46</v>
      </c>
      <c r="BX27" s="489">
        <v>46</v>
      </c>
      <c r="BY27" s="489">
        <v>46</v>
      </c>
      <c r="BZ27" s="489">
        <v>46</v>
      </c>
      <c r="CA27" s="489">
        <v>46</v>
      </c>
      <c r="CB27" s="489">
        <v>46</v>
      </c>
      <c r="CC27" s="491"/>
      <c r="CD27" s="491"/>
      <c r="CE27" s="491"/>
      <c r="CF27" s="491"/>
      <c r="CG27" s="491"/>
      <c r="CH27" s="491"/>
      <c r="CI27" s="491"/>
      <c r="CJ27" s="491"/>
      <c r="CK27" s="491"/>
      <c r="CL27" s="491"/>
      <c r="CM27" s="487"/>
      <c r="CN27" s="487"/>
      <c r="CO27" s="487"/>
      <c r="CP27" s="487"/>
      <c r="CQ27" s="487"/>
      <c r="CR27" s="487"/>
      <c r="CS27" s="487"/>
      <c r="CT27" s="487"/>
      <c r="CU27" s="488">
        <v>0</v>
      </c>
      <c r="CV27" s="488">
        <v>1</v>
      </c>
      <c r="CW27" s="488">
        <v>1</v>
      </c>
      <c r="CX27" s="488">
        <v>1</v>
      </c>
      <c r="CY27" s="488">
        <v>2</v>
      </c>
      <c r="CZ27" s="485"/>
      <c r="DA27" s="485"/>
    </row>
    <row r="28" spans="1:106">
      <c r="A28" s="220" t="s">
        <v>822</v>
      </c>
      <c r="B28" s="291" t="s">
        <v>933</v>
      </c>
      <c r="C28" s="219" t="str">
        <f t="shared" ref="C28:P28" ca="1" si="43">IF(C164=$CU$28,"당첨",IF(C164=$CV$28,"당첨",IF(C164=$CW$28,"당첨",IF(C164=$CX$28,"당첨",IF(C164=$CY$28,"당첨","낙첨")))))</f>
        <v>당첨</v>
      </c>
      <c r="D28" s="219" t="str">
        <f t="shared" ca="1" si="43"/>
        <v>당첨</v>
      </c>
      <c r="E28" s="219" t="str">
        <f t="shared" ca="1" si="43"/>
        <v>당첨</v>
      </c>
      <c r="F28" s="219" t="str">
        <f t="shared" ca="1" si="43"/>
        <v>낙첨</v>
      </c>
      <c r="G28" s="219" t="str">
        <f t="shared" ca="1" si="43"/>
        <v>당첨</v>
      </c>
      <c r="H28" s="219" t="str">
        <f t="shared" ca="1" si="43"/>
        <v>당첨</v>
      </c>
      <c r="I28" s="219" t="str">
        <f t="shared" ca="1" si="43"/>
        <v>당첨</v>
      </c>
      <c r="J28" s="219" t="str">
        <f t="shared" ca="1" si="43"/>
        <v>낙첨</v>
      </c>
      <c r="K28" s="219" t="str">
        <f t="shared" ca="1" si="43"/>
        <v>당첨</v>
      </c>
      <c r="L28" s="219" t="str">
        <f t="shared" ca="1" si="43"/>
        <v>당첨</v>
      </c>
      <c r="M28" s="219" t="str">
        <f t="shared" ca="1" si="43"/>
        <v>당첨</v>
      </c>
      <c r="N28" s="219" t="str">
        <f t="shared" ca="1" si="43"/>
        <v>당첨</v>
      </c>
      <c r="O28" s="219" t="str">
        <f t="shared" ca="1" si="43"/>
        <v>당첨</v>
      </c>
      <c r="P28" s="219" t="str">
        <f t="shared" ca="1" si="43"/>
        <v>당첨</v>
      </c>
      <c r="Q28" s="219" t="str">
        <f ca="1">IF(Q164=$CU$28,"당첨",IF(Q164=$CV$28,"당첨",IF(Q164=$CW$28,"당첨",IF(Q164=$CX$28,"당첨",IF(Q164=$CY$28,"당첨","낙첨")))))</f>
        <v>당첨</v>
      </c>
      <c r="R28" s="219" t="str">
        <f t="shared" ref="R28:AU28" si="44">IF(R164=$CU$28,"당첨",IF(R164=$CV$28,"당첨",IF(R164=$CW$28,"당첨",IF(R164=$CX$28,"당첨","낙첨"))))</f>
        <v>당첨</v>
      </c>
      <c r="S28" s="219" t="str">
        <f t="shared" si="44"/>
        <v>당첨</v>
      </c>
      <c r="T28" s="219" t="str">
        <f t="shared" si="44"/>
        <v>당첨</v>
      </c>
      <c r="U28" s="219" t="str">
        <f t="shared" si="44"/>
        <v>당첨</v>
      </c>
      <c r="V28" s="219" t="str">
        <f t="shared" si="44"/>
        <v>당첨</v>
      </c>
      <c r="W28" s="219" t="str">
        <f t="shared" si="44"/>
        <v>당첨</v>
      </c>
      <c r="X28" s="219" t="str">
        <f t="shared" si="44"/>
        <v>당첨</v>
      </c>
      <c r="Y28" s="219" t="str">
        <f t="shared" si="44"/>
        <v>당첨</v>
      </c>
      <c r="Z28" s="219" t="str">
        <f t="shared" si="44"/>
        <v>당첨</v>
      </c>
      <c r="AA28" s="219" t="str">
        <f t="shared" si="44"/>
        <v>당첨</v>
      </c>
      <c r="AB28" s="219" t="str">
        <f t="shared" si="44"/>
        <v>당첨</v>
      </c>
      <c r="AC28" s="219" t="str">
        <f t="shared" si="44"/>
        <v>당첨</v>
      </c>
      <c r="AD28" s="219" t="str">
        <f t="shared" si="44"/>
        <v>당첨</v>
      </c>
      <c r="AE28" s="219" t="str">
        <f t="shared" si="44"/>
        <v>당첨</v>
      </c>
      <c r="AF28" s="219" t="str">
        <f t="shared" si="44"/>
        <v>당첨</v>
      </c>
      <c r="AG28" s="219" t="str">
        <f t="shared" si="44"/>
        <v>당첨</v>
      </c>
      <c r="AH28" s="219" t="str">
        <f t="shared" si="44"/>
        <v>당첨</v>
      </c>
      <c r="AI28" s="219" t="str">
        <f t="shared" si="44"/>
        <v>당첨</v>
      </c>
      <c r="AJ28" s="219" t="str">
        <f t="shared" si="44"/>
        <v>당첨</v>
      </c>
      <c r="AK28" s="219" t="str">
        <f t="shared" si="44"/>
        <v>당첨</v>
      </c>
      <c r="AL28" s="219" t="str">
        <f t="shared" si="44"/>
        <v>당첨</v>
      </c>
      <c r="AM28" s="219" t="str">
        <f t="shared" si="44"/>
        <v>당첨</v>
      </c>
      <c r="AN28" s="219" t="str">
        <f t="shared" si="44"/>
        <v>당첨</v>
      </c>
      <c r="AO28" s="219" t="str">
        <f t="shared" si="44"/>
        <v>당첨</v>
      </c>
      <c r="AP28" s="219" t="str">
        <f t="shared" si="44"/>
        <v>당첨</v>
      </c>
      <c r="AQ28" s="219" t="str">
        <f t="shared" si="44"/>
        <v>당첨</v>
      </c>
      <c r="AR28" s="219" t="str">
        <f t="shared" si="44"/>
        <v>당첨</v>
      </c>
      <c r="AS28" s="219" t="str">
        <f t="shared" si="44"/>
        <v>당첨</v>
      </c>
      <c r="AT28" s="219" t="str">
        <f t="shared" si="44"/>
        <v>당첨</v>
      </c>
      <c r="AU28" s="219" t="str">
        <f t="shared" si="44"/>
        <v>당첨</v>
      </c>
      <c r="AV28" s="251"/>
      <c r="AW28" s="251"/>
      <c r="AX28" s="251"/>
      <c r="AZ28" s="482">
        <v>14</v>
      </c>
      <c r="BA28" s="515" t="s">
        <v>984</v>
      </c>
      <c r="BB28" s="516"/>
      <c r="BC28" s="489">
        <v>1</v>
      </c>
      <c r="BD28" s="489">
        <v>28</v>
      </c>
      <c r="BE28" s="489">
        <v>35</v>
      </c>
      <c r="BF28" s="489">
        <v>41</v>
      </c>
      <c r="BG28" s="489">
        <v>43</v>
      </c>
      <c r="BH28" s="489">
        <v>44</v>
      </c>
      <c r="BI28" s="489">
        <v>1</v>
      </c>
      <c r="BJ28" s="489">
        <v>12</v>
      </c>
      <c r="BK28" s="489">
        <v>29</v>
      </c>
      <c r="BL28" s="489">
        <v>34</v>
      </c>
      <c r="BM28" s="489">
        <v>36</v>
      </c>
      <c r="BN28" s="489">
        <v>37</v>
      </c>
      <c r="BO28" s="489">
        <v>46</v>
      </c>
      <c r="BP28" s="489">
        <v>46</v>
      </c>
      <c r="BQ28" s="489">
        <v>46</v>
      </c>
      <c r="BR28" s="489">
        <v>46</v>
      </c>
      <c r="BS28" s="489">
        <v>46</v>
      </c>
      <c r="BT28" s="489">
        <v>46</v>
      </c>
      <c r="BU28" s="489">
        <v>46</v>
      </c>
      <c r="BV28" s="489">
        <v>46</v>
      </c>
      <c r="BW28" s="489">
        <v>46</v>
      </c>
      <c r="BX28" s="489">
        <v>46</v>
      </c>
      <c r="BY28" s="489">
        <v>46</v>
      </c>
      <c r="BZ28" s="489">
        <v>46</v>
      </c>
      <c r="CA28" s="489">
        <v>46</v>
      </c>
      <c r="CB28" s="489">
        <v>46</v>
      </c>
      <c r="CC28" s="489">
        <v>46</v>
      </c>
      <c r="CD28" s="489">
        <v>46</v>
      </c>
      <c r="CE28" s="489">
        <v>46</v>
      </c>
      <c r="CF28" s="489">
        <v>46</v>
      </c>
      <c r="CG28" s="489">
        <v>46</v>
      </c>
      <c r="CH28" s="491"/>
      <c r="CI28" s="491"/>
      <c r="CJ28" s="491"/>
      <c r="CK28" s="491"/>
      <c r="CL28" s="491"/>
      <c r="CM28" s="487"/>
      <c r="CN28" s="487"/>
      <c r="CO28" s="487"/>
      <c r="CP28" s="487"/>
      <c r="CQ28" s="487"/>
      <c r="CR28" s="487"/>
      <c r="CS28" s="487"/>
      <c r="CT28" s="487"/>
      <c r="CU28" s="488">
        <v>0</v>
      </c>
      <c r="CV28" s="488">
        <v>1</v>
      </c>
      <c r="CW28" s="488">
        <v>2</v>
      </c>
      <c r="CX28" s="488">
        <v>3</v>
      </c>
      <c r="CY28" s="488">
        <v>3</v>
      </c>
      <c r="CZ28" s="485"/>
      <c r="DA28" s="485"/>
    </row>
    <row r="29" spans="1:106">
      <c r="A29" s="220" t="s">
        <v>823</v>
      </c>
      <c r="B29" s="291" t="s">
        <v>934</v>
      </c>
      <c r="C29" s="219" t="str">
        <f t="shared" ref="C29:P29" ca="1" si="45">IF(C171=$CU$29,"당첨",IF(C171=$CV$29,"당첨",IF(C171=$CW$29,"당첨",IF(C171=$CX$29,"당첨",IF(C171=$CY$29,"당첨",IF(C171=$CZ$29,"당첨","낙첨"))))))</f>
        <v>당첨</v>
      </c>
      <c r="D29" s="219" t="str">
        <f t="shared" ca="1" si="45"/>
        <v>낙첨</v>
      </c>
      <c r="E29" s="219" t="str">
        <f t="shared" ca="1" si="45"/>
        <v>당첨</v>
      </c>
      <c r="F29" s="219" t="str">
        <f t="shared" ca="1" si="45"/>
        <v>당첨</v>
      </c>
      <c r="G29" s="219" t="str">
        <f t="shared" ca="1" si="45"/>
        <v>당첨</v>
      </c>
      <c r="H29" s="219" t="str">
        <f t="shared" ca="1" si="45"/>
        <v>당첨</v>
      </c>
      <c r="I29" s="219" t="str">
        <f t="shared" ca="1" si="45"/>
        <v>당첨</v>
      </c>
      <c r="J29" s="219" t="str">
        <f t="shared" ca="1" si="45"/>
        <v>당첨</v>
      </c>
      <c r="K29" s="219" t="str">
        <f t="shared" ca="1" si="45"/>
        <v>당첨</v>
      </c>
      <c r="L29" s="219" t="str">
        <f t="shared" ca="1" si="45"/>
        <v>당첨</v>
      </c>
      <c r="M29" s="219" t="str">
        <f t="shared" ca="1" si="45"/>
        <v>당첨</v>
      </c>
      <c r="N29" s="219" t="str">
        <f t="shared" ca="1" si="45"/>
        <v>당첨</v>
      </c>
      <c r="O29" s="219" t="str">
        <f t="shared" ca="1" si="45"/>
        <v>당첨</v>
      </c>
      <c r="P29" s="219" t="str">
        <f t="shared" ca="1" si="45"/>
        <v>당첨</v>
      </c>
      <c r="Q29" s="219" t="str">
        <f ca="1">IF(Q171=$CU$29,"당첨",IF(Q171=$CV$29,"당첨",IF(Q171=$CW$29,"당첨",IF(Q171=$CX$29,"당첨",IF(Q171=$CY$29,"당첨",IF(Q171=$CZ$29,"당첨","낙첨"))))))</f>
        <v>당첨</v>
      </c>
      <c r="R29" s="219" t="str">
        <f t="shared" ref="R29:AU29" si="46">IF(R171=$CU$29,"당첨",IF(R171=$CV$29,"당첨",IF(R171=$CW$29,"당첨",IF(R171=$CX$29,"당첨",IF(R171=$CY$29,"당첨","낙첨")))))</f>
        <v>낙첨</v>
      </c>
      <c r="S29" s="219" t="str">
        <f t="shared" si="46"/>
        <v>낙첨</v>
      </c>
      <c r="T29" s="219" t="str">
        <f t="shared" si="46"/>
        <v>낙첨</v>
      </c>
      <c r="U29" s="219" t="str">
        <f t="shared" si="46"/>
        <v>낙첨</v>
      </c>
      <c r="V29" s="219" t="str">
        <f t="shared" si="46"/>
        <v>낙첨</v>
      </c>
      <c r="W29" s="219" t="str">
        <f t="shared" si="46"/>
        <v>낙첨</v>
      </c>
      <c r="X29" s="219" t="str">
        <f t="shared" si="46"/>
        <v>낙첨</v>
      </c>
      <c r="Y29" s="219" t="str">
        <f t="shared" si="46"/>
        <v>낙첨</v>
      </c>
      <c r="Z29" s="219" t="str">
        <f t="shared" si="46"/>
        <v>낙첨</v>
      </c>
      <c r="AA29" s="219" t="str">
        <f t="shared" si="46"/>
        <v>낙첨</v>
      </c>
      <c r="AB29" s="219" t="str">
        <f t="shared" si="46"/>
        <v>낙첨</v>
      </c>
      <c r="AC29" s="219" t="str">
        <f t="shared" si="46"/>
        <v>낙첨</v>
      </c>
      <c r="AD29" s="219" t="str">
        <f t="shared" si="46"/>
        <v>낙첨</v>
      </c>
      <c r="AE29" s="219" t="str">
        <f t="shared" si="46"/>
        <v>낙첨</v>
      </c>
      <c r="AF29" s="219" t="str">
        <f t="shared" si="46"/>
        <v>낙첨</v>
      </c>
      <c r="AG29" s="219" t="str">
        <f t="shared" si="46"/>
        <v>낙첨</v>
      </c>
      <c r="AH29" s="219" t="str">
        <f t="shared" si="46"/>
        <v>낙첨</v>
      </c>
      <c r="AI29" s="219" t="str">
        <f t="shared" si="46"/>
        <v>낙첨</v>
      </c>
      <c r="AJ29" s="219" t="str">
        <f t="shared" si="46"/>
        <v>낙첨</v>
      </c>
      <c r="AK29" s="219" t="str">
        <f t="shared" si="46"/>
        <v>낙첨</v>
      </c>
      <c r="AL29" s="219" t="str">
        <f t="shared" si="46"/>
        <v>낙첨</v>
      </c>
      <c r="AM29" s="219" t="str">
        <f t="shared" si="46"/>
        <v>낙첨</v>
      </c>
      <c r="AN29" s="219" t="str">
        <f t="shared" si="46"/>
        <v>낙첨</v>
      </c>
      <c r="AO29" s="219" t="str">
        <f t="shared" si="46"/>
        <v>낙첨</v>
      </c>
      <c r="AP29" s="219" t="str">
        <f t="shared" si="46"/>
        <v>낙첨</v>
      </c>
      <c r="AQ29" s="219" t="str">
        <f t="shared" si="46"/>
        <v>낙첨</v>
      </c>
      <c r="AR29" s="219" t="str">
        <f t="shared" si="46"/>
        <v>낙첨</v>
      </c>
      <c r="AS29" s="219" t="str">
        <f t="shared" si="46"/>
        <v>낙첨</v>
      </c>
      <c r="AT29" s="219" t="str">
        <f t="shared" si="46"/>
        <v>낙첨</v>
      </c>
      <c r="AU29" s="219" t="str">
        <f t="shared" si="46"/>
        <v>낙첨</v>
      </c>
      <c r="AV29" s="251"/>
      <c r="AW29" s="251"/>
      <c r="AX29" s="251"/>
      <c r="AZ29" s="482">
        <v>15</v>
      </c>
      <c r="BA29" s="515" t="s">
        <v>985</v>
      </c>
      <c r="BB29" s="516"/>
      <c r="BC29" s="489">
        <v>1</v>
      </c>
      <c r="BD29" s="489">
        <v>2</v>
      </c>
      <c r="BE29" s="489">
        <v>3</v>
      </c>
      <c r="BF29" s="489">
        <v>4</v>
      </c>
      <c r="BG29" s="489">
        <v>7</v>
      </c>
      <c r="BH29" s="489">
        <v>8</v>
      </c>
      <c r="BI29" s="489">
        <v>9</v>
      </c>
      <c r="BJ29" s="489">
        <v>10</v>
      </c>
      <c r="BK29" s="489">
        <v>15</v>
      </c>
      <c r="BL29" s="490">
        <v>16</v>
      </c>
      <c r="BM29" s="489">
        <v>17</v>
      </c>
      <c r="BN29" s="489">
        <v>18</v>
      </c>
      <c r="BO29" s="489">
        <v>19</v>
      </c>
      <c r="BP29" s="489">
        <v>22</v>
      </c>
      <c r="BQ29" s="489">
        <v>23</v>
      </c>
      <c r="BR29" s="489">
        <v>26</v>
      </c>
      <c r="BS29" s="489">
        <v>27</v>
      </c>
      <c r="BT29" s="489">
        <v>28</v>
      </c>
      <c r="BU29" s="489">
        <v>29</v>
      </c>
      <c r="BV29" s="489">
        <v>31</v>
      </c>
      <c r="BW29" s="489">
        <v>32</v>
      </c>
      <c r="BX29" s="489">
        <v>33</v>
      </c>
      <c r="BY29" s="489">
        <v>35</v>
      </c>
      <c r="BZ29" s="489">
        <v>36</v>
      </c>
      <c r="CA29" s="489">
        <v>37</v>
      </c>
      <c r="CB29" s="489">
        <v>38</v>
      </c>
      <c r="CC29" s="489">
        <v>41</v>
      </c>
      <c r="CD29" s="489">
        <v>43</v>
      </c>
      <c r="CE29" s="489">
        <v>44</v>
      </c>
      <c r="CF29" s="489">
        <v>45</v>
      </c>
      <c r="CG29" s="489">
        <v>46</v>
      </c>
      <c r="CH29" s="489">
        <v>46</v>
      </c>
      <c r="CI29" s="489">
        <v>46</v>
      </c>
      <c r="CJ29" s="489">
        <v>46</v>
      </c>
      <c r="CK29" s="489">
        <v>46</v>
      </c>
      <c r="CL29" s="489">
        <v>46</v>
      </c>
      <c r="CM29" s="489">
        <v>46</v>
      </c>
      <c r="CN29" s="487"/>
      <c r="CO29" s="487"/>
      <c r="CP29" s="487"/>
      <c r="CQ29" s="487"/>
      <c r="CR29" s="487"/>
      <c r="CS29" s="487"/>
      <c r="CT29" s="487"/>
      <c r="CU29" s="488">
        <v>1</v>
      </c>
      <c r="CV29" s="488">
        <v>2</v>
      </c>
      <c r="CW29" s="488">
        <v>3</v>
      </c>
      <c r="CX29" s="488">
        <v>4</v>
      </c>
      <c r="CY29" s="488">
        <v>5</v>
      </c>
      <c r="CZ29" s="488">
        <v>5</v>
      </c>
      <c r="DA29" s="485"/>
    </row>
    <row r="30" spans="1:106">
      <c r="A30" s="220"/>
      <c r="B30" s="291" t="s">
        <v>908</v>
      </c>
      <c r="C30" s="219" t="str">
        <f t="shared" ref="C30:P30" ca="1" si="47">IF(C178=$CU$30,"당첨",IF(C178=$CV$30,"당첨",IF(C178=$CW$30,"당첨",IF(C178=$CX$30,"당첨",IF(C178=$CY$30,"당첨","낙첨")))))</f>
        <v>당첨</v>
      </c>
      <c r="D30" s="219" t="str">
        <f t="shared" ca="1" si="47"/>
        <v>당첨</v>
      </c>
      <c r="E30" s="219" t="str">
        <f t="shared" ca="1" si="47"/>
        <v>당첨</v>
      </c>
      <c r="F30" s="219" t="str">
        <f t="shared" ca="1" si="47"/>
        <v>낙첨</v>
      </c>
      <c r="G30" s="219" t="str">
        <f t="shared" ca="1" si="47"/>
        <v>당첨</v>
      </c>
      <c r="H30" s="219" t="str">
        <f t="shared" ca="1" si="47"/>
        <v>당첨</v>
      </c>
      <c r="I30" s="219" t="str">
        <f t="shared" ca="1" si="47"/>
        <v>당첨</v>
      </c>
      <c r="J30" s="219" t="str">
        <f t="shared" ca="1" si="47"/>
        <v>당첨</v>
      </c>
      <c r="K30" s="219" t="str">
        <f t="shared" ca="1" si="47"/>
        <v>당첨</v>
      </c>
      <c r="L30" s="219" t="str">
        <f t="shared" ca="1" si="47"/>
        <v>당첨</v>
      </c>
      <c r="M30" s="219" t="str">
        <f t="shared" ca="1" si="47"/>
        <v>당첨</v>
      </c>
      <c r="N30" s="219" t="str">
        <f t="shared" ca="1" si="47"/>
        <v>당첨</v>
      </c>
      <c r="O30" s="219" t="str">
        <f t="shared" ca="1" si="47"/>
        <v>당첨</v>
      </c>
      <c r="P30" s="219" t="str">
        <f t="shared" ca="1" si="47"/>
        <v>낙첨</v>
      </c>
      <c r="Q30" s="219" t="str">
        <f ca="1">IF(Q178=$CU$30,"당첨",IF(Q178=$CV$30,"당첨",IF(Q178=$CW$30,"당첨",IF(Q178=$CX$30,"당첨",IF(Q178=$CY$30,"당첨","낙첨")))))</f>
        <v>당첨</v>
      </c>
      <c r="R30" s="219" t="str">
        <f t="shared" ref="R30:AU30" si="48">IF(R178=$CU$30,"당첨",IF(R178=$CV$30,"당첨",IF(R178=$CW$30,"당첨",IF(R178=$CX$30,"당첨","낙첨"))))</f>
        <v>낙첨</v>
      </c>
      <c r="S30" s="219" t="str">
        <f t="shared" si="48"/>
        <v>낙첨</v>
      </c>
      <c r="T30" s="219" t="str">
        <f t="shared" si="48"/>
        <v>낙첨</v>
      </c>
      <c r="U30" s="219" t="str">
        <f t="shared" si="48"/>
        <v>낙첨</v>
      </c>
      <c r="V30" s="219" t="str">
        <f t="shared" si="48"/>
        <v>낙첨</v>
      </c>
      <c r="W30" s="219" t="str">
        <f t="shared" si="48"/>
        <v>낙첨</v>
      </c>
      <c r="X30" s="219" t="str">
        <f t="shared" si="48"/>
        <v>낙첨</v>
      </c>
      <c r="Y30" s="219" t="str">
        <f t="shared" si="48"/>
        <v>낙첨</v>
      </c>
      <c r="Z30" s="219" t="str">
        <f t="shared" si="48"/>
        <v>낙첨</v>
      </c>
      <c r="AA30" s="219" t="str">
        <f t="shared" si="48"/>
        <v>낙첨</v>
      </c>
      <c r="AB30" s="219" t="str">
        <f t="shared" si="48"/>
        <v>낙첨</v>
      </c>
      <c r="AC30" s="219" t="str">
        <f t="shared" si="48"/>
        <v>낙첨</v>
      </c>
      <c r="AD30" s="219" t="str">
        <f t="shared" si="48"/>
        <v>낙첨</v>
      </c>
      <c r="AE30" s="219" t="str">
        <f t="shared" si="48"/>
        <v>낙첨</v>
      </c>
      <c r="AF30" s="219" t="str">
        <f t="shared" si="48"/>
        <v>낙첨</v>
      </c>
      <c r="AG30" s="219" t="str">
        <f t="shared" si="48"/>
        <v>낙첨</v>
      </c>
      <c r="AH30" s="219" t="str">
        <f t="shared" si="48"/>
        <v>낙첨</v>
      </c>
      <c r="AI30" s="219" t="str">
        <f t="shared" si="48"/>
        <v>낙첨</v>
      </c>
      <c r="AJ30" s="219" t="str">
        <f t="shared" si="48"/>
        <v>낙첨</v>
      </c>
      <c r="AK30" s="219" t="str">
        <f t="shared" si="48"/>
        <v>낙첨</v>
      </c>
      <c r="AL30" s="219" t="str">
        <f t="shared" si="48"/>
        <v>낙첨</v>
      </c>
      <c r="AM30" s="219" t="str">
        <f t="shared" si="48"/>
        <v>낙첨</v>
      </c>
      <c r="AN30" s="219" t="str">
        <f t="shared" si="48"/>
        <v>낙첨</v>
      </c>
      <c r="AO30" s="219" t="str">
        <f t="shared" si="48"/>
        <v>낙첨</v>
      </c>
      <c r="AP30" s="219" t="str">
        <f t="shared" si="48"/>
        <v>낙첨</v>
      </c>
      <c r="AQ30" s="219" t="str">
        <f t="shared" si="48"/>
        <v>낙첨</v>
      </c>
      <c r="AR30" s="219" t="str">
        <f t="shared" si="48"/>
        <v>낙첨</v>
      </c>
      <c r="AS30" s="219" t="str">
        <f t="shared" si="48"/>
        <v>낙첨</v>
      </c>
      <c r="AT30" s="219" t="str">
        <f t="shared" si="48"/>
        <v>낙첨</v>
      </c>
      <c r="AU30" s="219" t="str">
        <f t="shared" si="48"/>
        <v>낙첨</v>
      </c>
      <c r="AV30" s="251"/>
      <c r="AW30" s="251"/>
      <c r="AX30" s="251"/>
      <c r="AZ30" s="482">
        <v>16</v>
      </c>
      <c r="BA30" s="515" t="s">
        <v>986</v>
      </c>
      <c r="BB30" s="516"/>
      <c r="BC30" s="489">
        <v>1</v>
      </c>
      <c r="BD30" s="489">
        <v>2</v>
      </c>
      <c r="BE30" s="489">
        <v>4</v>
      </c>
      <c r="BF30" s="489">
        <v>8</v>
      </c>
      <c r="BG30" s="489">
        <v>11</v>
      </c>
      <c r="BH30" s="489">
        <v>12</v>
      </c>
      <c r="BI30" s="489">
        <v>13</v>
      </c>
      <c r="BJ30" s="489">
        <v>19</v>
      </c>
      <c r="BK30" s="489">
        <v>20</v>
      </c>
      <c r="BL30" s="489">
        <v>23</v>
      </c>
      <c r="BM30" s="489">
        <v>25</v>
      </c>
      <c r="BN30" s="489">
        <v>28</v>
      </c>
      <c r="BO30" s="489">
        <v>29</v>
      </c>
      <c r="BP30" s="489">
        <v>32</v>
      </c>
      <c r="BQ30" s="489">
        <v>34</v>
      </c>
      <c r="BR30" s="489">
        <v>35</v>
      </c>
      <c r="BS30" s="489">
        <v>36</v>
      </c>
      <c r="BT30" s="489">
        <v>37</v>
      </c>
      <c r="BU30" s="489">
        <v>39</v>
      </c>
      <c r="BV30" s="489">
        <v>41</v>
      </c>
      <c r="BW30" s="489">
        <v>43</v>
      </c>
      <c r="BX30" s="489">
        <v>44</v>
      </c>
      <c r="BY30" s="489">
        <v>46</v>
      </c>
      <c r="BZ30" s="489">
        <v>46</v>
      </c>
      <c r="CA30" s="489">
        <v>46</v>
      </c>
      <c r="CB30" s="489">
        <v>46</v>
      </c>
      <c r="CC30" s="489">
        <v>46</v>
      </c>
      <c r="CD30" s="491"/>
      <c r="CE30" s="491"/>
      <c r="CF30" s="491"/>
      <c r="CG30" s="491"/>
      <c r="CH30" s="491"/>
      <c r="CI30" s="491"/>
      <c r="CJ30" s="491"/>
      <c r="CK30" s="491"/>
      <c r="CL30" s="491"/>
      <c r="CM30" s="487"/>
      <c r="CN30" s="487"/>
      <c r="CO30" s="487"/>
      <c r="CP30" s="487"/>
      <c r="CQ30" s="487"/>
      <c r="CR30" s="487"/>
      <c r="CS30" s="487"/>
      <c r="CT30" s="487"/>
      <c r="CU30" s="488">
        <v>1</v>
      </c>
      <c r="CV30" s="488">
        <v>2</v>
      </c>
      <c r="CW30" s="488">
        <v>3</v>
      </c>
      <c r="CX30" s="488">
        <v>4</v>
      </c>
      <c r="CY30" s="488">
        <v>5</v>
      </c>
      <c r="CZ30" s="485"/>
      <c r="DA30" s="485"/>
    </row>
    <row r="31" spans="1:106" s="5" customFormat="1" ht="23.25" thickBot="1">
      <c r="A31" s="198" t="s">
        <v>680</v>
      </c>
      <c r="B31" s="199">
        <f ca="1">COUNTIF(C31:L31,"당첨")</f>
        <v>1</v>
      </c>
      <c r="C31" s="322" t="str">
        <f ca="1">IF(BC31&gt;=16,"당첨","낙첨")</f>
        <v>낙첨</v>
      </c>
      <c r="D31" s="322" t="str">
        <f t="shared" ref="D31:Q31" ca="1" si="49">IF(BD31&gt;=16,"당첨","낙첨")</f>
        <v>낙첨</v>
      </c>
      <c r="E31" s="322" t="str">
        <f t="shared" ca="1" si="49"/>
        <v>낙첨</v>
      </c>
      <c r="F31" s="322" t="str">
        <f t="shared" ca="1" si="49"/>
        <v>낙첨</v>
      </c>
      <c r="G31" s="322" t="str">
        <f t="shared" ca="1" si="49"/>
        <v>낙첨</v>
      </c>
      <c r="H31" s="322" t="str">
        <f t="shared" ca="1" si="49"/>
        <v>낙첨</v>
      </c>
      <c r="I31" s="322" t="str">
        <f t="shared" ca="1" si="49"/>
        <v>낙첨</v>
      </c>
      <c r="J31" s="322" t="str">
        <f t="shared" ca="1" si="49"/>
        <v>낙첨</v>
      </c>
      <c r="K31" s="322" t="str">
        <f t="shared" ca="1" si="49"/>
        <v>당첨</v>
      </c>
      <c r="L31" s="322" t="str">
        <f t="shared" ca="1" si="49"/>
        <v>낙첨</v>
      </c>
      <c r="M31" s="322" t="str">
        <f t="shared" ca="1" si="49"/>
        <v>낙첨</v>
      </c>
      <c r="N31" s="322" t="str">
        <f t="shared" ca="1" si="49"/>
        <v>낙첨</v>
      </c>
      <c r="O31" s="322" t="str">
        <f t="shared" ca="1" si="49"/>
        <v>당첨</v>
      </c>
      <c r="P31" s="322" t="str">
        <f t="shared" ca="1" si="49"/>
        <v>낙첨</v>
      </c>
      <c r="Q31" s="322" t="str">
        <f t="shared" ca="1" si="49"/>
        <v>당첨</v>
      </c>
      <c r="R31" s="200" t="str">
        <f>IF(BR31&gt;=17,"당첨","낙첨")</f>
        <v>낙첨</v>
      </c>
      <c r="S31" s="200" t="str">
        <f>IF(BS31&gt;=17,"당첨","낙첨")</f>
        <v>낙첨</v>
      </c>
      <c r="T31" s="200" t="str">
        <f>IF(BT31&gt;=17,"당첨","낙첨")</f>
        <v>낙첨</v>
      </c>
      <c r="U31" s="200" t="str">
        <f>IF(BU31&gt;=17,"당첨","낙첨")</f>
        <v>낙첨</v>
      </c>
      <c r="V31" s="200" t="str">
        <f t="shared" ref="V31:AC31" si="50">IF(BV31&gt;=17,"당첨","낙첨")</f>
        <v>낙첨</v>
      </c>
      <c r="W31" s="200" t="str">
        <f t="shared" si="50"/>
        <v>낙첨</v>
      </c>
      <c r="X31" s="200" t="str">
        <f t="shared" si="50"/>
        <v>낙첨</v>
      </c>
      <c r="Y31" s="200" t="str">
        <f t="shared" si="50"/>
        <v>낙첨</v>
      </c>
      <c r="Z31" s="200" t="str">
        <f t="shared" si="50"/>
        <v>낙첨</v>
      </c>
      <c r="AA31" s="200" t="str">
        <f t="shared" si="50"/>
        <v>낙첨</v>
      </c>
      <c r="AB31" s="200" t="str">
        <f t="shared" si="50"/>
        <v>낙첨</v>
      </c>
      <c r="AC31" s="200" t="str">
        <f t="shared" si="50"/>
        <v>낙첨</v>
      </c>
      <c r="AD31" s="200" t="str">
        <f>IF(CP31&gt;=17,"당첨","낙첨")</f>
        <v>낙첨</v>
      </c>
      <c r="AE31" s="200" t="str">
        <f t="shared" ref="AE31:AU31" si="51">IF(CU31&gt;=17,"당첨","낙첨")</f>
        <v>낙첨</v>
      </c>
      <c r="AF31" s="200" t="str">
        <f t="shared" si="51"/>
        <v>낙첨</v>
      </c>
      <c r="AG31" s="200" t="str">
        <f t="shared" si="51"/>
        <v>낙첨</v>
      </c>
      <c r="AH31" s="200" t="str">
        <f t="shared" si="51"/>
        <v>낙첨</v>
      </c>
      <c r="AI31" s="200" t="str">
        <f t="shared" si="51"/>
        <v>낙첨</v>
      </c>
      <c r="AJ31" s="200" t="str">
        <f t="shared" si="51"/>
        <v>낙첨</v>
      </c>
      <c r="AK31" s="200" t="str">
        <f t="shared" si="51"/>
        <v>낙첨</v>
      </c>
      <c r="AL31" s="200" t="str">
        <f t="shared" si="51"/>
        <v>낙첨</v>
      </c>
      <c r="AM31" s="200" t="str">
        <f t="shared" si="51"/>
        <v>낙첨</v>
      </c>
      <c r="AN31" s="200" t="str">
        <f t="shared" si="51"/>
        <v>낙첨</v>
      </c>
      <c r="AO31" s="200" t="str">
        <f t="shared" si="51"/>
        <v>낙첨</v>
      </c>
      <c r="AP31" s="200" t="str">
        <f t="shared" si="51"/>
        <v>낙첨</v>
      </c>
      <c r="AQ31" s="200" t="str">
        <f t="shared" si="51"/>
        <v>낙첨</v>
      </c>
      <c r="AR31" s="200" t="str">
        <f t="shared" si="51"/>
        <v>낙첨</v>
      </c>
      <c r="AS31" s="200" t="str">
        <f t="shared" si="51"/>
        <v>낙첨</v>
      </c>
      <c r="AT31" s="200" t="str">
        <f t="shared" si="51"/>
        <v>낙첨</v>
      </c>
      <c r="AU31" s="200" t="str">
        <f t="shared" si="51"/>
        <v>낙첨</v>
      </c>
      <c r="AV31" s="252"/>
      <c r="AW31" s="252"/>
      <c r="AX31" s="252"/>
      <c r="AZ31" s="505" t="s">
        <v>700</v>
      </c>
      <c r="BA31" s="506"/>
      <c r="BB31" s="507"/>
      <c r="BC31" s="126">
        <f t="shared" ref="BC31:CC31" ca="1" si="52">COUNTIF(C15:C30,"당첨")</f>
        <v>15</v>
      </c>
      <c r="BD31" s="126">
        <f t="shared" ca="1" si="52"/>
        <v>13</v>
      </c>
      <c r="BE31" s="126">
        <f t="shared" ca="1" si="52"/>
        <v>14</v>
      </c>
      <c r="BF31" s="126">
        <f t="shared" ca="1" si="52"/>
        <v>11</v>
      </c>
      <c r="BG31" s="126">
        <f t="shared" ca="1" si="52"/>
        <v>15</v>
      </c>
      <c r="BH31" s="126">
        <f t="shared" ca="1" si="52"/>
        <v>15</v>
      </c>
      <c r="BI31" s="126">
        <f t="shared" ca="1" si="52"/>
        <v>15</v>
      </c>
      <c r="BJ31" s="126">
        <f t="shared" ca="1" si="52"/>
        <v>14</v>
      </c>
      <c r="BK31" s="126">
        <f t="shared" ca="1" si="52"/>
        <v>16</v>
      </c>
      <c r="BL31" s="126">
        <f t="shared" ca="1" si="52"/>
        <v>13</v>
      </c>
      <c r="BM31" s="126">
        <f t="shared" ca="1" si="52"/>
        <v>15</v>
      </c>
      <c r="BN31" s="126">
        <f t="shared" ca="1" si="52"/>
        <v>14</v>
      </c>
      <c r="BO31" s="126">
        <f t="shared" ca="1" si="52"/>
        <v>16</v>
      </c>
      <c r="BP31" s="126">
        <f t="shared" ca="1" si="52"/>
        <v>11</v>
      </c>
      <c r="BQ31" s="126">
        <f t="shared" ca="1" si="52"/>
        <v>16</v>
      </c>
      <c r="BR31" s="126">
        <f t="shared" si="52"/>
        <v>2</v>
      </c>
      <c r="BS31" s="126">
        <f t="shared" si="52"/>
        <v>2</v>
      </c>
      <c r="BT31" s="126">
        <f t="shared" si="52"/>
        <v>2</v>
      </c>
      <c r="BU31" s="126">
        <f t="shared" si="52"/>
        <v>2</v>
      </c>
      <c r="BV31" s="126">
        <f t="shared" si="52"/>
        <v>2</v>
      </c>
      <c r="BW31" s="126">
        <f t="shared" si="52"/>
        <v>2</v>
      </c>
      <c r="BX31" s="126">
        <f t="shared" si="52"/>
        <v>2</v>
      </c>
      <c r="BY31" s="126">
        <f t="shared" si="52"/>
        <v>2</v>
      </c>
      <c r="BZ31" s="126">
        <f t="shared" si="52"/>
        <v>2</v>
      </c>
      <c r="CA31" s="126">
        <f t="shared" si="52"/>
        <v>2</v>
      </c>
      <c r="CB31" s="126">
        <f t="shared" si="52"/>
        <v>2</v>
      </c>
      <c r="CC31" s="126">
        <f t="shared" si="52"/>
        <v>2</v>
      </c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26">
        <f t="shared" ref="CP31" si="53">COUNTIF(AD15:AD30,"당첨")</f>
        <v>2</v>
      </c>
      <c r="CQ31" s="126"/>
      <c r="CR31" s="126"/>
      <c r="CS31" s="126"/>
      <c r="CT31" s="126"/>
      <c r="CU31" s="126">
        <f t="shared" ref="CU31:DA31" si="54">COUNTIF(AE15:AE30,"당첨")</f>
        <v>2</v>
      </c>
      <c r="CV31" s="126">
        <f t="shared" si="54"/>
        <v>2</v>
      </c>
      <c r="CW31" s="126">
        <f t="shared" si="54"/>
        <v>2</v>
      </c>
      <c r="CX31" s="126">
        <f t="shared" si="54"/>
        <v>2</v>
      </c>
      <c r="CY31" s="126">
        <f t="shared" si="54"/>
        <v>2</v>
      </c>
      <c r="CZ31" s="126">
        <f t="shared" si="54"/>
        <v>2</v>
      </c>
      <c r="DA31" s="126">
        <f t="shared" si="54"/>
        <v>2</v>
      </c>
      <c r="DB31" s="126">
        <f>COUNTIF(AX15:AX30,"당첨")</f>
        <v>0</v>
      </c>
    </row>
    <row r="32" spans="1:106" ht="24" customHeight="1">
      <c r="A32" s="59"/>
      <c r="B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</row>
    <row r="33" spans="1:80" ht="24" customHeight="1">
      <c r="A33" s="59"/>
      <c r="B33" s="59"/>
      <c r="D33" s="59">
        <v>9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</row>
    <row r="34" spans="1:80" ht="19.5" thickBot="1">
      <c r="A34" s="93" t="s">
        <v>552</v>
      </c>
      <c r="B34" s="125">
        <f>$J$34+$L$34</f>
        <v>45</v>
      </c>
      <c r="C34" s="497" t="s">
        <v>553</v>
      </c>
      <c r="D34" s="497"/>
      <c r="E34" s="498">
        <f>$J$34/$B$34</f>
        <v>0.48888888888888887</v>
      </c>
      <c r="F34" s="498"/>
      <c r="G34" s="498">
        <f>$L$34/$B$34</f>
        <v>0.51111111111111107</v>
      </c>
      <c r="H34" s="498"/>
      <c r="I34" s="93" t="s">
        <v>554</v>
      </c>
      <c r="J34" s="93">
        <f>COUNTIFS(당첨,"당첨",홀짝수,"홀수")</f>
        <v>22</v>
      </c>
      <c r="K34" s="93" t="s">
        <v>555</v>
      </c>
      <c r="L34" s="93">
        <f>COUNTIFS(당첨,"당첨",홀짝수,"짝수")</f>
        <v>23</v>
      </c>
      <c r="BC34" s="95"/>
      <c r="BD34" s="95"/>
      <c r="BE34" s="95"/>
      <c r="BF34" s="95"/>
      <c r="BG34" s="2"/>
      <c r="BH34" s="2"/>
      <c r="BI34" s="2"/>
      <c r="BJ34" s="2"/>
    </row>
    <row r="35" spans="1:80" s="2" customFormat="1" ht="5.25" customHeight="1" thickBot="1">
      <c r="A35" s="116"/>
      <c r="B35" s="118"/>
      <c r="C35" s="119"/>
      <c r="D35" s="120"/>
      <c r="E35" s="120"/>
      <c r="F35" s="120"/>
      <c r="G35" s="120"/>
      <c r="H35" s="120"/>
      <c r="I35" s="119"/>
      <c r="J35" s="119"/>
      <c r="K35" s="119"/>
      <c r="L35" s="119"/>
      <c r="M35" s="117"/>
      <c r="N35" s="117"/>
      <c r="O35" s="117"/>
      <c r="P35" s="117"/>
      <c r="Q35" s="115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  <c r="AD35" s="206"/>
      <c r="AE35" s="206"/>
      <c r="AF35" s="206"/>
      <c r="AG35" s="206"/>
      <c r="AH35" s="206"/>
      <c r="AI35" s="206"/>
      <c r="AJ35" s="206"/>
      <c r="AK35" s="20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06"/>
      <c r="AZ35" s="95"/>
      <c r="BA35" s="95"/>
      <c r="BB35" s="95"/>
      <c r="BC35" s="95"/>
      <c r="BD35" s="151"/>
      <c r="BE35" s="95"/>
      <c r="BF35" s="95"/>
      <c r="BG35" s="151"/>
    </row>
    <row r="36" spans="1:80">
      <c r="A36" s="2" t="s">
        <v>570</v>
      </c>
      <c r="B36" s="2"/>
      <c r="C36" s="510" t="s">
        <v>660</v>
      </c>
      <c r="D36" s="511"/>
      <c r="E36" s="511"/>
      <c r="F36" s="511"/>
      <c r="G36" s="511"/>
      <c r="H36" s="503"/>
      <c r="I36" s="503"/>
      <c r="J36" s="503"/>
      <c r="K36" s="503"/>
      <c r="L36" s="503"/>
      <c r="BA36" s="275"/>
      <c r="BB36" s="293"/>
      <c r="BC36" s="293"/>
      <c r="BD36" s="275"/>
      <c r="BE36" s="275"/>
      <c r="BF36" s="150"/>
      <c r="BG36" s="293"/>
      <c r="BH36" s="293"/>
      <c r="BI36" s="275"/>
      <c r="BJ36" s="271"/>
      <c r="BK36" s="2"/>
    </row>
    <row r="37" spans="1:80">
      <c r="A37" s="54" t="s">
        <v>556</v>
      </c>
      <c r="B37" s="54" t="s">
        <v>557</v>
      </c>
      <c r="C37" s="304">
        <v>6</v>
      </c>
      <c r="D37" s="304">
        <v>5</v>
      </c>
      <c r="E37" s="304">
        <v>4</v>
      </c>
      <c r="F37" s="304">
        <v>3</v>
      </c>
      <c r="G37" s="304">
        <v>6</v>
      </c>
      <c r="H37" s="304">
        <v>5</v>
      </c>
      <c r="I37" s="304">
        <v>4</v>
      </c>
      <c r="J37" s="304">
        <v>3</v>
      </c>
      <c r="K37" s="304">
        <v>6</v>
      </c>
      <c r="L37" s="304">
        <v>5</v>
      </c>
      <c r="M37" s="247">
        <v>4</v>
      </c>
      <c r="N37" s="247">
        <v>3</v>
      </c>
      <c r="O37" s="247">
        <v>6</v>
      </c>
      <c r="P37" s="247">
        <v>5</v>
      </c>
      <c r="Q37" s="247">
        <v>4</v>
      </c>
      <c r="R37" s="247">
        <v>3</v>
      </c>
      <c r="S37" s="247">
        <v>6</v>
      </c>
      <c r="T37" s="247">
        <v>5</v>
      </c>
      <c r="U37" s="247">
        <v>4</v>
      </c>
      <c r="V37" s="247">
        <v>3</v>
      </c>
      <c r="W37" s="247">
        <v>6</v>
      </c>
      <c r="X37" s="247">
        <v>5</v>
      </c>
      <c r="Y37" s="247">
        <v>4</v>
      </c>
      <c r="Z37" s="247">
        <v>3</v>
      </c>
      <c r="AA37" s="247">
        <v>6</v>
      </c>
      <c r="AB37" s="247">
        <v>5</v>
      </c>
      <c r="AC37" s="247">
        <v>4</v>
      </c>
      <c r="AD37" s="247">
        <v>3</v>
      </c>
      <c r="AE37" s="247">
        <v>5</v>
      </c>
      <c r="AF37" s="247">
        <v>5</v>
      </c>
      <c r="AG37" s="247">
        <v>4</v>
      </c>
      <c r="AH37" s="247">
        <v>3</v>
      </c>
      <c r="AI37" s="247">
        <v>5</v>
      </c>
      <c r="AJ37" s="247">
        <v>5</v>
      </c>
      <c r="AK37" s="247">
        <v>5</v>
      </c>
      <c r="AL37" s="247">
        <v>5</v>
      </c>
      <c r="AM37" s="247">
        <v>5</v>
      </c>
      <c r="AN37" s="247">
        <v>5</v>
      </c>
      <c r="AO37" s="247">
        <v>5</v>
      </c>
      <c r="AP37" s="247">
        <v>5</v>
      </c>
      <c r="AQ37" s="247">
        <v>5</v>
      </c>
      <c r="AR37" s="247">
        <v>5</v>
      </c>
      <c r="AS37" s="247">
        <v>5</v>
      </c>
      <c r="AT37" s="247">
        <v>5</v>
      </c>
      <c r="AU37" s="247">
        <v>5</v>
      </c>
      <c r="AV37" s="253"/>
      <c r="AW37" s="253"/>
      <c r="AX37" s="253"/>
      <c r="BA37" s="335"/>
      <c r="BB37" s="211"/>
      <c r="BC37" s="344"/>
      <c r="BD37" s="98"/>
      <c r="BE37" s="293"/>
      <c r="BF37" s="293"/>
      <c r="BG37" s="293"/>
      <c r="BH37" s="293"/>
      <c r="BI37" s="275"/>
      <c r="BJ37" s="275"/>
      <c r="BK37" s="275"/>
      <c r="BL37" s="275"/>
      <c r="BM37" s="178"/>
      <c r="BN37" s="150"/>
      <c r="BO37" s="150"/>
      <c r="BP37" s="178"/>
      <c r="BQ37" s="150"/>
      <c r="BR37" s="178"/>
    </row>
    <row r="38" spans="1:80">
      <c r="A38" s="504" t="s">
        <v>558</v>
      </c>
      <c r="B38" s="306">
        <v>1</v>
      </c>
      <c r="C38" s="333">
        <v>1</v>
      </c>
      <c r="D38" s="333">
        <v>2</v>
      </c>
      <c r="E38" s="333">
        <v>3</v>
      </c>
      <c r="F38" s="333">
        <v>4</v>
      </c>
      <c r="G38" s="333">
        <v>5</v>
      </c>
      <c r="H38" s="333">
        <v>6</v>
      </c>
      <c r="I38" s="333">
        <v>7</v>
      </c>
      <c r="J38" s="333">
        <v>8</v>
      </c>
      <c r="K38" s="333">
        <v>9</v>
      </c>
      <c r="L38" s="197">
        <v>10</v>
      </c>
      <c r="M38" s="197">
        <v>11</v>
      </c>
      <c r="N38" s="197">
        <v>12</v>
      </c>
      <c r="O38" s="197">
        <v>13</v>
      </c>
      <c r="P38" s="197">
        <v>14</v>
      </c>
      <c r="Q38" s="197">
        <v>15</v>
      </c>
      <c r="R38" s="197">
        <v>16</v>
      </c>
      <c r="S38" s="197">
        <v>17</v>
      </c>
      <c r="T38" s="197">
        <v>18</v>
      </c>
      <c r="U38" s="197">
        <v>19</v>
      </c>
      <c r="V38" s="197">
        <v>20</v>
      </c>
      <c r="W38" s="197">
        <v>21</v>
      </c>
      <c r="X38" s="197">
        <v>22</v>
      </c>
      <c r="Y38" s="197">
        <v>23</v>
      </c>
      <c r="Z38" s="197">
        <v>24</v>
      </c>
      <c r="AA38" s="197">
        <v>25</v>
      </c>
      <c r="AB38" s="197">
        <v>26</v>
      </c>
      <c r="AC38" s="197">
        <v>27</v>
      </c>
      <c r="AD38" s="197">
        <v>28</v>
      </c>
      <c r="AE38" s="197">
        <v>29</v>
      </c>
      <c r="AF38" s="197">
        <v>30</v>
      </c>
      <c r="AG38" s="197">
        <v>31</v>
      </c>
      <c r="AH38" s="197">
        <v>32</v>
      </c>
      <c r="AI38" s="197">
        <v>33</v>
      </c>
      <c r="AJ38" s="197">
        <v>34</v>
      </c>
      <c r="AK38" s="197">
        <v>35</v>
      </c>
      <c r="AL38" s="197">
        <v>36</v>
      </c>
      <c r="AM38" s="197">
        <v>37</v>
      </c>
      <c r="AN38" s="197">
        <v>38</v>
      </c>
      <c r="AO38" s="197">
        <v>39</v>
      </c>
      <c r="AP38" s="197">
        <v>40</v>
      </c>
      <c r="AQ38" s="197">
        <v>41</v>
      </c>
      <c r="AR38" s="197">
        <v>42</v>
      </c>
      <c r="AS38" s="197">
        <v>43</v>
      </c>
      <c r="AT38" s="197">
        <v>44</v>
      </c>
      <c r="AU38" s="197">
        <v>45</v>
      </c>
      <c r="AV38" s="305"/>
      <c r="AW38" s="305"/>
      <c r="AX38" s="256"/>
      <c r="BA38" s="340"/>
      <c r="BB38" s="340"/>
      <c r="BC38" s="344"/>
      <c r="BD38" s="353"/>
      <c r="BE38" s="293"/>
      <c r="BF38" s="210"/>
      <c r="BG38" s="293"/>
      <c r="BH38" s="293"/>
      <c r="BI38" s="316"/>
      <c r="BJ38" s="316"/>
      <c r="BK38" s="316"/>
      <c r="BL38" s="316"/>
      <c r="BM38" s="178"/>
      <c r="BN38" s="150"/>
      <c r="BO38" s="150"/>
      <c r="BP38" s="178"/>
      <c r="BQ38" s="150"/>
      <c r="BR38" s="178"/>
      <c r="BS38" s="2"/>
      <c r="BT38" s="2"/>
      <c r="BU38" s="2"/>
      <c r="BV38" s="2"/>
      <c r="BW38" s="2"/>
      <c r="BX38" s="2"/>
      <c r="BY38" s="2"/>
      <c r="BZ38" s="2"/>
      <c r="CA38" s="2"/>
      <c r="CB38" s="2"/>
    </row>
    <row r="39" spans="1:80">
      <c r="A39" s="504"/>
      <c r="B39" s="317">
        <v>2</v>
      </c>
      <c r="C39" s="333">
        <v>1</v>
      </c>
      <c r="D39" s="333">
        <v>2</v>
      </c>
      <c r="E39" s="333">
        <v>3</v>
      </c>
      <c r="F39" s="333">
        <v>4</v>
      </c>
      <c r="G39" s="333">
        <v>5</v>
      </c>
      <c r="H39" s="333">
        <v>6</v>
      </c>
      <c r="I39" s="333">
        <v>7</v>
      </c>
      <c r="J39" s="333">
        <v>8</v>
      </c>
      <c r="K39" s="333">
        <v>9</v>
      </c>
      <c r="L39" s="197">
        <v>10</v>
      </c>
      <c r="M39" s="197">
        <v>11</v>
      </c>
      <c r="N39" s="197">
        <v>12</v>
      </c>
      <c r="O39" s="197">
        <v>13</v>
      </c>
      <c r="P39" s="197">
        <v>14</v>
      </c>
      <c r="Q39" s="197">
        <v>15</v>
      </c>
      <c r="R39" s="197">
        <v>16</v>
      </c>
      <c r="S39" s="197">
        <v>17</v>
      </c>
      <c r="T39" s="197">
        <v>18</v>
      </c>
      <c r="U39" s="197">
        <v>19</v>
      </c>
      <c r="V39" s="197">
        <v>20</v>
      </c>
      <c r="W39" s="197">
        <v>21</v>
      </c>
      <c r="X39" s="197">
        <v>22</v>
      </c>
      <c r="Y39" s="197">
        <v>23</v>
      </c>
      <c r="Z39" s="197">
        <v>24</v>
      </c>
      <c r="AA39" s="197">
        <v>25</v>
      </c>
      <c r="AB39" s="197">
        <v>26</v>
      </c>
      <c r="AC39" s="197">
        <v>27</v>
      </c>
      <c r="AD39" s="197">
        <v>28</v>
      </c>
      <c r="AE39" s="197">
        <v>29</v>
      </c>
      <c r="AF39" s="197">
        <v>30</v>
      </c>
      <c r="AG39" s="197">
        <v>31</v>
      </c>
      <c r="AH39" s="197">
        <v>32</v>
      </c>
      <c r="AI39" s="197">
        <v>33</v>
      </c>
      <c r="AJ39" s="197">
        <v>34</v>
      </c>
      <c r="AK39" s="197">
        <v>35</v>
      </c>
      <c r="AL39" s="197">
        <v>36</v>
      </c>
      <c r="AM39" s="197">
        <v>37</v>
      </c>
      <c r="AN39" s="197">
        <v>38</v>
      </c>
      <c r="AO39" s="197">
        <v>39</v>
      </c>
      <c r="AP39" s="197">
        <v>40</v>
      </c>
      <c r="AQ39" s="197">
        <v>41</v>
      </c>
      <c r="AR39" s="197">
        <v>42</v>
      </c>
      <c r="AS39" s="197">
        <v>43</v>
      </c>
      <c r="AT39" s="197">
        <v>44</v>
      </c>
      <c r="AU39" s="197">
        <v>45</v>
      </c>
      <c r="AV39" s="178"/>
      <c r="AW39" s="178"/>
      <c r="AX39" s="81"/>
      <c r="BA39" s="299"/>
      <c r="BB39" s="343"/>
      <c r="BC39" s="344"/>
      <c r="BD39" s="343"/>
      <c r="BE39" s="293"/>
      <c r="BF39" s="326"/>
      <c r="BG39" s="211"/>
      <c r="BH39" s="326"/>
      <c r="BI39" s="326"/>
      <c r="BJ39" s="326"/>
      <c r="BK39" s="327"/>
      <c r="BL39" s="327"/>
      <c r="BM39" s="327"/>
      <c r="BN39" s="327"/>
      <c r="BO39" s="327"/>
      <c r="BP39" s="327"/>
      <c r="BQ39" s="327"/>
      <c r="BR39" s="327"/>
      <c r="BS39" s="327"/>
      <c r="BT39" s="327"/>
      <c r="BU39" s="327"/>
      <c r="BV39" s="327"/>
      <c r="BW39" s="327"/>
      <c r="BX39" s="2"/>
      <c r="BY39" s="2"/>
      <c r="BZ39" s="2"/>
      <c r="CA39" s="2"/>
      <c r="CB39" s="2"/>
    </row>
    <row r="40" spans="1:80">
      <c r="A40" s="504"/>
      <c r="B40" s="317">
        <v>3</v>
      </c>
      <c r="C40" s="333">
        <v>1</v>
      </c>
      <c r="D40" s="333">
        <v>2</v>
      </c>
      <c r="E40" s="333">
        <v>3</v>
      </c>
      <c r="F40" s="333">
        <v>4</v>
      </c>
      <c r="G40" s="333">
        <v>5</v>
      </c>
      <c r="H40" s="333">
        <v>6</v>
      </c>
      <c r="I40" s="333">
        <v>7</v>
      </c>
      <c r="J40" s="333">
        <v>8</v>
      </c>
      <c r="K40" s="333">
        <v>9</v>
      </c>
      <c r="L40" s="197">
        <v>10</v>
      </c>
      <c r="M40" s="197">
        <v>11</v>
      </c>
      <c r="N40" s="197">
        <v>12</v>
      </c>
      <c r="O40" s="197">
        <v>13</v>
      </c>
      <c r="P40" s="197">
        <v>14</v>
      </c>
      <c r="Q40" s="197">
        <v>15</v>
      </c>
      <c r="R40" s="197">
        <v>16</v>
      </c>
      <c r="S40" s="197">
        <v>17</v>
      </c>
      <c r="T40" s="197">
        <v>18</v>
      </c>
      <c r="U40" s="197">
        <v>19</v>
      </c>
      <c r="V40" s="197">
        <v>20</v>
      </c>
      <c r="W40" s="197">
        <v>21</v>
      </c>
      <c r="X40" s="197">
        <v>22</v>
      </c>
      <c r="Y40" s="197">
        <v>23</v>
      </c>
      <c r="Z40" s="197">
        <v>24</v>
      </c>
      <c r="AA40" s="197">
        <v>25</v>
      </c>
      <c r="AB40" s="197">
        <v>26</v>
      </c>
      <c r="AC40" s="197">
        <v>27</v>
      </c>
      <c r="AD40" s="197">
        <v>28</v>
      </c>
      <c r="AE40" s="197">
        <v>29</v>
      </c>
      <c r="AF40" s="197">
        <v>30</v>
      </c>
      <c r="AG40" s="197">
        <v>31</v>
      </c>
      <c r="AH40" s="197">
        <v>32</v>
      </c>
      <c r="AI40" s="197">
        <v>33</v>
      </c>
      <c r="AJ40" s="197">
        <v>34</v>
      </c>
      <c r="AK40" s="197">
        <v>35</v>
      </c>
      <c r="AL40" s="197">
        <v>36</v>
      </c>
      <c r="AM40" s="197">
        <v>37</v>
      </c>
      <c r="AN40" s="197">
        <v>38</v>
      </c>
      <c r="AO40" s="197">
        <v>39</v>
      </c>
      <c r="AP40" s="197">
        <v>40</v>
      </c>
      <c r="AQ40" s="197">
        <v>41</v>
      </c>
      <c r="AR40" s="197">
        <v>42</v>
      </c>
      <c r="AS40" s="197">
        <v>43</v>
      </c>
      <c r="AT40" s="197">
        <v>44</v>
      </c>
      <c r="AU40" s="197">
        <v>45</v>
      </c>
      <c r="AV40" s="178"/>
      <c r="AW40" s="178"/>
      <c r="AX40" s="81"/>
      <c r="BA40" s="299"/>
      <c r="BB40" s="343"/>
      <c r="BC40" s="344"/>
      <c r="BD40" s="343"/>
      <c r="BE40" s="293"/>
      <c r="BF40" s="150"/>
      <c r="BG40" s="211"/>
      <c r="BH40" s="293"/>
      <c r="BI40" s="300"/>
      <c r="BJ40" s="300"/>
      <c r="BK40" s="300"/>
      <c r="BL40" s="137"/>
      <c r="BM40" s="137"/>
      <c r="BN40" s="150"/>
      <c r="BO40" s="150"/>
      <c r="BP40" s="178"/>
      <c r="BQ40" s="150"/>
      <c r="BR40" s="178"/>
      <c r="BS40" s="178"/>
      <c r="BT40" s="178"/>
      <c r="BU40" s="178"/>
      <c r="BV40" s="178"/>
      <c r="BW40" s="178"/>
    </row>
    <row r="41" spans="1:80">
      <c r="A41" s="504"/>
      <c r="B41" s="317">
        <v>4</v>
      </c>
      <c r="C41" s="333">
        <v>1</v>
      </c>
      <c r="D41" s="333">
        <v>2</v>
      </c>
      <c r="E41" s="333">
        <v>3</v>
      </c>
      <c r="F41" s="333">
        <v>4</v>
      </c>
      <c r="G41" s="333">
        <v>5</v>
      </c>
      <c r="H41" s="333">
        <v>6</v>
      </c>
      <c r="I41" s="333">
        <v>7</v>
      </c>
      <c r="J41" s="333">
        <v>8</v>
      </c>
      <c r="K41" s="333">
        <v>9</v>
      </c>
      <c r="L41" s="197">
        <v>10</v>
      </c>
      <c r="M41" s="197">
        <v>11</v>
      </c>
      <c r="N41" s="197">
        <v>12</v>
      </c>
      <c r="O41" s="197">
        <v>13</v>
      </c>
      <c r="P41" s="197">
        <v>14</v>
      </c>
      <c r="Q41" s="197">
        <v>15</v>
      </c>
      <c r="R41" s="197">
        <v>16</v>
      </c>
      <c r="S41" s="197">
        <v>17</v>
      </c>
      <c r="T41" s="197">
        <v>18</v>
      </c>
      <c r="U41" s="197">
        <v>19</v>
      </c>
      <c r="V41" s="197">
        <v>20</v>
      </c>
      <c r="W41" s="197">
        <v>21</v>
      </c>
      <c r="X41" s="197">
        <v>22</v>
      </c>
      <c r="Y41" s="197">
        <v>23</v>
      </c>
      <c r="Z41" s="197">
        <v>24</v>
      </c>
      <c r="AA41" s="197">
        <v>25</v>
      </c>
      <c r="AB41" s="197">
        <v>26</v>
      </c>
      <c r="AC41" s="197">
        <v>27</v>
      </c>
      <c r="AD41" s="197">
        <v>28</v>
      </c>
      <c r="AE41" s="197">
        <v>29</v>
      </c>
      <c r="AF41" s="197">
        <v>30</v>
      </c>
      <c r="AG41" s="197">
        <v>31</v>
      </c>
      <c r="AH41" s="197">
        <v>32</v>
      </c>
      <c r="AI41" s="197">
        <v>33</v>
      </c>
      <c r="AJ41" s="197">
        <v>34</v>
      </c>
      <c r="AK41" s="197">
        <v>35</v>
      </c>
      <c r="AL41" s="197">
        <v>36</v>
      </c>
      <c r="AM41" s="197">
        <v>37</v>
      </c>
      <c r="AN41" s="197">
        <v>38</v>
      </c>
      <c r="AO41" s="197">
        <v>39</v>
      </c>
      <c r="AP41" s="197">
        <v>40</v>
      </c>
      <c r="AQ41" s="197">
        <v>41</v>
      </c>
      <c r="AR41" s="197">
        <v>42</v>
      </c>
      <c r="AS41" s="197">
        <v>43</v>
      </c>
      <c r="AT41" s="197">
        <v>44</v>
      </c>
      <c r="AU41" s="197">
        <v>45</v>
      </c>
      <c r="AV41" s="178"/>
      <c r="AW41" s="178"/>
      <c r="AX41" s="81"/>
      <c r="BA41" s="299"/>
      <c r="BB41" s="343"/>
      <c r="BC41" s="344"/>
      <c r="BD41" s="343"/>
      <c r="BE41" s="293"/>
      <c r="BF41" s="137"/>
      <c r="BG41" s="211"/>
      <c r="BH41" s="293"/>
      <c r="BI41" s="300"/>
      <c r="BJ41" s="300"/>
      <c r="BK41" s="300"/>
      <c r="BL41" s="137"/>
      <c r="BM41" s="137"/>
      <c r="BN41" s="150"/>
      <c r="BO41" s="150"/>
      <c r="BP41" s="178"/>
      <c r="BQ41" s="150"/>
      <c r="BR41" s="178"/>
      <c r="BS41" s="178"/>
      <c r="BT41" s="178"/>
      <c r="BU41" s="178"/>
      <c r="BV41" s="178"/>
      <c r="BW41" s="178"/>
    </row>
    <row r="42" spans="1:80">
      <c r="A42" s="504"/>
      <c r="B42" s="317">
        <v>5</v>
      </c>
      <c r="C42" s="333">
        <v>1</v>
      </c>
      <c r="D42" s="333">
        <v>2</v>
      </c>
      <c r="E42" s="333">
        <v>3</v>
      </c>
      <c r="F42" s="333">
        <v>4</v>
      </c>
      <c r="G42" s="333">
        <v>5</v>
      </c>
      <c r="H42" s="333">
        <v>6</v>
      </c>
      <c r="I42" s="333">
        <v>7</v>
      </c>
      <c r="J42" s="333">
        <v>8</v>
      </c>
      <c r="K42" s="333">
        <v>9</v>
      </c>
      <c r="L42" s="197">
        <v>10</v>
      </c>
      <c r="M42" s="197">
        <v>11</v>
      </c>
      <c r="N42" s="197">
        <v>12</v>
      </c>
      <c r="O42" s="197">
        <v>13</v>
      </c>
      <c r="P42" s="197">
        <v>14</v>
      </c>
      <c r="Q42" s="197">
        <v>15</v>
      </c>
      <c r="R42" s="197">
        <v>16</v>
      </c>
      <c r="S42" s="197">
        <v>17</v>
      </c>
      <c r="T42" s="197">
        <v>18</v>
      </c>
      <c r="U42" s="197">
        <v>19</v>
      </c>
      <c r="V42" s="197">
        <v>20</v>
      </c>
      <c r="W42" s="197">
        <v>21</v>
      </c>
      <c r="X42" s="197">
        <v>22</v>
      </c>
      <c r="Y42" s="197">
        <v>23</v>
      </c>
      <c r="Z42" s="197">
        <v>24</v>
      </c>
      <c r="AA42" s="197">
        <v>25</v>
      </c>
      <c r="AB42" s="197">
        <v>26</v>
      </c>
      <c r="AC42" s="197">
        <v>27</v>
      </c>
      <c r="AD42" s="197">
        <v>28</v>
      </c>
      <c r="AE42" s="197">
        <v>29</v>
      </c>
      <c r="AF42" s="197">
        <v>30</v>
      </c>
      <c r="AG42" s="197">
        <v>31</v>
      </c>
      <c r="AH42" s="197">
        <v>32</v>
      </c>
      <c r="AI42" s="197">
        <v>33</v>
      </c>
      <c r="AJ42" s="197">
        <v>34</v>
      </c>
      <c r="AK42" s="197">
        <v>35</v>
      </c>
      <c r="AL42" s="197">
        <v>36</v>
      </c>
      <c r="AM42" s="197">
        <v>37</v>
      </c>
      <c r="AN42" s="197">
        <v>38</v>
      </c>
      <c r="AO42" s="197">
        <v>39</v>
      </c>
      <c r="AP42" s="197">
        <v>40</v>
      </c>
      <c r="AQ42" s="197">
        <v>41</v>
      </c>
      <c r="AR42" s="197">
        <v>42</v>
      </c>
      <c r="AS42" s="197">
        <v>43</v>
      </c>
      <c r="AT42" s="197">
        <v>44</v>
      </c>
      <c r="AU42" s="197">
        <v>45</v>
      </c>
      <c r="AV42" s="178"/>
      <c r="AW42" s="178"/>
      <c r="AX42" s="81"/>
      <c r="BA42" s="299"/>
      <c r="BB42" s="343"/>
      <c r="BC42" s="344"/>
      <c r="BD42" s="343"/>
      <c r="BE42" s="293"/>
      <c r="BF42" s="137"/>
      <c r="BG42" s="211"/>
      <c r="BH42" s="330"/>
      <c r="BI42" s="300"/>
      <c r="BJ42" s="300"/>
      <c r="BK42" s="300"/>
      <c r="BL42" s="137"/>
      <c r="BM42" s="207"/>
      <c r="BN42" s="150"/>
      <c r="BO42" s="150"/>
      <c r="BP42" s="178"/>
      <c r="BQ42" s="150"/>
      <c r="BR42" s="178"/>
      <c r="BS42" s="178"/>
      <c r="BT42" s="178"/>
      <c r="BU42" s="178"/>
      <c r="BV42" s="178"/>
      <c r="BW42" s="178"/>
    </row>
    <row r="43" spans="1:80">
      <c r="A43" s="504"/>
      <c r="B43" s="317">
        <v>6</v>
      </c>
      <c r="C43" s="333">
        <v>1</v>
      </c>
      <c r="D43" s="333">
        <v>2</v>
      </c>
      <c r="E43" s="333">
        <v>3</v>
      </c>
      <c r="F43" s="333">
        <v>4</v>
      </c>
      <c r="G43" s="333">
        <v>5</v>
      </c>
      <c r="H43" s="333">
        <v>6</v>
      </c>
      <c r="I43" s="333">
        <v>7</v>
      </c>
      <c r="J43" s="333">
        <v>8</v>
      </c>
      <c r="K43" s="333">
        <v>9</v>
      </c>
      <c r="L43" s="197">
        <v>10</v>
      </c>
      <c r="M43" s="197">
        <v>11</v>
      </c>
      <c r="N43" s="197">
        <v>12</v>
      </c>
      <c r="O43" s="197">
        <v>13</v>
      </c>
      <c r="P43" s="197">
        <v>14</v>
      </c>
      <c r="Q43" s="197">
        <v>15</v>
      </c>
      <c r="R43" s="197">
        <v>16</v>
      </c>
      <c r="S43" s="197">
        <v>17</v>
      </c>
      <c r="T43" s="197">
        <v>18</v>
      </c>
      <c r="U43" s="197">
        <v>19</v>
      </c>
      <c r="V43" s="197">
        <v>20</v>
      </c>
      <c r="W43" s="197">
        <v>21</v>
      </c>
      <c r="X43" s="197">
        <v>22</v>
      </c>
      <c r="Y43" s="197">
        <v>23</v>
      </c>
      <c r="Z43" s="197">
        <v>24</v>
      </c>
      <c r="AA43" s="197">
        <v>25</v>
      </c>
      <c r="AB43" s="197">
        <v>26</v>
      </c>
      <c r="AC43" s="197">
        <v>27</v>
      </c>
      <c r="AD43" s="197">
        <v>28</v>
      </c>
      <c r="AE43" s="197">
        <v>29</v>
      </c>
      <c r="AF43" s="197">
        <v>30</v>
      </c>
      <c r="AG43" s="197">
        <v>31</v>
      </c>
      <c r="AH43" s="197">
        <v>32</v>
      </c>
      <c r="AI43" s="197">
        <v>33</v>
      </c>
      <c r="AJ43" s="197">
        <v>34</v>
      </c>
      <c r="AK43" s="197">
        <v>35</v>
      </c>
      <c r="AL43" s="197">
        <v>36</v>
      </c>
      <c r="AM43" s="197">
        <v>37</v>
      </c>
      <c r="AN43" s="197">
        <v>38</v>
      </c>
      <c r="AO43" s="197">
        <v>39</v>
      </c>
      <c r="AP43" s="197">
        <v>40</v>
      </c>
      <c r="AQ43" s="197">
        <v>41</v>
      </c>
      <c r="AR43" s="197">
        <v>42</v>
      </c>
      <c r="AS43" s="197">
        <v>43</v>
      </c>
      <c r="AT43" s="197">
        <v>44</v>
      </c>
      <c r="AU43" s="197">
        <v>45</v>
      </c>
      <c r="AV43" s="178"/>
      <c r="AW43" s="178"/>
      <c r="AX43" s="81"/>
      <c r="BA43" s="299"/>
      <c r="BB43" s="343"/>
      <c r="BC43" s="344"/>
      <c r="BD43" s="343"/>
      <c r="BE43" s="293"/>
      <c r="BF43" s="137"/>
      <c r="BG43" s="211"/>
      <c r="BH43" s="330"/>
      <c r="BI43" s="300"/>
      <c r="BJ43" s="300"/>
      <c r="BK43" s="300"/>
      <c r="BL43" s="137"/>
      <c r="BM43" s="207"/>
      <c r="BN43" s="150"/>
      <c r="BO43" s="150"/>
      <c r="BP43" s="178"/>
      <c r="BQ43" s="150"/>
      <c r="BR43" s="178"/>
      <c r="BS43" s="178"/>
      <c r="BT43" s="178"/>
      <c r="BU43" s="178"/>
      <c r="BV43" s="178"/>
      <c r="BW43" s="178"/>
    </row>
    <row r="44" spans="1:80">
      <c r="A44" s="517" t="s">
        <v>559</v>
      </c>
      <c r="B44" s="62" t="s">
        <v>560</v>
      </c>
      <c r="C44" s="55">
        <f t="shared" ref="C44:L49" ca="1" si="55">RAND()</f>
        <v>0.17443298930798767</v>
      </c>
      <c r="D44" s="55">
        <f t="shared" ca="1" si="55"/>
        <v>0.25240657848271331</v>
      </c>
      <c r="E44" s="55">
        <f t="shared" ca="1" si="55"/>
        <v>0.92674548412350688</v>
      </c>
      <c r="F44" s="55">
        <f t="shared" ca="1" si="55"/>
        <v>0.12965034601225278</v>
      </c>
      <c r="G44" s="55">
        <f t="shared" ca="1" si="55"/>
        <v>0.99406487721311931</v>
      </c>
      <c r="H44" s="55">
        <f t="shared" ca="1" si="55"/>
        <v>0.58484378873624199</v>
      </c>
      <c r="I44" s="55">
        <f t="shared" ca="1" si="55"/>
        <v>0.25027716936532451</v>
      </c>
      <c r="J44" s="55">
        <f t="shared" ca="1" si="55"/>
        <v>0.56524229433864526</v>
      </c>
      <c r="K44" s="55">
        <f t="shared" ca="1" si="55"/>
        <v>0.22068842120823262</v>
      </c>
      <c r="L44" s="55">
        <f t="shared" ca="1" si="55"/>
        <v>0.3799385057065956</v>
      </c>
      <c r="M44" s="55">
        <f t="shared" ref="M44:V49" ca="1" si="56">RAND()</f>
        <v>0.9966662758651782</v>
      </c>
      <c r="N44" s="55">
        <f t="shared" ca="1" si="56"/>
        <v>0.83531515049645211</v>
      </c>
      <c r="O44" s="55">
        <f t="shared" ca="1" si="56"/>
        <v>0.55808825520139871</v>
      </c>
      <c r="P44" s="55">
        <f t="shared" ca="1" si="56"/>
        <v>0.28193467597952371</v>
      </c>
      <c r="Q44" s="55">
        <f ca="1">RAND()</f>
        <v>0.71221229388138685</v>
      </c>
      <c r="R44" s="55">
        <f t="shared" ca="1" si="56"/>
        <v>0.19754850347144992</v>
      </c>
      <c r="S44" s="55">
        <f t="shared" ca="1" si="56"/>
        <v>0.97351557202488237</v>
      </c>
      <c r="T44" s="55">
        <f t="shared" ca="1" si="56"/>
        <v>6.2706256700648777E-2</v>
      </c>
      <c r="U44" s="55">
        <f t="shared" ca="1" si="56"/>
        <v>0.41672355217198809</v>
      </c>
      <c r="V44" s="55">
        <f t="shared" ca="1" si="56"/>
        <v>0.61585624441003273</v>
      </c>
      <c r="W44" s="55">
        <f t="shared" ref="W44:AF49" ca="1" si="57">RAND()</f>
        <v>0.70492199486050788</v>
      </c>
      <c r="X44" s="55">
        <f t="shared" ca="1" si="57"/>
        <v>0.92873640840455596</v>
      </c>
      <c r="Y44" s="55">
        <f t="shared" ca="1" si="57"/>
        <v>0.23034272591018867</v>
      </c>
      <c r="Z44" s="55">
        <f t="shared" ca="1" si="57"/>
        <v>0.16040717631887624</v>
      </c>
      <c r="AA44" s="55">
        <f t="shared" ca="1" si="57"/>
        <v>0.832001513370904</v>
      </c>
      <c r="AB44" s="55">
        <f t="shared" ca="1" si="57"/>
        <v>0.35541361499220936</v>
      </c>
      <c r="AC44" s="55">
        <f t="shared" ca="1" si="57"/>
        <v>0.55147716201260821</v>
      </c>
      <c r="AD44" s="55">
        <f t="shared" ca="1" si="57"/>
        <v>0.26570176597094275</v>
      </c>
      <c r="AE44" s="55">
        <f t="shared" ca="1" si="57"/>
        <v>0.54536133096217942</v>
      </c>
      <c r="AF44" s="55">
        <f t="shared" ca="1" si="57"/>
        <v>0.1847178736467151</v>
      </c>
      <c r="AG44" s="55">
        <f t="shared" ref="AG44:AU49" ca="1" si="58">RAND()</f>
        <v>0.16435429109779454</v>
      </c>
      <c r="AH44" s="55">
        <f t="shared" ca="1" si="58"/>
        <v>0.68990841564158556</v>
      </c>
      <c r="AI44" s="55">
        <f t="shared" ca="1" si="58"/>
        <v>0.28598316834291582</v>
      </c>
      <c r="AJ44" s="55">
        <f t="shared" ca="1" si="58"/>
        <v>2.4846080669851944E-2</v>
      </c>
      <c r="AK44" s="55">
        <f t="shared" ca="1" si="58"/>
        <v>0.60515458988473292</v>
      </c>
      <c r="AL44" s="55">
        <f t="shared" ca="1" si="58"/>
        <v>0.61757727397050277</v>
      </c>
      <c r="AM44" s="55">
        <f t="shared" ca="1" si="58"/>
        <v>0.6101313779249562</v>
      </c>
      <c r="AN44" s="55">
        <f t="shared" ca="1" si="58"/>
        <v>0.14036112989613292</v>
      </c>
      <c r="AO44" s="55">
        <f t="shared" ca="1" si="58"/>
        <v>6.7387138174739625E-2</v>
      </c>
      <c r="AP44" s="55">
        <f t="shared" ca="1" si="58"/>
        <v>0.30362836468549115</v>
      </c>
      <c r="AQ44" s="55">
        <f t="shared" ca="1" si="58"/>
        <v>0.89444404400744448</v>
      </c>
      <c r="AR44" s="55">
        <f t="shared" ca="1" si="58"/>
        <v>0.4121522594674385</v>
      </c>
      <c r="AS44" s="55">
        <f t="shared" ca="1" si="58"/>
        <v>0.25095825641878033</v>
      </c>
      <c r="AT44" s="55">
        <f t="shared" ca="1" si="58"/>
        <v>0.89755619377940499</v>
      </c>
      <c r="AU44" s="55">
        <f t="shared" ca="1" si="58"/>
        <v>0.43110952627265098</v>
      </c>
      <c r="AV44" s="254"/>
      <c r="AW44" s="254"/>
      <c r="AX44" s="254"/>
      <c r="BA44" s="299"/>
      <c r="BB44" s="343"/>
      <c r="BC44" s="344"/>
      <c r="BD44" s="343"/>
      <c r="BE44" s="293"/>
      <c r="BF44" s="137"/>
      <c r="BG44" s="211"/>
      <c r="BH44" s="330"/>
      <c r="BI44" s="300"/>
      <c r="BJ44" s="302"/>
      <c r="BK44" s="300"/>
      <c r="BL44" s="137"/>
      <c r="BM44" s="207"/>
      <c r="BN44" s="150"/>
      <c r="BO44" s="150"/>
      <c r="BP44" s="178"/>
      <c r="BQ44" s="150"/>
      <c r="BR44" s="178"/>
      <c r="BS44" s="178"/>
      <c r="BT44" s="178"/>
      <c r="BU44" s="178"/>
      <c r="BV44" s="178"/>
      <c r="BW44" s="178"/>
    </row>
    <row r="45" spans="1:80">
      <c r="A45" s="517"/>
      <c r="B45" s="62" t="s">
        <v>536</v>
      </c>
      <c r="C45" s="55">
        <f t="shared" ca="1" si="55"/>
        <v>8.5109149984397114E-2</v>
      </c>
      <c r="D45" s="55">
        <f t="shared" ca="1" si="55"/>
        <v>0.94321821434151076</v>
      </c>
      <c r="E45" s="55">
        <f t="shared" ca="1" si="55"/>
        <v>0.46253867474816746</v>
      </c>
      <c r="F45" s="55">
        <f t="shared" ca="1" si="55"/>
        <v>0.29100024249510181</v>
      </c>
      <c r="G45" s="55">
        <f t="shared" ca="1" si="55"/>
        <v>0.21385447535169899</v>
      </c>
      <c r="H45" s="55">
        <f t="shared" ca="1" si="55"/>
        <v>0.36795767470807694</v>
      </c>
      <c r="I45" s="55">
        <f t="shared" ca="1" si="55"/>
        <v>0.89722386078632677</v>
      </c>
      <c r="J45" s="55">
        <f t="shared" ca="1" si="55"/>
        <v>0.10145111670133211</v>
      </c>
      <c r="K45" s="55">
        <f t="shared" ca="1" si="55"/>
        <v>0.57696072529513132</v>
      </c>
      <c r="L45" s="55">
        <f t="shared" ca="1" si="55"/>
        <v>0.46148856438687236</v>
      </c>
      <c r="M45" s="55">
        <f t="shared" ca="1" si="56"/>
        <v>0.40236802683269379</v>
      </c>
      <c r="N45" s="55">
        <f t="shared" ca="1" si="56"/>
        <v>0.96232085571461934</v>
      </c>
      <c r="O45" s="55">
        <f t="shared" ca="1" si="56"/>
        <v>0.27349562371119041</v>
      </c>
      <c r="P45" s="55">
        <f t="shared" ca="1" si="56"/>
        <v>0.64942524528492729</v>
      </c>
      <c r="Q45" s="55">
        <f t="shared" ca="1" si="56"/>
        <v>0.63418347405223408</v>
      </c>
      <c r="R45" s="55">
        <f t="shared" ca="1" si="56"/>
        <v>0.24568847765070234</v>
      </c>
      <c r="S45" s="55">
        <f t="shared" ca="1" si="56"/>
        <v>0.51080939544363757</v>
      </c>
      <c r="T45" s="55">
        <f t="shared" ca="1" si="56"/>
        <v>0.46041890642048577</v>
      </c>
      <c r="U45" s="55">
        <f t="shared" ca="1" si="56"/>
        <v>0.88745531061083727</v>
      </c>
      <c r="V45" s="55">
        <f t="shared" ca="1" si="56"/>
        <v>0.21971632524908502</v>
      </c>
      <c r="W45" s="55">
        <f t="shared" ca="1" si="57"/>
        <v>0.93182118090261057</v>
      </c>
      <c r="X45" s="55">
        <f t="shared" ca="1" si="57"/>
        <v>0.18282334606211714</v>
      </c>
      <c r="Y45" s="55">
        <f t="shared" ca="1" si="57"/>
        <v>0.87302710941248873</v>
      </c>
      <c r="Z45" s="55">
        <f t="shared" ca="1" si="57"/>
        <v>9.8979795493685185E-2</v>
      </c>
      <c r="AA45" s="55">
        <f t="shared" ca="1" si="57"/>
        <v>0.99070519727431572</v>
      </c>
      <c r="AB45" s="55">
        <f t="shared" ca="1" si="57"/>
        <v>0.79107723086990966</v>
      </c>
      <c r="AC45" s="55">
        <f t="shared" ca="1" si="57"/>
        <v>0.82407217400062671</v>
      </c>
      <c r="AD45" s="55">
        <f t="shared" ca="1" si="57"/>
        <v>0.53557125789037274</v>
      </c>
      <c r="AE45" s="55">
        <f t="shared" ca="1" si="57"/>
        <v>0.98022183707930821</v>
      </c>
      <c r="AF45" s="55">
        <f t="shared" ca="1" si="57"/>
        <v>0.33933353754839912</v>
      </c>
      <c r="AG45" s="55">
        <f t="shared" ca="1" si="58"/>
        <v>0.8699020408456436</v>
      </c>
      <c r="AH45" s="55">
        <f t="shared" ca="1" si="58"/>
        <v>0.89315541504297558</v>
      </c>
      <c r="AI45" s="55">
        <f t="shared" ca="1" si="58"/>
        <v>0.764001290711813</v>
      </c>
      <c r="AJ45" s="55">
        <f t="shared" ca="1" si="58"/>
        <v>0.51163672013419581</v>
      </c>
      <c r="AK45" s="55">
        <f t="shared" ca="1" si="58"/>
        <v>0.37313378409283648</v>
      </c>
      <c r="AL45" s="55">
        <f t="shared" ca="1" si="58"/>
        <v>0.18723789196345919</v>
      </c>
      <c r="AM45" s="55">
        <f t="shared" ca="1" si="58"/>
        <v>0.42469724897088323</v>
      </c>
      <c r="AN45" s="55">
        <f t="shared" ca="1" si="58"/>
        <v>3.8368922245718307E-2</v>
      </c>
      <c r="AO45" s="55">
        <f t="shared" ca="1" si="58"/>
        <v>0.54436908791127092</v>
      </c>
      <c r="AP45" s="55">
        <f t="shared" ca="1" si="58"/>
        <v>0.98258127945349882</v>
      </c>
      <c r="AQ45" s="55">
        <f t="shared" ca="1" si="58"/>
        <v>0.66706491881618779</v>
      </c>
      <c r="AR45" s="55">
        <f t="shared" ca="1" si="58"/>
        <v>7.006767390759383E-2</v>
      </c>
      <c r="AS45" s="55">
        <f t="shared" ca="1" si="58"/>
        <v>0.45622593603945771</v>
      </c>
      <c r="AT45" s="55">
        <f t="shared" ca="1" si="58"/>
        <v>0.21437820212595038</v>
      </c>
      <c r="AU45" s="55">
        <f t="shared" ca="1" si="58"/>
        <v>0.811973403802011</v>
      </c>
      <c r="AV45" s="254"/>
      <c r="AW45" s="254"/>
      <c r="AX45" s="254"/>
      <c r="BA45" s="299"/>
      <c r="BB45" s="343"/>
      <c r="BC45" s="344"/>
      <c r="BD45" s="343"/>
      <c r="BE45" s="293"/>
      <c r="BF45" s="137"/>
      <c r="BG45" s="211"/>
      <c r="BH45" s="330"/>
      <c r="BI45" s="300"/>
      <c r="BJ45" s="300"/>
      <c r="BK45" s="300"/>
      <c r="BL45" s="137"/>
      <c r="BM45" s="207"/>
      <c r="BN45" s="150"/>
      <c r="BO45" s="178"/>
      <c r="BP45" s="178"/>
      <c r="BQ45" s="150"/>
      <c r="BR45" s="178"/>
      <c r="BS45" s="178"/>
      <c r="BT45" s="178"/>
      <c r="BU45" s="178"/>
      <c r="BV45" s="178"/>
      <c r="BW45" s="178"/>
    </row>
    <row r="46" spans="1:80">
      <c r="A46" s="517"/>
      <c r="B46" s="62" t="s">
        <v>537</v>
      </c>
      <c r="C46" s="55">
        <f t="shared" ca="1" si="55"/>
        <v>0.35527954188953903</v>
      </c>
      <c r="D46" s="55">
        <f t="shared" ca="1" si="55"/>
        <v>0.67792066816712737</v>
      </c>
      <c r="E46" s="55">
        <f t="shared" ca="1" si="55"/>
        <v>0.60697904472974074</v>
      </c>
      <c r="F46" s="55">
        <f t="shared" ca="1" si="55"/>
        <v>0.11715997973408931</v>
      </c>
      <c r="G46" s="55">
        <f t="shared" ca="1" si="55"/>
        <v>0.11718965517199686</v>
      </c>
      <c r="H46" s="55">
        <f t="shared" ca="1" si="55"/>
        <v>0.45105759464675932</v>
      </c>
      <c r="I46" s="55">
        <f t="shared" ca="1" si="55"/>
        <v>0.93653705217190053</v>
      </c>
      <c r="J46" s="55">
        <f t="shared" ca="1" si="55"/>
        <v>0.14096854997737163</v>
      </c>
      <c r="K46" s="55">
        <f t="shared" ca="1" si="55"/>
        <v>0.4073434186347249</v>
      </c>
      <c r="L46" s="55">
        <f t="shared" ca="1" si="55"/>
        <v>0.85165568106298428</v>
      </c>
      <c r="M46" s="55">
        <f t="shared" ca="1" si="56"/>
        <v>0.39350704857614216</v>
      </c>
      <c r="N46" s="55">
        <f t="shared" ca="1" si="56"/>
        <v>0.76278774316729625</v>
      </c>
      <c r="O46" s="55">
        <f t="shared" ca="1" si="56"/>
        <v>0.90327667584786853</v>
      </c>
      <c r="P46" s="55">
        <f t="shared" ca="1" si="56"/>
        <v>0.32872748524237783</v>
      </c>
      <c r="Q46" s="55">
        <f t="shared" ca="1" si="56"/>
        <v>0.44571061850754434</v>
      </c>
      <c r="R46" s="55">
        <f t="shared" ca="1" si="56"/>
        <v>0.90885420690214902</v>
      </c>
      <c r="S46" s="55">
        <f t="shared" ca="1" si="56"/>
        <v>0.41280448988269691</v>
      </c>
      <c r="T46" s="55">
        <f t="shared" ca="1" si="56"/>
        <v>0.46508230988111432</v>
      </c>
      <c r="U46" s="55">
        <f t="shared" ca="1" si="56"/>
        <v>0.50021747614204737</v>
      </c>
      <c r="V46" s="55">
        <f t="shared" ca="1" si="56"/>
        <v>0.46803761750283546</v>
      </c>
      <c r="W46" s="55">
        <f t="shared" ca="1" si="57"/>
        <v>0.25594581793068583</v>
      </c>
      <c r="X46" s="55">
        <f t="shared" ca="1" si="57"/>
        <v>0.14830570809846499</v>
      </c>
      <c r="Y46" s="55">
        <f t="shared" ca="1" si="57"/>
        <v>0.80453621527556185</v>
      </c>
      <c r="Z46" s="55">
        <f t="shared" ca="1" si="57"/>
        <v>0.83868002390492791</v>
      </c>
      <c r="AA46" s="55">
        <f t="shared" ca="1" si="57"/>
        <v>0.62221492823417679</v>
      </c>
      <c r="AB46" s="55">
        <f t="shared" ca="1" si="57"/>
        <v>0.91961832359269857</v>
      </c>
      <c r="AC46" s="55">
        <f t="shared" ca="1" si="57"/>
        <v>0.66056355052661286</v>
      </c>
      <c r="AD46" s="55">
        <f t="shared" ca="1" si="57"/>
        <v>2.1204701045774432E-2</v>
      </c>
      <c r="AE46" s="55">
        <f t="shared" ca="1" si="57"/>
        <v>0.59991502679607445</v>
      </c>
      <c r="AF46" s="55">
        <f t="shared" ca="1" si="57"/>
        <v>0.32098778131991323</v>
      </c>
      <c r="AG46" s="55">
        <f t="shared" ca="1" si="58"/>
        <v>0.19876664551416656</v>
      </c>
      <c r="AH46" s="55">
        <f t="shared" ca="1" si="58"/>
        <v>0.82767848057902038</v>
      </c>
      <c r="AI46" s="55">
        <f t="shared" ca="1" si="58"/>
        <v>0.22036140197905452</v>
      </c>
      <c r="AJ46" s="55">
        <f t="shared" ca="1" si="58"/>
        <v>0.10582785423936603</v>
      </c>
      <c r="AK46" s="55">
        <f t="shared" ca="1" si="58"/>
        <v>0.38691744118484828</v>
      </c>
      <c r="AL46" s="55">
        <f t="shared" ca="1" si="58"/>
        <v>0.50192704363716767</v>
      </c>
      <c r="AM46" s="55">
        <f t="shared" ca="1" si="58"/>
        <v>0.30754079965596126</v>
      </c>
      <c r="AN46" s="55">
        <f t="shared" ca="1" si="58"/>
        <v>7.459636501370448E-2</v>
      </c>
      <c r="AO46" s="55">
        <f t="shared" ca="1" si="58"/>
        <v>0.27411331719611565</v>
      </c>
      <c r="AP46" s="55">
        <f t="shared" ca="1" si="58"/>
        <v>0.6407432566725495</v>
      </c>
      <c r="AQ46" s="55">
        <f t="shared" ca="1" si="58"/>
        <v>3.2855804548729606E-2</v>
      </c>
      <c r="AR46" s="55">
        <f t="shared" ca="1" si="58"/>
        <v>0.56190016580590307</v>
      </c>
      <c r="AS46" s="55">
        <f t="shared" ca="1" si="58"/>
        <v>0.41791068184535696</v>
      </c>
      <c r="AT46" s="55">
        <f t="shared" ca="1" si="58"/>
        <v>0.43613740741900453</v>
      </c>
      <c r="AU46" s="55">
        <f t="shared" ca="1" si="58"/>
        <v>0.11639361252535485</v>
      </c>
      <c r="AV46" s="254"/>
      <c r="AW46" s="254"/>
      <c r="AX46" s="254"/>
      <c r="BA46" s="299"/>
      <c r="BB46" s="343"/>
      <c r="BC46" s="344"/>
      <c r="BD46" s="343"/>
      <c r="BE46" s="293"/>
      <c r="BF46" s="137"/>
      <c r="BG46" s="211"/>
      <c r="BH46" s="330"/>
      <c r="BI46" s="300"/>
      <c r="BJ46" s="300"/>
      <c r="BK46" s="300"/>
      <c r="BL46" s="137"/>
      <c r="BM46" s="137"/>
      <c r="BN46" s="178"/>
      <c r="BO46" s="178"/>
      <c r="BP46" s="178"/>
      <c r="BQ46" s="150"/>
      <c r="BR46" s="178"/>
      <c r="BS46" s="178"/>
      <c r="BT46" s="178"/>
      <c r="BU46" s="178"/>
      <c r="BV46" s="178"/>
      <c r="BW46" s="178"/>
    </row>
    <row r="47" spans="1:80">
      <c r="A47" s="517"/>
      <c r="B47" s="62" t="s">
        <v>538</v>
      </c>
      <c r="C47" s="55">
        <f t="shared" ca="1" si="55"/>
        <v>0.37499906671627192</v>
      </c>
      <c r="D47" s="55">
        <f t="shared" ca="1" si="55"/>
        <v>0.21589915114799352</v>
      </c>
      <c r="E47" s="55">
        <f t="shared" ca="1" si="55"/>
        <v>0.67894573437111794</v>
      </c>
      <c r="F47" s="55">
        <f t="shared" ca="1" si="55"/>
        <v>0.13301548421006149</v>
      </c>
      <c r="G47" s="55">
        <f t="shared" ca="1" si="55"/>
        <v>0.94330969286383104</v>
      </c>
      <c r="H47" s="55">
        <f t="shared" ca="1" si="55"/>
        <v>0.77488157897719234</v>
      </c>
      <c r="I47" s="55">
        <f t="shared" ca="1" si="55"/>
        <v>0.2305702269287917</v>
      </c>
      <c r="J47" s="55">
        <f t="shared" ca="1" si="55"/>
        <v>0.31079958737808622</v>
      </c>
      <c r="K47" s="55">
        <f t="shared" ca="1" si="55"/>
        <v>4.7581158323186767E-2</v>
      </c>
      <c r="L47" s="55">
        <f t="shared" ca="1" si="55"/>
        <v>0.48261127525800396</v>
      </c>
      <c r="M47" s="55">
        <f t="shared" ca="1" si="56"/>
        <v>0.5283076796688323</v>
      </c>
      <c r="N47" s="55">
        <f t="shared" ca="1" si="56"/>
        <v>0.94741718495484084</v>
      </c>
      <c r="O47" s="55">
        <f t="shared" ca="1" si="56"/>
        <v>0.70814306663193016</v>
      </c>
      <c r="P47" s="55">
        <f t="shared" ca="1" si="56"/>
        <v>0.88979777184616404</v>
      </c>
      <c r="Q47" s="55">
        <f t="shared" ca="1" si="56"/>
        <v>0.35657380678697237</v>
      </c>
      <c r="R47" s="55">
        <f t="shared" ca="1" si="56"/>
        <v>0.45248138747269806</v>
      </c>
      <c r="S47" s="55">
        <f t="shared" ca="1" si="56"/>
        <v>0.93446596491844225</v>
      </c>
      <c r="T47" s="55">
        <f t="shared" ca="1" si="56"/>
        <v>0.21342149364489393</v>
      </c>
      <c r="U47" s="55">
        <f t="shared" ca="1" si="56"/>
        <v>0.93373943519400204</v>
      </c>
      <c r="V47" s="55">
        <f t="shared" ca="1" si="56"/>
        <v>1.7734234034607388E-2</v>
      </c>
      <c r="W47" s="55">
        <f t="shared" ca="1" si="57"/>
        <v>0.52938946188660685</v>
      </c>
      <c r="X47" s="55">
        <f t="shared" ca="1" si="57"/>
        <v>0.81172782489217421</v>
      </c>
      <c r="Y47" s="55">
        <f t="shared" ca="1" si="57"/>
        <v>0.14838343235509865</v>
      </c>
      <c r="Z47" s="55">
        <f t="shared" ca="1" si="57"/>
        <v>0.38335248846284564</v>
      </c>
      <c r="AA47" s="55">
        <f t="shared" ca="1" si="57"/>
        <v>0.90243668699818735</v>
      </c>
      <c r="AB47" s="55">
        <f t="shared" ca="1" si="57"/>
        <v>0.31265744229597825</v>
      </c>
      <c r="AC47" s="55">
        <f t="shared" ca="1" si="57"/>
        <v>0.540543754472535</v>
      </c>
      <c r="AD47" s="55">
        <f t="shared" ca="1" si="57"/>
        <v>0.26962620252022296</v>
      </c>
      <c r="AE47" s="55">
        <f t="shared" ca="1" si="57"/>
        <v>0.7427089720235821</v>
      </c>
      <c r="AF47" s="55">
        <f t="shared" ca="1" si="57"/>
        <v>0.98669480937135967</v>
      </c>
      <c r="AG47" s="55">
        <f t="shared" ca="1" si="58"/>
        <v>0.60527247274130092</v>
      </c>
      <c r="AH47" s="55">
        <f t="shared" ca="1" si="58"/>
        <v>0.36023501909632871</v>
      </c>
      <c r="AI47" s="55">
        <f t="shared" ca="1" si="58"/>
        <v>0.54969951935526062</v>
      </c>
      <c r="AJ47" s="55">
        <f t="shared" ca="1" si="58"/>
        <v>0.99156655876009225</v>
      </c>
      <c r="AK47" s="55">
        <f t="shared" ca="1" si="58"/>
        <v>0.92515229730397075</v>
      </c>
      <c r="AL47" s="55">
        <f t="shared" ca="1" si="58"/>
        <v>0.37720335842879849</v>
      </c>
      <c r="AM47" s="55">
        <f t="shared" ca="1" si="58"/>
        <v>0.9631603348294141</v>
      </c>
      <c r="AN47" s="55">
        <f t="shared" ca="1" si="58"/>
        <v>0.5766915916224078</v>
      </c>
      <c r="AO47" s="55">
        <f t="shared" ca="1" si="58"/>
        <v>3.0005143673279555E-3</v>
      </c>
      <c r="AP47" s="55">
        <f t="shared" ca="1" si="58"/>
        <v>0.91295202698974365</v>
      </c>
      <c r="AQ47" s="55">
        <f t="shared" ca="1" si="58"/>
        <v>0.88743721337527359</v>
      </c>
      <c r="AR47" s="55">
        <f t="shared" ca="1" si="58"/>
        <v>0.4967461010568246</v>
      </c>
      <c r="AS47" s="55">
        <f t="shared" ca="1" si="58"/>
        <v>8.6190384869249903E-2</v>
      </c>
      <c r="AT47" s="55">
        <f t="shared" ca="1" si="58"/>
        <v>0.62587203951497306</v>
      </c>
      <c r="AU47" s="55">
        <f t="shared" ca="1" si="58"/>
        <v>0.57105495717536781</v>
      </c>
      <c r="AV47" s="254"/>
      <c r="AW47" s="254"/>
      <c r="AX47" s="254"/>
      <c r="BA47" s="299"/>
      <c r="BB47" s="343"/>
      <c r="BC47" s="344"/>
      <c r="BD47" s="343"/>
      <c r="BE47" s="293"/>
      <c r="BF47" s="137"/>
      <c r="BG47" s="211"/>
      <c r="BH47" s="330"/>
      <c r="BI47" s="302"/>
      <c r="BJ47" s="300"/>
      <c r="BK47" s="300"/>
      <c r="BL47" s="137"/>
      <c r="BM47" s="207"/>
      <c r="BN47" s="178"/>
      <c r="BO47" s="178"/>
      <c r="BP47" s="178"/>
      <c r="BQ47" s="150"/>
      <c r="BR47" s="178"/>
      <c r="BS47" s="178"/>
      <c r="BT47" s="178"/>
      <c r="BU47" s="178"/>
      <c r="BV47" s="178"/>
      <c r="BW47" s="178"/>
    </row>
    <row r="48" spans="1:80">
      <c r="A48" s="517"/>
      <c r="B48" s="62" t="s">
        <v>539</v>
      </c>
      <c r="C48" s="55">
        <f t="shared" ca="1" si="55"/>
        <v>0.16860261951608857</v>
      </c>
      <c r="D48" s="55">
        <f t="shared" ca="1" si="55"/>
        <v>0.93712186017054289</v>
      </c>
      <c r="E48" s="55">
        <f t="shared" ca="1" si="55"/>
        <v>0.44812687245373495</v>
      </c>
      <c r="F48" s="55">
        <f t="shared" ca="1" si="55"/>
        <v>0.31907000882096725</v>
      </c>
      <c r="G48" s="55">
        <f t="shared" ca="1" si="55"/>
        <v>0.73020548048171463</v>
      </c>
      <c r="H48" s="55">
        <f t="shared" ca="1" si="55"/>
        <v>0.53043185710569452</v>
      </c>
      <c r="I48" s="55">
        <f t="shared" ca="1" si="55"/>
        <v>0.9551312020906515</v>
      </c>
      <c r="J48" s="55">
        <f t="shared" ca="1" si="55"/>
        <v>0.12068183867402493</v>
      </c>
      <c r="K48" s="55">
        <f t="shared" ca="1" si="55"/>
        <v>0.66562403177955853</v>
      </c>
      <c r="L48" s="55">
        <f t="shared" ca="1" si="55"/>
        <v>0.26095267267629718</v>
      </c>
      <c r="M48" s="55">
        <f t="shared" ca="1" si="56"/>
        <v>0.63647066322992696</v>
      </c>
      <c r="N48" s="55">
        <f t="shared" ca="1" si="56"/>
        <v>0.39676478801666726</v>
      </c>
      <c r="O48" s="55">
        <f t="shared" ca="1" si="56"/>
        <v>0.69741188623502959</v>
      </c>
      <c r="P48" s="55">
        <f t="shared" ca="1" si="56"/>
        <v>0.35938777986636727</v>
      </c>
      <c r="Q48" s="55">
        <f t="shared" ca="1" si="56"/>
        <v>0.11401556395167411</v>
      </c>
      <c r="R48" s="55">
        <f t="shared" ca="1" si="56"/>
        <v>0.31748936046823217</v>
      </c>
      <c r="S48" s="55">
        <f t="shared" ca="1" si="56"/>
        <v>0.10434682160954356</v>
      </c>
      <c r="T48" s="55">
        <f t="shared" ca="1" si="56"/>
        <v>0.2698818010971793</v>
      </c>
      <c r="U48" s="55">
        <f t="shared" ca="1" si="56"/>
        <v>0.8028706136606869</v>
      </c>
      <c r="V48" s="55">
        <f t="shared" ca="1" si="56"/>
        <v>0.74171522406559121</v>
      </c>
      <c r="W48" s="55">
        <f t="shared" ca="1" si="57"/>
        <v>0.48814595465837185</v>
      </c>
      <c r="X48" s="55">
        <f t="shared" ca="1" si="57"/>
        <v>0.56431886700538936</v>
      </c>
      <c r="Y48" s="55">
        <f t="shared" ca="1" si="57"/>
        <v>9.2137905226088335E-2</v>
      </c>
      <c r="Z48" s="55">
        <f t="shared" ca="1" si="57"/>
        <v>0.50421535060208167</v>
      </c>
      <c r="AA48" s="55">
        <f t="shared" ca="1" si="57"/>
        <v>0.16588189652750285</v>
      </c>
      <c r="AB48" s="55">
        <f t="shared" ca="1" si="57"/>
        <v>0.84500439961588925</v>
      </c>
      <c r="AC48" s="55">
        <f t="shared" ca="1" si="57"/>
        <v>0.62575686704923827</v>
      </c>
      <c r="AD48" s="55">
        <f t="shared" ca="1" si="57"/>
        <v>0.21125478124171804</v>
      </c>
      <c r="AE48" s="55">
        <f t="shared" ca="1" si="57"/>
        <v>0.38097047556386143</v>
      </c>
      <c r="AF48" s="55">
        <f t="shared" ca="1" si="57"/>
        <v>0.65452073209100881</v>
      </c>
      <c r="AG48" s="55">
        <f t="shared" ca="1" si="58"/>
        <v>0.26555381281089041</v>
      </c>
      <c r="AH48" s="55">
        <f t="shared" ca="1" si="58"/>
        <v>0.57827115803243845</v>
      </c>
      <c r="AI48" s="55">
        <f t="shared" ca="1" si="58"/>
        <v>0.60803608518112429</v>
      </c>
      <c r="AJ48" s="55">
        <f t="shared" ca="1" si="58"/>
        <v>0.93486544766580293</v>
      </c>
      <c r="AK48" s="55">
        <f t="shared" ca="1" si="58"/>
        <v>0.53442188518843659</v>
      </c>
      <c r="AL48" s="55">
        <f t="shared" ca="1" si="58"/>
        <v>0.92846763123066767</v>
      </c>
      <c r="AM48" s="55">
        <f t="shared" ca="1" si="58"/>
        <v>0.13839822173779626</v>
      </c>
      <c r="AN48" s="55">
        <f t="shared" ca="1" si="58"/>
        <v>0.44660540591492048</v>
      </c>
      <c r="AO48" s="55">
        <f t="shared" ca="1" si="58"/>
        <v>0.76603157111582509</v>
      </c>
      <c r="AP48" s="55">
        <f t="shared" ca="1" si="58"/>
        <v>0.15040627191061096</v>
      </c>
      <c r="AQ48" s="55">
        <f t="shared" ca="1" si="58"/>
        <v>0.77486055171691526</v>
      </c>
      <c r="AR48" s="55">
        <f t="shared" ca="1" si="58"/>
        <v>0.84037632887672598</v>
      </c>
      <c r="AS48" s="55">
        <f t="shared" ca="1" si="58"/>
        <v>0.81852782952256253</v>
      </c>
      <c r="AT48" s="55">
        <f t="shared" ca="1" si="58"/>
        <v>0.91837238894174644</v>
      </c>
      <c r="AU48" s="55">
        <f t="shared" ca="1" si="58"/>
        <v>0.18736089587146532</v>
      </c>
      <c r="AV48" s="254"/>
      <c r="AW48" s="254"/>
      <c r="AX48" s="254"/>
      <c r="BA48" s="299"/>
      <c r="BB48" s="343"/>
      <c r="BC48" s="344"/>
      <c r="BD48" s="343"/>
      <c r="BE48" s="293"/>
      <c r="BF48" s="137"/>
      <c r="BG48" s="211"/>
      <c r="BH48" s="330"/>
      <c r="BI48" s="302"/>
      <c r="BJ48" s="300"/>
      <c r="BK48" s="302"/>
      <c r="BL48" s="137"/>
      <c r="BM48" s="207"/>
      <c r="BN48" s="178"/>
      <c r="BO48" s="178"/>
      <c r="BP48" s="178"/>
      <c r="BQ48" s="150"/>
      <c r="BR48" s="178"/>
      <c r="BS48" s="178"/>
      <c r="BT48" s="178"/>
      <c r="BU48" s="178"/>
      <c r="BV48" s="178"/>
      <c r="BW48" s="178"/>
    </row>
    <row r="49" spans="1:75">
      <c r="A49" s="517"/>
      <c r="B49" s="62" t="s">
        <v>540</v>
      </c>
      <c r="C49" s="55">
        <f t="shared" ca="1" si="55"/>
        <v>0.65206943128638506</v>
      </c>
      <c r="D49" s="55">
        <f t="shared" ca="1" si="55"/>
        <v>0.5899050621156976</v>
      </c>
      <c r="E49" s="55">
        <f t="shared" ca="1" si="55"/>
        <v>0.30280335230545774</v>
      </c>
      <c r="F49" s="55">
        <f t="shared" ca="1" si="55"/>
        <v>0.63478557158233606</v>
      </c>
      <c r="G49" s="55">
        <f t="shared" ca="1" si="55"/>
        <v>0.30284721711467133</v>
      </c>
      <c r="H49" s="55">
        <f t="shared" ca="1" si="55"/>
        <v>0.73597972738855288</v>
      </c>
      <c r="I49" s="55">
        <f t="shared" ca="1" si="55"/>
        <v>0.57380776035269676</v>
      </c>
      <c r="J49" s="55">
        <f t="shared" ca="1" si="55"/>
        <v>0.10571572365740312</v>
      </c>
      <c r="K49" s="55">
        <f t="shared" ca="1" si="55"/>
        <v>0.74297225478873619</v>
      </c>
      <c r="L49" s="55">
        <f t="shared" ca="1" si="55"/>
        <v>0.68407553009812672</v>
      </c>
      <c r="M49" s="55">
        <f t="shared" ca="1" si="56"/>
        <v>0.61653063385879792</v>
      </c>
      <c r="N49" s="55">
        <f t="shared" ca="1" si="56"/>
        <v>0.51952527671408244</v>
      </c>
      <c r="O49" s="55">
        <f t="shared" ca="1" si="56"/>
        <v>0.21673423327115915</v>
      </c>
      <c r="P49" s="55">
        <f t="shared" ca="1" si="56"/>
        <v>0.64431559541772476</v>
      </c>
      <c r="Q49" s="55">
        <f t="shared" ca="1" si="56"/>
        <v>0.35780630403290514</v>
      </c>
      <c r="R49" s="55">
        <f t="shared" ca="1" si="56"/>
        <v>0.26238225481895461</v>
      </c>
      <c r="S49" s="55">
        <f t="shared" ca="1" si="56"/>
        <v>0.3265002465398289</v>
      </c>
      <c r="T49" s="55">
        <f t="shared" ca="1" si="56"/>
        <v>0.52689377920961245</v>
      </c>
      <c r="U49" s="55">
        <f t="shared" ca="1" si="56"/>
        <v>0.23609982592957446</v>
      </c>
      <c r="V49" s="55">
        <f t="shared" ca="1" si="56"/>
        <v>0.23212709885435612</v>
      </c>
      <c r="W49" s="55">
        <f t="shared" ca="1" si="57"/>
        <v>0.83783377234737</v>
      </c>
      <c r="X49" s="55">
        <f t="shared" ca="1" si="57"/>
        <v>0.86708037703335683</v>
      </c>
      <c r="Y49" s="55">
        <f t="shared" ca="1" si="57"/>
        <v>0.61239376143767144</v>
      </c>
      <c r="Z49" s="55">
        <f t="shared" ca="1" si="57"/>
        <v>0.17978842396070638</v>
      </c>
      <c r="AA49" s="55">
        <f t="shared" ca="1" si="57"/>
        <v>0.31973073858353585</v>
      </c>
      <c r="AB49" s="55">
        <f t="shared" ca="1" si="57"/>
        <v>0.34917378508669217</v>
      </c>
      <c r="AC49" s="55">
        <f t="shared" ca="1" si="57"/>
        <v>0.71766980211612674</v>
      </c>
      <c r="AD49" s="55">
        <f t="shared" ca="1" si="57"/>
        <v>0.54614823609122443</v>
      </c>
      <c r="AE49" s="55">
        <f t="shared" ca="1" si="57"/>
        <v>0.42607589098643239</v>
      </c>
      <c r="AF49" s="55">
        <f t="shared" ca="1" si="57"/>
        <v>0.47510648900072172</v>
      </c>
      <c r="AG49" s="55">
        <f t="shared" ca="1" si="58"/>
        <v>0.98840333577519124</v>
      </c>
      <c r="AH49" s="55">
        <f t="shared" ca="1" si="58"/>
        <v>0.46394462574474726</v>
      </c>
      <c r="AI49" s="55">
        <f t="shared" ca="1" si="58"/>
        <v>4.6394946822962968E-2</v>
      </c>
      <c r="AJ49" s="55">
        <f t="shared" ca="1" si="58"/>
        <v>0.63592506780401969</v>
      </c>
      <c r="AK49" s="55">
        <f t="shared" ca="1" si="58"/>
        <v>0.34359977268635067</v>
      </c>
      <c r="AL49" s="55">
        <f t="shared" ca="1" si="58"/>
        <v>0.21393950222665636</v>
      </c>
      <c r="AM49" s="55">
        <f t="shared" ca="1" si="58"/>
        <v>0.90462449659327859</v>
      </c>
      <c r="AN49" s="55">
        <f t="shared" ca="1" si="58"/>
        <v>0.59807926352402985</v>
      </c>
      <c r="AO49" s="55">
        <f t="shared" ca="1" si="58"/>
        <v>0.78893732332797628</v>
      </c>
      <c r="AP49" s="55">
        <f t="shared" ca="1" si="58"/>
        <v>0.15002222008131294</v>
      </c>
      <c r="AQ49" s="55">
        <f t="shared" ca="1" si="58"/>
        <v>0.1218818220104072</v>
      </c>
      <c r="AR49" s="55">
        <f t="shared" ca="1" si="58"/>
        <v>0.21099278035071189</v>
      </c>
      <c r="AS49" s="55">
        <f t="shared" ca="1" si="58"/>
        <v>0.6306424191722636</v>
      </c>
      <c r="AT49" s="55">
        <f t="shared" ca="1" si="58"/>
        <v>0.11683283005169409</v>
      </c>
      <c r="AU49" s="55">
        <f t="shared" ca="1" si="58"/>
        <v>0.85539328942438486</v>
      </c>
      <c r="AV49" s="254"/>
      <c r="AW49" s="254"/>
      <c r="AX49" s="254"/>
      <c r="BA49" s="299"/>
      <c r="BB49" s="343"/>
      <c r="BC49" s="344"/>
      <c r="BD49" s="343"/>
      <c r="BE49" s="207"/>
      <c r="BF49" s="137"/>
      <c r="BG49" s="211"/>
      <c r="BH49" s="330"/>
      <c r="BI49" s="300"/>
      <c r="BJ49" s="300"/>
      <c r="BK49" s="300"/>
      <c r="BL49" s="137"/>
      <c r="BM49" s="207"/>
      <c r="BN49" s="178"/>
      <c r="BO49" s="178"/>
      <c r="BP49" s="178"/>
      <c r="BQ49" s="150"/>
      <c r="BR49" s="178"/>
      <c r="BS49" s="178"/>
      <c r="BT49" s="178"/>
      <c r="BU49" s="178"/>
      <c r="BV49" s="178"/>
      <c r="BW49" s="178"/>
    </row>
    <row r="50" spans="1:75">
      <c r="A50" s="499" t="s">
        <v>561</v>
      </c>
      <c r="B50" s="60" t="s">
        <v>560</v>
      </c>
      <c r="C50" s="64" t="str">
        <f t="shared" ref="C50:AU50" ca="1" si="59">IF(RIGHT(C7,1)="1","홀수",IF(RIGHT(C7,1)="3","홀수",IF(RIGHT(C7,1)="5","홀수",IF(RIGHT(C7,1)="7","홀수",IF(RIGHT(C7,1)="9","홀수","짝수")))))</f>
        <v>짝수</v>
      </c>
      <c r="D50" s="64" t="str">
        <f t="shared" ca="1" si="59"/>
        <v>짝수</v>
      </c>
      <c r="E50" s="64" t="str">
        <f t="shared" ca="1" si="59"/>
        <v>홀수</v>
      </c>
      <c r="F50" s="64" t="str">
        <f t="shared" ca="1" si="59"/>
        <v>홀수</v>
      </c>
      <c r="G50" s="64" t="str">
        <f t="shared" ca="1" si="59"/>
        <v>짝수</v>
      </c>
      <c r="H50" s="64" t="str">
        <f t="shared" ca="1" si="59"/>
        <v>홀수</v>
      </c>
      <c r="I50" s="64" t="str">
        <f t="shared" ca="1" si="59"/>
        <v>홀수</v>
      </c>
      <c r="J50" s="64" t="str">
        <f t="shared" ca="1" si="59"/>
        <v>짝수</v>
      </c>
      <c r="K50" s="64" t="str">
        <f t="shared" ca="1" si="59"/>
        <v>홀수</v>
      </c>
      <c r="L50" s="64" t="str">
        <f t="shared" ca="1" si="59"/>
        <v>홀수</v>
      </c>
      <c r="M50" s="64" t="str">
        <f t="shared" ca="1" si="59"/>
        <v>홀수</v>
      </c>
      <c r="N50" s="64" t="str">
        <f t="shared" ca="1" si="59"/>
        <v>짝수</v>
      </c>
      <c r="O50" s="64" t="str">
        <f t="shared" ca="1" si="59"/>
        <v>홀수</v>
      </c>
      <c r="P50" s="64" t="str">
        <f t="shared" ca="1" si="59"/>
        <v>짝수</v>
      </c>
      <c r="Q50" s="64" t="str">
        <f t="shared" ca="1" si="59"/>
        <v>짝수</v>
      </c>
      <c r="R50" s="64" t="str">
        <f t="shared" si="59"/>
        <v>짝수</v>
      </c>
      <c r="S50" s="64" t="str">
        <f t="shared" si="59"/>
        <v>짝수</v>
      </c>
      <c r="T50" s="64" t="str">
        <f t="shared" si="59"/>
        <v>짝수</v>
      </c>
      <c r="U50" s="64" t="str">
        <f t="shared" si="59"/>
        <v>짝수</v>
      </c>
      <c r="V50" s="64" t="str">
        <f t="shared" si="59"/>
        <v>짝수</v>
      </c>
      <c r="W50" s="64" t="str">
        <f t="shared" si="59"/>
        <v>짝수</v>
      </c>
      <c r="X50" s="64" t="str">
        <f t="shared" si="59"/>
        <v>짝수</v>
      </c>
      <c r="Y50" s="64" t="str">
        <f t="shared" si="59"/>
        <v>짝수</v>
      </c>
      <c r="Z50" s="64" t="str">
        <f t="shared" si="59"/>
        <v>짝수</v>
      </c>
      <c r="AA50" s="64" t="str">
        <f t="shared" si="59"/>
        <v>짝수</v>
      </c>
      <c r="AB50" s="64" t="str">
        <f t="shared" si="59"/>
        <v>짝수</v>
      </c>
      <c r="AC50" s="64" t="str">
        <f t="shared" si="59"/>
        <v>짝수</v>
      </c>
      <c r="AD50" s="64" t="str">
        <f t="shared" si="59"/>
        <v>짝수</v>
      </c>
      <c r="AE50" s="64" t="str">
        <f t="shared" si="59"/>
        <v>짝수</v>
      </c>
      <c r="AF50" s="64" t="str">
        <f t="shared" si="59"/>
        <v>짝수</v>
      </c>
      <c r="AG50" s="64" t="str">
        <f t="shared" si="59"/>
        <v>짝수</v>
      </c>
      <c r="AH50" s="64" t="str">
        <f t="shared" si="59"/>
        <v>짝수</v>
      </c>
      <c r="AI50" s="64" t="str">
        <f t="shared" si="59"/>
        <v>짝수</v>
      </c>
      <c r="AJ50" s="64" t="str">
        <f t="shared" si="59"/>
        <v>짝수</v>
      </c>
      <c r="AK50" s="64" t="str">
        <f t="shared" si="59"/>
        <v>짝수</v>
      </c>
      <c r="AL50" s="64" t="str">
        <f t="shared" si="59"/>
        <v>짝수</v>
      </c>
      <c r="AM50" s="64" t="str">
        <f t="shared" si="59"/>
        <v>짝수</v>
      </c>
      <c r="AN50" s="64" t="str">
        <f t="shared" si="59"/>
        <v>짝수</v>
      </c>
      <c r="AO50" s="64" t="str">
        <f t="shared" si="59"/>
        <v>짝수</v>
      </c>
      <c r="AP50" s="64" t="str">
        <f t="shared" si="59"/>
        <v>짝수</v>
      </c>
      <c r="AQ50" s="64" t="str">
        <f t="shared" si="59"/>
        <v>짝수</v>
      </c>
      <c r="AR50" s="64" t="str">
        <f t="shared" si="59"/>
        <v>짝수</v>
      </c>
      <c r="AS50" s="64" t="str">
        <f t="shared" si="59"/>
        <v>짝수</v>
      </c>
      <c r="AT50" s="64" t="str">
        <f t="shared" si="59"/>
        <v>짝수</v>
      </c>
      <c r="AU50" s="64" t="str">
        <f t="shared" si="59"/>
        <v>짝수</v>
      </c>
      <c r="AV50" s="257"/>
      <c r="AW50" s="257"/>
      <c r="AX50" s="257"/>
      <c r="BA50" s="299"/>
      <c r="BB50" s="343"/>
      <c r="BC50" s="344"/>
      <c r="BD50" s="343"/>
      <c r="BE50" s="150"/>
      <c r="BF50" s="137"/>
      <c r="BG50" s="211"/>
      <c r="BH50" s="330"/>
      <c r="BI50" s="300"/>
      <c r="BJ50" s="300"/>
      <c r="BK50" s="300"/>
      <c r="BL50" s="137"/>
      <c r="BM50" s="207"/>
      <c r="BN50" s="178"/>
      <c r="BO50" s="178"/>
      <c r="BP50" s="178"/>
      <c r="BQ50" s="150"/>
      <c r="BR50" s="178"/>
      <c r="BS50" s="178"/>
      <c r="BT50" s="178"/>
      <c r="BU50" s="178"/>
      <c r="BV50" s="178"/>
      <c r="BW50" s="178"/>
    </row>
    <row r="51" spans="1:75">
      <c r="A51" s="499"/>
      <c r="B51" s="60" t="s">
        <v>536</v>
      </c>
      <c r="C51" s="64" t="str">
        <f t="shared" ref="C51:AU51" ca="1" si="60">IF(RIGHT(C8,1)="1","홀수",IF(RIGHT(C8,1)="3","홀수",IF(RIGHT(C8,1)="5","홀수",IF(RIGHT(C8,1)="7","홀수",IF(RIGHT(C8,1)="9","홀수","짝수")))))</f>
        <v>홀수</v>
      </c>
      <c r="D51" s="64" t="str">
        <f t="shared" ca="1" si="60"/>
        <v>짝수</v>
      </c>
      <c r="E51" s="64" t="str">
        <f t="shared" ca="1" si="60"/>
        <v>짝수</v>
      </c>
      <c r="F51" s="64" t="str">
        <f t="shared" ca="1" si="60"/>
        <v>짝수</v>
      </c>
      <c r="G51" s="64" t="str">
        <f t="shared" ca="1" si="60"/>
        <v>짝수</v>
      </c>
      <c r="H51" s="64" t="str">
        <f t="shared" ca="1" si="60"/>
        <v>짝수</v>
      </c>
      <c r="I51" s="64" t="str">
        <f t="shared" ca="1" si="60"/>
        <v>짝수</v>
      </c>
      <c r="J51" s="64" t="str">
        <f t="shared" ca="1" si="60"/>
        <v>홀수</v>
      </c>
      <c r="K51" s="64" t="str">
        <f t="shared" ca="1" si="60"/>
        <v>짝수</v>
      </c>
      <c r="L51" s="64" t="str">
        <f t="shared" ca="1" si="60"/>
        <v>홀수</v>
      </c>
      <c r="M51" s="64" t="str">
        <f t="shared" ca="1" si="60"/>
        <v>짝수</v>
      </c>
      <c r="N51" s="64" t="str">
        <f t="shared" ca="1" si="60"/>
        <v>홀수</v>
      </c>
      <c r="O51" s="64" t="str">
        <f t="shared" ca="1" si="60"/>
        <v>홀수</v>
      </c>
      <c r="P51" s="64" t="str">
        <f t="shared" ca="1" si="60"/>
        <v>짝수</v>
      </c>
      <c r="Q51" s="64" t="str">
        <f t="shared" ca="1" si="60"/>
        <v>홀수</v>
      </c>
      <c r="R51" s="64" t="str">
        <f t="shared" si="60"/>
        <v>짝수</v>
      </c>
      <c r="S51" s="64" t="str">
        <f t="shared" si="60"/>
        <v>짝수</v>
      </c>
      <c r="T51" s="64" t="str">
        <f t="shared" si="60"/>
        <v>짝수</v>
      </c>
      <c r="U51" s="64" t="str">
        <f t="shared" si="60"/>
        <v>짝수</v>
      </c>
      <c r="V51" s="64" t="str">
        <f t="shared" si="60"/>
        <v>짝수</v>
      </c>
      <c r="W51" s="64" t="str">
        <f t="shared" si="60"/>
        <v>짝수</v>
      </c>
      <c r="X51" s="64" t="str">
        <f t="shared" si="60"/>
        <v>짝수</v>
      </c>
      <c r="Y51" s="64" t="str">
        <f t="shared" si="60"/>
        <v>짝수</v>
      </c>
      <c r="Z51" s="64" t="str">
        <f t="shared" si="60"/>
        <v>짝수</v>
      </c>
      <c r="AA51" s="64" t="str">
        <f t="shared" si="60"/>
        <v>짝수</v>
      </c>
      <c r="AB51" s="64" t="str">
        <f t="shared" si="60"/>
        <v>짝수</v>
      </c>
      <c r="AC51" s="64" t="str">
        <f t="shared" si="60"/>
        <v>짝수</v>
      </c>
      <c r="AD51" s="64" t="str">
        <f t="shared" si="60"/>
        <v>짝수</v>
      </c>
      <c r="AE51" s="64" t="str">
        <f t="shared" si="60"/>
        <v>짝수</v>
      </c>
      <c r="AF51" s="64" t="str">
        <f t="shared" si="60"/>
        <v>짝수</v>
      </c>
      <c r="AG51" s="64" t="str">
        <f t="shared" si="60"/>
        <v>짝수</v>
      </c>
      <c r="AH51" s="64" t="str">
        <f t="shared" si="60"/>
        <v>짝수</v>
      </c>
      <c r="AI51" s="64" t="str">
        <f t="shared" si="60"/>
        <v>짝수</v>
      </c>
      <c r="AJ51" s="64" t="str">
        <f t="shared" si="60"/>
        <v>짝수</v>
      </c>
      <c r="AK51" s="64" t="str">
        <f t="shared" si="60"/>
        <v>짝수</v>
      </c>
      <c r="AL51" s="64" t="str">
        <f t="shared" si="60"/>
        <v>짝수</v>
      </c>
      <c r="AM51" s="64" t="str">
        <f t="shared" si="60"/>
        <v>짝수</v>
      </c>
      <c r="AN51" s="64" t="str">
        <f t="shared" si="60"/>
        <v>짝수</v>
      </c>
      <c r="AO51" s="64" t="str">
        <f t="shared" si="60"/>
        <v>짝수</v>
      </c>
      <c r="AP51" s="64" t="str">
        <f t="shared" si="60"/>
        <v>짝수</v>
      </c>
      <c r="AQ51" s="64" t="str">
        <f t="shared" si="60"/>
        <v>짝수</v>
      </c>
      <c r="AR51" s="64" t="str">
        <f t="shared" si="60"/>
        <v>짝수</v>
      </c>
      <c r="AS51" s="64" t="str">
        <f t="shared" si="60"/>
        <v>짝수</v>
      </c>
      <c r="AT51" s="64" t="str">
        <f t="shared" si="60"/>
        <v>짝수</v>
      </c>
      <c r="AU51" s="64" t="str">
        <f t="shared" si="60"/>
        <v>짝수</v>
      </c>
      <c r="AV51" s="257"/>
      <c r="AW51" s="257"/>
      <c r="AX51" s="257"/>
      <c r="BA51" s="299"/>
      <c r="BB51" s="343"/>
      <c r="BC51" s="344"/>
      <c r="BD51" s="343"/>
      <c r="BE51" s="150"/>
      <c r="BF51" s="137"/>
      <c r="BG51" s="211"/>
      <c r="BH51" s="330"/>
      <c r="BI51" s="300"/>
      <c r="BJ51" s="300"/>
      <c r="BK51" s="300"/>
      <c r="BL51" s="137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</row>
    <row r="52" spans="1:75">
      <c r="A52" s="499"/>
      <c r="B52" s="60" t="s">
        <v>537</v>
      </c>
      <c r="C52" s="64" t="str">
        <f t="shared" ref="C52:AU52" ca="1" si="61">IF(RIGHT(C9,1)="1","홀수",IF(RIGHT(C9,1)="3","홀수",IF(RIGHT(C9,1)="5","홀수",IF(RIGHT(C9,1)="7","홀수",IF(RIGHT(C9,1)="9","홀수","짝수")))))</f>
        <v>홀수</v>
      </c>
      <c r="D52" s="64" t="str">
        <f t="shared" ca="1" si="61"/>
        <v>짝수</v>
      </c>
      <c r="E52" s="64" t="str">
        <f t="shared" ca="1" si="61"/>
        <v>홀수</v>
      </c>
      <c r="F52" s="64" t="str">
        <f t="shared" ca="1" si="61"/>
        <v>홀수</v>
      </c>
      <c r="G52" s="64" t="str">
        <f t="shared" ca="1" si="61"/>
        <v>짝수</v>
      </c>
      <c r="H52" s="64" t="str">
        <f t="shared" ca="1" si="61"/>
        <v>홀수</v>
      </c>
      <c r="I52" s="64" t="str">
        <f t="shared" ca="1" si="61"/>
        <v>홀수</v>
      </c>
      <c r="J52" s="64" t="str">
        <f t="shared" ca="1" si="61"/>
        <v>홀수</v>
      </c>
      <c r="K52" s="64" t="str">
        <f t="shared" ca="1" si="61"/>
        <v>짝수</v>
      </c>
      <c r="L52" s="64" t="str">
        <f t="shared" ca="1" si="61"/>
        <v>홀수</v>
      </c>
      <c r="M52" s="64" t="str">
        <f t="shared" ca="1" si="61"/>
        <v>홀수</v>
      </c>
      <c r="N52" s="64" t="str">
        <f t="shared" ca="1" si="61"/>
        <v>홀수</v>
      </c>
      <c r="O52" s="64" t="str">
        <f t="shared" ca="1" si="61"/>
        <v>짝수</v>
      </c>
      <c r="P52" s="64" t="str">
        <f t="shared" ca="1" si="61"/>
        <v>짝수</v>
      </c>
      <c r="Q52" s="64" t="str">
        <f t="shared" ca="1" si="61"/>
        <v>짝수</v>
      </c>
      <c r="R52" s="64" t="str">
        <f t="shared" si="61"/>
        <v>짝수</v>
      </c>
      <c r="S52" s="64" t="str">
        <f t="shared" si="61"/>
        <v>짝수</v>
      </c>
      <c r="T52" s="64" t="str">
        <f t="shared" si="61"/>
        <v>짝수</v>
      </c>
      <c r="U52" s="64" t="str">
        <f t="shared" si="61"/>
        <v>짝수</v>
      </c>
      <c r="V52" s="64" t="str">
        <f t="shared" si="61"/>
        <v>짝수</v>
      </c>
      <c r="W52" s="64" t="str">
        <f t="shared" si="61"/>
        <v>짝수</v>
      </c>
      <c r="X52" s="64" t="str">
        <f t="shared" si="61"/>
        <v>짝수</v>
      </c>
      <c r="Y52" s="64" t="str">
        <f t="shared" si="61"/>
        <v>짝수</v>
      </c>
      <c r="Z52" s="64" t="str">
        <f t="shared" si="61"/>
        <v>짝수</v>
      </c>
      <c r="AA52" s="64" t="str">
        <f t="shared" si="61"/>
        <v>짝수</v>
      </c>
      <c r="AB52" s="64" t="str">
        <f t="shared" si="61"/>
        <v>짝수</v>
      </c>
      <c r="AC52" s="64" t="str">
        <f t="shared" si="61"/>
        <v>짝수</v>
      </c>
      <c r="AD52" s="64" t="str">
        <f t="shared" si="61"/>
        <v>짝수</v>
      </c>
      <c r="AE52" s="64" t="str">
        <f t="shared" si="61"/>
        <v>짝수</v>
      </c>
      <c r="AF52" s="64" t="str">
        <f t="shared" si="61"/>
        <v>짝수</v>
      </c>
      <c r="AG52" s="64" t="str">
        <f t="shared" si="61"/>
        <v>짝수</v>
      </c>
      <c r="AH52" s="64" t="str">
        <f t="shared" si="61"/>
        <v>짝수</v>
      </c>
      <c r="AI52" s="64" t="str">
        <f t="shared" si="61"/>
        <v>짝수</v>
      </c>
      <c r="AJ52" s="64" t="str">
        <f t="shared" si="61"/>
        <v>짝수</v>
      </c>
      <c r="AK52" s="64" t="str">
        <f t="shared" si="61"/>
        <v>짝수</v>
      </c>
      <c r="AL52" s="64" t="str">
        <f t="shared" si="61"/>
        <v>짝수</v>
      </c>
      <c r="AM52" s="64" t="str">
        <f t="shared" si="61"/>
        <v>짝수</v>
      </c>
      <c r="AN52" s="64" t="str">
        <f t="shared" si="61"/>
        <v>짝수</v>
      </c>
      <c r="AO52" s="64" t="str">
        <f t="shared" si="61"/>
        <v>짝수</v>
      </c>
      <c r="AP52" s="64" t="str">
        <f t="shared" si="61"/>
        <v>짝수</v>
      </c>
      <c r="AQ52" s="64" t="str">
        <f t="shared" si="61"/>
        <v>짝수</v>
      </c>
      <c r="AR52" s="64" t="str">
        <f t="shared" si="61"/>
        <v>짝수</v>
      </c>
      <c r="AS52" s="64" t="str">
        <f t="shared" si="61"/>
        <v>짝수</v>
      </c>
      <c r="AT52" s="64" t="str">
        <f t="shared" si="61"/>
        <v>짝수</v>
      </c>
      <c r="AU52" s="64" t="str">
        <f t="shared" si="61"/>
        <v>짝수</v>
      </c>
      <c r="AV52" s="257"/>
      <c r="AW52" s="257"/>
      <c r="AX52" s="257"/>
      <c r="BA52" s="299"/>
      <c r="BB52" s="343"/>
      <c r="BC52" s="344"/>
      <c r="BD52" s="343"/>
      <c r="BE52" s="150"/>
      <c r="BF52" s="137"/>
      <c r="BG52" s="211"/>
      <c r="BH52" s="330"/>
      <c r="BI52" s="300"/>
      <c r="BJ52" s="300"/>
      <c r="BK52" s="300"/>
      <c r="BL52" s="137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</row>
    <row r="53" spans="1:75">
      <c r="A53" s="499"/>
      <c r="B53" s="60" t="s">
        <v>538</v>
      </c>
      <c r="C53" s="64" t="str">
        <f t="shared" ref="C53:AU53" ca="1" si="62">IF(RIGHT(C10,1)="1","홀수",IF(RIGHT(C10,1)="3","홀수",IF(RIGHT(C10,1)="5","홀수",IF(RIGHT(C10,1)="7","홀수",IF(RIGHT(C10,1)="9","홀수","짝수")))))</f>
        <v>홀수</v>
      </c>
      <c r="D53" s="64" t="str">
        <f t="shared" ca="1" si="62"/>
        <v>짝수</v>
      </c>
      <c r="E53" s="64" t="str">
        <f t="shared" ca="1" si="62"/>
        <v>홀수</v>
      </c>
      <c r="F53" s="64" t="str">
        <f t="shared" ca="1" si="62"/>
        <v>홀수</v>
      </c>
      <c r="G53" s="64" t="str">
        <f t="shared" ca="1" si="62"/>
        <v>홀수</v>
      </c>
      <c r="H53" s="64" t="str">
        <f t="shared" ca="1" si="62"/>
        <v>짝수</v>
      </c>
      <c r="I53" s="64" t="str">
        <f t="shared" ca="1" si="62"/>
        <v>홀수</v>
      </c>
      <c r="J53" s="64" t="str">
        <f t="shared" ca="1" si="62"/>
        <v>홀수</v>
      </c>
      <c r="K53" s="64" t="str">
        <f t="shared" ca="1" si="62"/>
        <v>짝수</v>
      </c>
      <c r="L53" s="64" t="str">
        <f t="shared" ca="1" si="62"/>
        <v>홀수</v>
      </c>
      <c r="M53" s="64" t="str">
        <f t="shared" ca="1" si="62"/>
        <v>짝수</v>
      </c>
      <c r="N53" s="64" t="str">
        <f t="shared" ca="1" si="62"/>
        <v>짝수</v>
      </c>
      <c r="O53" s="64" t="str">
        <f t="shared" ca="1" si="62"/>
        <v>짝수</v>
      </c>
      <c r="P53" s="64" t="str">
        <f t="shared" ca="1" si="62"/>
        <v>짝수</v>
      </c>
      <c r="Q53" s="64" t="str">
        <f t="shared" ca="1" si="62"/>
        <v>홀수</v>
      </c>
      <c r="R53" s="64" t="str">
        <f t="shared" si="62"/>
        <v>짝수</v>
      </c>
      <c r="S53" s="64" t="str">
        <f t="shared" si="62"/>
        <v>짝수</v>
      </c>
      <c r="T53" s="64" t="str">
        <f t="shared" si="62"/>
        <v>짝수</v>
      </c>
      <c r="U53" s="64" t="str">
        <f t="shared" si="62"/>
        <v>짝수</v>
      </c>
      <c r="V53" s="64" t="str">
        <f t="shared" si="62"/>
        <v>짝수</v>
      </c>
      <c r="W53" s="64" t="str">
        <f t="shared" si="62"/>
        <v>짝수</v>
      </c>
      <c r="X53" s="64" t="str">
        <f t="shared" si="62"/>
        <v>짝수</v>
      </c>
      <c r="Y53" s="64" t="str">
        <f t="shared" si="62"/>
        <v>짝수</v>
      </c>
      <c r="Z53" s="64" t="str">
        <f t="shared" si="62"/>
        <v>짝수</v>
      </c>
      <c r="AA53" s="64" t="str">
        <f t="shared" si="62"/>
        <v>짝수</v>
      </c>
      <c r="AB53" s="64" t="str">
        <f t="shared" si="62"/>
        <v>짝수</v>
      </c>
      <c r="AC53" s="64" t="str">
        <f t="shared" si="62"/>
        <v>짝수</v>
      </c>
      <c r="AD53" s="64" t="str">
        <f t="shared" si="62"/>
        <v>짝수</v>
      </c>
      <c r="AE53" s="64" t="str">
        <f t="shared" si="62"/>
        <v>짝수</v>
      </c>
      <c r="AF53" s="64" t="str">
        <f t="shared" si="62"/>
        <v>짝수</v>
      </c>
      <c r="AG53" s="64" t="str">
        <f t="shared" si="62"/>
        <v>짝수</v>
      </c>
      <c r="AH53" s="64" t="str">
        <f t="shared" si="62"/>
        <v>짝수</v>
      </c>
      <c r="AI53" s="64" t="str">
        <f t="shared" si="62"/>
        <v>짝수</v>
      </c>
      <c r="AJ53" s="64" t="str">
        <f t="shared" si="62"/>
        <v>짝수</v>
      </c>
      <c r="AK53" s="64" t="str">
        <f t="shared" si="62"/>
        <v>짝수</v>
      </c>
      <c r="AL53" s="64" t="str">
        <f t="shared" si="62"/>
        <v>짝수</v>
      </c>
      <c r="AM53" s="64" t="str">
        <f t="shared" si="62"/>
        <v>짝수</v>
      </c>
      <c r="AN53" s="64" t="str">
        <f t="shared" si="62"/>
        <v>짝수</v>
      </c>
      <c r="AO53" s="64" t="str">
        <f t="shared" si="62"/>
        <v>짝수</v>
      </c>
      <c r="AP53" s="64" t="str">
        <f t="shared" si="62"/>
        <v>짝수</v>
      </c>
      <c r="AQ53" s="64" t="str">
        <f t="shared" si="62"/>
        <v>짝수</v>
      </c>
      <c r="AR53" s="64" t="str">
        <f t="shared" si="62"/>
        <v>짝수</v>
      </c>
      <c r="AS53" s="64" t="str">
        <f t="shared" si="62"/>
        <v>짝수</v>
      </c>
      <c r="AT53" s="64" t="str">
        <f t="shared" si="62"/>
        <v>짝수</v>
      </c>
      <c r="AU53" s="64" t="str">
        <f t="shared" si="62"/>
        <v>짝수</v>
      </c>
      <c r="AV53" s="257"/>
      <c r="AW53" s="257"/>
      <c r="AX53" s="257"/>
      <c r="BA53" s="299"/>
      <c r="BB53" s="343"/>
      <c r="BC53" s="344"/>
      <c r="BD53" s="343"/>
      <c r="BE53" s="296"/>
      <c r="BF53" s="137"/>
      <c r="BG53" s="211"/>
      <c r="BH53" s="330"/>
      <c r="BI53" s="168"/>
      <c r="BJ53" s="239"/>
      <c r="BK53" s="168"/>
      <c r="BL53" s="98"/>
      <c r="BM53" s="2"/>
      <c r="BN53" s="2"/>
      <c r="BO53" s="2"/>
      <c r="BP53" s="2"/>
    </row>
    <row r="54" spans="1:75">
      <c r="A54" s="499"/>
      <c r="B54" s="60" t="s">
        <v>539</v>
      </c>
      <c r="C54" s="64" t="str">
        <f t="shared" ref="C54:AU54" ca="1" si="63">IF(RIGHT(C11,1)="1","홀수",IF(RIGHT(C11,1)="3","홀수",IF(RIGHT(C11,1)="5","홀수",IF(RIGHT(C11,1)="7","홀수",IF(RIGHT(C11,1)="9","홀수","짝수")))))</f>
        <v>홀수</v>
      </c>
      <c r="D54" s="64" t="str">
        <f t="shared" ca="1" si="63"/>
        <v>짝수</v>
      </c>
      <c r="E54" s="64" t="str">
        <f t="shared" ca="1" si="63"/>
        <v>홀수</v>
      </c>
      <c r="F54" s="64" t="str">
        <f t="shared" ca="1" si="63"/>
        <v>홀수</v>
      </c>
      <c r="G54" s="64" t="str">
        <f t="shared" ca="1" si="63"/>
        <v>짝수</v>
      </c>
      <c r="H54" s="64" t="str">
        <f t="shared" ca="1" si="63"/>
        <v>짝수</v>
      </c>
      <c r="I54" s="64" t="str">
        <f t="shared" ca="1" si="63"/>
        <v>홀수</v>
      </c>
      <c r="J54" s="64" t="str">
        <f t="shared" ca="1" si="63"/>
        <v>짝수</v>
      </c>
      <c r="K54" s="64" t="str">
        <f t="shared" ca="1" si="63"/>
        <v>짝수</v>
      </c>
      <c r="L54" s="64" t="str">
        <f t="shared" ca="1" si="63"/>
        <v>홀수</v>
      </c>
      <c r="M54" s="64" t="str">
        <f t="shared" ca="1" si="63"/>
        <v>짝수</v>
      </c>
      <c r="N54" s="64" t="str">
        <f t="shared" ca="1" si="63"/>
        <v>짝수</v>
      </c>
      <c r="O54" s="64" t="str">
        <f t="shared" ca="1" si="63"/>
        <v>홀수</v>
      </c>
      <c r="P54" s="64" t="str">
        <f t="shared" ca="1" si="63"/>
        <v>짝수</v>
      </c>
      <c r="Q54" s="64" t="str">
        <f t="shared" ca="1" si="63"/>
        <v>홀수</v>
      </c>
      <c r="R54" s="64" t="str">
        <f t="shared" si="63"/>
        <v>짝수</v>
      </c>
      <c r="S54" s="64" t="str">
        <f t="shared" si="63"/>
        <v>짝수</v>
      </c>
      <c r="T54" s="64" t="str">
        <f t="shared" si="63"/>
        <v>짝수</v>
      </c>
      <c r="U54" s="64" t="str">
        <f t="shared" si="63"/>
        <v>짝수</v>
      </c>
      <c r="V54" s="64" t="str">
        <f t="shared" si="63"/>
        <v>짝수</v>
      </c>
      <c r="W54" s="64" t="str">
        <f t="shared" si="63"/>
        <v>짝수</v>
      </c>
      <c r="X54" s="64" t="str">
        <f t="shared" si="63"/>
        <v>짝수</v>
      </c>
      <c r="Y54" s="64" t="str">
        <f t="shared" si="63"/>
        <v>짝수</v>
      </c>
      <c r="Z54" s="64" t="str">
        <f t="shared" si="63"/>
        <v>짝수</v>
      </c>
      <c r="AA54" s="64" t="str">
        <f t="shared" si="63"/>
        <v>짝수</v>
      </c>
      <c r="AB54" s="64" t="str">
        <f t="shared" si="63"/>
        <v>짝수</v>
      </c>
      <c r="AC54" s="64" t="str">
        <f t="shared" si="63"/>
        <v>짝수</v>
      </c>
      <c r="AD54" s="64" t="str">
        <f t="shared" si="63"/>
        <v>짝수</v>
      </c>
      <c r="AE54" s="64" t="str">
        <f t="shared" si="63"/>
        <v>짝수</v>
      </c>
      <c r="AF54" s="64" t="str">
        <f t="shared" si="63"/>
        <v>짝수</v>
      </c>
      <c r="AG54" s="64" t="str">
        <f t="shared" si="63"/>
        <v>짝수</v>
      </c>
      <c r="AH54" s="64" t="str">
        <f t="shared" si="63"/>
        <v>짝수</v>
      </c>
      <c r="AI54" s="64" t="str">
        <f t="shared" si="63"/>
        <v>짝수</v>
      </c>
      <c r="AJ54" s="64" t="str">
        <f t="shared" si="63"/>
        <v>짝수</v>
      </c>
      <c r="AK54" s="64" t="str">
        <f t="shared" si="63"/>
        <v>짝수</v>
      </c>
      <c r="AL54" s="64" t="str">
        <f t="shared" si="63"/>
        <v>짝수</v>
      </c>
      <c r="AM54" s="64" t="str">
        <f t="shared" si="63"/>
        <v>짝수</v>
      </c>
      <c r="AN54" s="64" t="str">
        <f t="shared" si="63"/>
        <v>짝수</v>
      </c>
      <c r="AO54" s="64" t="str">
        <f t="shared" si="63"/>
        <v>짝수</v>
      </c>
      <c r="AP54" s="64" t="str">
        <f t="shared" si="63"/>
        <v>짝수</v>
      </c>
      <c r="AQ54" s="64" t="str">
        <f t="shared" si="63"/>
        <v>짝수</v>
      </c>
      <c r="AR54" s="64" t="str">
        <f t="shared" si="63"/>
        <v>짝수</v>
      </c>
      <c r="AS54" s="64" t="str">
        <f t="shared" si="63"/>
        <v>짝수</v>
      </c>
      <c r="AT54" s="64" t="str">
        <f t="shared" si="63"/>
        <v>짝수</v>
      </c>
      <c r="AU54" s="64" t="str">
        <f t="shared" si="63"/>
        <v>짝수</v>
      </c>
      <c r="AV54" s="257"/>
      <c r="AW54" s="257"/>
      <c r="AX54" s="257"/>
      <c r="BA54" s="299"/>
      <c r="BB54" s="343"/>
      <c r="BC54" s="344"/>
      <c r="BD54" s="343"/>
      <c r="BE54" s="296"/>
      <c r="BF54" s="137"/>
      <c r="BG54" s="211"/>
      <c r="BH54" s="330"/>
      <c r="BI54" s="271"/>
      <c r="BJ54" s="168"/>
      <c r="BK54" s="271"/>
      <c r="BL54" s="98"/>
      <c r="BM54" s="2"/>
      <c r="BN54" s="2"/>
      <c r="BO54" s="2"/>
      <c r="BP54" s="2"/>
    </row>
    <row r="55" spans="1:75">
      <c r="A55" s="499"/>
      <c r="B55" s="60" t="s">
        <v>540</v>
      </c>
      <c r="C55" s="64" t="str">
        <f t="shared" ref="C55:AU55" ca="1" si="64">IF(RIGHT(C12,1)="1","홀수",IF(RIGHT(C12,1)="3","홀수",IF(RIGHT(C12,1)="5","홀수",IF(RIGHT(C12,1)="7","홀수",IF(RIGHT(C12,1)="9","홀수","짝수")))))</f>
        <v>홀수</v>
      </c>
      <c r="D55" s="64" t="str">
        <f t="shared" ca="1" si="64"/>
        <v>홀수</v>
      </c>
      <c r="E55" s="64" t="str">
        <f t="shared" ca="1" si="64"/>
        <v>홀수</v>
      </c>
      <c r="F55" s="64" t="str">
        <f t="shared" ca="1" si="64"/>
        <v>짝수</v>
      </c>
      <c r="G55" s="64" t="str">
        <f t="shared" ca="1" si="64"/>
        <v>짝수</v>
      </c>
      <c r="H55" s="64" t="str">
        <f t="shared" ca="1" si="64"/>
        <v>짝수</v>
      </c>
      <c r="I55" s="64" t="str">
        <f t="shared" ca="1" si="64"/>
        <v>짝수</v>
      </c>
      <c r="J55" s="64" t="str">
        <f t="shared" ca="1" si="64"/>
        <v>짝수</v>
      </c>
      <c r="K55" s="64" t="str">
        <f t="shared" ca="1" si="64"/>
        <v>홀수</v>
      </c>
      <c r="L55" s="64" t="str">
        <f t="shared" ca="1" si="64"/>
        <v>짝수</v>
      </c>
      <c r="M55" s="64" t="str">
        <f t="shared" ca="1" si="64"/>
        <v>홀수</v>
      </c>
      <c r="N55" s="64" t="str">
        <f t="shared" ca="1" si="64"/>
        <v>홀수</v>
      </c>
      <c r="O55" s="64" t="str">
        <f t="shared" ca="1" si="64"/>
        <v>홀수</v>
      </c>
      <c r="P55" s="64" t="str">
        <f t="shared" ca="1" si="64"/>
        <v>짝수</v>
      </c>
      <c r="Q55" s="64" t="str">
        <f t="shared" ca="1" si="64"/>
        <v>홀수</v>
      </c>
      <c r="R55" s="64" t="str">
        <f t="shared" si="64"/>
        <v>짝수</v>
      </c>
      <c r="S55" s="64" t="str">
        <f t="shared" si="64"/>
        <v>짝수</v>
      </c>
      <c r="T55" s="64" t="str">
        <f t="shared" si="64"/>
        <v>짝수</v>
      </c>
      <c r="U55" s="64" t="str">
        <f t="shared" si="64"/>
        <v>짝수</v>
      </c>
      <c r="V55" s="64" t="str">
        <f t="shared" si="64"/>
        <v>짝수</v>
      </c>
      <c r="W55" s="64" t="str">
        <f t="shared" si="64"/>
        <v>짝수</v>
      </c>
      <c r="X55" s="64" t="str">
        <f t="shared" si="64"/>
        <v>짝수</v>
      </c>
      <c r="Y55" s="64" t="str">
        <f t="shared" si="64"/>
        <v>짝수</v>
      </c>
      <c r="Z55" s="64" t="str">
        <f t="shared" si="64"/>
        <v>짝수</v>
      </c>
      <c r="AA55" s="64" t="str">
        <f t="shared" si="64"/>
        <v>짝수</v>
      </c>
      <c r="AB55" s="64" t="str">
        <f t="shared" si="64"/>
        <v>짝수</v>
      </c>
      <c r="AC55" s="64" t="str">
        <f t="shared" si="64"/>
        <v>짝수</v>
      </c>
      <c r="AD55" s="64" t="str">
        <f t="shared" si="64"/>
        <v>짝수</v>
      </c>
      <c r="AE55" s="64" t="str">
        <f t="shared" si="64"/>
        <v>짝수</v>
      </c>
      <c r="AF55" s="64" t="str">
        <f t="shared" si="64"/>
        <v>짝수</v>
      </c>
      <c r="AG55" s="64" t="str">
        <f t="shared" si="64"/>
        <v>짝수</v>
      </c>
      <c r="AH55" s="64" t="str">
        <f t="shared" si="64"/>
        <v>짝수</v>
      </c>
      <c r="AI55" s="64" t="str">
        <f t="shared" si="64"/>
        <v>짝수</v>
      </c>
      <c r="AJ55" s="64" t="str">
        <f t="shared" si="64"/>
        <v>짝수</v>
      </c>
      <c r="AK55" s="64" t="str">
        <f t="shared" si="64"/>
        <v>짝수</v>
      </c>
      <c r="AL55" s="64" t="str">
        <f t="shared" si="64"/>
        <v>짝수</v>
      </c>
      <c r="AM55" s="64" t="str">
        <f t="shared" si="64"/>
        <v>짝수</v>
      </c>
      <c r="AN55" s="64" t="str">
        <f t="shared" si="64"/>
        <v>짝수</v>
      </c>
      <c r="AO55" s="64" t="str">
        <f t="shared" si="64"/>
        <v>짝수</v>
      </c>
      <c r="AP55" s="64" t="str">
        <f t="shared" si="64"/>
        <v>짝수</v>
      </c>
      <c r="AQ55" s="64" t="str">
        <f t="shared" si="64"/>
        <v>짝수</v>
      </c>
      <c r="AR55" s="64" t="str">
        <f t="shared" si="64"/>
        <v>짝수</v>
      </c>
      <c r="AS55" s="64" t="str">
        <f t="shared" si="64"/>
        <v>짝수</v>
      </c>
      <c r="AT55" s="64" t="str">
        <f t="shared" si="64"/>
        <v>짝수</v>
      </c>
      <c r="AU55" s="64" t="str">
        <f t="shared" si="64"/>
        <v>짝수</v>
      </c>
      <c r="AV55" s="257"/>
      <c r="AW55" s="257"/>
      <c r="AX55" s="257"/>
      <c r="BA55" s="299"/>
      <c r="BB55" s="343"/>
      <c r="BC55" s="344"/>
      <c r="BD55" s="343"/>
      <c r="BE55" s="296"/>
      <c r="BF55" s="137"/>
      <c r="BG55" s="211"/>
      <c r="BH55" s="330"/>
      <c r="BI55" s="271"/>
      <c r="BJ55" s="168"/>
      <c r="BK55" s="271"/>
      <c r="BL55" s="98"/>
      <c r="BM55" s="2"/>
      <c r="BN55" s="2"/>
      <c r="BO55" s="2"/>
      <c r="BP55" s="2"/>
    </row>
    <row r="56" spans="1:75">
      <c r="A56" s="519" t="s">
        <v>624</v>
      </c>
      <c r="B56" s="60" t="s">
        <v>562</v>
      </c>
      <c r="C56" s="78">
        <f ca="1">COUNTIF(C$50:C$55,"홀수")</f>
        <v>5</v>
      </c>
      <c r="D56" s="60">
        <f t="shared" ref="D56:Q56" ca="1" si="65">COUNTIF(D$50:D$55,"홀수")</f>
        <v>1</v>
      </c>
      <c r="E56" s="60">
        <f t="shared" ca="1" si="65"/>
        <v>5</v>
      </c>
      <c r="F56" s="60">
        <f t="shared" ca="1" si="65"/>
        <v>4</v>
      </c>
      <c r="G56" s="60">
        <f t="shared" ca="1" si="65"/>
        <v>1</v>
      </c>
      <c r="H56" s="60">
        <f t="shared" ca="1" si="65"/>
        <v>2</v>
      </c>
      <c r="I56" s="60">
        <f t="shared" ca="1" si="65"/>
        <v>4</v>
      </c>
      <c r="J56" s="60">
        <f t="shared" ca="1" si="65"/>
        <v>3</v>
      </c>
      <c r="K56" s="60">
        <f t="shared" ca="1" si="65"/>
        <v>2</v>
      </c>
      <c r="L56" s="60">
        <f t="shared" ca="1" si="65"/>
        <v>5</v>
      </c>
      <c r="M56" s="51">
        <f t="shared" ca="1" si="65"/>
        <v>3</v>
      </c>
      <c r="N56" s="51">
        <f t="shared" ca="1" si="65"/>
        <v>3</v>
      </c>
      <c r="O56" s="51">
        <f t="shared" ca="1" si="65"/>
        <v>4</v>
      </c>
      <c r="P56" s="51">
        <f t="shared" ca="1" si="65"/>
        <v>0</v>
      </c>
      <c r="Q56" s="51">
        <f t="shared" ca="1" si="65"/>
        <v>4</v>
      </c>
      <c r="R56" s="51">
        <f t="shared" ref="R56:AU56" si="66">COUNTIF(R$50:R$55,"홀수")</f>
        <v>0</v>
      </c>
      <c r="S56" s="51">
        <f t="shared" si="66"/>
        <v>0</v>
      </c>
      <c r="T56" s="51">
        <f t="shared" si="66"/>
        <v>0</v>
      </c>
      <c r="U56" s="51">
        <f t="shared" si="66"/>
        <v>0</v>
      </c>
      <c r="V56" s="51">
        <f t="shared" si="66"/>
        <v>0</v>
      </c>
      <c r="W56" s="51">
        <f t="shared" si="66"/>
        <v>0</v>
      </c>
      <c r="X56" s="51">
        <f t="shared" si="66"/>
        <v>0</v>
      </c>
      <c r="Y56" s="51">
        <f t="shared" si="66"/>
        <v>0</v>
      </c>
      <c r="Z56" s="51">
        <f t="shared" si="66"/>
        <v>0</v>
      </c>
      <c r="AA56" s="51">
        <f t="shared" si="66"/>
        <v>0</v>
      </c>
      <c r="AB56" s="51">
        <f t="shared" si="66"/>
        <v>0</v>
      </c>
      <c r="AC56" s="51">
        <f t="shared" si="66"/>
        <v>0</v>
      </c>
      <c r="AD56" s="51">
        <f t="shared" si="66"/>
        <v>0</v>
      </c>
      <c r="AE56" s="51">
        <f t="shared" si="66"/>
        <v>0</v>
      </c>
      <c r="AF56" s="51">
        <f t="shared" si="66"/>
        <v>0</v>
      </c>
      <c r="AG56" s="51">
        <f t="shared" si="66"/>
        <v>0</v>
      </c>
      <c r="AH56" s="51">
        <f t="shared" si="66"/>
        <v>0</v>
      </c>
      <c r="AI56" s="51">
        <f t="shared" si="66"/>
        <v>0</v>
      </c>
      <c r="AJ56" s="51">
        <f t="shared" si="66"/>
        <v>0</v>
      </c>
      <c r="AK56" s="51">
        <f t="shared" si="66"/>
        <v>0</v>
      </c>
      <c r="AL56" s="51">
        <f t="shared" si="66"/>
        <v>0</v>
      </c>
      <c r="AM56" s="51">
        <f t="shared" si="66"/>
        <v>0</v>
      </c>
      <c r="AN56" s="51">
        <f t="shared" si="66"/>
        <v>0</v>
      </c>
      <c r="AO56" s="51">
        <f t="shared" si="66"/>
        <v>0</v>
      </c>
      <c r="AP56" s="51">
        <f t="shared" si="66"/>
        <v>0</v>
      </c>
      <c r="AQ56" s="51">
        <f t="shared" si="66"/>
        <v>0</v>
      </c>
      <c r="AR56" s="51">
        <f t="shared" si="66"/>
        <v>0</v>
      </c>
      <c r="AS56" s="51">
        <f t="shared" si="66"/>
        <v>0</v>
      </c>
      <c r="AT56" s="51">
        <f t="shared" si="66"/>
        <v>0</v>
      </c>
      <c r="AU56" s="51">
        <f t="shared" si="66"/>
        <v>0</v>
      </c>
      <c r="AV56" s="81"/>
      <c r="AW56" s="81"/>
      <c r="AX56" s="81"/>
      <c r="BA56" s="299"/>
      <c r="BB56" s="343"/>
      <c r="BC56" s="344"/>
      <c r="BD56" s="343"/>
      <c r="BE56" s="296"/>
      <c r="BF56" s="137"/>
      <c r="BG56" s="211"/>
      <c r="BH56" s="330"/>
      <c r="BI56" s="271"/>
      <c r="BJ56" s="271"/>
      <c r="BK56" s="274"/>
      <c r="BL56" s="98"/>
      <c r="BM56" s="2"/>
      <c r="BN56" s="2"/>
      <c r="BO56" s="2"/>
      <c r="BP56" s="2"/>
    </row>
    <row r="57" spans="1:75">
      <c r="A57" s="520"/>
      <c r="B57" s="60" t="s">
        <v>563</v>
      </c>
      <c r="C57" s="78">
        <f ca="1">COUNTIF(C$50:C$55,"짝수")</f>
        <v>1</v>
      </c>
      <c r="D57" s="60">
        <f t="shared" ref="D57:Q57" ca="1" si="67">COUNTIF(D$50:D$55,"짝수")</f>
        <v>5</v>
      </c>
      <c r="E57" s="60">
        <f t="shared" ca="1" si="67"/>
        <v>1</v>
      </c>
      <c r="F57" s="60">
        <f t="shared" ca="1" si="67"/>
        <v>2</v>
      </c>
      <c r="G57" s="60">
        <f t="shared" ca="1" si="67"/>
        <v>5</v>
      </c>
      <c r="H57" s="60">
        <f t="shared" ca="1" si="67"/>
        <v>4</v>
      </c>
      <c r="I57" s="60">
        <f t="shared" ca="1" si="67"/>
        <v>2</v>
      </c>
      <c r="J57" s="60">
        <f t="shared" ca="1" si="67"/>
        <v>3</v>
      </c>
      <c r="K57" s="60">
        <f t="shared" ca="1" si="67"/>
        <v>4</v>
      </c>
      <c r="L57" s="60">
        <f t="shared" ca="1" si="67"/>
        <v>1</v>
      </c>
      <c r="M57" s="51">
        <f t="shared" ca="1" si="67"/>
        <v>3</v>
      </c>
      <c r="N57" s="51">
        <f t="shared" ca="1" si="67"/>
        <v>3</v>
      </c>
      <c r="O57" s="51">
        <f t="shared" ca="1" si="67"/>
        <v>2</v>
      </c>
      <c r="P57" s="51">
        <f t="shared" ca="1" si="67"/>
        <v>6</v>
      </c>
      <c r="Q57" s="51">
        <f t="shared" ca="1" si="67"/>
        <v>2</v>
      </c>
      <c r="R57" s="51">
        <f t="shared" ref="R57:AU57" si="68">COUNTIF(R$50:R$55,"짝수")</f>
        <v>6</v>
      </c>
      <c r="S57" s="51">
        <f t="shared" si="68"/>
        <v>6</v>
      </c>
      <c r="T57" s="51">
        <f t="shared" si="68"/>
        <v>6</v>
      </c>
      <c r="U57" s="51">
        <f t="shared" si="68"/>
        <v>6</v>
      </c>
      <c r="V57" s="51">
        <f t="shared" si="68"/>
        <v>6</v>
      </c>
      <c r="W57" s="51">
        <f t="shared" si="68"/>
        <v>6</v>
      </c>
      <c r="X57" s="51">
        <f t="shared" si="68"/>
        <v>6</v>
      </c>
      <c r="Y57" s="51">
        <f t="shared" si="68"/>
        <v>6</v>
      </c>
      <c r="Z57" s="51">
        <f t="shared" si="68"/>
        <v>6</v>
      </c>
      <c r="AA57" s="51">
        <f t="shared" si="68"/>
        <v>6</v>
      </c>
      <c r="AB57" s="51">
        <f t="shared" si="68"/>
        <v>6</v>
      </c>
      <c r="AC57" s="51">
        <f t="shared" si="68"/>
        <v>6</v>
      </c>
      <c r="AD57" s="51">
        <f t="shared" si="68"/>
        <v>6</v>
      </c>
      <c r="AE57" s="51">
        <f t="shared" si="68"/>
        <v>6</v>
      </c>
      <c r="AF57" s="51">
        <f t="shared" si="68"/>
        <v>6</v>
      </c>
      <c r="AG57" s="51">
        <f t="shared" si="68"/>
        <v>6</v>
      </c>
      <c r="AH57" s="51">
        <f t="shared" si="68"/>
        <v>6</v>
      </c>
      <c r="AI57" s="51">
        <f t="shared" si="68"/>
        <v>6</v>
      </c>
      <c r="AJ57" s="51">
        <f t="shared" si="68"/>
        <v>6</v>
      </c>
      <c r="AK57" s="51">
        <f t="shared" si="68"/>
        <v>6</v>
      </c>
      <c r="AL57" s="51">
        <f t="shared" si="68"/>
        <v>6</v>
      </c>
      <c r="AM57" s="51">
        <f t="shared" si="68"/>
        <v>6</v>
      </c>
      <c r="AN57" s="51">
        <f t="shared" si="68"/>
        <v>6</v>
      </c>
      <c r="AO57" s="51">
        <f t="shared" si="68"/>
        <v>6</v>
      </c>
      <c r="AP57" s="51">
        <f t="shared" si="68"/>
        <v>6</v>
      </c>
      <c r="AQ57" s="51">
        <f t="shared" si="68"/>
        <v>6</v>
      </c>
      <c r="AR57" s="51">
        <f t="shared" si="68"/>
        <v>6</v>
      </c>
      <c r="AS57" s="51">
        <f t="shared" si="68"/>
        <v>6</v>
      </c>
      <c r="AT57" s="51">
        <f t="shared" si="68"/>
        <v>6</v>
      </c>
      <c r="AU57" s="51">
        <f t="shared" si="68"/>
        <v>6</v>
      </c>
      <c r="AV57" s="81"/>
      <c r="AW57" s="81"/>
      <c r="AX57" s="81"/>
      <c r="BA57" s="299"/>
      <c r="BB57" s="343"/>
      <c r="BC57" s="344"/>
      <c r="BD57" s="343"/>
      <c r="BE57" s="296"/>
      <c r="BF57" s="137"/>
      <c r="BG57" s="211"/>
      <c r="BH57" s="330"/>
      <c r="BI57" s="168"/>
      <c r="BJ57" s="168"/>
      <c r="BK57" s="270"/>
      <c r="BL57" s="98"/>
      <c r="BM57" s="2"/>
      <c r="BN57" s="2"/>
      <c r="BO57" s="2"/>
      <c r="BP57" s="2"/>
    </row>
    <row r="58" spans="1:75">
      <c r="A58" s="521"/>
      <c r="B58" s="70" t="s">
        <v>632</v>
      </c>
      <c r="C58" s="79" t="str">
        <f ca="1">C56&amp;":"&amp;C57</f>
        <v>5:1</v>
      </c>
      <c r="D58" s="69" t="str">
        <f t="shared" ref="D58:Q58" ca="1" si="69">D56&amp;":"&amp;D57</f>
        <v>1:5</v>
      </c>
      <c r="E58" s="69" t="str">
        <f t="shared" ca="1" si="69"/>
        <v>5:1</v>
      </c>
      <c r="F58" s="69" t="str">
        <f t="shared" ca="1" si="69"/>
        <v>4:2</v>
      </c>
      <c r="G58" s="69" t="str">
        <f t="shared" ca="1" si="69"/>
        <v>1:5</v>
      </c>
      <c r="H58" s="69" t="str">
        <f t="shared" ca="1" si="69"/>
        <v>2:4</v>
      </c>
      <c r="I58" s="69" t="str">
        <f t="shared" ca="1" si="69"/>
        <v>4:2</v>
      </c>
      <c r="J58" s="69" t="str">
        <f t="shared" ca="1" si="69"/>
        <v>3:3</v>
      </c>
      <c r="K58" s="69" t="str">
        <f t="shared" ca="1" si="69"/>
        <v>2:4</v>
      </c>
      <c r="L58" s="69" t="str">
        <f t="shared" ca="1" si="69"/>
        <v>5:1</v>
      </c>
      <c r="M58" s="172" t="str">
        <f t="shared" ca="1" si="69"/>
        <v>3:3</v>
      </c>
      <c r="N58" s="172" t="str">
        <f t="shared" ca="1" si="69"/>
        <v>3:3</v>
      </c>
      <c r="O58" s="172" t="str">
        <f t="shared" ca="1" si="69"/>
        <v>4:2</v>
      </c>
      <c r="P58" s="172" t="str">
        <f t="shared" ca="1" si="69"/>
        <v>0:6</v>
      </c>
      <c r="Q58" s="172" t="str">
        <f t="shared" ca="1" si="69"/>
        <v>4:2</v>
      </c>
      <c r="R58" s="172" t="str">
        <f t="shared" ref="R58:AH58" si="70">R56&amp;":"&amp;R57</f>
        <v>0:6</v>
      </c>
      <c r="S58" s="172" t="str">
        <f t="shared" si="70"/>
        <v>0:6</v>
      </c>
      <c r="T58" s="172" t="str">
        <f t="shared" si="70"/>
        <v>0:6</v>
      </c>
      <c r="U58" s="172" t="str">
        <f t="shared" si="70"/>
        <v>0:6</v>
      </c>
      <c r="V58" s="172" t="str">
        <f t="shared" si="70"/>
        <v>0:6</v>
      </c>
      <c r="W58" s="172" t="str">
        <f t="shared" si="70"/>
        <v>0:6</v>
      </c>
      <c r="X58" s="172" t="str">
        <f t="shared" si="70"/>
        <v>0:6</v>
      </c>
      <c r="Y58" s="172" t="str">
        <f t="shared" si="70"/>
        <v>0:6</v>
      </c>
      <c r="Z58" s="172" t="str">
        <f t="shared" si="70"/>
        <v>0:6</v>
      </c>
      <c r="AA58" s="172" t="str">
        <f t="shared" si="70"/>
        <v>0:6</v>
      </c>
      <c r="AB58" s="172" t="str">
        <f t="shared" si="70"/>
        <v>0:6</v>
      </c>
      <c r="AC58" s="172" t="str">
        <f t="shared" si="70"/>
        <v>0:6</v>
      </c>
      <c r="AD58" s="172" t="str">
        <f t="shared" si="70"/>
        <v>0:6</v>
      </c>
      <c r="AE58" s="172" t="str">
        <f t="shared" si="70"/>
        <v>0:6</v>
      </c>
      <c r="AF58" s="172" t="str">
        <f t="shared" si="70"/>
        <v>0:6</v>
      </c>
      <c r="AG58" s="172" t="str">
        <f t="shared" si="70"/>
        <v>0:6</v>
      </c>
      <c r="AH58" s="172" t="str">
        <f t="shared" si="70"/>
        <v>0:6</v>
      </c>
      <c r="AI58" s="172" t="str">
        <f>AI56&amp;":"&amp;AI57</f>
        <v>0:6</v>
      </c>
      <c r="AJ58" s="172" t="str">
        <f>AJ56&amp;":"&amp;AJ57</f>
        <v>0:6</v>
      </c>
      <c r="AK58" s="172" t="str">
        <f>AK56&amp;":"&amp;AK57</f>
        <v>0:6</v>
      </c>
      <c r="AL58" s="172" t="str">
        <f t="shared" ref="AL58:AU58" si="71">AL56&amp;":"&amp;AL57</f>
        <v>0:6</v>
      </c>
      <c r="AM58" s="172" t="str">
        <f t="shared" si="71"/>
        <v>0:6</v>
      </c>
      <c r="AN58" s="172" t="str">
        <f t="shared" si="71"/>
        <v>0:6</v>
      </c>
      <c r="AO58" s="172" t="str">
        <f t="shared" si="71"/>
        <v>0:6</v>
      </c>
      <c r="AP58" s="172" t="str">
        <f t="shared" si="71"/>
        <v>0:6</v>
      </c>
      <c r="AQ58" s="172" t="str">
        <f t="shared" si="71"/>
        <v>0:6</v>
      </c>
      <c r="AR58" s="172" t="str">
        <f t="shared" si="71"/>
        <v>0:6</v>
      </c>
      <c r="AS58" s="172" t="str">
        <f t="shared" si="71"/>
        <v>0:6</v>
      </c>
      <c r="AT58" s="172" t="str">
        <f t="shared" si="71"/>
        <v>0:6</v>
      </c>
      <c r="AU58" s="172" t="str">
        <f t="shared" si="71"/>
        <v>0:6</v>
      </c>
      <c r="AV58" s="255"/>
      <c r="AW58" s="255"/>
      <c r="AX58" s="255"/>
      <c r="BA58" s="299"/>
      <c r="BB58" s="343"/>
      <c r="BC58" s="344"/>
      <c r="BD58" s="343"/>
      <c r="BE58" s="296"/>
      <c r="BF58" s="137"/>
      <c r="BG58" s="211"/>
      <c r="BH58" s="302"/>
      <c r="BI58" s="168"/>
      <c r="BJ58" s="168"/>
      <c r="BK58" s="270"/>
      <c r="BL58" s="98"/>
      <c r="BM58" s="2"/>
      <c r="BN58" s="2"/>
      <c r="BO58" s="2"/>
      <c r="BP58" s="2"/>
    </row>
    <row r="59" spans="1:75">
      <c r="A59" s="519" t="s">
        <v>758</v>
      </c>
      <c r="B59" s="111" t="s">
        <v>759</v>
      </c>
      <c r="C59" s="134">
        <f t="shared" ref="C59:AU59" ca="1" si="72">RANK(C7,C$7:C$12)</f>
        <v>2</v>
      </c>
      <c r="D59" s="172">
        <f t="shared" ca="1" si="72"/>
        <v>2</v>
      </c>
      <c r="E59" s="172">
        <f t="shared" ca="1" si="72"/>
        <v>6</v>
      </c>
      <c r="F59" s="172">
        <f t="shared" ca="1" si="72"/>
        <v>1</v>
      </c>
      <c r="G59" s="172">
        <f t="shared" ca="1" si="72"/>
        <v>6</v>
      </c>
      <c r="H59" s="172">
        <f t="shared" ca="1" si="72"/>
        <v>4</v>
      </c>
      <c r="I59" s="172">
        <f t="shared" ca="1" si="72"/>
        <v>2</v>
      </c>
      <c r="J59" s="172">
        <f t="shared" ca="1" si="72"/>
        <v>6</v>
      </c>
      <c r="K59" s="172">
        <f t="shared" ca="1" si="72"/>
        <v>2</v>
      </c>
      <c r="L59" s="172">
        <f t="shared" ca="1" si="72"/>
        <v>2</v>
      </c>
      <c r="M59" s="172">
        <f t="shared" ca="1" si="72"/>
        <v>6</v>
      </c>
      <c r="N59" s="172">
        <f t="shared" ca="1" si="72"/>
        <v>4</v>
      </c>
      <c r="O59" s="172">
        <f t="shared" ca="1" si="72"/>
        <v>3</v>
      </c>
      <c r="P59" s="172">
        <f t="shared" ca="1" si="72"/>
        <v>2</v>
      </c>
      <c r="Q59" s="172">
        <f t="shared" ca="1" si="72"/>
        <v>6</v>
      </c>
      <c r="R59" s="172" t="e">
        <f t="shared" si="72"/>
        <v>#N/A</v>
      </c>
      <c r="S59" s="172" t="e">
        <f t="shared" si="72"/>
        <v>#N/A</v>
      </c>
      <c r="T59" s="172" t="e">
        <f t="shared" si="72"/>
        <v>#N/A</v>
      </c>
      <c r="U59" s="172" t="e">
        <f t="shared" si="72"/>
        <v>#N/A</v>
      </c>
      <c r="V59" s="172" t="e">
        <f t="shared" si="72"/>
        <v>#N/A</v>
      </c>
      <c r="W59" s="172" t="e">
        <f t="shared" si="72"/>
        <v>#N/A</v>
      </c>
      <c r="X59" s="172" t="e">
        <f t="shared" si="72"/>
        <v>#N/A</v>
      </c>
      <c r="Y59" s="172" t="e">
        <f t="shared" si="72"/>
        <v>#N/A</v>
      </c>
      <c r="Z59" s="172" t="e">
        <f t="shared" si="72"/>
        <v>#N/A</v>
      </c>
      <c r="AA59" s="172" t="e">
        <f t="shared" si="72"/>
        <v>#N/A</v>
      </c>
      <c r="AB59" s="172" t="e">
        <f t="shared" si="72"/>
        <v>#N/A</v>
      </c>
      <c r="AC59" s="172" t="e">
        <f t="shared" si="72"/>
        <v>#N/A</v>
      </c>
      <c r="AD59" s="172" t="e">
        <f t="shared" si="72"/>
        <v>#N/A</v>
      </c>
      <c r="AE59" s="172" t="e">
        <f t="shared" si="72"/>
        <v>#N/A</v>
      </c>
      <c r="AF59" s="172" t="e">
        <f t="shared" si="72"/>
        <v>#N/A</v>
      </c>
      <c r="AG59" s="172" t="e">
        <f t="shared" si="72"/>
        <v>#N/A</v>
      </c>
      <c r="AH59" s="172" t="e">
        <f t="shared" si="72"/>
        <v>#N/A</v>
      </c>
      <c r="AI59" s="172" t="e">
        <f t="shared" si="72"/>
        <v>#N/A</v>
      </c>
      <c r="AJ59" s="172" t="e">
        <f t="shared" si="72"/>
        <v>#N/A</v>
      </c>
      <c r="AK59" s="172" t="e">
        <f t="shared" si="72"/>
        <v>#N/A</v>
      </c>
      <c r="AL59" s="172" t="e">
        <f t="shared" si="72"/>
        <v>#N/A</v>
      </c>
      <c r="AM59" s="172" t="e">
        <f t="shared" si="72"/>
        <v>#N/A</v>
      </c>
      <c r="AN59" s="172" t="e">
        <f t="shared" si="72"/>
        <v>#N/A</v>
      </c>
      <c r="AO59" s="172" t="e">
        <f t="shared" si="72"/>
        <v>#N/A</v>
      </c>
      <c r="AP59" s="172" t="e">
        <f t="shared" si="72"/>
        <v>#N/A</v>
      </c>
      <c r="AQ59" s="172" t="e">
        <f t="shared" si="72"/>
        <v>#N/A</v>
      </c>
      <c r="AR59" s="172" t="e">
        <f t="shared" si="72"/>
        <v>#N/A</v>
      </c>
      <c r="AS59" s="172" t="e">
        <f t="shared" si="72"/>
        <v>#N/A</v>
      </c>
      <c r="AT59" s="172" t="e">
        <f t="shared" si="72"/>
        <v>#N/A</v>
      </c>
      <c r="AU59" s="172" t="e">
        <f t="shared" si="72"/>
        <v>#N/A</v>
      </c>
      <c r="AV59" s="255"/>
      <c r="AW59" s="255"/>
      <c r="AX59" s="255"/>
      <c r="BA59" s="299"/>
      <c r="BB59" s="343"/>
      <c r="BC59" s="344"/>
      <c r="BD59" s="343"/>
      <c r="BE59" s="296"/>
      <c r="BF59" s="137"/>
      <c r="BH59" s="239"/>
      <c r="BI59" s="168"/>
      <c r="BJ59" s="168"/>
      <c r="BK59" s="270"/>
      <c r="BL59" s="98"/>
      <c r="BM59" s="2"/>
      <c r="BN59" s="2"/>
      <c r="BO59" s="2"/>
      <c r="BP59" s="2"/>
    </row>
    <row r="60" spans="1:75">
      <c r="A60" s="520"/>
      <c r="B60" s="111" t="s">
        <v>760</v>
      </c>
      <c r="C60" s="134">
        <f t="shared" ref="C60:AU60" ca="1" si="73">RANK(C8,C$7:C$12)</f>
        <v>1</v>
      </c>
      <c r="D60" s="172">
        <f t="shared" ca="1" si="73"/>
        <v>5</v>
      </c>
      <c r="E60" s="172">
        <f t="shared" ca="1" si="73"/>
        <v>3</v>
      </c>
      <c r="F60" s="172">
        <f t="shared" ca="1" si="73"/>
        <v>4</v>
      </c>
      <c r="G60" s="172">
        <f t="shared" ca="1" si="73"/>
        <v>2</v>
      </c>
      <c r="H60" s="172">
        <f t="shared" ca="1" si="73"/>
        <v>1</v>
      </c>
      <c r="I60" s="172">
        <f t="shared" ca="1" si="73"/>
        <v>4</v>
      </c>
      <c r="J60" s="172">
        <f t="shared" ca="1" si="73"/>
        <v>2</v>
      </c>
      <c r="K60" s="172">
        <f t="shared" ca="1" si="73"/>
        <v>4</v>
      </c>
      <c r="L60" s="172">
        <f t="shared" ca="1" si="73"/>
        <v>2</v>
      </c>
      <c r="M60" s="172">
        <f t="shared" ca="1" si="73"/>
        <v>1</v>
      </c>
      <c r="N60" s="172">
        <f t="shared" ca="1" si="73"/>
        <v>6</v>
      </c>
      <c r="O60" s="172">
        <f t="shared" ca="1" si="73"/>
        <v>2</v>
      </c>
      <c r="P60" s="172">
        <f t="shared" ca="1" si="73"/>
        <v>4</v>
      </c>
      <c r="Q60" s="172">
        <f t="shared" ca="1" si="73"/>
        <v>5</v>
      </c>
      <c r="R60" s="172" t="e">
        <f t="shared" si="73"/>
        <v>#N/A</v>
      </c>
      <c r="S60" s="172" t="e">
        <f t="shared" si="73"/>
        <v>#N/A</v>
      </c>
      <c r="T60" s="172" t="e">
        <f t="shared" si="73"/>
        <v>#N/A</v>
      </c>
      <c r="U60" s="172" t="e">
        <f t="shared" si="73"/>
        <v>#N/A</v>
      </c>
      <c r="V60" s="172" t="e">
        <f t="shared" si="73"/>
        <v>#N/A</v>
      </c>
      <c r="W60" s="172" t="e">
        <f t="shared" si="73"/>
        <v>#N/A</v>
      </c>
      <c r="X60" s="172" t="e">
        <f t="shared" si="73"/>
        <v>#N/A</v>
      </c>
      <c r="Y60" s="172" t="e">
        <f t="shared" si="73"/>
        <v>#N/A</v>
      </c>
      <c r="Z60" s="172" t="e">
        <f t="shared" si="73"/>
        <v>#N/A</v>
      </c>
      <c r="AA60" s="172" t="e">
        <f t="shared" si="73"/>
        <v>#N/A</v>
      </c>
      <c r="AB60" s="172" t="e">
        <f t="shared" si="73"/>
        <v>#N/A</v>
      </c>
      <c r="AC60" s="172" t="e">
        <f t="shared" si="73"/>
        <v>#N/A</v>
      </c>
      <c r="AD60" s="172" t="e">
        <f t="shared" si="73"/>
        <v>#N/A</v>
      </c>
      <c r="AE60" s="172" t="e">
        <f t="shared" si="73"/>
        <v>#N/A</v>
      </c>
      <c r="AF60" s="172" t="e">
        <f t="shared" si="73"/>
        <v>#N/A</v>
      </c>
      <c r="AG60" s="172" t="e">
        <f t="shared" si="73"/>
        <v>#N/A</v>
      </c>
      <c r="AH60" s="172" t="e">
        <f t="shared" si="73"/>
        <v>#N/A</v>
      </c>
      <c r="AI60" s="172" t="e">
        <f t="shared" si="73"/>
        <v>#N/A</v>
      </c>
      <c r="AJ60" s="172" t="e">
        <f t="shared" si="73"/>
        <v>#N/A</v>
      </c>
      <c r="AK60" s="172" t="e">
        <f t="shared" si="73"/>
        <v>#N/A</v>
      </c>
      <c r="AL60" s="172" t="e">
        <f t="shared" si="73"/>
        <v>#N/A</v>
      </c>
      <c r="AM60" s="172" t="e">
        <f t="shared" si="73"/>
        <v>#N/A</v>
      </c>
      <c r="AN60" s="172" t="e">
        <f t="shared" si="73"/>
        <v>#N/A</v>
      </c>
      <c r="AO60" s="172" t="e">
        <f t="shared" si="73"/>
        <v>#N/A</v>
      </c>
      <c r="AP60" s="172" t="e">
        <f t="shared" si="73"/>
        <v>#N/A</v>
      </c>
      <c r="AQ60" s="172" t="e">
        <f t="shared" si="73"/>
        <v>#N/A</v>
      </c>
      <c r="AR60" s="172" t="e">
        <f t="shared" si="73"/>
        <v>#N/A</v>
      </c>
      <c r="AS60" s="172" t="e">
        <f t="shared" si="73"/>
        <v>#N/A</v>
      </c>
      <c r="AT60" s="172" t="e">
        <f t="shared" si="73"/>
        <v>#N/A</v>
      </c>
      <c r="AU60" s="172" t="e">
        <f t="shared" si="73"/>
        <v>#N/A</v>
      </c>
      <c r="AV60" s="255"/>
      <c r="AW60" s="255"/>
      <c r="AX60" s="255"/>
      <c r="BA60" s="299"/>
      <c r="BB60" s="343"/>
      <c r="BC60" s="344"/>
      <c r="BD60" s="343"/>
      <c r="BE60" s="296"/>
      <c r="BF60" s="137"/>
      <c r="BH60" s="168"/>
      <c r="BI60" s="168"/>
      <c r="BJ60" s="168"/>
      <c r="BK60" s="271"/>
      <c r="BL60" s="98"/>
      <c r="BM60" s="2"/>
      <c r="BN60" s="2"/>
      <c r="BO60" s="2"/>
      <c r="BP60" s="2"/>
    </row>
    <row r="61" spans="1:75">
      <c r="A61" s="520"/>
      <c r="B61" s="111" t="s">
        <v>761</v>
      </c>
      <c r="C61" s="134">
        <f t="shared" ref="C61:AU61" ca="1" si="74">RANK(C9,C$7:C$12)</f>
        <v>4</v>
      </c>
      <c r="D61" s="172">
        <f t="shared" ca="1" si="74"/>
        <v>4</v>
      </c>
      <c r="E61" s="172">
        <f t="shared" ca="1" si="74"/>
        <v>5</v>
      </c>
      <c r="F61" s="172">
        <f t="shared" ca="1" si="74"/>
        <v>1</v>
      </c>
      <c r="G61" s="172">
        <f t="shared" ca="1" si="74"/>
        <v>1</v>
      </c>
      <c r="H61" s="172">
        <f t="shared" ca="1" si="74"/>
        <v>2</v>
      </c>
      <c r="I61" s="172">
        <f t="shared" ca="1" si="74"/>
        <v>5</v>
      </c>
      <c r="J61" s="172">
        <f t="shared" ca="1" si="74"/>
        <v>4</v>
      </c>
      <c r="K61" s="172">
        <f t="shared" ca="1" si="74"/>
        <v>3</v>
      </c>
      <c r="L61" s="172">
        <f t="shared" ca="1" si="74"/>
        <v>6</v>
      </c>
      <c r="M61" s="172">
        <f t="shared" ca="1" si="74"/>
        <v>2</v>
      </c>
      <c r="N61" s="172">
        <f t="shared" ca="1" si="74"/>
        <v>3</v>
      </c>
      <c r="O61" s="172">
        <f t="shared" ca="1" si="74"/>
        <v>6</v>
      </c>
      <c r="P61" s="172">
        <f t="shared" ca="1" si="74"/>
        <v>1</v>
      </c>
      <c r="Q61" s="172">
        <f t="shared" ca="1" si="74"/>
        <v>4</v>
      </c>
      <c r="R61" s="172" t="e">
        <f t="shared" si="74"/>
        <v>#N/A</v>
      </c>
      <c r="S61" s="172" t="e">
        <f t="shared" si="74"/>
        <v>#N/A</v>
      </c>
      <c r="T61" s="172" t="e">
        <f t="shared" si="74"/>
        <v>#N/A</v>
      </c>
      <c r="U61" s="172" t="e">
        <f t="shared" si="74"/>
        <v>#N/A</v>
      </c>
      <c r="V61" s="172" t="e">
        <f t="shared" si="74"/>
        <v>#N/A</v>
      </c>
      <c r="W61" s="172" t="e">
        <f t="shared" si="74"/>
        <v>#N/A</v>
      </c>
      <c r="X61" s="172" t="e">
        <f t="shared" si="74"/>
        <v>#N/A</v>
      </c>
      <c r="Y61" s="172" t="e">
        <f t="shared" si="74"/>
        <v>#N/A</v>
      </c>
      <c r="Z61" s="172" t="e">
        <f t="shared" si="74"/>
        <v>#N/A</v>
      </c>
      <c r="AA61" s="172" t="e">
        <f t="shared" si="74"/>
        <v>#N/A</v>
      </c>
      <c r="AB61" s="172" t="e">
        <f t="shared" si="74"/>
        <v>#N/A</v>
      </c>
      <c r="AC61" s="172" t="e">
        <f t="shared" si="74"/>
        <v>#N/A</v>
      </c>
      <c r="AD61" s="172" t="e">
        <f t="shared" si="74"/>
        <v>#N/A</v>
      </c>
      <c r="AE61" s="172" t="e">
        <f t="shared" si="74"/>
        <v>#N/A</v>
      </c>
      <c r="AF61" s="172" t="e">
        <f t="shared" si="74"/>
        <v>#N/A</v>
      </c>
      <c r="AG61" s="172" t="e">
        <f t="shared" si="74"/>
        <v>#N/A</v>
      </c>
      <c r="AH61" s="172" t="e">
        <f t="shared" si="74"/>
        <v>#N/A</v>
      </c>
      <c r="AI61" s="172" t="e">
        <f t="shared" si="74"/>
        <v>#N/A</v>
      </c>
      <c r="AJ61" s="172" t="e">
        <f t="shared" si="74"/>
        <v>#N/A</v>
      </c>
      <c r="AK61" s="172" t="e">
        <f t="shared" si="74"/>
        <v>#N/A</v>
      </c>
      <c r="AL61" s="172" t="e">
        <f t="shared" si="74"/>
        <v>#N/A</v>
      </c>
      <c r="AM61" s="172" t="e">
        <f t="shared" si="74"/>
        <v>#N/A</v>
      </c>
      <c r="AN61" s="172" t="e">
        <f t="shared" si="74"/>
        <v>#N/A</v>
      </c>
      <c r="AO61" s="172" t="e">
        <f t="shared" si="74"/>
        <v>#N/A</v>
      </c>
      <c r="AP61" s="172" t="e">
        <f t="shared" si="74"/>
        <v>#N/A</v>
      </c>
      <c r="AQ61" s="172" t="e">
        <f t="shared" si="74"/>
        <v>#N/A</v>
      </c>
      <c r="AR61" s="172" t="e">
        <f t="shared" si="74"/>
        <v>#N/A</v>
      </c>
      <c r="AS61" s="172" t="e">
        <f t="shared" si="74"/>
        <v>#N/A</v>
      </c>
      <c r="AT61" s="172" t="e">
        <f t="shared" si="74"/>
        <v>#N/A</v>
      </c>
      <c r="AU61" s="172" t="e">
        <f t="shared" si="74"/>
        <v>#N/A</v>
      </c>
      <c r="AV61" s="255"/>
      <c r="AW61" s="255"/>
      <c r="AX61" s="255"/>
      <c r="BA61" s="299"/>
      <c r="BB61" s="343"/>
      <c r="BC61" s="344"/>
      <c r="BD61" s="343"/>
      <c r="BE61" s="296"/>
      <c r="BF61" s="137"/>
      <c r="BH61" s="168"/>
      <c r="BI61" s="168"/>
      <c r="BJ61" s="168"/>
      <c r="BK61" s="271"/>
      <c r="BL61" s="98"/>
      <c r="BM61" s="2"/>
      <c r="BN61" s="2"/>
      <c r="BO61" s="2"/>
      <c r="BP61" s="2"/>
    </row>
    <row r="62" spans="1:75">
      <c r="A62" s="520"/>
      <c r="B62" s="111" t="s">
        <v>762</v>
      </c>
      <c r="C62" s="134">
        <f t="shared" ref="C62:AU62" ca="1" si="75">RANK(C10,C$7:C$12)</f>
        <v>4</v>
      </c>
      <c r="D62" s="172">
        <f t="shared" ca="1" si="75"/>
        <v>1</v>
      </c>
      <c r="E62" s="172">
        <f t="shared" ca="1" si="75"/>
        <v>4</v>
      </c>
      <c r="F62" s="172">
        <f t="shared" ca="1" si="75"/>
        <v>1</v>
      </c>
      <c r="G62" s="172">
        <f t="shared" ca="1" si="75"/>
        <v>5</v>
      </c>
      <c r="H62" s="172">
        <f t="shared" ca="1" si="75"/>
        <v>5</v>
      </c>
      <c r="I62" s="172">
        <f t="shared" ca="1" si="75"/>
        <v>1</v>
      </c>
      <c r="J62" s="172">
        <f t="shared" ca="1" si="75"/>
        <v>5</v>
      </c>
      <c r="K62" s="172">
        <f t="shared" ca="1" si="75"/>
        <v>1</v>
      </c>
      <c r="L62" s="172">
        <f t="shared" ca="1" si="75"/>
        <v>2</v>
      </c>
      <c r="M62" s="172">
        <f t="shared" ca="1" si="75"/>
        <v>3</v>
      </c>
      <c r="N62" s="172">
        <f t="shared" ca="1" si="75"/>
        <v>5</v>
      </c>
      <c r="O62" s="172">
        <f t="shared" ca="1" si="75"/>
        <v>4</v>
      </c>
      <c r="P62" s="172">
        <f t="shared" ca="1" si="75"/>
        <v>5</v>
      </c>
      <c r="Q62" s="172">
        <f t="shared" ca="1" si="75"/>
        <v>2</v>
      </c>
      <c r="R62" s="172" t="e">
        <f t="shared" si="75"/>
        <v>#N/A</v>
      </c>
      <c r="S62" s="172" t="e">
        <f t="shared" si="75"/>
        <v>#N/A</v>
      </c>
      <c r="T62" s="172" t="e">
        <f t="shared" si="75"/>
        <v>#N/A</v>
      </c>
      <c r="U62" s="172" t="e">
        <f t="shared" si="75"/>
        <v>#N/A</v>
      </c>
      <c r="V62" s="172" t="e">
        <f t="shared" si="75"/>
        <v>#N/A</v>
      </c>
      <c r="W62" s="172" t="e">
        <f t="shared" si="75"/>
        <v>#N/A</v>
      </c>
      <c r="X62" s="172" t="e">
        <f t="shared" si="75"/>
        <v>#N/A</v>
      </c>
      <c r="Y62" s="172" t="e">
        <f t="shared" si="75"/>
        <v>#N/A</v>
      </c>
      <c r="Z62" s="172" t="e">
        <f t="shared" si="75"/>
        <v>#N/A</v>
      </c>
      <c r="AA62" s="172" t="e">
        <f t="shared" si="75"/>
        <v>#N/A</v>
      </c>
      <c r="AB62" s="172" t="e">
        <f t="shared" si="75"/>
        <v>#N/A</v>
      </c>
      <c r="AC62" s="172" t="e">
        <f t="shared" si="75"/>
        <v>#N/A</v>
      </c>
      <c r="AD62" s="172" t="e">
        <f t="shared" si="75"/>
        <v>#N/A</v>
      </c>
      <c r="AE62" s="172" t="e">
        <f t="shared" si="75"/>
        <v>#N/A</v>
      </c>
      <c r="AF62" s="172" t="e">
        <f t="shared" si="75"/>
        <v>#N/A</v>
      </c>
      <c r="AG62" s="172" t="e">
        <f t="shared" si="75"/>
        <v>#N/A</v>
      </c>
      <c r="AH62" s="172" t="e">
        <f t="shared" si="75"/>
        <v>#N/A</v>
      </c>
      <c r="AI62" s="172" t="e">
        <f t="shared" si="75"/>
        <v>#N/A</v>
      </c>
      <c r="AJ62" s="172" t="e">
        <f t="shared" si="75"/>
        <v>#N/A</v>
      </c>
      <c r="AK62" s="172" t="e">
        <f t="shared" si="75"/>
        <v>#N/A</v>
      </c>
      <c r="AL62" s="172" t="e">
        <f t="shared" si="75"/>
        <v>#N/A</v>
      </c>
      <c r="AM62" s="172" t="e">
        <f t="shared" si="75"/>
        <v>#N/A</v>
      </c>
      <c r="AN62" s="172" t="e">
        <f t="shared" si="75"/>
        <v>#N/A</v>
      </c>
      <c r="AO62" s="172" t="e">
        <f t="shared" si="75"/>
        <v>#N/A</v>
      </c>
      <c r="AP62" s="172" t="e">
        <f t="shared" si="75"/>
        <v>#N/A</v>
      </c>
      <c r="AQ62" s="172" t="e">
        <f t="shared" si="75"/>
        <v>#N/A</v>
      </c>
      <c r="AR62" s="172" t="e">
        <f t="shared" si="75"/>
        <v>#N/A</v>
      </c>
      <c r="AS62" s="172" t="e">
        <f t="shared" si="75"/>
        <v>#N/A</v>
      </c>
      <c r="AT62" s="172" t="e">
        <f t="shared" si="75"/>
        <v>#N/A</v>
      </c>
      <c r="AU62" s="172" t="e">
        <f t="shared" si="75"/>
        <v>#N/A</v>
      </c>
      <c r="AV62" s="255"/>
      <c r="AW62" s="255"/>
      <c r="AX62" s="255"/>
      <c r="BA62" s="299"/>
      <c r="BB62" s="343"/>
      <c r="BC62" s="344"/>
      <c r="BD62" s="343"/>
      <c r="BE62" s="296"/>
      <c r="BF62" s="137"/>
      <c r="BH62" s="168"/>
      <c r="BI62" s="168"/>
      <c r="BJ62" s="168"/>
      <c r="BK62" s="2"/>
      <c r="BL62" s="98"/>
      <c r="BM62" s="2"/>
      <c r="BN62" s="2"/>
      <c r="BO62" s="2"/>
      <c r="BP62" s="2"/>
    </row>
    <row r="63" spans="1:75">
      <c r="A63" s="520"/>
      <c r="B63" s="111" t="s">
        <v>763</v>
      </c>
      <c r="C63" s="134">
        <f t="shared" ref="C63:AU63" ca="1" si="76">RANK(C11,C$7:C$12)</f>
        <v>3</v>
      </c>
      <c r="D63" s="172">
        <f t="shared" ca="1" si="76"/>
        <v>6</v>
      </c>
      <c r="E63" s="172">
        <f t="shared" ca="1" si="76"/>
        <v>2</v>
      </c>
      <c r="F63" s="172">
        <f t="shared" ca="1" si="76"/>
        <v>5</v>
      </c>
      <c r="G63" s="172">
        <f t="shared" ca="1" si="76"/>
        <v>4</v>
      </c>
      <c r="H63" s="172">
        <f t="shared" ca="1" si="76"/>
        <v>3</v>
      </c>
      <c r="I63" s="172">
        <f t="shared" ca="1" si="76"/>
        <v>5</v>
      </c>
      <c r="J63" s="172">
        <f t="shared" ca="1" si="76"/>
        <v>3</v>
      </c>
      <c r="K63" s="172">
        <f t="shared" ca="1" si="76"/>
        <v>5</v>
      </c>
      <c r="L63" s="172">
        <f t="shared" ca="1" si="76"/>
        <v>1</v>
      </c>
      <c r="M63" s="172">
        <f t="shared" ca="1" si="76"/>
        <v>5</v>
      </c>
      <c r="N63" s="172">
        <f t="shared" ca="1" si="76"/>
        <v>1</v>
      </c>
      <c r="O63" s="172">
        <f t="shared" ca="1" si="76"/>
        <v>5</v>
      </c>
      <c r="P63" s="172">
        <f t="shared" ca="1" si="76"/>
        <v>2</v>
      </c>
      <c r="Q63" s="172">
        <f t="shared" ca="1" si="76"/>
        <v>1</v>
      </c>
      <c r="R63" s="172" t="e">
        <f t="shared" si="76"/>
        <v>#N/A</v>
      </c>
      <c r="S63" s="172" t="e">
        <f t="shared" si="76"/>
        <v>#N/A</v>
      </c>
      <c r="T63" s="172" t="e">
        <f t="shared" si="76"/>
        <v>#N/A</v>
      </c>
      <c r="U63" s="172" t="e">
        <f t="shared" si="76"/>
        <v>#N/A</v>
      </c>
      <c r="V63" s="172" t="e">
        <f t="shared" si="76"/>
        <v>#N/A</v>
      </c>
      <c r="W63" s="172" t="e">
        <f t="shared" si="76"/>
        <v>#N/A</v>
      </c>
      <c r="X63" s="172" t="e">
        <f t="shared" si="76"/>
        <v>#N/A</v>
      </c>
      <c r="Y63" s="172" t="e">
        <f t="shared" si="76"/>
        <v>#N/A</v>
      </c>
      <c r="Z63" s="172" t="e">
        <f t="shared" si="76"/>
        <v>#N/A</v>
      </c>
      <c r="AA63" s="172" t="e">
        <f t="shared" si="76"/>
        <v>#N/A</v>
      </c>
      <c r="AB63" s="172" t="e">
        <f t="shared" si="76"/>
        <v>#N/A</v>
      </c>
      <c r="AC63" s="172" t="e">
        <f t="shared" si="76"/>
        <v>#N/A</v>
      </c>
      <c r="AD63" s="172" t="e">
        <f t="shared" si="76"/>
        <v>#N/A</v>
      </c>
      <c r="AE63" s="172" t="e">
        <f t="shared" si="76"/>
        <v>#N/A</v>
      </c>
      <c r="AF63" s="172" t="e">
        <f t="shared" si="76"/>
        <v>#N/A</v>
      </c>
      <c r="AG63" s="172" t="e">
        <f t="shared" si="76"/>
        <v>#N/A</v>
      </c>
      <c r="AH63" s="172" t="e">
        <f t="shared" si="76"/>
        <v>#N/A</v>
      </c>
      <c r="AI63" s="172" t="e">
        <f t="shared" si="76"/>
        <v>#N/A</v>
      </c>
      <c r="AJ63" s="172" t="e">
        <f t="shared" si="76"/>
        <v>#N/A</v>
      </c>
      <c r="AK63" s="172" t="e">
        <f t="shared" si="76"/>
        <v>#N/A</v>
      </c>
      <c r="AL63" s="172" t="e">
        <f t="shared" si="76"/>
        <v>#N/A</v>
      </c>
      <c r="AM63" s="172" t="e">
        <f t="shared" si="76"/>
        <v>#N/A</v>
      </c>
      <c r="AN63" s="172" t="e">
        <f t="shared" si="76"/>
        <v>#N/A</v>
      </c>
      <c r="AO63" s="172" t="e">
        <f t="shared" si="76"/>
        <v>#N/A</v>
      </c>
      <c r="AP63" s="172" t="e">
        <f t="shared" si="76"/>
        <v>#N/A</v>
      </c>
      <c r="AQ63" s="172" t="e">
        <f t="shared" si="76"/>
        <v>#N/A</v>
      </c>
      <c r="AR63" s="172" t="e">
        <f t="shared" si="76"/>
        <v>#N/A</v>
      </c>
      <c r="AS63" s="172" t="e">
        <f t="shared" si="76"/>
        <v>#N/A</v>
      </c>
      <c r="AT63" s="172" t="e">
        <f t="shared" si="76"/>
        <v>#N/A</v>
      </c>
      <c r="AU63" s="172" t="e">
        <f t="shared" si="76"/>
        <v>#N/A</v>
      </c>
      <c r="AV63" s="255"/>
      <c r="AW63" s="255"/>
      <c r="AX63" s="255"/>
      <c r="BA63" s="299"/>
      <c r="BB63" s="341"/>
      <c r="BC63" s="345"/>
      <c r="BD63" s="343"/>
      <c r="BF63" s="344"/>
      <c r="BH63" s="168"/>
      <c r="BI63" s="271"/>
      <c r="BJ63" s="168"/>
      <c r="BK63" s="2"/>
      <c r="BM63" s="2"/>
      <c r="BN63" s="2"/>
      <c r="BO63" s="2"/>
      <c r="BP63" s="2"/>
    </row>
    <row r="64" spans="1:75">
      <c r="A64" s="521"/>
      <c r="B64" s="111" t="s">
        <v>764</v>
      </c>
      <c r="C64" s="134">
        <f t="shared" ref="C64:AU64" ca="1" si="77">RANK(C12,C$7:C$12)</f>
        <v>6</v>
      </c>
      <c r="D64" s="172">
        <f t="shared" ca="1" si="77"/>
        <v>3</v>
      </c>
      <c r="E64" s="172">
        <f t="shared" ca="1" si="77"/>
        <v>1</v>
      </c>
      <c r="F64" s="172">
        <f t="shared" ca="1" si="77"/>
        <v>6</v>
      </c>
      <c r="G64" s="172">
        <f t="shared" ca="1" si="77"/>
        <v>3</v>
      </c>
      <c r="H64" s="172">
        <f t="shared" ca="1" si="77"/>
        <v>6</v>
      </c>
      <c r="I64" s="172">
        <f t="shared" ca="1" si="77"/>
        <v>3</v>
      </c>
      <c r="J64" s="172">
        <f t="shared" ca="1" si="77"/>
        <v>1</v>
      </c>
      <c r="K64" s="172">
        <f t="shared" ca="1" si="77"/>
        <v>6</v>
      </c>
      <c r="L64" s="172">
        <f t="shared" ca="1" si="77"/>
        <v>5</v>
      </c>
      <c r="M64" s="172">
        <f t="shared" ca="1" si="77"/>
        <v>4</v>
      </c>
      <c r="N64" s="172">
        <f t="shared" ca="1" si="77"/>
        <v>2</v>
      </c>
      <c r="O64" s="172">
        <f t="shared" ca="1" si="77"/>
        <v>1</v>
      </c>
      <c r="P64" s="172">
        <f t="shared" ca="1" si="77"/>
        <v>5</v>
      </c>
      <c r="Q64" s="172">
        <f ca="1">RANK(Q12,Q$7:Q$12)</f>
        <v>3</v>
      </c>
      <c r="R64" s="172" t="e">
        <f t="shared" si="77"/>
        <v>#N/A</v>
      </c>
      <c r="S64" s="172" t="e">
        <f t="shared" si="77"/>
        <v>#N/A</v>
      </c>
      <c r="T64" s="172" t="e">
        <f t="shared" si="77"/>
        <v>#N/A</v>
      </c>
      <c r="U64" s="172" t="e">
        <f t="shared" si="77"/>
        <v>#N/A</v>
      </c>
      <c r="V64" s="172" t="e">
        <f t="shared" si="77"/>
        <v>#N/A</v>
      </c>
      <c r="W64" s="172" t="e">
        <f t="shared" si="77"/>
        <v>#N/A</v>
      </c>
      <c r="X64" s="172" t="e">
        <f t="shared" si="77"/>
        <v>#N/A</v>
      </c>
      <c r="Y64" s="172" t="e">
        <f t="shared" si="77"/>
        <v>#N/A</v>
      </c>
      <c r="Z64" s="172" t="e">
        <f t="shared" si="77"/>
        <v>#N/A</v>
      </c>
      <c r="AA64" s="172" t="e">
        <f t="shared" si="77"/>
        <v>#N/A</v>
      </c>
      <c r="AB64" s="172" t="e">
        <f t="shared" si="77"/>
        <v>#N/A</v>
      </c>
      <c r="AC64" s="172" t="e">
        <f t="shared" si="77"/>
        <v>#N/A</v>
      </c>
      <c r="AD64" s="172" t="e">
        <f t="shared" si="77"/>
        <v>#N/A</v>
      </c>
      <c r="AE64" s="172" t="e">
        <f t="shared" si="77"/>
        <v>#N/A</v>
      </c>
      <c r="AF64" s="172" t="e">
        <f t="shared" si="77"/>
        <v>#N/A</v>
      </c>
      <c r="AG64" s="172" t="e">
        <f t="shared" si="77"/>
        <v>#N/A</v>
      </c>
      <c r="AH64" s="172" t="e">
        <f t="shared" si="77"/>
        <v>#N/A</v>
      </c>
      <c r="AI64" s="172" t="e">
        <f t="shared" si="77"/>
        <v>#N/A</v>
      </c>
      <c r="AJ64" s="172" t="e">
        <f t="shared" si="77"/>
        <v>#N/A</v>
      </c>
      <c r="AK64" s="172" t="e">
        <f t="shared" si="77"/>
        <v>#N/A</v>
      </c>
      <c r="AL64" s="172" t="e">
        <f t="shared" si="77"/>
        <v>#N/A</v>
      </c>
      <c r="AM64" s="172" t="e">
        <f t="shared" si="77"/>
        <v>#N/A</v>
      </c>
      <c r="AN64" s="172" t="e">
        <f t="shared" si="77"/>
        <v>#N/A</v>
      </c>
      <c r="AO64" s="172" t="e">
        <f t="shared" si="77"/>
        <v>#N/A</v>
      </c>
      <c r="AP64" s="172" t="e">
        <f t="shared" si="77"/>
        <v>#N/A</v>
      </c>
      <c r="AQ64" s="172" t="e">
        <f t="shared" si="77"/>
        <v>#N/A</v>
      </c>
      <c r="AR64" s="172" t="e">
        <f t="shared" si="77"/>
        <v>#N/A</v>
      </c>
      <c r="AS64" s="172" t="e">
        <f t="shared" si="77"/>
        <v>#N/A</v>
      </c>
      <c r="AT64" s="172" t="e">
        <f t="shared" si="77"/>
        <v>#N/A</v>
      </c>
      <c r="AU64" s="172" t="e">
        <f t="shared" si="77"/>
        <v>#N/A</v>
      </c>
      <c r="AV64" s="255"/>
      <c r="AW64" s="255"/>
      <c r="AX64" s="255"/>
      <c r="BA64" s="299"/>
      <c r="BB64" s="341"/>
      <c r="BC64" s="345"/>
      <c r="BD64" s="343"/>
      <c r="BF64" s="344"/>
      <c r="BH64" s="2"/>
      <c r="BI64" s="2"/>
      <c r="BJ64" s="2"/>
      <c r="BK64" s="2"/>
      <c r="BM64" s="2"/>
      <c r="BN64" s="2"/>
      <c r="BO64" s="2"/>
      <c r="BP64" s="2"/>
    </row>
    <row r="65" spans="1:68">
      <c r="A65" s="135"/>
      <c r="B65" s="111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72"/>
      <c r="N65" s="172"/>
      <c r="O65" s="172"/>
      <c r="P65" s="172"/>
      <c r="Q65" s="172"/>
      <c r="R65" s="172"/>
      <c r="S65" s="172"/>
      <c r="T65" s="172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255"/>
      <c r="AW65" s="255"/>
      <c r="AX65" s="255"/>
      <c r="BA65" s="330"/>
      <c r="BB65" s="341"/>
      <c r="BC65" s="345"/>
      <c r="BD65" s="343"/>
      <c r="BF65" s="345"/>
      <c r="BH65" s="2"/>
      <c r="BI65" s="2"/>
      <c r="BJ65" s="2"/>
      <c r="BK65" s="2"/>
      <c r="BM65" s="2"/>
      <c r="BN65" s="2"/>
      <c r="BO65" s="2"/>
      <c r="BP65" s="2"/>
    </row>
    <row r="66" spans="1:68">
      <c r="A66" s="523" t="s">
        <v>579</v>
      </c>
      <c r="B66" s="60" t="s">
        <v>565</v>
      </c>
      <c r="C66" s="78" t="str">
        <f t="shared" ref="C66:AU66" ca="1" si="78">IF(RIGHT(C7,1)=RIGHT(C8,1),"O",IF(RIGHT(C7,1)=RIGHT(C9,1),"O",IF(RIGHT(C7,1)=RIGHT(C10,1),"O",IF(RIGHT(C7,1)=RIGHT(C11,1),"O",IF(RIGHT(C7,1)=RIGHT(C12,1),"O","X")))))</f>
        <v>X</v>
      </c>
      <c r="D66" s="60" t="str">
        <f t="shared" ca="1" si="78"/>
        <v>X</v>
      </c>
      <c r="E66" s="60" t="str">
        <f t="shared" ca="1" si="78"/>
        <v>O</v>
      </c>
      <c r="F66" s="60" t="str">
        <f t="shared" ca="1" si="78"/>
        <v>O</v>
      </c>
      <c r="G66" s="60" t="str">
        <f t="shared" ca="1" si="78"/>
        <v>O</v>
      </c>
      <c r="H66" s="60" t="str">
        <f t="shared" ca="1" si="78"/>
        <v>X</v>
      </c>
      <c r="I66" s="60" t="str">
        <f t="shared" ca="1" si="78"/>
        <v>X</v>
      </c>
      <c r="J66" s="60" t="str">
        <f t="shared" ca="1" si="78"/>
        <v>O</v>
      </c>
      <c r="K66" s="60" t="str">
        <f t="shared" ca="1" si="78"/>
        <v>X</v>
      </c>
      <c r="L66" s="60" t="str">
        <f t="shared" ca="1" si="78"/>
        <v>O</v>
      </c>
      <c r="M66" s="212" t="str">
        <f t="shared" ca="1" si="78"/>
        <v>X</v>
      </c>
      <c r="N66" s="242" t="str">
        <f t="shared" ca="1" si="78"/>
        <v>X</v>
      </c>
      <c r="O66" s="242" t="str">
        <f t="shared" ca="1" si="78"/>
        <v>X</v>
      </c>
      <c r="P66" s="242" t="str">
        <f t="shared" ca="1" si="78"/>
        <v>O</v>
      </c>
      <c r="Q66" s="242" t="str">
        <f t="shared" ca="1" si="78"/>
        <v>X</v>
      </c>
      <c r="R66" s="242" t="str">
        <f t="shared" si="78"/>
        <v>O</v>
      </c>
      <c r="S66" s="242" t="str">
        <f t="shared" si="78"/>
        <v>O</v>
      </c>
      <c r="T66" s="242" t="str">
        <f t="shared" si="78"/>
        <v>O</v>
      </c>
      <c r="U66" s="242" t="str">
        <f t="shared" si="78"/>
        <v>O</v>
      </c>
      <c r="V66" s="242" t="str">
        <f t="shared" si="78"/>
        <v>O</v>
      </c>
      <c r="W66" s="242" t="str">
        <f t="shared" si="78"/>
        <v>O</v>
      </c>
      <c r="X66" s="242" t="str">
        <f t="shared" si="78"/>
        <v>O</v>
      </c>
      <c r="Y66" s="242" t="str">
        <f t="shared" si="78"/>
        <v>O</v>
      </c>
      <c r="Z66" s="242" t="str">
        <f t="shared" si="78"/>
        <v>O</v>
      </c>
      <c r="AA66" s="242" t="str">
        <f t="shared" si="78"/>
        <v>O</v>
      </c>
      <c r="AB66" s="242" t="str">
        <f t="shared" si="78"/>
        <v>O</v>
      </c>
      <c r="AC66" s="242" t="str">
        <f t="shared" si="78"/>
        <v>O</v>
      </c>
      <c r="AD66" s="242" t="str">
        <f t="shared" si="78"/>
        <v>O</v>
      </c>
      <c r="AE66" s="242" t="str">
        <f t="shared" si="78"/>
        <v>O</v>
      </c>
      <c r="AF66" s="242" t="str">
        <f t="shared" si="78"/>
        <v>O</v>
      </c>
      <c r="AG66" s="242" t="str">
        <f t="shared" si="78"/>
        <v>O</v>
      </c>
      <c r="AH66" s="242" t="str">
        <f t="shared" si="78"/>
        <v>O</v>
      </c>
      <c r="AI66" s="242" t="str">
        <f t="shared" si="78"/>
        <v>O</v>
      </c>
      <c r="AJ66" s="242" t="str">
        <f t="shared" si="78"/>
        <v>O</v>
      </c>
      <c r="AK66" s="242" t="str">
        <f t="shared" si="78"/>
        <v>O</v>
      </c>
      <c r="AL66" s="308" t="str">
        <f t="shared" si="78"/>
        <v>O</v>
      </c>
      <c r="AM66" s="308" t="str">
        <f t="shared" si="78"/>
        <v>O</v>
      </c>
      <c r="AN66" s="308" t="str">
        <f t="shared" si="78"/>
        <v>O</v>
      </c>
      <c r="AO66" s="308" t="str">
        <f t="shared" si="78"/>
        <v>O</v>
      </c>
      <c r="AP66" s="308" t="str">
        <f t="shared" si="78"/>
        <v>O</v>
      </c>
      <c r="AQ66" s="308" t="str">
        <f t="shared" si="78"/>
        <v>O</v>
      </c>
      <c r="AR66" s="308" t="str">
        <f t="shared" si="78"/>
        <v>O</v>
      </c>
      <c r="AS66" s="308" t="str">
        <f t="shared" si="78"/>
        <v>O</v>
      </c>
      <c r="AT66" s="308" t="str">
        <f t="shared" si="78"/>
        <v>O</v>
      </c>
      <c r="AU66" s="308" t="str">
        <f t="shared" si="78"/>
        <v>O</v>
      </c>
      <c r="AV66" s="205"/>
      <c r="AW66" s="205"/>
      <c r="AX66" s="205"/>
      <c r="BA66" s="341"/>
      <c r="BB66" s="340"/>
      <c r="BC66" s="344"/>
      <c r="BD66" s="343"/>
      <c r="BF66" s="345"/>
      <c r="BH66" s="2"/>
      <c r="BI66" s="2"/>
      <c r="BJ66" s="2"/>
      <c r="BK66" s="2"/>
      <c r="BM66" s="2"/>
      <c r="BN66" s="2"/>
      <c r="BO66" s="2"/>
      <c r="BP66" s="2"/>
    </row>
    <row r="67" spans="1:68">
      <c r="A67" s="499"/>
      <c r="B67" s="60" t="s">
        <v>566</v>
      </c>
      <c r="C67" s="78" t="str">
        <f t="shared" ref="C67:AU67" ca="1" si="79">IF(RIGHT(C8,1)=RIGHT(C7,1),"O",IF(RIGHT(C8,1)=RIGHT(C9,1),"O",IF(RIGHT(C8,1)=RIGHT(C10,1),"O",IF(RIGHT(C8,1)=RIGHT(C11,1),"O",IF(RIGHT(C8,1)=RIGHT(C12,1),"O","X")))))</f>
        <v>X</v>
      </c>
      <c r="D67" s="60" t="str">
        <f t="shared" ca="1" si="79"/>
        <v>X</v>
      </c>
      <c r="E67" s="60" t="str">
        <f t="shared" ca="1" si="79"/>
        <v>X</v>
      </c>
      <c r="F67" s="60" t="str">
        <f t="shared" ca="1" si="79"/>
        <v>X</v>
      </c>
      <c r="G67" s="60" t="str">
        <f t="shared" ca="1" si="79"/>
        <v>O</v>
      </c>
      <c r="H67" s="60" t="str">
        <f t="shared" ca="1" si="79"/>
        <v>O</v>
      </c>
      <c r="I67" s="60" t="str">
        <f t="shared" ca="1" si="79"/>
        <v>O</v>
      </c>
      <c r="J67" s="60" t="str">
        <f t="shared" ca="1" si="79"/>
        <v>X</v>
      </c>
      <c r="K67" s="60" t="str">
        <f t="shared" ca="1" si="79"/>
        <v>O</v>
      </c>
      <c r="L67" s="60" t="str">
        <f t="shared" ca="1" si="79"/>
        <v>O</v>
      </c>
      <c r="M67" s="212" t="str">
        <f t="shared" ca="1" si="79"/>
        <v>X</v>
      </c>
      <c r="N67" s="242" t="str">
        <f t="shared" ca="1" si="79"/>
        <v>X</v>
      </c>
      <c r="O67" s="242" t="str">
        <f t="shared" ca="1" si="79"/>
        <v>O</v>
      </c>
      <c r="P67" s="242" t="str">
        <f t="shared" ca="1" si="79"/>
        <v>O</v>
      </c>
      <c r="Q67" s="242" t="str">
        <f t="shared" ca="1" si="79"/>
        <v>O</v>
      </c>
      <c r="R67" s="242" t="str">
        <f t="shared" si="79"/>
        <v>O</v>
      </c>
      <c r="S67" s="242" t="str">
        <f t="shared" si="79"/>
        <v>O</v>
      </c>
      <c r="T67" s="242" t="str">
        <f t="shared" si="79"/>
        <v>O</v>
      </c>
      <c r="U67" s="242" t="str">
        <f t="shared" si="79"/>
        <v>O</v>
      </c>
      <c r="V67" s="242" t="str">
        <f t="shared" si="79"/>
        <v>O</v>
      </c>
      <c r="W67" s="242" t="str">
        <f t="shared" si="79"/>
        <v>O</v>
      </c>
      <c r="X67" s="242" t="str">
        <f t="shared" si="79"/>
        <v>O</v>
      </c>
      <c r="Y67" s="242" t="str">
        <f t="shared" si="79"/>
        <v>O</v>
      </c>
      <c r="Z67" s="242" t="str">
        <f t="shared" si="79"/>
        <v>O</v>
      </c>
      <c r="AA67" s="242" t="str">
        <f t="shared" si="79"/>
        <v>O</v>
      </c>
      <c r="AB67" s="242" t="str">
        <f t="shared" si="79"/>
        <v>O</v>
      </c>
      <c r="AC67" s="242" t="str">
        <f t="shared" si="79"/>
        <v>O</v>
      </c>
      <c r="AD67" s="242" t="str">
        <f t="shared" si="79"/>
        <v>O</v>
      </c>
      <c r="AE67" s="242" t="str">
        <f t="shared" si="79"/>
        <v>O</v>
      </c>
      <c r="AF67" s="242" t="str">
        <f t="shared" si="79"/>
        <v>O</v>
      </c>
      <c r="AG67" s="242" t="str">
        <f t="shared" si="79"/>
        <v>O</v>
      </c>
      <c r="AH67" s="242" t="str">
        <f t="shared" si="79"/>
        <v>O</v>
      </c>
      <c r="AI67" s="242" t="str">
        <f t="shared" si="79"/>
        <v>O</v>
      </c>
      <c r="AJ67" s="242" t="str">
        <f t="shared" si="79"/>
        <v>O</v>
      </c>
      <c r="AK67" s="242" t="str">
        <f t="shared" si="79"/>
        <v>O</v>
      </c>
      <c r="AL67" s="308" t="str">
        <f t="shared" si="79"/>
        <v>O</v>
      </c>
      <c r="AM67" s="308" t="str">
        <f t="shared" si="79"/>
        <v>O</v>
      </c>
      <c r="AN67" s="308" t="str">
        <f t="shared" si="79"/>
        <v>O</v>
      </c>
      <c r="AO67" s="308" t="str">
        <f t="shared" si="79"/>
        <v>O</v>
      </c>
      <c r="AP67" s="308" t="str">
        <f t="shared" si="79"/>
        <v>O</v>
      </c>
      <c r="AQ67" s="308" t="str">
        <f t="shared" si="79"/>
        <v>O</v>
      </c>
      <c r="AR67" s="308" t="str">
        <f t="shared" si="79"/>
        <v>O</v>
      </c>
      <c r="AS67" s="308" t="str">
        <f t="shared" si="79"/>
        <v>O</v>
      </c>
      <c r="AT67" s="308" t="str">
        <f t="shared" si="79"/>
        <v>O</v>
      </c>
      <c r="AU67" s="308" t="str">
        <f t="shared" si="79"/>
        <v>O</v>
      </c>
      <c r="AV67" s="205"/>
      <c r="AW67" s="205"/>
      <c r="AX67" s="205"/>
      <c r="BA67" s="341"/>
      <c r="BB67" s="340"/>
      <c r="BC67" s="344"/>
      <c r="BD67" s="343"/>
      <c r="BF67" s="345"/>
      <c r="BH67" s="2"/>
      <c r="BI67" s="2"/>
      <c r="BJ67" s="2"/>
      <c r="BK67" s="2"/>
      <c r="BM67" s="2"/>
      <c r="BN67" s="2"/>
      <c r="BO67" s="2"/>
      <c r="BP67" s="2"/>
    </row>
    <row r="68" spans="1:68">
      <c r="A68" s="499"/>
      <c r="B68" s="60" t="s">
        <v>567</v>
      </c>
      <c r="C68" s="78" t="str">
        <f t="shared" ref="C68:AU68" ca="1" si="80">IF(RIGHT(C9,1)=RIGHT(C7,1),"O",IF(RIGHT(C9,1)=RIGHT(C8,1),"O",IF(RIGHT(C9,1)=RIGHT(C10,1),"O",IF(RIGHT(C9,1)=RIGHT(C11,1),"O",IF(RIGHT(C9,1)=RIGHT(C12,1),"O","X")))))</f>
        <v>O</v>
      </c>
      <c r="D68" s="60" t="str">
        <f t="shared" ca="1" si="80"/>
        <v>X</v>
      </c>
      <c r="E68" s="60" t="str">
        <f t="shared" ca="1" si="80"/>
        <v>X</v>
      </c>
      <c r="F68" s="60" t="str">
        <f t="shared" ca="1" si="80"/>
        <v>O</v>
      </c>
      <c r="G68" s="60" t="str">
        <f t="shared" ca="1" si="80"/>
        <v>X</v>
      </c>
      <c r="H68" s="60" t="str">
        <f t="shared" ca="1" si="80"/>
        <v>X</v>
      </c>
      <c r="I68" s="60" t="str">
        <f t="shared" ca="1" si="80"/>
        <v>O</v>
      </c>
      <c r="J68" s="60" t="str">
        <f t="shared" ca="1" si="80"/>
        <v>X</v>
      </c>
      <c r="K68" s="60" t="str">
        <f t="shared" ca="1" si="80"/>
        <v>X</v>
      </c>
      <c r="L68" s="60" t="str">
        <f t="shared" ca="1" si="80"/>
        <v>X</v>
      </c>
      <c r="M68" s="212" t="str">
        <f t="shared" ca="1" si="80"/>
        <v>O</v>
      </c>
      <c r="N68" s="242" t="str">
        <f t="shared" ca="1" si="80"/>
        <v>O</v>
      </c>
      <c r="O68" s="242" t="str">
        <f t="shared" ca="1" si="80"/>
        <v>O</v>
      </c>
      <c r="P68" s="242" t="str">
        <f t="shared" ca="1" si="80"/>
        <v>X</v>
      </c>
      <c r="Q68" s="242" t="str">
        <f t="shared" ca="1" si="80"/>
        <v>X</v>
      </c>
      <c r="R68" s="242" t="str">
        <f t="shared" si="80"/>
        <v>O</v>
      </c>
      <c r="S68" s="242" t="str">
        <f t="shared" si="80"/>
        <v>O</v>
      </c>
      <c r="T68" s="242" t="str">
        <f t="shared" si="80"/>
        <v>O</v>
      </c>
      <c r="U68" s="242" t="str">
        <f t="shared" si="80"/>
        <v>O</v>
      </c>
      <c r="V68" s="242" t="str">
        <f t="shared" si="80"/>
        <v>O</v>
      </c>
      <c r="W68" s="242" t="str">
        <f t="shared" si="80"/>
        <v>O</v>
      </c>
      <c r="X68" s="242" t="str">
        <f t="shared" si="80"/>
        <v>O</v>
      </c>
      <c r="Y68" s="242" t="str">
        <f t="shared" si="80"/>
        <v>O</v>
      </c>
      <c r="Z68" s="242" t="str">
        <f t="shared" si="80"/>
        <v>O</v>
      </c>
      <c r="AA68" s="242" t="str">
        <f t="shared" si="80"/>
        <v>O</v>
      </c>
      <c r="AB68" s="242" t="str">
        <f t="shared" si="80"/>
        <v>O</v>
      </c>
      <c r="AC68" s="242" t="str">
        <f t="shared" si="80"/>
        <v>O</v>
      </c>
      <c r="AD68" s="242" t="str">
        <f t="shared" si="80"/>
        <v>O</v>
      </c>
      <c r="AE68" s="242" t="str">
        <f t="shared" si="80"/>
        <v>O</v>
      </c>
      <c r="AF68" s="242" t="str">
        <f t="shared" si="80"/>
        <v>O</v>
      </c>
      <c r="AG68" s="242" t="str">
        <f t="shared" si="80"/>
        <v>O</v>
      </c>
      <c r="AH68" s="242" t="str">
        <f t="shared" si="80"/>
        <v>O</v>
      </c>
      <c r="AI68" s="242" t="str">
        <f t="shared" si="80"/>
        <v>O</v>
      </c>
      <c r="AJ68" s="242" t="str">
        <f t="shared" si="80"/>
        <v>O</v>
      </c>
      <c r="AK68" s="242" t="str">
        <f t="shared" si="80"/>
        <v>O</v>
      </c>
      <c r="AL68" s="308" t="str">
        <f t="shared" si="80"/>
        <v>O</v>
      </c>
      <c r="AM68" s="308" t="str">
        <f t="shared" si="80"/>
        <v>O</v>
      </c>
      <c r="AN68" s="308" t="str">
        <f t="shared" si="80"/>
        <v>O</v>
      </c>
      <c r="AO68" s="308" t="str">
        <f t="shared" si="80"/>
        <v>O</v>
      </c>
      <c r="AP68" s="308" t="str">
        <f t="shared" si="80"/>
        <v>O</v>
      </c>
      <c r="AQ68" s="308" t="str">
        <f t="shared" si="80"/>
        <v>O</v>
      </c>
      <c r="AR68" s="308" t="str">
        <f t="shared" si="80"/>
        <v>O</v>
      </c>
      <c r="AS68" s="308" t="str">
        <f t="shared" si="80"/>
        <v>O</v>
      </c>
      <c r="AT68" s="308" t="str">
        <f t="shared" si="80"/>
        <v>O</v>
      </c>
      <c r="AU68" s="308" t="str">
        <f t="shared" si="80"/>
        <v>O</v>
      </c>
      <c r="AV68" s="205"/>
      <c r="AW68" s="205"/>
      <c r="AX68" s="205"/>
      <c r="BA68" s="341"/>
      <c r="BB68" s="341"/>
      <c r="BC68" s="344"/>
      <c r="BD68" s="345"/>
      <c r="BF68" s="345"/>
      <c r="BH68" s="2"/>
      <c r="BI68" s="2"/>
      <c r="BJ68" s="2"/>
      <c r="BK68" s="2"/>
      <c r="BM68" s="2"/>
      <c r="BN68" s="2"/>
      <c r="BO68" s="2"/>
      <c r="BP68" s="2"/>
    </row>
    <row r="69" spans="1:68">
      <c r="A69" s="499"/>
      <c r="B69" s="60" t="s">
        <v>568</v>
      </c>
      <c r="C69" s="78" t="str">
        <f t="shared" ref="C69:AU69" ca="1" si="81">IF(RIGHT(C10,1)=RIGHT(C7,1),"O",IF(RIGHT(C10,1)=RIGHT(C8,1),"O",IF(RIGHT(C9,1)=RIGHT(C10,1),"O",IF(RIGHT(C10,1)=RIGHT(C11,1),"O",IF(RIGHT(C10,1)=RIGHT(C12,1),"O","X")))))</f>
        <v>O</v>
      </c>
      <c r="D69" s="60" t="str">
        <f t="shared" ca="1" si="81"/>
        <v>O</v>
      </c>
      <c r="E69" s="60" t="str">
        <f t="shared" ca="1" si="81"/>
        <v>O</v>
      </c>
      <c r="F69" s="60" t="str">
        <f t="shared" ca="1" si="81"/>
        <v>O</v>
      </c>
      <c r="G69" s="60" t="str">
        <f t="shared" ca="1" si="81"/>
        <v>X</v>
      </c>
      <c r="H69" s="60" t="str">
        <f t="shared" ca="1" si="81"/>
        <v>X</v>
      </c>
      <c r="I69" s="60" t="str">
        <f t="shared" ca="1" si="81"/>
        <v>O</v>
      </c>
      <c r="J69" s="60" t="str">
        <f t="shared" ca="1" si="81"/>
        <v>X</v>
      </c>
      <c r="K69" s="60" t="str">
        <f t="shared" ca="1" si="81"/>
        <v>O</v>
      </c>
      <c r="L69" s="60" t="str">
        <f t="shared" ca="1" si="81"/>
        <v>O</v>
      </c>
      <c r="M69" s="212" t="str">
        <f t="shared" ca="1" si="81"/>
        <v>X</v>
      </c>
      <c r="N69" s="242" t="str">
        <f t="shared" ca="1" si="81"/>
        <v>X</v>
      </c>
      <c r="O69" s="242" t="str">
        <f t="shared" ca="1" si="81"/>
        <v>O</v>
      </c>
      <c r="P69" s="242" t="str">
        <f t="shared" ca="1" si="81"/>
        <v>O</v>
      </c>
      <c r="Q69" s="242" t="str">
        <f t="shared" ca="1" si="81"/>
        <v>X</v>
      </c>
      <c r="R69" s="242" t="str">
        <f t="shared" si="81"/>
        <v>O</v>
      </c>
      <c r="S69" s="242" t="str">
        <f t="shared" si="81"/>
        <v>O</v>
      </c>
      <c r="T69" s="242" t="str">
        <f t="shared" si="81"/>
        <v>O</v>
      </c>
      <c r="U69" s="242" t="str">
        <f t="shared" si="81"/>
        <v>O</v>
      </c>
      <c r="V69" s="242" t="str">
        <f t="shared" si="81"/>
        <v>O</v>
      </c>
      <c r="W69" s="242" t="str">
        <f t="shared" si="81"/>
        <v>O</v>
      </c>
      <c r="X69" s="242" t="str">
        <f t="shared" si="81"/>
        <v>O</v>
      </c>
      <c r="Y69" s="242" t="str">
        <f t="shared" si="81"/>
        <v>O</v>
      </c>
      <c r="Z69" s="242" t="str">
        <f t="shared" si="81"/>
        <v>O</v>
      </c>
      <c r="AA69" s="242" t="str">
        <f t="shared" si="81"/>
        <v>O</v>
      </c>
      <c r="AB69" s="242" t="str">
        <f t="shared" si="81"/>
        <v>O</v>
      </c>
      <c r="AC69" s="242" t="str">
        <f t="shared" si="81"/>
        <v>O</v>
      </c>
      <c r="AD69" s="242" t="str">
        <f t="shared" si="81"/>
        <v>O</v>
      </c>
      <c r="AE69" s="242" t="str">
        <f t="shared" si="81"/>
        <v>O</v>
      </c>
      <c r="AF69" s="242" t="str">
        <f t="shared" si="81"/>
        <v>O</v>
      </c>
      <c r="AG69" s="242" t="str">
        <f t="shared" si="81"/>
        <v>O</v>
      </c>
      <c r="AH69" s="242" t="str">
        <f t="shared" si="81"/>
        <v>O</v>
      </c>
      <c r="AI69" s="242" t="str">
        <f t="shared" si="81"/>
        <v>O</v>
      </c>
      <c r="AJ69" s="242" t="str">
        <f t="shared" si="81"/>
        <v>O</v>
      </c>
      <c r="AK69" s="242" t="str">
        <f t="shared" si="81"/>
        <v>O</v>
      </c>
      <c r="AL69" s="308" t="str">
        <f t="shared" si="81"/>
        <v>O</v>
      </c>
      <c r="AM69" s="308" t="str">
        <f t="shared" si="81"/>
        <v>O</v>
      </c>
      <c r="AN69" s="308" t="str">
        <f t="shared" si="81"/>
        <v>O</v>
      </c>
      <c r="AO69" s="308" t="str">
        <f t="shared" si="81"/>
        <v>O</v>
      </c>
      <c r="AP69" s="308" t="str">
        <f t="shared" si="81"/>
        <v>O</v>
      </c>
      <c r="AQ69" s="308" t="str">
        <f t="shared" si="81"/>
        <v>O</v>
      </c>
      <c r="AR69" s="308" t="str">
        <f t="shared" si="81"/>
        <v>O</v>
      </c>
      <c r="AS69" s="308" t="str">
        <f t="shared" si="81"/>
        <v>O</v>
      </c>
      <c r="AT69" s="308" t="str">
        <f t="shared" si="81"/>
        <v>O</v>
      </c>
      <c r="AU69" s="308" t="str">
        <f t="shared" si="81"/>
        <v>O</v>
      </c>
      <c r="AV69" s="205"/>
      <c r="AW69" s="205"/>
      <c r="AX69" s="205"/>
      <c r="BA69" s="341"/>
      <c r="BB69" s="340"/>
      <c r="BC69" s="345"/>
      <c r="BD69" s="345"/>
      <c r="BF69" s="344"/>
      <c r="BG69" s="2"/>
      <c r="BH69" s="2"/>
      <c r="BI69" s="2"/>
      <c r="BJ69" s="2"/>
      <c r="BK69" s="2"/>
      <c r="BM69" s="2"/>
      <c r="BN69" s="2"/>
      <c r="BO69" s="2"/>
      <c r="BP69" s="2"/>
    </row>
    <row r="70" spans="1:68">
      <c r="A70" s="499"/>
      <c r="B70" s="60" t="s">
        <v>569</v>
      </c>
      <c r="C70" s="78" t="str">
        <f t="shared" ref="C70:AU70" ca="1" si="82">IF(RIGHT(C11,1)=RIGHT(C7,1),"O",IF(RIGHT(C11,1)=RIGHT(C8,1),"O",IF(RIGHT(C11,1)=RIGHT(C9,1),"O",IF(RIGHT(C11,1)=RIGHT(C10,1),"O",IF(RIGHT(C11,1)=RIGHT(C12,1),"O","X")))))</f>
        <v>X</v>
      </c>
      <c r="D70" s="60" t="str">
        <f t="shared" ca="1" si="82"/>
        <v>O</v>
      </c>
      <c r="E70" s="60" t="str">
        <f t="shared" ca="1" si="82"/>
        <v>X</v>
      </c>
      <c r="F70" s="60" t="str">
        <f t="shared" ca="1" si="82"/>
        <v>O</v>
      </c>
      <c r="G70" s="60" t="str">
        <f t="shared" ca="1" si="82"/>
        <v>O</v>
      </c>
      <c r="H70" s="60" t="str">
        <f t="shared" ca="1" si="82"/>
        <v>X</v>
      </c>
      <c r="I70" s="60" t="str">
        <f t="shared" ca="1" si="82"/>
        <v>O</v>
      </c>
      <c r="J70" s="60" t="str">
        <f t="shared" ca="1" si="82"/>
        <v>X</v>
      </c>
      <c r="K70" s="60" t="str">
        <f t="shared" ca="1" si="82"/>
        <v>X</v>
      </c>
      <c r="L70" s="60" t="str">
        <f t="shared" ca="1" si="82"/>
        <v>X</v>
      </c>
      <c r="M70" s="212" t="str">
        <f t="shared" ca="1" si="82"/>
        <v>X</v>
      </c>
      <c r="N70" s="242" t="str">
        <f t="shared" ca="1" si="82"/>
        <v>X</v>
      </c>
      <c r="O70" s="242" t="str">
        <f t="shared" ca="1" si="82"/>
        <v>O</v>
      </c>
      <c r="P70" s="242" t="str">
        <f t="shared" ca="1" si="82"/>
        <v>O</v>
      </c>
      <c r="Q70" s="242" t="str">
        <f t="shared" ca="1" si="82"/>
        <v>O</v>
      </c>
      <c r="R70" s="242" t="str">
        <f t="shared" si="82"/>
        <v>O</v>
      </c>
      <c r="S70" s="242" t="str">
        <f t="shared" si="82"/>
        <v>O</v>
      </c>
      <c r="T70" s="242" t="str">
        <f t="shared" si="82"/>
        <v>O</v>
      </c>
      <c r="U70" s="242" t="str">
        <f t="shared" si="82"/>
        <v>O</v>
      </c>
      <c r="V70" s="242" t="str">
        <f t="shared" si="82"/>
        <v>O</v>
      </c>
      <c r="W70" s="242" t="str">
        <f t="shared" si="82"/>
        <v>O</v>
      </c>
      <c r="X70" s="242" t="str">
        <f t="shared" si="82"/>
        <v>O</v>
      </c>
      <c r="Y70" s="242" t="str">
        <f t="shared" si="82"/>
        <v>O</v>
      </c>
      <c r="Z70" s="242" t="str">
        <f t="shared" si="82"/>
        <v>O</v>
      </c>
      <c r="AA70" s="242" t="str">
        <f t="shared" si="82"/>
        <v>O</v>
      </c>
      <c r="AB70" s="242" t="str">
        <f t="shared" si="82"/>
        <v>O</v>
      </c>
      <c r="AC70" s="242" t="str">
        <f t="shared" si="82"/>
        <v>O</v>
      </c>
      <c r="AD70" s="242" t="str">
        <f t="shared" si="82"/>
        <v>O</v>
      </c>
      <c r="AE70" s="242" t="str">
        <f t="shared" si="82"/>
        <v>O</v>
      </c>
      <c r="AF70" s="242" t="str">
        <f t="shared" si="82"/>
        <v>O</v>
      </c>
      <c r="AG70" s="242" t="str">
        <f t="shared" si="82"/>
        <v>O</v>
      </c>
      <c r="AH70" s="242" t="str">
        <f t="shared" si="82"/>
        <v>O</v>
      </c>
      <c r="AI70" s="242" t="str">
        <f t="shared" si="82"/>
        <v>O</v>
      </c>
      <c r="AJ70" s="242" t="str">
        <f t="shared" si="82"/>
        <v>O</v>
      </c>
      <c r="AK70" s="242" t="str">
        <f t="shared" si="82"/>
        <v>O</v>
      </c>
      <c r="AL70" s="308" t="str">
        <f t="shared" si="82"/>
        <v>O</v>
      </c>
      <c r="AM70" s="308" t="str">
        <f t="shared" si="82"/>
        <v>O</v>
      </c>
      <c r="AN70" s="308" t="str">
        <f t="shared" si="82"/>
        <v>O</v>
      </c>
      <c r="AO70" s="308" t="str">
        <f t="shared" si="82"/>
        <v>O</v>
      </c>
      <c r="AP70" s="308" t="str">
        <f t="shared" si="82"/>
        <v>O</v>
      </c>
      <c r="AQ70" s="308" t="str">
        <f t="shared" si="82"/>
        <v>O</v>
      </c>
      <c r="AR70" s="308" t="str">
        <f t="shared" si="82"/>
        <v>O</v>
      </c>
      <c r="AS70" s="308" t="str">
        <f t="shared" si="82"/>
        <v>O</v>
      </c>
      <c r="AT70" s="308" t="str">
        <f t="shared" si="82"/>
        <v>O</v>
      </c>
      <c r="AU70" s="308" t="str">
        <f t="shared" si="82"/>
        <v>O</v>
      </c>
      <c r="AV70" s="205"/>
      <c r="AW70" s="205"/>
      <c r="AX70" s="205"/>
      <c r="BA70" s="341"/>
      <c r="BB70" s="341"/>
      <c r="BC70" s="345"/>
      <c r="BD70" s="345"/>
      <c r="BF70" s="344"/>
      <c r="BG70" s="2"/>
      <c r="BH70" s="2"/>
      <c r="BI70" s="2"/>
      <c r="BJ70" s="2"/>
      <c r="BK70" s="2"/>
      <c r="BM70" s="2"/>
      <c r="BN70" s="2"/>
      <c r="BO70" s="2"/>
      <c r="BP70" s="2"/>
    </row>
    <row r="71" spans="1:68">
      <c r="A71" s="499"/>
      <c r="B71" s="61" t="s">
        <v>564</v>
      </c>
      <c r="C71" s="79">
        <f ca="1">COUNTIF(C66:C70,"O")</f>
        <v>2</v>
      </c>
      <c r="D71" s="61">
        <f t="shared" ref="D71:Q71" ca="1" si="83">COUNTIF(D66:D70,"O")</f>
        <v>2</v>
      </c>
      <c r="E71" s="61">
        <f t="shared" ca="1" si="83"/>
        <v>2</v>
      </c>
      <c r="F71" s="61">
        <f t="shared" ca="1" si="83"/>
        <v>4</v>
      </c>
      <c r="G71" s="61">
        <f t="shared" ca="1" si="83"/>
        <v>3</v>
      </c>
      <c r="H71" s="61">
        <f t="shared" ca="1" si="83"/>
        <v>1</v>
      </c>
      <c r="I71" s="61">
        <f t="shared" ca="1" si="83"/>
        <v>4</v>
      </c>
      <c r="J71" s="61">
        <f t="shared" ca="1" si="83"/>
        <v>1</v>
      </c>
      <c r="K71" s="61">
        <f t="shared" ca="1" si="83"/>
        <v>2</v>
      </c>
      <c r="L71" s="61">
        <f t="shared" ca="1" si="83"/>
        <v>3</v>
      </c>
      <c r="M71" s="172">
        <f t="shared" ca="1" si="83"/>
        <v>1</v>
      </c>
      <c r="N71" s="172">
        <f t="shared" ca="1" si="83"/>
        <v>1</v>
      </c>
      <c r="O71" s="172">
        <f t="shared" ca="1" si="83"/>
        <v>4</v>
      </c>
      <c r="P71" s="172">
        <f t="shared" ca="1" si="83"/>
        <v>4</v>
      </c>
      <c r="Q71" s="172">
        <f t="shared" ca="1" si="83"/>
        <v>2</v>
      </c>
      <c r="R71" s="172">
        <f t="shared" ref="R71:AH71" si="84">COUNTIF(R66:R70,"O")</f>
        <v>5</v>
      </c>
      <c r="S71" s="172">
        <f t="shared" si="84"/>
        <v>5</v>
      </c>
      <c r="T71" s="172">
        <f t="shared" si="84"/>
        <v>5</v>
      </c>
      <c r="U71" s="172">
        <f t="shared" si="84"/>
        <v>5</v>
      </c>
      <c r="V71" s="172">
        <f t="shared" si="84"/>
        <v>5</v>
      </c>
      <c r="W71" s="172">
        <f t="shared" si="84"/>
        <v>5</v>
      </c>
      <c r="X71" s="172">
        <f t="shared" si="84"/>
        <v>5</v>
      </c>
      <c r="Y71" s="172">
        <f t="shared" si="84"/>
        <v>5</v>
      </c>
      <c r="Z71" s="172">
        <f t="shared" si="84"/>
        <v>5</v>
      </c>
      <c r="AA71" s="172">
        <f t="shared" si="84"/>
        <v>5</v>
      </c>
      <c r="AB71" s="172">
        <f t="shared" si="84"/>
        <v>5</v>
      </c>
      <c r="AC71" s="172">
        <f t="shared" si="84"/>
        <v>5</v>
      </c>
      <c r="AD71" s="172">
        <f t="shared" si="84"/>
        <v>5</v>
      </c>
      <c r="AE71" s="172">
        <f t="shared" si="84"/>
        <v>5</v>
      </c>
      <c r="AF71" s="172">
        <f t="shared" si="84"/>
        <v>5</v>
      </c>
      <c r="AG71" s="172">
        <f t="shared" si="84"/>
        <v>5</v>
      </c>
      <c r="AH71" s="172">
        <f t="shared" si="84"/>
        <v>5</v>
      </c>
      <c r="AI71" s="172">
        <f>COUNTIF(AI66:AI70,"O")</f>
        <v>5</v>
      </c>
      <c r="AJ71" s="172">
        <f>COUNTIF(AJ66:AJ70,"O")</f>
        <v>5</v>
      </c>
      <c r="AK71" s="172">
        <f>COUNTIF(AK66:AK70,"O")</f>
        <v>5</v>
      </c>
      <c r="AL71" s="172">
        <f t="shared" ref="AL71:AU71" si="85">COUNTIF(AL66:AL70,"O")</f>
        <v>5</v>
      </c>
      <c r="AM71" s="172">
        <f t="shared" si="85"/>
        <v>5</v>
      </c>
      <c r="AN71" s="172">
        <f t="shared" si="85"/>
        <v>5</v>
      </c>
      <c r="AO71" s="172">
        <f t="shared" si="85"/>
        <v>5</v>
      </c>
      <c r="AP71" s="172">
        <f t="shared" si="85"/>
        <v>5</v>
      </c>
      <c r="AQ71" s="172">
        <f t="shared" si="85"/>
        <v>5</v>
      </c>
      <c r="AR71" s="172">
        <f t="shared" si="85"/>
        <v>5</v>
      </c>
      <c r="AS71" s="172">
        <f t="shared" si="85"/>
        <v>5</v>
      </c>
      <c r="AT71" s="172">
        <f t="shared" si="85"/>
        <v>5</v>
      </c>
      <c r="AU71" s="172">
        <f t="shared" si="85"/>
        <v>5</v>
      </c>
      <c r="AV71" s="255"/>
      <c r="AW71" s="255"/>
      <c r="AX71" s="255"/>
      <c r="BA71" s="339"/>
      <c r="BB71" s="341"/>
      <c r="BC71" s="345"/>
      <c r="BD71" s="345"/>
      <c r="BF71" s="344"/>
      <c r="BG71" s="2"/>
      <c r="BH71" s="2"/>
      <c r="BI71" s="2"/>
      <c r="BJ71" s="2"/>
      <c r="BK71" s="2"/>
      <c r="BM71" s="2"/>
      <c r="BN71" s="2"/>
      <c r="BO71" s="2"/>
      <c r="BP71" s="2"/>
    </row>
    <row r="72" spans="1:68">
      <c r="A72" s="523" t="s">
        <v>578</v>
      </c>
      <c r="B72" s="60" t="s">
        <v>565</v>
      </c>
      <c r="C72" s="78" t="str">
        <f t="shared" ref="C72:AU72" ca="1" si="86">IF(C7=C8-1,"O",IF(C7=C9-1,"O",IF(C7=C10-1,"O",IF(C7=C11-1,"O",IF(C7=C12-1,"O","X")))))</f>
        <v>X</v>
      </c>
      <c r="D72" s="60" t="str">
        <f t="shared" ca="1" si="86"/>
        <v>X</v>
      </c>
      <c r="E72" s="60" t="str">
        <f t="shared" ca="1" si="86"/>
        <v>X</v>
      </c>
      <c r="F72" s="60" t="str">
        <f t="shared" ca="1" si="86"/>
        <v>X</v>
      </c>
      <c r="G72" s="60" t="str">
        <f t="shared" ca="1" si="86"/>
        <v>X</v>
      </c>
      <c r="H72" s="60" t="str">
        <f t="shared" ca="1" si="86"/>
        <v>X</v>
      </c>
      <c r="I72" s="60" t="str">
        <f t="shared" ca="1" si="86"/>
        <v>X</v>
      </c>
      <c r="J72" s="60" t="str">
        <f t="shared" ca="1" si="86"/>
        <v>X</v>
      </c>
      <c r="K72" s="60" t="str">
        <f t="shared" ca="1" si="86"/>
        <v>X</v>
      </c>
      <c r="L72" s="60" t="str">
        <f t="shared" ca="1" si="86"/>
        <v>X</v>
      </c>
      <c r="M72" s="242" t="str">
        <f t="shared" ca="1" si="86"/>
        <v>X</v>
      </c>
      <c r="N72" s="242" t="str">
        <f t="shared" ca="1" si="86"/>
        <v>X</v>
      </c>
      <c r="O72" s="242" t="str">
        <f t="shared" ca="1" si="86"/>
        <v>X</v>
      </c>
      <c r="P72" s="242" t="str">
        <f t="shared" ca="1" si="86"/>
        <v>X</v>
      </c>
      <c r="Q72" s="242" t="str">
        <f t="shared" ca="1" si="86"/>
        <v>X</v>
      </c>
      <c r="R72" s="242" t="str">
        <f t="shared" si="86"/>
        <v>X</v>
      </c>
      <c r="S72" s="242" t="str">
        <f t="shared" si="86"/>
        <v>X</v>
      </c>
      <c r="T72" s="242" t="str">
        <f t="shared" si="86"/>
        <v>X</v>
      </c>
      <c r="U72" s="242" t="str">
        <f t="shared" si="86"/>
        <v>X</v>
      </c>
      <c r="V72" s="242" t="str">
        <f t="shared" si="86"/>
        <v>X</v>
      </c>
      <c r="W72" s="242" t="str">
        <f t="shared" si="86"/>
        <v>X</v>
      </c>
      <c r="X72" s="242" t="str">
        <f t="shared" si="86"/>
        <v>X</v>
      </c>
      <c r="Y72" s="242" t="str">
        <f t="shared" si="86"/>
        <v>X</v>
      </c>
      <c r="Z72" s="242" t="str">
        <f t="shared" si="86"/>
        <v>X</v>
      </c>
      <c r="AA72" s="242" t="str">
        <f t="shared" si="86"/>
        <v>X</v>
      </c>
      <c r="AB72" s="242" t="str">
        <f t="shared" si="86"/>
        <v>X</v>
      </c>
      <c r="AC72" s="242" t="str">
        <f t="shared" si="86"/>
        <v>X</v>
      </c>
      <c r="AD72" s="242" t="str">
        <f t="shared" si="86"/>
        <v>X</v>
      </c>
      <c r="AE72" s="242" t="str">
        <f t="shared" si="86"/>
        <v>X</v>
      </c>
      <c r="AF72" s="242" t="str">
        <f t="shared" si="86"/>
        <v>X</v>
      </c>
      <c r="AG72" s="242" t="str">
        <f t="shared" si="86"/>
        <v>X</v>
      </c>
      <c r="AH72" s="242" t="str">
        <f t="shared" si="86"/>
        <v>X</v>
      </c>
      <c r="AI72" s="242" t="str">
        <f t="shared" si="86"/>
        <v>X</v>
      </c>
      <c r="AJ72" s="242" t="str">
        <f t="shared" si="86"/>
        <v>X</v>
      </c>
      <c r="AK72" s="242" t="str">
        <f t="shared" si="86"/>
        <v>X</v>
      </c>
      <c r="AL72" s="308" t="str">
        <f t="shared" si="86"/>
        <v>X</v>
      </c>
      <c r="AM72" s="308" t="str">
        <f t="shared" si="86"/>
        <v>X</v>
      </c>
      <c r="AN72" s="308" t="str">
        <f t="shared" si="86"/>
        <v>X</v>
      </c>
      <c r="AO72" s="308" t="str">
        <f t="shared" si="86"/>
        <v>X</v>
      </c>
      <c r="AP72" s="308" t="str">
        <f t="shared" si="86"/>
        <v>X</v>
      </c>
      <c r="AQ72" s="308" t="str">
        <f t="shared" si="86"/>
        <v>X</v>
      </c>
      <c r="AR72" s="308" t="str">
        <f t="shared" si="86"/>
        <v>X</v>
      </c>
      <c r="AS72" s="308" t="str">
        <f t="shared" si="86"/>
        <v>X</v>
      </c>
      <c r="AT72" s="308" t="str">
        <f t="shared" si="86"/>
        <v>X</v>
      </c>
      <c r="AU72" s="308" t="str">
        <f t="shared" si="86"/>
        <v>X</v>
      </c>
      <c r="AV72" s="205"/>
      <c r="AW72" s="205"/>
      <c r="AX72" s="205"/>
      <c r="BA72" s="339"/>
      <c r="BB72" s="341"/>
      <c r="BC72" s="345"/>
      <c r="BE72" s="95"/>
      <c r="BF72" s="345"/>
      <c r="BG72" s="2"/>
      <c r="BH72" s="2"/>
      <c r="BI72" s="2"/>
      <c r="BJ72" s="2"/>
      <c r="BK72" s="2"/>
      <c r="BM72" s="2"/>
      <c r="BN72" s="2"/>
      <c r="BO72" s="2"/>
      <c r="BP72" s="2"/>
    </row>
    <row r="73" spans="1:68">
      <c r="A73" s="499"/>
      <c r="B73" s="60" t="s">
        <v>566</v>
      </c>
      <c r="C73" s="78" t="str">
        <f t="shared" ref="C73:AU73" ca="1" si="87">IF(C8=C7-1,"O",IF(C8=C9-1,"O",IF(C8=C10-1,"O",IF(C8=C11-1,"O",IF(C8=C12-1,"O","X")))))</f>
        <v>X</v>
      </c>
      <c r="D73" s="60" t="str">
        <f t="shared" ca="1" si="87"/>
        <v>X</v>
      </c>
      <c r="E73" s="60" t="str">
        <f t="shared" ca="1" si="87"/>
        <v>O</v>
      </c>
      <c r="F73" s="60" t="str">
        <f t="shared" ca="1" si="87"/>
        <v>X</v>
      </c>
      <c r="G73" s="60" t="str">
        <f t="shared" ca="1" si="87"/>
        <v>X</v>
      </c>
      <c r="H73" s="60" t="str">
        <f t="shared" ca="1" si="87"/>
        <v>X</v>
      </c>
      <c r="I73" s="60" t="str">
        <f t="shared" ca="1" si="87"/>
        <v>X</v>
      </c>
      <c r="J73" s="60" t="str">
        <f t="shared" ca="1" si="87"/>
        <v>O</v>
      </c>
      <c r="K73" s="60" t="str">
        <f t="shared" ca="1" si="87"/>
        <v>X</v>
      </c>
      <c r="L73" s="60" t="str">
        <f t="shared" ca="1" si="87"/>
        <v>X</v>
      </c>
      <c r="M73" s="242" t="str">
        <f t="shared" ca="1" si="87"/>
        <v>X</v>
      </c>
      <c r="N73" s="242" t="str">
        <f t="shared" ca="1" si="87"/>
        <v>O</v>
      </c>
      <c r="O73" s="242" t="str">
        <f t="shared" ca="1" si="87"/>
        <v>X</v>
      </c>
      <c r="P73" s="242" t="str">
        <f t="shared" ca="1" si="87"/>
        <v>X</v>
      </c>
      <c r="Q73" s="242" t="str">
        <f t="shared" ca="1" si="87"/>
        <v>X</v>
      </c>
      <c r="R73" s="242" t="str">
        <f t="shared" si="87"/>
        <v>X</v>
      </c>
      <c r="S73" s="242" t="str">
        <f t="shared" si="87"/>
        <v>X</v>
      </c>
      <c r="T73" s="242" t="str">
        <f t="shared" si="87"/>
        <v>X</v>
      </c>
      <c r="U73" s="242" t="str">
        <f t="shared" si="87"/>
        <v>X</v>
      </c>
      <c r="V73" s="242" t="str">
        <f t="shared" si="87"/>
        <v>X</v>
      </c>
      <c r="W73" s="242" t="str">
        <f t="shared" si="87"/>
        <v>X</v>
      </c>
      <c r="X73" s="242" t="str">
        <f t="shared" si="87"/>
        <v>X</v>
      </c>
      <c r="Y73" s="242" t="str">
        <f t="shared" si="87"/>
        <v>X</v>
      </c>
      <c r="Z73" s="242" t="str">
        <f t="shared" si="87"/>
        <v>X</v>
      </c>
      <c r="AA73" s="242" t="str">
        <f t="shared" si="87"/>
        <v>X</v>
      </c>
      <c r="AB73" s="242" t="str">
        <f t="shared" si="87"/>
        <v>X</v>
      </c>
      <c r="AC73" s="242" t="str">
        <f t="shared" si="87"/>
        <v>X</v>
      </c>
      <c r="AD73" s="242" t="str">
        <f t="shared" si="87"/>
        <v>X</v>
      </c>
      <c r="AE73" s="242" t="str">
        <f t="shared" si="87"/>
        <v>X</v>
      </c>
      <c r="AF73" s="242" t="str">
        <f t="shared" si="87"/>
        <v>X</v>
      </c>
      <c r="AG73" s="242" t="str">
        <f t="shared" si="87"/>
        <v>X</v>
      </c>
      <c r="AH73" s="242" t="str">
        <f t="shared" si="87"/>
        <v>X</v>
      </c>
      <c r="AI73" s="242" t="str">
        <f t="shared" si="87"/>
        <v>X</v>
      </c>
      <c r="AJ73" s="242" t="str">
        <f t="shared" si="87"/>
        <v>X</v>
      </c>
      <c r="AK73" s="242" t="str">
        <f t="shared" si="87"/>
        <v>X</v>
      </c>
      <c r="AL73" s="308" t="str">
        <f t="shared" si="87"/>
        <v>X</v>
      </c>
      <c r="AM73" s="308" t="str">
        <f t="shared" si="87"/>
        <v>X</v>
      </c>
      <c r="AN73" s="308" t="str">
        <f t="shared" si="87"/>
        <v>X</v>
      </c>
      <c r="AO73" s="308" t="str">
        <f t="shared" si="87"/>
        <v>X</v>
      </c>
      <c r="AP73" s="308" t="str">
        <f t="shared" si="87"/>
        <v>X</v>
      </c>
      <c r="AQ73" s="308" t="str">
        <f t="shared" si="87"/>
        <v>X</v>
      </c>
      <c r="AR73" s="308" t="str">
        <f t="shared" si="87"/>
        <v>X</v>
      </c>
      <c r="AS73" s="308" t="str">
        <f t="shared" si="87"/>
        <v>X</v>
      </c>
      <c r="AT73" s="308" t="str">
        <f t="shared" si="87"/>
        <v>X</v>
      </c>
      <c r="AU73" s="308" t="str">
        <f t="shared" si="87"/>
        <v>X</v>
      </c>
      <c r="AV73" s="205"/>
      <c r="AW73" s="205"/>
      <c r="AX73" s="205"/>
      <c r="BB73" s="323"/>
      <c r="BE73" s="95"/>
      <c r="BF73" s="345"/>
      <c r="BG73" s="2"/>
      <c r="BH73" s="2"/>
      <c r="BI73" s="2"/>
      <c r="BJ73" s="2"/>
      <c r="BK73" s="2"/>
      <c r="BM73" s="2"/>
      <c r="BN73" s="2"/>
      <c r="BO73" s="2"/>
      <c r="BP73" s="2"/>
    </row>
    <row r="74" spans="1:68">
      <c r="A74" s="499"/>
      <c r="B74" s="60" t="s">
        <v>567</v>
      </c>
      <c r="C74" s="78" t="str">
        <f t="shared" ref="C74:AU74" ca="1" si="88">IF(C9=C7-1,"O",IF(C9=C8-1,"O",IF(C9=C10-1,"O",IF(C9=C11-1,"O",IF(C9=C12-1,"O","X")))))</f>
        <v>X</v>
      </c>
      <c r="D74" s="60" t="str">
        <f t="shared" ca="1" si="88"/>
        <v>X</v>
      </c>
      <c r="E74" s="60" t="str">
        <f t="shared" ca="1" si="88"/>
        <v>X</v>
      </c>
      <c r="F74" s="60" t="str">
        <f t="shared" ca="1" si="88"/>
        <v>X</v>
      </c>
      <c r="G74" s="60" t="str">
        <f t="shared" ca="1" si="88"/>
        <v>X</v>
      </c>
      <c r="H74" s="60" t="str">
        <f t="shared" ca="1" si="88"/>
        <v>X</v>
      </c>
      <c r="I74" s="60" t="str">
        <f t="shared" ca="1" si="88"/>
        <v>X</v>
      </c>
      <c r="J74" s="60" t="str">
        <f t="shared" ca="1" si="88"/>
        <v>O</v>
      </c>
      <c r="K74" s="60" t="str">
        <f t="shared" ca="1" si="88"/>
        <v>X</v>
      </c>
      <c r="L74" s="60" t="str">
        <f t="shared" ca="1" si="88"/>
        <v>X</v>
      </c>
      <c r="M74" s="242" t="str">
        <f t="shared" ca="1" si="88"/>
        <v>O</v>
      </c>
      <c r="N74" s="242" t="str">
        <f t="shared" ca="1" si="88"/>
        <v>X</v>
      </c>
      <c r="O74" s="242" t="str">
        <f t="shared" ca="1" si="88"/>
        <v>X</v>
      </c>
      <c r="P74" s="242" t="str">
        <f t="shared" ca="1" si="88"/>
        <v>X</v>
      </c>
      <c r="Q74" s="242" t="str">
        <f t="shared" ca="1" si="88"/>
        <v>X</v>
      </c>
      <c r="R74" s="242" t="str">
        <f t="shared" si="88"/>
        <v>X</v>
      </c>
      <c r="S74" s="242" t="str">
        <f t="shared" si="88"/>
        <v>X</v>
      </c>
      <c r="T74" s="242" t="str">
        <f t="shared" si="88"/>
        <v>X</v>
      </c>
      <c r="U74" s="242" t="str">
        <f t="shared" si="88"/>
        <v>X</v>
      </c>
      <c r="V74" s="242" t="str">
        <f t="shared" si="88"/>
        <v>X</v>
      </c>
      <c r="W74" s="242" t="str">
        <f t="shared" si="88"/>
        <v>X</v>
      </c>
      <c r="X74" s="242" t="str">
        <f t="shared" si="88"/>
        <v>X</v>
      </c>
      <c r="Y74" s="242" t="str">
        <f t="shared" si="88"/>
        <v>X</v>
      </c>
      <c r="Z74" s="242" t="str">
        <f t="shared" si="88"/>
        <v>X</v>
      </c>
      <c r="AA74" s="242" t="str">
        <f t="shared" si="88"/>
        <v>X</v>
      </c>
      <c r="AB74" s="242" t="str">
        <f t="shared" si="88"/>
        <v>X</v>
      </c>
      <c r="AC74" s="242" t="str">
        <f t="shared" si="88"/>
        <v>X</v>
      </c>
      <c r="AD74" s="242" t="str">
        <f t="shared" si="88"/>
        <v>X</v>
      </c>
      <c r="AE74" s="242" t="str">
        <f t="shared" si="88"/>
        <v>X</v>
      </c>
      <c r="AF74" s="242" t="str">
        <f t="shared" si="88"/>
        <v>X</v>
      </c>
      <c r="AG74" s="242" t="str">
        <f t="shared" si="88"/>
        <v>X</v>
      </c>
      <c r="AH74" s="242" t="str">
        <f t="shared" si="88"/>
        <v>X</v>
      </c>
      <c r="AI74" s="242" t="str">
        <f t="shared" si="88"/>
        <v>X</v>
      </c>
      <c r="AJ74" s="242" t="str">
        <f t="shared" si="88"/>
        <v>X</v>
      </c>
      <c r="AK74" s="242" t="str">
        <f t="shared" si="88"/>
        <v>X</v>
      </c>
      <c r="AL74" s="308" t="str">
        <f t="shared" si="88"/>
        <v>X</v>
      </c>
      <c r="AM74" s="308" t="str">
        <f t="shared" si="88"/>
        <v>X</v>
      </c>
      <c r="AN74" s="308" t="str">
        <f t="shared" si="88"/>
        <v>X</v>
      </c>
      <c r="AO74" s="308" t="str">
        <f t="shared" si="88"/>
        <v>X</v>
      </c>
      <c r="AP74" s="308" t="str">
        <f t="shared" si="88"/>
        <v>X</v>
      </c>
      <c r="AQ74" s="308" t="str">
        <f t="shared" si="88"/>
        <v>X</v>
      </c>
      <c r="AR74" s="308" t="str">
        <f t="shared" si="88"/>
        <v>X</v>
      </c>
      <c r="AS74" s="308" t="str">
        <f t="shared" si="88"/>
        <v>X</v>
      </c>
      <c r="AT74" s="308" t="str">
        <f t="shared" si="88"/>
        <v>X</v>
      </c>
      <c r="AU74" s="308" t="str">
        <f t="shared" si="88"/>
        <v>X</v>
      </c>
      <c r="AV74" s="205"/>
      <c r="AW74" s="205"/>
      <c r="AX74" s="205"/>
      <c r="BC74" s="95"/>
      <c r="BD74" s="95"/>
      <c r="BE74" s="95"/>
      <c r="BF74" s="345"/>
      <c r="BG74" s="2"/>
      <c r="BH74" s="2"/>
      <c r="BI74" s="2"/>
      <c r="BJ74" s="2"/>
      <c r="BK74" s="2"/>
      <c r="BM74" s="2"/>
      <c r="BN74" s="2"/>
      <c r="BO74" s="2"/>
      <c r="BP74" s="2"/>
    </row>
    <row r="75" spans="1:68">
      <c r="A75" s="499"/>
      <c r="B75" s="60" t="s">
        <v>568</v>
      </c>
      <c r="C75" s="78" t="str">
        <f t="shared" ref="C75:AU75" ca="1" si="89">IF(C10=C7-1,"O",IF(C10=C8-1,"O",IF(C10=C9-1,"O",IF(C10=C11-1,"O",IF(C10=C12-1,"O","X")))))</f>
        <v>X</v>
      </c>
      <c r="D75" s="60" t="str">
        <f t="shared" ca="1" si="89"/>
        <v>X</v>
      </c>
      <c r="E75" s="60" t="str">
        <f t="shared" ca="1" si="89"/>
        <v>X</v>
      </c>
      <c r="F75" s="60" t="str">
        <f t="shared" ca="1" si="89"/>
        <v>X</v>
      </c>
      <c r="G75" s="60" t="str">
        <f t="shared" ca="1" si="89"/>
        <v>X</v>
      </c>
      <c r="H75" s="60" t="str">
        <f t="shared" ca="1" si="89"/>
        <v>X</v>
      </c>
      <c r="I75" s="60" t="str">
        <f t="shared" ca="1" si="89"/>
        <v>X</v>
      </c>
      <c r="J75" s="60" t="str">
        <f t="shared" ca="1" si="89"/>
        <v>X</v>
      </c>
      <c r="K75" s="60" t="str">
        <f t="shared" ca="1" si="89"/>
        <v>X</v>
      </c>
      <c r="L75" s="60" t="str">
        <f t="shared" ca="1" si="89"/>
        <v>X</v>
      </c>
      <c r="M75" s="242" t="str">
        <f t="shared" ca="1" si="89"/>
        <v>X</v>
      </c>
      <c r="N75" s="242" t="str">
        <f t="shared" ca="1" si="89"/>
        <v>X</v>
      </c>
      <c r="O75" s="242" t="str">
        <f t="shared" ca="1" si="89"/>
        <v>X</v>
      </c>
      <c r="P75" s="242" t="str">
        <f t="shared" ca="1" si="89"/>
        <v>X</v>
      </c>
      <c r="Q75" s="242" t="str">
        <f t="shared" ca="1" si="89"/>
        <v>X</v>
      </c>
      <c r="R75" s="242" t="str">
        <f t="shared" si="89"/>
        <v>X</v>
      </c>
      <c r="S75" s="242" t="str">
        <f t="shared" si="89"/>
        <v>X</v>
      </c>
      <c r="T75" s="242" t="str">
        <f t="shared" si="89"/>
        <v>X</v>
      </c>
      <c r="U75" s="242" t="str">
        <f t="shared" si="89"/>
        <v>X</v>
      </c>
      <c r="V75" s="242" t="str">
        <f t="shared" si="89"/>
        <v>X</v>
      </c>
      <c r="W75" s="242" t="str">
        <f t="shared" si="89"/>
        <v>X</v>
      </c>
      <c r="X75" s="242" t="str">
        <f t="shared" si="89"/>
        <v>X</v>
      </c>
      <c r="Y75" s="242" t="str">
        <f t="shared" si="89"/>
        <v>X</v>
      </c>
      <c r="Z75" s="242" t="str">
        <f t="shared" si="89"/>
        <v>X</v>
      </c>
      <c r="AA75" s="242" t="str">
        <f t="shared" si="89"/>
        <v>X</v>
      </c>
      <c r="AB75" s="242" t="str">
        <f t="shared" si="89"/>
        <v>X</v>
      </c>
      <c r="AC75" s="242" t="str">
        <f t="shared" si="89"/>
        <v>X</v>
      </c>
      <c r="AD75" s="242" t="str">
        <f t="shared" si="89"/>
        <v>X</v>
      </c>
      <c r="AE75" s="242" t="str">
        <f t="shared" si="89"/>
        <v>X</v>
      </c>
      <c r="AF75" s="242" t="str">
        <f t="shared" si="89"/>
        <v>X</v>
      </c>
      <c r="AG75" s="242" t="str">
        <f t="shared" si="89"/>
        <v>X</v>
      </c>
      <c r="AH75" s="242" t="str">
        <f t="shared" si="89"/>
        <v>X</v>
      </c>
      <c r="AI75" s="242" t="str">
        <f t="shared" si="89"/>
        <v>X</v>
      </c>
      <c r="AJ75" s="242" t="str">
        <f t="shared" si="89"/>
        <v>X</v>
      </c>
      <c r="AK75" s="242" t="str">
        <f t="shared" si="89"/>
        <v>X</v>
      </c>
      <c r="AL75" s="308" t="str">
        <f t="shared" si="89"/>
        <v>X</v>
      </c>
      <c r="AM75" s="308" t="str">
        <f t="shared" si="89"/>
        <v>X</v>
      </c>
      <c r="AN75" s="308" t="str">
        <f t="shared" si="89"/>
        <v>X</v>
      </c>
      <c r="AO75" s="308" t="str">
        <f t="shared" si="89"/>
        <v>X</v>
      </c>
      <c r="AP75" s="308" t="str">
        <f t="shared" si="89"/>
        <v>X</v>
      </c>
      <c r="AQ75" s="308" t="str">
        <f t="shared" si="89"/>
        <v>X</v>
      </c>
      <c r="AR75" s="308" t="str">
        <f t="shared" si="89"/>
        <v>X</v>
      </c>
      <c r="AS75" s="308" t="str">
        <f t="shared" si="89"/>
        <v>X</v>
      </c>
      <c r="AT75" s="308" t="str">
        <f t="shared" si="89"/>
        <v>X</v>
      </c>
      <c r="AU75" s="308" t="str">
        <f t="shared" si="89"/>
        <v>X</v>
      </c>
      <c r="AV75" s="205"/>
      <c r="AW75" s="205"/>
      <c r="AX75" s="205"/>
      <c r="BC75" s="95"/>
      <c r="BD75" s="95"/>
      <c r="BE75" s="95"/>
      <c r="BF75" s="345"/>
      <c r="BG75" s="2"/>
      <c r="BH75" s="2"/>
      <c r="BI75" s="2"/>
      <c r="BJ75" s="2"/>
      <c r="BK75" s="2"/>
      <c r="BL75" s="2"/>
      <c r="BM75" s="2"/>
      <c r="BN75" s="2"/>
      <c r="BO75" s="2"/>
      <c r="BP75" s="2"/>
    </row>
    <row r="76" spans="1:68">
      <c r="A76" s="499"/>
      <c r="B76" s="60" t="s">
        <v>569</v>
      </c>
      <c r="C76" s="78" t="str">
        <f t="shared" ref="C76:AU76" ca="1" si="90">IF(C11=C7-1,"O",IF(C11=C8-1,"O",IF(C11=C9-1,"O",IF(C11=C10-1,"O",IF(C11=C12-1,"O","X")))))</f>
        <v>O</v>
      </c>
      <c r="D76" s="60" t="str">
        <f t="shared" ca="1" si="90"/>
        <v>X</v>
      </c>
      <c r="E76" s="60" t="str">
        <f t="shared" ca="1" si="90"/>
        <v>X</v>
      </c>
      <c r="F76" s="60" t="str">
        <f t="shared" ca="1" si="90"/>
        <v>X</v>
      </c>
      <c r="G76" s="60" t="str">
        <f t="shared" ca="1" si="90"/>
        <v>X</v>
      </c>
      <c r="H76" s="60" t="str">
        <f t="shared" ca="1" si="90"/>
        <v>O</v>
      </c>
      <c r="I76" s="60" t="str">
        <f t="shared" ca="1" si="90"/>
        <v>X</v>
      </c>
      <c r="J76" s="60" t="str">
        <f t="shared" ca="1" si="90"/>
        <v>O</v>
      </c>
      <c r="K76" s="60" t="str">
        <f t="shared" ca="1" si="90"/>
        <v>X</v>
      </c>
      <c r="L76" s="60" t="str">
        <f t="shared" ca="1" si="90"/>
        <v>X</v>
      </c>
      <c r="M76" s="242" t="str">
        <f t="shared" ca="1" si="90"/>
        <v>O</v>
      </c>
      <c r="N76" s="242" t="str">
        <f t="shared" ca="1" si="90"/>
        <v>X</v>
      </c>
      <c r="O76" s="242" t="str">
        <f t="shared" ca="1" si="90"/>
        <v>X</v>
      </c>
      <c r="P76" s="242" t="str">
        <f t="shared" ca="1" si="90"/>
        <v>X</v>
      </c>
      <c r="Q76" s="242" t="str">
        <f t="shared" ca="1" si="90"/>
        <v>X</v>
      </c>
      <c r="R76" s="242" t="str">
        <f t="shared" si="90"/>
        <v>X</v>
      </c>
      <c r="S76" s="242" t="str">
        <f t="shared" si="90"/>
        <v>X</v>
      </c>
      <c r="T76" s="242" t="str">
        <f t="shared" si="90"/>
        <v>X</v>
      </c>
      <c r="U76" s="242" t="str">
        <f t="shared" si="90"/>
        <v>X</v>
      </c>
      <c r="V76" s="242" t="str">
        <f t="shared" si="90"/>
        <v>X</v>
      </c>
      <c r="W76" s="242" t="str">
        <f t="shared" si="90"/>
        <v>X</v>
      </c>
      <c r="X76" s="242" t="str">
        <f t="shared" si="90"/>
        <v>X</v>
      </c>
      <c r="Y76" s="242" t="str">
        <f t="shared" si="90"/>
        <v>X</v>
      </c>
      <c r="Z76" s="242" t="str">
        <f t="shared" si="90"/>
        <v>X</v>
      </c>
      <c r="AA76" s="242" t="str">
        <f t="shared" si="90"/>
        <v>X</v>
      </c>
      <c r="AB76" s="242" t="str">
        <f t="shared" si="90"/>
        <v>X</v>
      </c>
      <c r="AC76" s="242" t="str">
        <f t="shared" si="90"/>
        <v>X</v>
      </c>
      <c r="AD76" s="242" t="str">
        <f t="shared" si="90"/>
        <v>X</v>
      </c>
      <c r="AE76" s="242" t="str">
        <f t="shared" si="90"/>
        <v>X</v>
      </c>
      <c r="AF76" s="242" t="str">
        <f t="shared" si="90"/>
        <v>X</v>
      </c>
      <c r="AG76" s="242" t="str">
        <f t="shared" si="90"/>
        <v>X</v>
      </c>
      <c r="AH76" s="242" t="str">
        <f t="shared" si="90"/>
        <v>X</v>
      </c>
      <c r="AI76" s="242" t="str">
        <f t="shared" si="90"/>
        <v>X</v>
      </c>
      <c r="AJ76" s="242" t="str">
        <f t="shared" si="90"/>
        <v>X</v>
      </c>
      <c r="AK76" s="242" t="str">
        <f t="shared" si="90"/>
        <v>X</v>
      </c>
      <c r="AL76" s="308" t="str">
        <f t="shared" si="90"/>
        <v>X</v>
      </c>
      <c r="AM76" s="308" t="str">
        <f t="shared" si="90"/>
        <v>X</v>
      </c>
      <c r="AN76" s="308" t="str">
        <f t="shared" si="90"/>
        <v>X</v>
      </c>
      <c r="AO76" s="308" t="str">
        <f t="shared" si="90"/>
        <v>X</v>
      </c>
      <c r="AP76" s="308" t="str">
        <f t="shared" si="90"/>
        <v>X</v>
      </c>
      <c r="AQ76" s="308" t="str">
        <f t="shared" si="90"/>
        <v>X</v>
      </c>
      <c r="AR76" s="308" t="str">
        <f t="shared" si="90"/>
        <v>X</v>
      </c>
      <c r="AS76" s="308" t="str">
        <f t="shared" si="90"/>
        <v>X</v>
      </c>
      <c r="AT76" s="308" t="str">
        <f t="shared" si="90"/>
        <v>X</v>
      </c>
      <c r="AU76" s="308" t="str">
        <f t="shared" si="90"/>
        <v>X</v>
      </c>
      <c r="AV76" s="205"/>
      <c r="AW76" s="205"/>
      <c r="AX76" s="205"/>
      <c r="BC76" s="95"/>
      <c r="BD76" s="95"/>
      <c r="BE76" s="95"/>
      <c r="BF76" s="150"/>
      <c r="BG76" s="2"/>
      <c r="BH76" s="170"/>
      <c r="BI76" s="2"/>
      <c r="BJ76" s="2"/>
      <c r="BK76" s="2"/>
      <c r="BL76" s="2"/>
      <c r="BM76" s="2"/>
      <c r="BN76" s="2"/>
      <c r="BO76" s="2"/>
      <c r="BP76" s="2"/>
    </row>
    <row r="77" spans="1:68">
      <c r="A77" s="499"/>
      <c r="B77" s="112" t="s">
        <v>540</v>
      </c>
      <c r="C77" s="112" t="str">
        <f ca="1">IF(C12=C7-1,"O",IF(C12=C8-1,"O",IF(C12=C9-1,"O",IF(C12=C10-1,"O",IF(C12=C11-1,"O","X")))))</f>
        <v>X</v>
      </c>
      <c r="D77" s="112" t="str">
        <f t="shared" ref="D77:AU77" ca="1" si="91">IF(D12=D8-1,"O",IF(D12=D9-1,"O",IF(D12=D10-1,"O",IF(D12=D11-1,"O",IF(D12=D13-1,"O","X")))))</f>
        <v>X</v>
      </c>
      <c r="E77" s="112" t="str">
        <f t="shared" ca="1" si="91"/>
        <v>X</v>
      </c>
      <c r="F77" s="112" t="str">
        <f t="shared" ca="1" si="91"/>
        <v>X</v>
      </c>
      <c r="G77" s="112" t="str">
        <f t="shared" ca="1" si="91"/>
        <v>X</v>
      </c>
      <c r="H77" s="112" t="str">
        <f t="shared" ca="1" si="91"/>
        <v>X</v>
      </c>
      <c r="I77" s="112" t="str">
        <f t="shared" ca="1" si="91"/>
        <v>X</v>
      </c>
      <c r="J77" s="112" t="str">
        <f t="shared" ca="1" si="91"/>
        <v>X</v>
      </c>
      <c r="K77" s="112" t="str">
        <f t="shared" ca="1" si="91"/>
        <v>X</v>
      </c>
      <c r="L77" s="112" t="str">
        <f t="shared" ca="1" si="91"/>
        <v>X</v>
      </c>
      <c r="M77" s="242" t="str">
        <f t="shared" ca="1" si="91"/>
        <v>X</v>
      </c>
      <c r="N77" s="242" t="str">
        <f t="shared" ca="1" si="91"/>
        <v>X</v>
      </c>
      <c r="O77" s="242" t="str">
        <f t="shared" ca="1" si="91"/>
        <v>X</v>
      </c>
      <c r="P77" s="242" t="str">
        <f t="shared" ca="1" si="91"/>
        <v>X</v>
      </c>
      <c r="Q77" s="242" t="str">
        <f t="shared" ca="1" si="91"/>
        <v>X</v>
      </c>
      <c r="R77" s="242" t="str">
        <f t="shared" si="91"/>
        <v>X</v>
      </c>
      <c r="S77" s="242" t="str">
        <f t="shared" si="91"/>
        <v>X</v>
      </c>
      <c r="T77" s="242" t="str">
        <f t="shared" si="91"/>
        <v>X</v>
      </c>
      <c r="U77" s="242" t="str">
        <f t="shared" si="91"/>
        <v>X</v>
      </c>
      <c r="V77" s="242" t="str">
        <f t="shared" si="91"/>
        <v>X</v>
      </c>
      <c r="W77" s="242" t="str">
        <f t="shared" si="91"/>
        <v>X</v>
      </c>
      <c r="X77" s="242" t="str">
        <f t="shared" si="91"/>
        <v>X</v>
      </c>
      <c r="Y77" s="242" t="str">
        <f t="shared" si="91"/>
        <v>X</v>
      </c>
      <c r="Z77" s="242" t="str">
        <f t="shared" si="91"/>
        <v>X</v>
      </c>
      <c r="AA77" s="242" t="str">
        <f t="shared" si="91"/>
        <v>X</v>
      </c>
      <c r="AB77" s="242" t="str">
        <f t="shared" si="91"/>
        <v>X</v>
      </c>
      <c r="AC77" s="242" t="str">
        <f t="shared" si="91"/>
        <v>X</v>
      </c>
      <c r="AD77" s="242" t="str">
        <f t="shared" si="91"/>
        <v>X</v>
      </c>
      <c r="AE77" s="242" t="str">
        <f t="shared" si="91"/>
        <v>X</v>
      </c>
      <c r="AF77" s="242" t="str">
        <f t="shared" si="91"/>
        <v>X</v>
      </c>
      <c r="AG77" s="242" t="str">
        <f t="shared" si="91"/>
        <v>X</v>
      </c>
      <c r="AH77" s="242" t="str">
        <f t="shared" si="91"/>
        <v>X</v>
      </c>
      <c r="AI77" s="242" t="str">
        <f t="shared" si="91"/>
        <v>X</v>
      </c>
      <c r="AJ77" s="242" t="str">
        <f t="shared" si="91"/>
        <v>X</v>
      </c>
      <c r="AK77" s="242" t="str">
        <f t="shared" si="91"/>
        <v>X</v>
      </c>
      <c r="AL77" s="308" t="str">
        <f t="shared" si="91"/>
        <v>X</v>
      </c>
      <c r="AM77" s="308" t="str">
        <f t="shared" si="91"/>
        <v>X</v>
      </c>
      <c r="AN77" s="308" t="str">
        <f t="shared" si="91"/>
        <v>X</v>
      </c>
      <c r="AO77" s="308" t="str">
        <f t="shared" si="91"/>
        <v>X</v>
      </c>
      <c r="AP77" s="308" t="str">
        <f t="shared" si="91"/>
        <v>X</v>
      </c>
      <c r="AQ77" s="308" t="str">
        <f t="shared" si="91"/>
        <v>X</v>
      </c>
      <c r="AR77" s="308" t="str">
        <f t="shared" si="91"/>
        <v>X</v>
      </c>
      <c r="AS77" s="308" t="str">
        <f t="shared" si="91"/>
        <v>X</v>
      </c>
      <c r="AT77" s="308" t="str">
        <f t="shared" si="91"/>
        <v>X</v>
      </c>
      <c r="AU77" s="308" t="str">
        <f t="shared" si="91"/>
        <v>X</v>
      </c>
      <c r="AV77" s="205"/>
      <c r="AW77" s="205"/>
      <c r="AX77" s="205"/>
      <c r="BC77" s="95"/>
      <c r="BD77" s="95"/>
      <c r="BE77" s="95"/>
      <c r="BF77" s="150"/>
      <c r="BG77" s="2"/>
      <c r="BH77" s="2"/>
      <c r="BI77" s="2"/>
      <c r="BJ77" s="2"/>
      <c r="BK77" s="2"/>
      <c r="BL77" s="2"/>
      <c r="BM77" s="2"/>
      <c r="BN77" s="2"/>
      <c r="BO77" s="2"/>
      <c r="BP77" s="2"/>
    </row>
    <row r="78" spans="1:68">
      <c r="A78" s="499"/>
      <c r="B78" s="61" t="s">
        <v>564</v>
      </c>
      <c r="C78" s="79">
        <f ca="1">COUNTIF(C72:C76,"O")</f>
        <v>1</v>
      </c>
      <c r="D78" s="109">
        <f t="shared" ref="D78:Q78" ca="1" si="92">COUNTIF(D72:D76,"O")</f>
        <v>0</v>
      </c>
      <c r="E78" s="109">
        <f t="shared" ca="1" si="92"/>
        <v>1</v>
      </c>
      <c r="F78" s="109">
        <f t="shared" ca="1" si="92"/>
        <v>0</v>
      </c>
      <c r="G78" s="109">
        <f t="shared" ca="1" si="92"/>
        <v>0</v>
      </c>
      <c r="H78" s="109">
        <f t="shared" ca="1" si="92"/>
        <v>1</v>
      </c>
      <c r="I78" s="109">
        <f t="shared" ca="1" si="92"/>
        <v>0</v>
      </c>
      <c r="J78" s="109">
        <f t="shared" ca="1" si="92"/>
        <v>3</v>
      </c>
      <c r="K78" s="109">
        <f t="shared" ca="1" si="92"/>
        <v>0</v>
      </c>
      <c r="L78" s="109">
        <f t="shared" ca="1" si="92"/>
        <v>0</v>
      </c>
      <c r="M78" s="172">
        <f t="shared" ca="1" si="92"/>
        <v>2</v>
      </c>
      <c r="N78" s="172">
        <f t="shared" ca="1" si="92"/>
        <v>1</v>
      </c>
      <c r="O78" s="172">
        <f t="shared" ca="1" si="92"/>
        <v>0</v>
      </c>
      <c r="P78" s="172">
        <f t="shared" ca="1" si="92"/>
        <v>0</v>
      </c>
      <c r="Q78" s="172">
        <f t="shared" ca="1" si="92"/>
        <v>0</v>
      </c>
      <c r="R78" s="172">
        <f t="shared" ref="R78:AH78" si="93">COUNTIF(R72:R76,"O")</f>
        <v>0</v>
      </c>
      <c r="S78" s="172">
        <f t="shared" si="93"/>
        <v>0</v>
      </c>
      <c r="T78" s="172">
        <f t="shared" si="93"/>
        <v>0</v>
      </c>
      <c r="U78" s="172">
        <f t="shared" si="93"/>
        <v>0</v>
      </c>
      <c r="V78" s="172">
        <f t="shared" si="93"/>
        <v>0</v>
      </c>
      <c r="W78" s="172">
        <f t="shared" si="93"/>
        <v>0</v>
      </c>
      <c r="X78" s="172">
        <f t="shared" si="93"/>
        <v>0</v>
      </c>
      <c r="Y78" s="172">
        <f t="shared" si="93"/>
        <v>0</v>
      </c>
      <c r="Z78" s="172">
        <f t="shared" si="93"/>
        <v>0</v>
      </c>
      <c r="AA78" s="172">
        <f t="shared" si="93"/>
        <v>0</v>
      </c>
      <c r="AB78" s="172">
        <f t="shared" si="93"/>
        <v>0</v>
      </c>
      <c r="AC78" s="172">
        <f t="shared" si="93"/>
        <v>0</v>
      </c>
      <c r="AD78" s="172">
        <f t="shared" si="93"/>
        <v>0</v>
      </c>
      <c r="AE78" s="172">
        <f t="shared" si="93"/>
        <v>0</v>
      </c>
      <c r="AF78" s="172">
        <f t="shared" si="93"/>
        <v>0</v>
      </c>
      <c r="AG78" s="172">
        <f t="shared" si="93"/>
        <v>0</v>
      </c>
      <c r="AH78" s="172">
        <f t="shared" si="93"/>
        <v>0</v>
      </c>
      <c r="AI78" s="172">
        <f>COUNTIF(AI72:AI76,"O")</f>
        <v>0</v>
      </c>
      <c r="AJ78" s="172">
        <f>COUNTIF(AJ72:AJ76,"O")</f>
        <v>0</v>
      </c>
      <c r="AK78" s="172">
        <f>COUNTIF(AK72:AK76,"O")</f>
        <v>0</v>
      </c>
      <c r="AL78" s="172">
        <f t="shared" ref="AL78:AU78" si="94">COUNTIF(AL72:AL76,"O")</f>
        <v>0</v>
      </c>
      <c r="AM78" s="172">
        <f t="shared" si="94"/>
        <v>0</v>
      </c>
      <c r="AN78" s="172">
        <f t="shared" si="94"/>
        <v>0</v>
      </c>
      <c r="AO78" s="172">
        <f t="shared" si="94"/>
        <v>0</v>
      </c>
      <c r="AP78" s="172">
        <f t="shared" si="94"/>
        <v>0</v>
      </c>
      <c r="AQ78" s="172">
        <f t="shared" si="94"/>
        <v>0</v>
      </c>
      <c r="AR78" s="172">
        <f t="shared" si="94"/>
        <v>0</v>
      </c>
      <c r="AS78" s="172">
        <f t="shared" si="94"/>
        <v>0</v>
      </c>
      <c r="AT78" s="172">
        <f t="shared" si="94"/>
        <v>0</v>
      </c>
      <c r="AU78" s="172">
        <f t="shared" si="94"/>
        <v>0</v>
      </c>
      <c r="AV78" s="255"/>
      <c r="AW78" s="255"/>
      <c r="AX78" s="255"/>
      <c r="BC78" s="95"/>
      <c r="BD78" s="95"/>
      <c r="BE78" s="95"/>
      <c r="BF78" s="150"/>
      <c r="BG78" s="2"/>
      <c r="BH78" s="2"/>
      <c r="BI78" s="2"/>
      <c r="BJ78" s="2"/>
      <c r="BK78" s="2"/>
      <c r="BL78" s="2"/>
      <c r="BM78" s="2"/>
      <c r="BN78" s="2"/>
      <c r="BO78" s="2"/>
      <c r="BP78" s="2"/>
    </row>
    <row r="79" spans="1:68">
      <c r="A79" s="524" t="s">
        <v>625</v>
      </c>
      <c r="B79" s="68" t="s">
        <v>565</v>
      </c>
      <c r="C79" s="78" t="str">
        <f t="shared" ref="C79:AU79" ca="1" si="95">IF(C7&lt;23,"저수","고수")</f>
        <v>고수</v>
      </c>
      <c r="D79" s="68" t="str">
        <f t="shared" ca="1" si="95"/>
        <v>고수</v>
      </c>
      <c r="E79" s="68" t="str">
        <f t="shared" ca="1" si="95"/>
        <v>저수</v>
      </c>
      <c r="F79" s="68" t="str">
        <f t="shared" ca="1" si="95"/>
        <v>고수</v>
      </c>
      <c r="G79" s="68" t="str">
        <f t="shared" ca="1" si="95"/>
        <v>저수</v>
      </c>
      <c r="H79" s="68" t="str">
        <f t="shared" ca="1" si="95"/>
        <v>저수</v>
      </c>
      <c r="I79" s="68" t="str">
        <f t="shared" ca="1" si="95"/>
        <v>고수</v>
      </c>
      <c r="J79" s="68" t="str">
        <f t="shared" ca="1" si="95"/>
        <v>저수</v>
      </c>
      <c r="K79" s="68" t="str">
        <f t="shared" ca="1" si="95"/>
        <v>고수</v>
      </c>
      <c r="L79" s="68" t="str">
        <f t="shared" ca="1" si="95"/>
        <v>저수</v>
      </c>
      <c r="M79" s="242" t="str">
        <f t="shared" ca="1" si="95"/>
        <v>저수</v>
      </c>
      <c r="N79" s="242" t="str">
        <f t="shared" ca="1" si="95"/>
        <v>저수</v>
      </c>
      <c r="O79" s="242" t="str">
        <f t="shared" ca="1" si="95"/>
        <v>저수</v>
      </c>
      <c r="P79" s="242" t="str">
        <f t="shared" ca="1" si="95"/>
        <v>고수</v>
      </c>
      <c r="Q79" s="242" t="str">
        <f t="shared" ca="1" si="95"/>
        <v>저수</v>
      </c>
      <c r="R79" s="242" t="str">
        <f t="shared" si="95"/>
        <v>저수</v>
      </c>
      <c r="S79" s="242" t="str">
        <f t="shared" si="95"/>
        <v>저수</v>
      </c>
      <c r="T79" s="242" t="str">
        <f t="shared" si="95"/>
        <v>저수</v>
      </c>
      <c r="U79" s="242" t="str">
        <f t="shared" si="95"/>
        <v>저수</v>
      </c>
      <c r="V79" s="242" t="str">
        <f t="shared" si="95"/>
        <v>저수</v>
      </c>
      <c r="W79" s="242" t="str">
        <f t="shared" si="95"/>
        <v>저수</v>
      </c>
      <c r="X79" s="242" t="str">
        <f t="shared" si="95"/>
        <v>저수</v>
      </c>
      <c r="Y79" s="242" t="str">
        <f t="shared" si="95"/>
        <v>저수</v>
      </c>
      <c r="Z79" s="242" t="str">
        <f t="shared" si="95"/>
        <v>저수</v>
      </c>
      <c r="AA79" s="242" t="str">
        <f t="shared" si="95"/>
        <v>저수</v>
      </c>
      <c r="AB79" s="242" t="str">
        <f t="shared" si="95"/>
        <v>저수</v>
      </c>
      <c r="AC79" s="242" t="str">
        <f t="shared" si="95"/>
        <v>저수</v>
      </c>
      <c r="AD79" s="242" t="str">
        <f t="shared" si="95"/>
        <v>저수</v>
      </c>
      <c r="AE79" s="242" t="str">
        <f t="shared" si="95"/>
        <v>저수</v>
      </c>
      <c r="AF79" s="242" t="str">
        <f t="shared" si="95"/>
        <v>저수</v>
      </c>
      <c r="AG79" s="242" t="str">
        <f t="shared" si="95"/>
        <v>저수</v>
      </c>
      <c r="AH79" s="242" t="str">
        <f t="shared" si="95"/>
        <v>저수</v>
      </c>
      <c r="AI79" s="242" t="str">
        <f t="shared" si="95"/>
        <v>저수</v>
      </c>
      <c r="AJ79" s="242" t="str">
        <f t="shared" si="95"/>
        <v>저수</v>
      </c>
      <c r="AK79" s="242" t="str">
        <f t="shared" si="95"/>
        <v>저수</v>
      </c>
      <c r="AL79" s="308" t="str">
        <f t="shared" si="95"/>
        <v>저수</v>
      </c>
      <c r="AM79" s="308" t="str">
        <f t="shared" si="95"/>
        <v>저수</v>
      </c>
      <c r="AN79" s="308" t="str">
        <f t="shared" si="95"/>
        <v>저수</v>
      </c>
      <c r="AO79" s="308" t="str">
        <f t="shared" si="95"/>
        <v>저수</v>
      </c>
      <c r="AP79" s="308" t="str">
        <f t="shared" si="95"/>
        <v>저수</v>
      </c>
      <c r="AQ79" s="308" t="str">
        <f t="shared" si="95"/>
        <v>저수</v>
      </c>
      <c r="AR79" s="308" t="str">
        <f t="shared" si="95"/>
        <v>저수</v>
      </c>
      <c r="AS79" s="308" t="str">
        <f t="shared" si="95"/>
        <v>저수</v>
      </c>
      <c r="AT79" s="308" t="str">
        <f t="shared" si="95"/>
        <v>저수</v>
      </c>
      <c r="AU79" s="308" t="str">
        <f t="shared" si="95"/>
        <v>저수</v>
      </c>
      <c r="AV79" s="205"/>
      <c r="AW79" s="205"/>
      <c r="AX79" s="205"/>
      <c r="BC79" s="95"/>
      <c r="BD79" s="95"/>
      <c r="BE79" s="95"/>
      <c r="BF79" s="150"/>
      <c r="BG79" s="2"/>
      <c r="BH79" s="2"/>
      <c r="BI79" s="2"/>
      <c r="BJ79" s="2"/>
      <c r="BK79" s="2"/>
      <c r="BL79" s="2"/>
      <c r="BM79" s="2"/>
      <c r="BN79" s="2"/>
      <c r="BO79" s="2"/>
      <c r="BP79" s="2"/>
    </row>
    <row r="80" spans="1:68">
      <c r="A80" s="525"/>
      <c r="B80" s="68" t="s">
        <v>566</v>
      </c>
      <c r="C80" s="78" t="str">
        <f t="shared" ref="C80:AU80" ca="1" si="96">IF(C8&lt;23,"저수","고수")</f>
        <v>고수</v>
      </c>
      <c r="D80" s="68" t="str">
        <f t="shared" ca="1" si="96"/>
        <v>저수</v>
      </c>
      <c r="E80" s="68" t="str">
        <f t="shared" ca="1" si="96"/>
        <v>저수</v>
      </c>
      <c r="F80" s="68" t="str">
        <f t="shared" ca="1" si="96"/>
        <v>고수</v>
      </c>
      <c r="G80" s="68" t="str">
        <f t="shared" ca="1" si="96"/>
        <v>고수</v>
      </c>
      <c r="H80" s="68" t="str">
        <f t="shared" ca="1" si="96"/>
        <v>고수</v>
      </c>
      <c r="I80" s="68" t="str">
        <f t="shared" ca="1" si="96"/>
        <v>저수</v>
      </c>
      <c r="J80" s="68" t="str">
        <f t="shared" ca="1" si="96"/>
        <v>고수</v>
      </c>
      <c r="K80" s="68" t="str">
        <f t="shared" ca="1" si="96"/>
        <v>저수</v>
      </c>
      <c r="L80" s="68" t="str">
        <f t="shared" ca="1" si="96"/>
        <v>저수</v>
      </c>
      <c r="M80" s="242" t="str">
        <f t="shared" ca="1" si="96"/>
        <v>고수</v>
      </c>
      <c r="N80" s="242" t="str">
        <f t="shared" ca="1" si="96"/>
        <v>저수</v>
      </c>
      <c r="O80" s="242" t="str">
        <f t="shared" ca="1" si="96"/>
        <v>고수</v>
      </c>
      <c r="P80" s="242" t="str">
        <f t="shared" ca="1" si="96"/>
        <v>저수</v>
      </c>
      <c r="Q80" s="242" t="str">
        <f t="shared" ca="1" si="96"/>
        <v>저수</v>
      </c>
      <c r="R80" s="242" t="str">
        <f t="shared" si="96"/>
        <v>저수</v>
      </c>
      <c r="S80" s="242" t="str">
        <f t="shared" si="96"/>
        <v>저수</v>
      </c>
      <c r="T80" s="242" t="str">
        <f t="shared" si="96"/>
        <v>저수</v>
      </c>
      <c r="U80" s="242" t="str">
        <f t="shared" si="96"/>
        <v>저수</v>
      </c>
      <c r="V80" s="242" t="str">
        <f t="shared" si="96"/>
        <v>저수</v>
      </c>
      <c r="W80" s="242" t="str">
        <f t="shared" si="96"/>
        <v>저수</v>
      </c>
      <c r="X80" s="242" t="str">
        <f t="shared" si="96"/>
        <v>저수</v>
      </c>
      <c r="Y80" s="242" t="str">
        <f t="shared" si="96"/>
        <v>저수</v>
      </c>
      <c r="Z80" s="242" t="str">
        <f t="shared" si="96"/>
        <v>저수</v>
      </c>
      <c r="AA80" s="242" t="str">
        <f t="shared" si="96"/>
        <v>저수</v>
      </c>
      <c r="AB80" s="242" t="str">
        <f t="shared" si="96"/>
        <v>저수</v>
      </c>
      <c r="AC80" s="242" t="str">
        <f t="shared" si="96"/>
        <v>저수</v>
      </c>
      <c r="AD80" s="242" t="str">
        <f t="shared" si="96"/>
        <v>저수</v>
      </c>
      <c r="AE80" s="242" t="str">
        <f t="shared" si="96"/>
        <v>저수</v>
      </c>
      <c r="AF80" s="242" t="str">
        <f t="shared" si="96"/>
        <v>저수</v>
      </c>
      <c r="AG80" s="242" t="str">
        <f t="shared" si="96"/>
        <v>저수</v>
      </c>
      <c r="AH80" s="242" t="str">
        <f t="shared" si="96"/>
        <v>저수</v>
      </c>
      <c r="AI80" s="242" t="str">
        <f t="shared" si="96"/>
        <v>저수</v>
      </c>
      <c r="AJ80" s="242" t="str">
        <f t="shared" si="96"/>
        <v>저수</v>
      </c>
      <c r="AK80" s="242" t="str">
        <f t="shared" si="96"/>
        <v>저수</v>
      </c>
      <c r="AL80" s="308" t="str">
        <f t="shared" si="96"/>
        <v>저수</v>
      </c>
      <c r="AM80" s="308" t="str">
        <f t="shared" si="96"/>
        <v>저수</v>
      </c>
      <c r="AN80" s="308" t="str">
        <f t="shared" si="96"/>
        <v>저수</v>
      </c>
      <c r="AO80" s="308" t="str">
        <f t="shared" si="96"/>
        <v>저수</v>
      </c>
      <c r="AP80" s="308" t="str">
        <f t="shared" si="96"/>
        <v>저수</v>
      </c>
      <c r="AQ80" s="308" t="str">
        <f t="shared" si="96"/>
        <v>저수</v>
      </c>
      <c r="AR80" s="308" t="str">
        <f t="shared" si="96"/>
        <v>저수</v>
      </c>
      <c r="AS80" s="308" t="str">
        <f t="shared" si="96"/>
        <v>저수</v>
      </c>
      <c r="AT80" s="308" t="str">
        <f t="shared" si="96"/>
        <v>저수</v>
      </c>
      <c r="AU80" s="308" t="str">
        <f t="shared" si="96"/>
        <v>저수</v>
      </c>
      <c r="AV80" s="205"/>
      <c r="AW80" s="205"/>
      <c r="AX80" s="205"/>
      <c r="BC80" s="95"/>
      <c r="BD80" s="95"/>
      <c r="BE80" s="95"/>
      <c r="BF80" s="150"/>
      <c r="BG80" s="2"/>
      <c r="BH80" s="2"/>
      <c r="BI80" s="2"/>
      <c r="BJ80" s="2"/>
      <c r="BK80" s="2"/>
      <c r="BL80" s="2"/>
      <c r="BM80" s="2"/>
      <c r="BN80" s="2"/>
      <c r="BO80" s="2"/>
      <c r="BP80" s="2"/>
    </row>
    <row r="81" spans="1:68">
      <c r="A81" s="525"/>
      <c r="B81" s="68" t="s">
        <v>567</v>
      </c>
      <c r="C81" s="78" t="str">
        <f t="shared" ref="C81:AU81" ca="1" si="97">IF(C9&lt;23,"저수","고수")</f>
        <v>고수</v>
      </c>
      <c r="D81" s="68" t="str">
        <f t="shared" ca="1" si="97"/>
        <v>저수</v>
      </c>
      <c r="E81" s="68" t="str">
        <f t="shared" ca="1" si="97"/>
        <v>저수</v>
      </c>
      <c r="F81" s="68" t="str">
        <f t="shared" ca="1" si="97"/>
        <v>고수</v>
      </c>
      <c r="G81" s="68" t="str">
        <f t="shared" ca="1" si="97"/>
        <v>고수</v>
      </c>
      <c r="H81" s="68" t="str">
        <f t="shared" ca="1" si="97"/>
        <v>저수</v>
      </c>
      <c r="I81" s="68" t="str">
        <f t="shared" ca="1" si="97"/>
        <v>저수</v>
      </c>
      <c r="J81" s="68" t="str">
        <f t="shared" ca="1" si="97"/>
        <v>고수</v>
      </c>
      <c r="K81" s="68" t="str">
        <f t="shared" ca="1" si="97"/>
        <v>저수</v>
      </c>
      <c r="L81" s="68" t="str">
        <f t="shared" ca="1" si="97"/>
        <v>저수</v>
      </c>
      <c r="M81" s="242" t="str">
        <f t="shared" ca="1" si="97"/>
        <v>고수</v>
      </c>
      <c r="N81" s="242" t="str">
        <f t="shared" ca="1" si="97"/>
        <v>저수</v>
      </c>
      <c r="O81" s="242" t="str">
        <f t="shared" ca="1" si="97"/>
        <v>저수</v>
      </c>
      <c r="P81" s="242" t="str">
        <f t="shared" ca="1" si="97"/>
        <v>고수</v>
      </c>
      <c r="Q81" s="242" t="str">
        <f t="shared" ca="1" si="97"/>
        <v>저수</v>
      </c>
      <c r="R81" s="242" t="str">
        <f t="shared" si="97"/>
        <v>저수</v>
      </c>
      <c r="S81" s="242" t="str">
        <f t="shared" si="97"/>
        <v>저수</v>
      </c>
      <c r="T81" s="242" t="str">
        <f t="shared" si="97"/>
        <v>저수</v>
      </c>
      <c r="U81" s="242" t="str">
        <f t="shared" si="97"/>
        <v>저수</v>
      </c>
      <c r="V81" s="242" t="str">
        <f t="shared" si="97"/>
        <v>저수</v>
      </c>
      <c r="W81" s="242" t="str">
        <f t="shared" si="97"/>
        <v>저수</v>
      </c>
      <c r="X81" s="242" t="str">
        <f t="shared" si="97"/>
        <v>저수</v>
      </c>
      <c r="Y81" s="242" t="str">
        <f t="shared" si="97"/>
        <v>저수</v>
      </c>
      <c r="Z81" s="242" t="str">
        <f t="shared" si="97"/>
        <v>저수</v>
      </c>
      <c r="AA81" s="242" t="str">
        <f t="shared" si="97"/>
        <v>저수</v>
      </c>
      <c r="AB81" s="242" t="str">
        <f t="shared" si="97"/>
        <v>저수</v>
      </c>
      <c r="AC81" s="242" t="str">
        <f t="shared" si="97"/>
        <v>저수</v>
      </c>
      <c r="AD81" s="242" t="str">
        <f t="shared" si="97"/>
        <v>저수</v>
      </c>
      <c r="AE81" s="242" t="str">
        <f t="shared" si="97"/>
        <v>저수</v>
      </c>
      <c r="AF81" s="242" t="str">
        <f t="shared" si="97"/>
        <v>저수</v>
      </c>
      <c r="AG81" s="242" t="str">
        <f t="shared" si="97"/>
        <v>저수</v>
      </c>
      <c r="AH81" s="242" t="str">
        <f t="shared" si="97"/>
        <v>저수</v>
      </c>
      <c r="AI81" s="242" t="str">
        <f t="shared" si="97"/>
        <v>저수</v>
      </c>
      <c r="AJ81" s="242" t="str">
        <f t="shared" si="97"/>
        <v>저수</v>
      </c>
      <c r="AK81" s="242" t="str">
        <f t="shared" si="97"/>
        <v>저수</v>
      </c>
      <c r="AL81" s="308" t="str">
        <f t="shared" si="97"/>
        <v>저수</v>
      </c>
      <c r="AM81" s="308" t="str">
        <f t="shared" si="97"/>
        <v>저수</v>
      </c>
      <c r="AN81" s="308" t="str">
        <f t="shared" si="97"/>
        <v>저수</v>
      </c>
      <c r="AO81" s="308" t="str">
        <f t="shared" si="97"/>
        <v>저수</v>
      </c>
      <c r="AP81" s="308" t="str">
        <f t="shared" si="97"/>
        <v>저수</v>
      </c>
      <c r="AQ81" s="308" t="str">
        <f t="shared" si="97"/>
        <v>저수</v>
      </c>
      <c r="AR81" s="308" t="str">
        <f t="shared" si="97"/>
        <v>저수</v>
      </c>
      <c r="AS81" s="308" t="str">
        <f t="shared" si="97"/>
        <v>저수</v>
      </c>
      <c r="AT81" s="308" t="str">
        <f t="shared" si="97"/>
        <v>저수</v>
      </c>
      <c r="AU81" s="308" t="str">
        <f t="shared" si="97"/>
        <v>저수</v>
      </c>
      <c r="AV81" s="205"/>
      <c r="AW81" s="205"/>
      <c r="AX81" s="205"/>
      <c r="BC81" s="95"/>
      <c r="BD81" s="95"/>
      <c r="BE81" s="95"/>
      <c r="BF81" s="150"/>
      <c r="BG81" s="2"/>
      <c r="BH81" s="2"/>
      <c r="BI81" s="2"/>
      <c r="BJ81" s="2"/>
      <c r="BK81" s="2"/>
      <c r="BL81" s="2"/>
      <c r="BM81" s="2"/>
      <c r="BN81" s="2"/>
      <c r="BO81" s="2"/>
      <c r="BP81" s="2"/>
    </row>
    <row r="82" spans="1:68">
      <c r="A82" s="525"/>
      <c r="B82" s="68" t="s">
        <v>568</v>
      </c>
      <c r="C82" s="78" t="str">
        <f t="shared" ref="C82:AU82" ca="1" si="98">IF(C10&lt;23,"저수","고수")</f>
        <v>고수</v>
      </c>
      <c r="D82" s="68" t="str">
        <f t="shared" ca="1" si="98"/>
        <v>고수</v>
      </c>
      <c r="E82" s="68" t="str">
        <f t="shared" ca="1" si="98"/>
        <v>저수</v>
      </c>
      <c r="F82" s="68" t="str">
        <f t="shared" ca="1" si="98"/>
        <v>고수</v>
      </c>
      <c r="G82" s="68" t="str">
        <f t="shared" ca="1" si="98"/>
        <v>저수</v>
      </c>
      <c r="H82" s="68" t="str">
        <f t="shared" ca="1" si="98"/>
        <v>저수</v>
      </c>
      <c r="I82" s="68" t="str">
        <f t="shared" ca="1" si="98"/>
        <v>고수</v>
      </c>
      <c r="J82" s="68" t="str">
        <f t="shared" ca="1" si="98"/>
        <v>고수</v>
      </c>
      <c r="K82" s="68" t="str">
        <f t="shared" ca="1" si="98"/>
        <v>고수</v>
      </c>
      <c r="L82" s="68" t="str">
        <f t="shared" ca="1" si="98"/>
        <v>저수</v>
      </c>
      <c r="M82" s="242" t="str">
        <f t="shared" ca="1" si="98"/>
        <v>저수</v>
      </c>
      <c r="N82" s="242" t="str">
        <f t="shared" ca="1" si="98"/>
        <v>저수</v>
      </c>
      <c r="O82" s="242" t="str">
        <f t="shared" ca="1" si="98"/>
        <v>저수</v>
      </c>
      <c r="P82" s="242" t="str">
        <f t="shared" ca="1" si="98"/>
        <v>저수</v>
      </c>
      <c r="Q82" s="242" t="str">
        <f t="shared" ca="1" si="98"/>
        <v>고수</v>
      </c>
      <c r="R82" s="242" t="str">
        <f t="shared" si="98"/>
        <v>저수</v>
      </c>
      <c r="S82" s="242" t="str">
        <f t="shared" si="98"/>
        <v>저수</v>
      </c>
      <c r="T82" s="242" t="str">
        <f t="shared" si="98"/>
        <v>저수</v>
      </c>
      <c r="U82" s="242" t="str">
        <f t="shared" si="98"/>
        <v>저수</v>
      </c>
      <c r="V82" s="242" t="str">
        <f t="shared" si="98"/>
        <v>저수</v>
      </c>
      <c r="W82" s="242" t="str">
        <f t="shared" si="98"/>
        <v>저수</v>
      </c>
      <c r="X82" s="242" t="str">
        <f t="shared" si="98"/>
        <v>저수</v>
      </c>
      <c r="Y82" s="242" t="str">
        <f t="shared" si="98"/>
        <v>저수</v>
      </c>
      <c r="Z82" s="242" t="str">
        <f t="shared" si="98"/>
        <v>저수</v>
      </c>
      <c r="AA82" s="242" t="str">
        <f t="shared" si="98"/>
        <v>저수</v>
      </c>
      <c r="AB82" s="242" t="str">
        <f t="shared" si="98"/>
        <v>저수</v>
      </c>
      <c r="AC82" s="242" t="str">
        <f t="shared" si="98"/>
        <v>저수</v>
      </c>
      <c r="AD82" s="242" t="str">
        <f t="shared" si="98"/>
        <v>저수</v>
      </c>
      <c r="AE82" s="242" t="str">
        <f t="shared" si="98"/>
        <v>저수</v>
      </c>
      <c r="AF82" s="242" t="str">
        <f t="shared" si="98"/>
        <v>저수</v>
      </c>
      <c r="AG82" s="242" t="str">
        <f t="shared" si="98"/>
        <v>저수</v>
      </c>
      <c r="AH82" s="242" t="str">
        <f t="shared" si="98"/>
        <v>저수</v>
      </c>
      <c r="AI82" s="242" t="str">
        <f t="shared" si="98"/>
        <v>저수</v>
      </c>
      <c r="AJ82" s="242" t="str">
        <f t="shared" si="98"/>
        <v>저수</v>
      </c>
      <c r="AK82" s="242" t="str">
        <f t="shared" si="98"/>
        <v>저수</v>
      </c>
      <c r="AL82" s="308" t="str">
        <f t="shared" si="98"/>
        <v>저수</v>
      </c>
      <c r="AM82" s="308" t="str">
        <f t="shared" si="98"/>
        <v>저수</v>
      </c>
      <c r="AN82" s="308" t="str">
        <f t="shared" si="98"/>
        <v>저수</v>
      </c>
      <c r="AO82" s="308" t="str">
        <f t="shared" si="98"/>
        <v>저수</v>
      </c>
      <c r="AP82" s="308" t="str">
        <f t="shared" si="98"/>
        <v>저수</v>
      </c>
      <c r="AQ82" s="308" t="str">
        <f t="shared" si="98"/>
        <v>저수</v>
      </c>
      <c r="AR82" s="308" t="str">
        <f t="shared" si="98"/>
        <v>저수</v>
      </c>
      <c r="AS82" s="308" t="str">
        <f t="shared" si="98"/>
        <v>저수</v>
      </c>
      <c r="AT82" s="308" t="str">
        <f t="shared" si="98"/>
        <v>저수</v>
      </c>
      <c r="AU82" s="308" t="str">
        <f t="shared" si="98"/>
        <v>저수</v>
      </c>
      <c r="AV82" s="205"/>
      <c r="AW82" s="205"/>
      <c r="AX82" s="205"/>
      <c r="BC82" s="95"/>
      <c r="BD82" s="95"/>
      <c r="BE82" s="95"/>
      <c r="BF82" s="150"/>
      <c r="BG82" s="2"/>
      <c r="BH82" s="2"/>
      <c r="BI82" s="2"/>
      <c r="BJ82" s="2"/>
      <c r="BK82" s="2"/>
      <c r="BL82" s="2"/>
      <c r="BM82" s="2"/>
      <c r="BN82" s="2"/>
      <c r="BO82" s="2"/>
      <c r="BP82" s="2"/>
    </row>
    <row r="83" spans="1:68">
      <c r="A83" s="525"/>
      <c r="B83" s="68" t="s">
        <v>569</v>
      </c>
      <c r="C83" s="78" t="str">
        <f t="shared" ref="C83:AU83" ca="1" si="99">IF(C11&lt;23,"저수","고수")</f>
        <v>고수</v>
      </c>
      <c r="D83" s="68" t="str">
        <f t="shared" ca="1" si="99"/>
        <v>저수</v>
      </c>
      <c r="E83" s="68" t="str">
        <f t="shared" ca="1" si="99"/>
        <v>저수</v>
      </c>
      <c r="F83" s="68" t="str">
        <f t="shared" ca="1" si="99"/>
        <v>고수</v>
      </c>
      <c r="G83" s="68" t="str">
        <f t="shared" ca="1" si="99"/>
        <v>저수</v>
      </c>
      <c r="H83" s="68" t="str">
        <f t="shared" ca="1" si="99"/>
        <v>저수</v>
      </c>
      <c r="I83" s="68" t="str">
        <f t="shared" ca="1" si="99"/>
        <v>저수</v>
      </c>
      <c r="J83" s="68" t="str">
        <f t="shared" ca="1" si="99"/>
        <v>고수</v>
      </c>
      <c r="K83" s="68" t="str">
        <f t="shared" ca="1" si="99"/>
        <v>저수</v>
      </c>
      <c r="L83" s="68" t="str">
        <f t="shared" ca="1" si="99"/>
        <v>고수</v>
      </c>
      <c r="M83" s="242" t="str">
        <f t="shared" ca="1" si="99"/>
        <v>저수</v>
      </c>
      <c r="N83" s="242" t="str">
        <f t="shared" ca="1" si="99"/>
        <v>저수</v>
      </c>
      <c r="O83" s="242" t="str">
        <f t="shared" ca="1" si="99"/>
        <v>저수</v>
      </c>
      <c r="P83" s="242" t="str">
        <f t="shared" ca="1" si="99"/>
        <v>고수</v>
      </c>
      <c r="Q83" s="242" t="str">
        <f t="shared" ca="1" si="99"/>
        <v>고수</v>
      </c>
      <c r="R83" s="242" t="str">
        <f t="shared" si="99"/>
        <v>저수</v>
      </c>
      <c r="S83" s="242" t="str">
        <f t="shared" si="99"/>
        <v>저수</v>
      </c>
      <c r="T83" s="242" t="str">
        <f t="shared" si="99"/>
        <v>저수</v>
      </c>
      <c r="U83" s="242" t="str">
        <f t="shared" si="99"/>
        <v>저수</v>
      </c>
      <c r="V83" s="242" t="str">
        <f t="shared" si="99"/>
        <v>저수</v>
      </c>
      <c r="W83" s="242" t="str">
        <f t="shared" si="99"/>
        <v>저수</v>
      </c>
      <c r="X83" s="242" t="str">
        <f t="shared" si="99"/>
        <v>저수</v>
      </c>
      <c r="Y83" s="242" t="str">
        <f t="shared" si="99"/>
        <v>저수</v>
      </c>
      <c r="Z83" s="242" t="str">
        <f t="shared" si="99"/>
        <v>저수</v>
      </c>
      <c r="AA83" s="242" t="str">
        <f t="shared" si="99"/>
        <v>저수</v>
      </c>
      <c r="AB83" s="242" t="str">
        <f t="shared" si="99"/>
        <v>저수</v>
      </c>
      <c r="AC83" s="242" t="str">
        <f t="shared" si="99"/>
        <v>저수</v>
      </c>
      <c r="AD83" s="242" t="str">
        <f t="shared" si="99"/>
        <v>저수</v>
      </c>
      <c r="AE83" s="242" t="str">
        <f t="shared" si="99"/>
        <v>저수</v>
      </c>
      <c r="AF83" s="242" t="str">
        <f t="shared" si="99"/>
        <v>저수</v>
      </c>
      <c r="AG83" s="242" t="str">
        <f t="shared" si="99"/>
        <v>저수</v>
      </c>
      <c r="AH83" s="242" t="str">
        <f t="shared" si="99"/>
        <v>저수</v>
      </c>
      <c r="AI83" s="242" t="str">
        <f t="shared" si="99"/>
        <v>저수</v>
      </c>
      <c r="AJ83" s="242" t="str">
        <f t="shared" si="99"/>
        <v>저수</v>
      </c>
      <c r="AK83" s="242" t="str">
        <f t="shared" si="99"/>
        <v>저수</v>
      </c>
      <c r="AL83" s="308" t="str">
        <f t="shared" si="99"/>
        <v>저수</v>
      </c>
      <c r="AM83" s="308" t="str">
        <f t="shared" si="99"/>
        <v>저수</v>
      </c>
      <c r="AN83" s="308" t="str">
        <f t="shared" si="99"/>
        <v>저수</v>
      </c>
      <c r="AO83" s="308" t="str">
        <f t="shared" si="99"/>
        <v>저수</v>
      </c>
      <c r="AP83" s="308" t="str">
        <f t="shared" si="99"/>
        <v>저수</v>
      </c>
      <c r="AQ83" s="308" t="str">
        <f t="shared" si="99"/>
        <v>저수</v>
      </c>
      <c r="AR83" s="308" t="str">
        <f t="shared" si="99"/>
        <v>저수</v>
      </c>
      <c r="AS83" s="308" t="str">
        <f t="shared" si="99"/>
        <v>저수</v>
      </c>
      <c r="AT83" s="308" t="str">
        <f t="shared" si="99"/>
        <v>저수</v>
      </c>
      <c r="AU83" s="308" t="str">
        <f t="shared" si="99"/>
        <v>저수</v>
      </c>
      <c r="AV83" s="205"/>
      <c r="AW83" s="205"/>
      <c r="AX83" s="205"/>
      <c r="BC83" s="95"/>
      <c r="BD83" s="95"/>
      <c r="BE83" s="95"/>
      <c r="BF83" s="150"/>
      <c r="BG83" s="2"/>
      <c r="BH83" s="170"/>
      <c r="BI83" s="2"/>
      <c r="BJ83" s="2"/>
      <c r="BK83" s="2"/>
      <c r="BL83" s="2"/>
      <c r="BM83" s="2"/>
      <c r="BN83" s="2"/>
      <c r="BO83" s="2"/>
      <c r="BP83" s="2"/>
    </row>
    <row r="84" spans="1:68">
      <c r="A84" s="526"/>
      <c r="B84" s="82" t="s">
        <v>540</v>
      </c>
      <c r="C84" s="78" t="str">
        <f t="shared" ref="C84:AU84" ca="1" si="100">IF(C12&lt;23,"저수","고수")</f>
        <v>저수</v>
      </c>
      <c r="D84" s="68" t="str">
        <f t="shared" ca="1" si="100"/>
        <v>저수</v>
      </c>
      <c r="E84" s="68" t="str">
        <f t="shared" ca="1" si="100"/>
        <v>고수</v>
      </c>
      <c r="F84" s="68" t="str">
        <f t="shared" ca="1" si="100"/>
        <v>저수</v>
      </c>
      <c r="G84" s="68" t="str">
        <f t="shared" ca="1" si="100"/>
        <v>고수</v>
      </c>
      <c r="H84" s="68" t="str">
        <f t="shared" ca="1" si="100"/>
        <v>저수</v>
      </c>
      <c r="I84" s="68" t="str">
        <f t="shared" ca="1" si="100"/>
        <v>저수</v>
      </c>
      <c r="J84" s="68" t="str">
        <f t="shared" ca="1" si="100"/>
        <v>고수</v>
      </c>
      <c r="K84" s="68" t="str">
        <f t="shared" ca="1" si="100"/>
        <v>저수</v>
      </c>
      <c r="L84" s="68" t="str">
        <f t="shared" ca="1" si="100"/>
        <v>저수</v>
      </c>
      <c r="M84" s="242" t="str">
        <f t="shared" ca="1" si="100"/>
        <v>저수</v>
      </c>
      <c r="N84" s="242" t="str">
        <f t="shared" ca="1" si="100"/>
        <v>저수</v>
      </c>
      <c r="O84" s="242" t="str">
        <f t="shared" ca="1" si="100"/>
        <v>고수</v>
      </c>
      <c r="P84" s="242" t="str">
        <f t="shared" ca="1" si="100"/>
        <v>저수</v>
      </c>
      <c r="Q84" s="242" t="str">
        <f t="shared" ca="1" si="100"/>
        <v>고수</v>
      </c>
      <c r="R84" s="242" t="str">
        <f t="shared" si="100"/>
        <v>저수</v>
      </c>
      <c r="S84" s="242" t="str">
        <f t="shared" si="100"/>
        <v>저수</v>
      </c>
      <c r="T84" s="242" t="str">
        <f t="shared" si="100"/>
        <v>저수</v>
      </c>
      <c r="U84" s="242" t="str">
        <f t="shared" si="100"/>
        <v>저수</v>
      </c>
      <c r="V84" s="242" t="str">
        <f t="shared" si="100"/>
        <v>저수</v>
      </c>
      <c r="W84" s="242" t="str">
        <f t="shared" si="100"/>
        <v>저수</v>
      </c>
      <c r="X84" s="242" t="str">
        <f t="shared" si="100"/>
        <v>저수</v>
      </c>
      <c r="Y84" s="242" t="str">
        <f t="shared" si="100"/>
        <v>저수</v>
      </c>
      <c r="Z84" s="242" t="str">
        <f t="shared" si="100"/>
        <v>저수</v>
      </c>
      <c r="AA84" s="242" t="str">
        <f t="shared" si="100"/>
        <v>저수</v>
      </c>
      <c r="AB84" s="242" t="str">
        <f t="shared" si="100"/>
        <v>저수</v>
      </c>
      <c r="AC84" s="242" t="str">
        <f t="shared" si="100"/>
        <v>저수</v>
      </c>
      <c r="AD84" s="242" t="str">
        <f t="shared" si="100"/>
        <v>저수</v>
      </c>
      <c r="AE84" s="242" t="str">
        <f t="shared" si="100"/>
        <v>저수</v>
      </c>
      <c r="AF84" s="242" t="str">
        <f t="shared" si="100"/>
        <v>저수</v>
      </c>
      <c r="AG84" s="242" t="str">
        <f t="shared" si="100"/>
        <v>저수</v>
      </c>
      <c r="AH84" s="242" t="str">
        <f t="shared" si="100"/>
        <v>저수</v>
      </c>
      <c r="AI84" s="242" t="str">
        <f t="shared" si="100"/>
        <v>저수</v>
      </c>
      <c r="AJ84" s="242" t="str">
        <f t="shared" si="100"/>
        <v>저수</v>
      </c>
      <c r="AK84" s="242" t="str">
        <f t="shared" si="100"/>
        <v>저수</v>
      </c>
      <c r="AL84" s="308" t="str">
        <f t="shared" si="100"/>
        <v>저수</v>
      </c>
      <c r="AM84" s="308" t="str">
        <f t="shared" si="100"/>
        <v>저수</v>
      </c>
      <c r="AN84" s="308" t="str">
        <f t="shared" si="100"/>
        <v>저수</v>
      </c>
      <c r="AO84" s="308" t="str">
        <f t="shared" si="100"/>
        <v>저수</v>
      </c>
      <c r="AP84" s="308" t="str">
        <f t="shared" si="100"/>
        <v>저수</v>
      </c>
      <c r="AQ84" s="308" t="str">
        <f t="shared" si="100"/>
        <v>저수</v>
      </c>
      <c r="AR84" s="308" t="str">
        <f t="shared" si="100"/>
        <v>저수</v>
      </c>
      <c r="AS84" s="308" t="str">
        <f t="shared" si="100"/>
        <v>저수</v>
      </c>
      <c r="AT84" s="308" t="str">
        <f t="shared" si="100"/>
        <v>저수</v>
      </c>
      <c r="AU84" s="308" t="str">
        <f t="shared" si="100"/>
        <v>저수</v>
      </c>
      <c r="AV84" s="205"/>
      <c r="AW84" s="205"/>
      <c r="AX84" s="205"/>
      <c r="BC84" s="95"/>
      <c r="BD84" s="95"/>
      <c r="BE84" s="95"/>
      <c r="BF84" s="150"/>
      <c r="BG84" s="2"/>
      <c r="BH84" s="2"/>
      <c r="BI84" s="2"/>
      <c r="BJ84" s="2"/>
      <c r="BK84" s="2"/>
      <c r="BL84" s="2"/>
      <c r="BM84" s="2"/>
      <c r="BN84" s="2"/>
      <c r="BO84" s="2"/>
      <c r="BP84" s="2"/>
    </row>
    <row r="85" spans="1:68">
      <c r="A85" s="522" t="s">
        <v>626</v>
      </c>
      <c r="B85" s="67" t="s">
        <v>627</v>
      </c>
      <c r="C85" s="78">
        <f ca="1">COUNTIF(C$79:C$84,"저수")</f>
        <v>1</v>
      </c>
      <c r="D85" s="68">
        <f t="shared" ref="D85:Q85" ca="1" si="101">COUNTIF(D$79:D$84,"저수")</f>
        <v>4</v>
      </c>
      <c r="E85" s="68">
        <f t="shared" ca="1" si="101"/>
        <v>5</v>
      </c>
      <c r="F85" s="68">
        <f t="shared" ca="1" si="101"/>
        <v>1</v>
      </c>
      <c r="G85" s="68">
        <f t="shared" ca="1" si="101"/>
        <v>3</v>
      </c>
      <c r="H85" s="68">
        <f t="shared" ca="1" si="101"/>
        <v>5</v>
      </c>
      <c r="I85" s="68">
        <f t="shared" ca="1" si="101"/>
        <v>4</v>
      </c>
      <c r="J85" s="68">
        <f t="shared" ca="1" si="101"/>
        <v>1</v>
      </c>
      <c r="K85" s="68">
        <f t="shared" ca="1" si="101"/>
        <v>4</v>
      </c>
      <c r="L85" s="68">
        <f t="shared" ca="1" si="101"/>
        <v>5</v>
      </c>
      <c r="M85" s="242">
        <f t="shared" ca="1" si="101"/>
        <v>4</v>
      </c>
      <c r="N85" s="242">
        <f t="shared" ca="1" si="101"/>
        <v>6</v>
      </c>
      <c r="O85" s="242">
        <f t="shared" ca="1" si="101"/>
        <v>4</v>
      </c>
      <c r="P85" s="242">
        <f t="shared" ca="1" si="101"/>
        <v>3</v>
      </c>
      <c r="Q85" s="242">
        <f t="shared" ca="1" si="101"/>
        <v>3</v>
      </c>
      <c r="R85" s="242">
        <f t="shared" ref="R85:AU85" si="102">COUNTIF(R$79:R$84,"저수")</f>
        <v>6</v>
      </c>
      <c r="S85" s="242">
        <f t="shared" si="102"/>
        <v>6</v>
      </c>
      <c r="T85" s="242">
        <f t="shared" si="102"/>
        <v>6</v>
      </c>
      <c r="U85" s="242">
        <f t="shared" si="102"/>
        <v>6</v>
      </c>
      <c r="V85" s="242">
        <f t="shared" si="102"/>
        <v>6</v>
      </c>
      <c r="W85" s="242">
        <f t="shared" si="102"/>
        <v>6</v>
      </c>
      <c r="X85" s="242">
        <f t="shared" si="102"/>
        <v>6</v>
      </c>
      <c r="Y85" s="242">
        <f t="shared" si="102"/>
        <v>6</v>
      </c>
      <c r="Z85" s="242">
        <f t="shared" si="102"/>
        <v>6</v>
      </c>
      <c r="AA85" s="242">
        <f t="shared" si="102"/>
        <v>6</v>
      </c>
      <c r="AB85" s="242">
        <f t="shared" si="102"/>
        <v>6</v>
      </c>
      <c r="AC85" s="242">
        <f t="shared" si="102"/>
        <v>6</v>
      </c>
      <c r="AD85" s="242">
        <f t="shared" si="102"/>
        <v>6</v>
      </c>
      <c r="AE85" s="242">
        <f t="shared" si="102"/>
        <v>6</v>
      </c>
      <c r="AF85" s="242">
        <f t="shared" si="102"/>
        <v>6</v>
      </c>
      <c r="AG85" s="242">
        <f t="shared" si="102"/>
        <v>6</v>
      </c>
      <c r="AH85" s="242">
        <f t="shared" si="102"/>
        <v>6</v>
      </c>
      <c r="AI85" s="242">
        <f t="shared" si="102"/>
        <v>6</v>
      </c>
      <c r="AJ85" s="242">
        <f t="shared" si="102"/>
        <v>6</v>
      </c>
      <c r="AK85" s="242">
        <f t="shared" si="102"/>
        <v>6</v>
      </c>
      <c r="AL85" s="308">
        <f t="shared" si="102"/>
        <v>6</v>
      </c>
      <c r="AM85" s="308">
        <f t="shared" si="102"/>
        <v>6</v>
      </c>
      <c r="AN85" s="308">
        <f t="shared" si="102"/>
        <v>6</v>
      </c>
      <c r="AO85" s="308">
        <f t="shared" si="102"/>
        <v>6</v>
      </c>
      <c r="AP85" s="308">
        <f t="shared" si="102"/>
        <v>6</v>
      </c>
      <c r="AQ85" s="308">
        <f t="shared" si="102"/>
        <v>6</v>
      </c>
      <c r="AR85" s="308">
        <f t="shared" si="102"/>
        <v>6</v>
      </c>
      <c r="AS85" s="308">
        <f t="shared" si="102"/>
        <v>6</v>
      </c>
      <c r="AT85" s="308">
        <f t="shared" si="102"/>
        <v>6</v>
      </c>
      <c r="AU85" s="308">
        <f t="shared" si="102"/>
        <v>6</v>
      </c>
      <c r="AV85" s="205"/>
      <c r="AW85" s="205"/>
      <c r="AX85" s="205"/>
      <c r="BC85" s="95"/>
      <c r="BD85" s="95"/>
      <c r="BE85" s="95"/>
      <c r="BF85" s="95"/>
      <c r="BG85" s="2"/>
      <c r="BH85" s="2"/>
      <c r="BI85" s="2"/>
      <c r="BJ85" s="2"/>
      <c r="BK85" s="2"/>
      <c r="BL85" s="2"/>
      <c r="BM85" s="2"/>
      <c r="BN85" s="2"/>
      <c r="BO85" s="2"/>
      <c r="BP85" s="2"/>
    </row>
    <row r="86" spans="1:68">
      <c r="A86" s="522"/>
      <c r="B86" s="71" t="s">
        <v>628</v>
      </c>
      <c r="C86" s="78">
        <f ca="1">COUNTIF(C$79:C$84,"고수")</f>
        <v>5</v>
      </c>
      <c r="D86" s="68">
        <f t="shared" ref="D86:Q86" ca="1" si="103">COUNTIF(D$79:D$84,"고수")</f>
        <v>2</v>
      </c>
      <c r="E86" s="68">
        <f t="shared" ca="1" si="103"/>
        <v>1</v>
      </c>
      <c r="F86" s="68">
        <f t="shared" ca="1" si="103"/>
        <v>5</v>
      </c>
      <c r="G86" s="68">
        <f t="shared" ca="1" si="103"/>
        <v>3</v>
      </c>
      <c r="H86" s="68">
        <f t="shared" ca="1" si="103"/>
        <v>1</v>
      </c>
      <c r="I86" s="68">
        <f t="shared" ca="1" si="103"/>
        <v>2</v>
      </c>
      <c r="J86" s="68">
        <f t="shared" ca="1" si="103"/>
        <v>5</v>
      </c>
      <c r="K86" s="68">
        <f t="shared" ca="1" si="103"/>
        <v>2</v>
      </c>
      <c r="L86" s="68">
        <f t="shared" ca="1" si="103"/>
        <v>1</v>
      </c>
      <c r="M86" s="242">
        <f t="shared" ca="1" si="103"/>
        <v>2</v>
      </c>
      <c r="N86" s="242">
        <f t="shared" ca="1" si="103"/>
        <v>0</v>
      </c>
      <c r="O86" s="242">
        <f t="shared" ca="1" si="103"/>
        <v>2</v>
      </c>
      <c r="P86" s="242">
        <f t="shared" ca="1" si="103"/>
        <v>3</v>
      </c>
      <c r="Q86" s="242">
        <f t="shared" ca="1" si="103"/>
        <v>3</v>
      </c>
      <c r="R86" s="242">
        <f t="shared" ref="R86:AU86" si="104">COUNTIF(R$79:R$84,"고수")</f>
        <v>0</v>
      </c>
      <c r="S86" s="242">
        <f t="shared" si="104"/>
        <v>0</v>
      </c>
      <c r="T86" s="242">
        <f t="shared" si="104"/>
        <v>0</v>
      </c>
      <c r="U86" s="242">
        <f t="shared" si="104"/>
        <v>0</v>
      </c>
      <c r="V86" s="242">
        <f t="shared" si="104"/>
        <v>0</v>
      </c>
      <c r="W86" s="242">
        <f t="shared" si="104"/>
        <v>0</v>
      </c>
      <c r="X86" s="242">
        <f t="shared" si="104"/>
        <v>0</v>
      </c>
      <c r="Y86" s="242">
        <f t="shared" si="104"/>
        <v>0</v>
      </c>
      <c r="Z86" s="242">
        <f t="shared" si="104"/>
        <v>0</v>
      </c>
      <c r="AA86" s="242">
        <f t="shared" si="104"/>
        <v>0</v>
      </c>
      <c r="AB86" s="242">
        <f t="shared" si="104"/>
        <v>0</v>
      </c>
      <c r="AC86" s="242">
        <f t="shared" si="104"/>
        <v>0</v>
      </c>
      <c r="AD86" s="242">
        <f t="shared" si="104"/>
        <v>0</v>
      </c>
      <c r="AE86" s="242">
        <f t="shared" si="104"/>
        <v>0</v>
      </c>
      <c r="AF86" s="242">
        <f t="shared" si="104"/>
        <v>0</v>
      </c>
      <c r="AG86" s="242">
        <f t="shared" si="104"/>
        <v>0</v>
      </c>
      <c r="AH86" s="242">
        <f t="shared" si="104"/>
        <v>0</v>
      </c>
      <c r="AI86" s="242">
        <f t="shared" si="104"/>
        <v>0</v>
      </c>
      <c r="AJ86" s="242">
        <f t="shared" si="104"/>
        <v>0</v>
      </c>
      <c r="AK86" s="242">
        <f t="shared" si="104"/>
        <v>0</v>
      </c>
      <c r="AL86" s="308">
        <f t="shared" si="104"/>
        <v>0</v>
      </c>
      <c r="AM86" s="308">
        <f t="shared" si="104"/>
        <v>0</v>
      </c>
      <c r="AN86" s="308">
        <f t="shared" si="104"/>
        <v>0</v>
      </c>
      <c r="AO86" s="308">
        <f t="shared" si="104"/>
        <v>0</v>
      </c>
      <c r="AP86" s="308">
        <f t="shared" si="104"/>
        <v>0</v>
      </c>
      <c r="AQ86" s="308">
        <f t="shared" si="104"/>
        <v>0</v>
      </c>
      <c r="AR86" s="308">
        <f t="shared" si="104"/>
        <v>0</v>
      </c>
      <c r="AS86" s="308">
        <f t="shared" si="104"/>
        <v>0</v>
      </c>
      <c r="AT86" s="308">
        <f t="shared" si="104"/>
        <v>0</v>
      </c>
      <c r="AU86" s="308">
        <f t="shared" si="104"/>
        <v>0</v>
      </c>
      <c r="AV86" s="205"/>
      <c r="AW86" s="205"/>
      <c r="AX86" s="205"/>
      <c r="BC86" s="95"/>
      <c r="BD86" s="95"/>
      <c r="BE86" s="95"/>
      <c r="BF86" s="95"/>
      <c r="BG86" s="2"/>
      <c r="BH86" s="2"/>
      <c r="BI86" s="2"/>
      <c r="BJ86" s="2"/>
      <c r="BK86" s="2"/>
      <c r="BL86" s="2"/>
      <c r="BM86" s="2"/>
      <c r="BN86" s="2"/>
      <c r="BO86" s="2"/>
      <c r="BP86" s="2"/>
    </row>
    <row r="87" spans="1:68">
      <c r="A87" s="522"/>
      <c r="B87" s="70" t="s">
        <v>633</v>
      </c>
      <c r="C87" s="79" t="str">
        <f ca="1">C85&amp;":"&amp;C86</f>
        <v>1:5</v>
      </c>
      <c r="D87" s="69" t="str">
        <f t="shared" ref="D87:Q87" ca="1" si="105">D85&amp;":"&amp;D86</f>
        <v>4:2</v>
      </c>
      <c r="E87" s="69" t="str">
        <f t="shared" ca="1" si="105"/>
        <v>5:1</v>
      </c>
      <c r="F87" s="69" t="str">
        <f t="shared" ca="1" si="105"/>
        <v>1:5</v>
      </c>
      <c r="G87" s="69" t="str">
        <f t="shared" ca="1" si="105"/>
        <v>3:3</v>
      </c>
      <c r="H87" s="69" t="str">
        <f t="shared" ca="1" si="105"/>
        <v>5:1</v>
      </c>
      <c r="I87" s="69" t="str">
        <f t="shared" ca="1" si="105"/>
        <v>4:2</v>
      </c>
      <c r="J87" s="69" t="str">
        <f t="shared" ca="1" si="105"/>
        <v>1:5</v>
      </c>
      <c r="K87" s="69" t="str">
        <f t="shared" ca="1" si="105"/>
        <v>4:2</v>
      </c>
      <c r="L87" s="69" t="str">
        <f t="shared" ca="1" si="105"/>
        <v>5:1</v>
      </c>
      <c r="M87" s="172" t="str">
        <f t="shared" ca="1" si="105"/>
        <v>4:2</v>
      </c>
      <c r="N87" s="172" t="str">
        <f t="shared" ca="1" si="105"/>
        <v>6:0</v>
      </c>
      <c r="O87" s="172" t="str">
        <f t="shared" ca="1" si="105"/>
        <v>4:2</v>
      </c>
      <c r="P87" s="172" t="str">
        <f t="shared" ca="1" si="105"/>
        <v>3:3</v>
      </c>
      <c r="Q87" s="172" t="str">
        <f t="shared" ca="1" si="105"/>
        <v>3:3</v>
      </c>
      <c r="R87" s="172" t="str">
        <f t="shared" ref="R87:AH87" si="106">R85&amp;":"&amp;R86</f>
        <v>6:0</v>
      </c>
      <c r="S87" s="172" t="str">
        <f t="shared" si="106"/>
        <v>6:0</v>
      </c>
      <c r="T87" s="172" t="str">
        <f t="shared" si="106"/>
        <v>6:0</v>
      </c>
      <c r="U87" s="172" t="str">
        <f t="shared" si="106"/>
        <v>6:0</v>
      </c>
      <c r="V87" s="172" t="str">
        <f t="shared" si="106"/>
        <v>6:0</v>
      </c>
      <c r="W87" s="172" t="str">
        <f t="shared" si="106"/>
        <v>6:0</v>
      </c>
      <c r="X87" s="172" t="str">
        <f t="shared" si="106"/>
        <v>6:0</v>
      </c>
      <c r="Y87" s="172" t="str">
        <f t="shared" si="106"/>
        <v>6:0</v>
      </c>
      <c r="Z87" s="172" t="str">
        <f t="shared" si="106"/>
        <v>6:0</v>
      </c>
      <c r="AA87" s="172" t="str">
        <f t="shared" si="106"/>
        <v>6:0</v>
      </c>
      <c r="AB87" s="172" t="str">
        <f t="shared" si="106"/>
        <v>6:0</v>
      </c>
      <c r="AC87" s="172" t="str">
        <f t="shared" si="106"/>
        <v>6:0</v>
      </c>
      <c r="AD87" s="172" t="str">
        <f t="shared" si="106"/>
        <v>6:0</v>
      </c>
      <c r="AE87" s="172" t="str">
        <f t="shared" si="106"/>
        <v>6:0</v>
      </c>
      <c r="AF87" s="172" t="str">
        <f t="shared" si="106"/>
        <v>6:0</v>
      </c>
      <c r="AG87" s="172" t="str">
        <f t="shared" si="106"/>
        <v>6:0</v>
      </c>
      <c r="AH87" s="172" t="str">
        <f t="shared" si="106"/>
        <v>6:0</v>
      </c>
      <c r="AI87" s="172" t="str">
        <f>AI85&amp;":"&amp;AI86</f>
        <v>6:0</v>
      </c>
      <c r="AJ87" s="172" t="str">
        <f>AJ85&amp;":"&amp;AJ86</f>
        <v>6:0</v>
      </c>
      <c r="AK87" s="172" t="str">
        <f>AK85&amp;":"&amp;AK86</f>
        <v>6:0</v>
      </c>
      <c r="AL87" s="172" t="str">
        <f t="shared" ref="AL87:AU87" si="107">AL85&amp;":"&amp;AL86</f>
        <v>6:0</v>
      </c>
      <c r="AM87" s="172" t="str">
        <f t="shared" si="107"/>
        <v>6:0</v>
      </c>
      <c r="AN87" s="172" t="str">
        <f t="shared" si="107"/>
        <v>6:0</v>
      </c>
      <c r="AO87" s="172" t="str">
        <f t="shared" si="107"/>
        <v>6:0</v>
      </c>
      <c r="AP87" s="172" t="str">
        <f t="shared" si="107"/>
        <v>6:0</v>
      </c>
      <c r="AQ87" s="172" t="str">
        <f t="shared" si="107"/>
        <v>6:0</v>
      </c>
      <c r="AR87" s="172" t="str">
        <f t="shared" si="107"/>
        <v>6:0</v>
      </c>
      <c r="AS87" s="172" t="str">
        <f t="shared" si="107"/>
        <v>6:0</v>
      </c>
      <c r="AT87" s="172" t="str">
        <f t="shared" si="107"/>
        <v>6:0</v>
      </c>
      <c r="AU87" s="172" t="str">
        <f t="shared" si="107"/>
        <v>6:0</v>
      </c>
      <c r="AV87" s="255"/>
      <c r="AW87" s="255"/>
      <c r="AX87" s="255"/>
      <c r="BC87" s="95"/>
      <c r="BD87" s="95"/>
      <c r="BE87" s="95"/>
      <c r="BF87" s="95"/>
      <c r="BG87" s="2"/>
      <c r="BH87" s="2"/>
      <c r="BI87" s="2"/>
      <c r="BJ87" s="2"/>
      <c r="BK87" s="2"/>
      <c r="BL87" s="2"/>
      <c r="BM87" s="2"/>
      <c r="BN87" s="2"/>
      <c r="BO87" s="2"/>
      <c r="BP87" s="2"/>
    </row>
    <row r="88" spans="1:68">
      <c r="A88" s="91" t="s">
        <v>634</v>
      </c>
      <c r="B88" s="121" t="s">
        <v>696</v>
      </c>
      <c r="C88" s="79">
        <f t="shared" ref="C88:Q88" ca="1" si="108">RIGHT(C7,1)+RIGHT(C8,1)+RIGHT(C9,1)+RIGHT(C10,1)+RIGHT(C11,1)+RIGHT(C12,1)</f>
        <v>29</v>
      </c>
      <c r="D88" s="334">
        <f t="shared" ca="1" si="108"/>
        <v>19</v>
      </c>
      <c r="E88" s="334">
        <f t="shared" ca="1" si="108"/>
        <v>23</v>
      </c>
      <c r="F88" s="334">
        <f t="shared" ca="1" si="108"/>
        <v>30</v>
      </c>
      <c r="G88" s="334">
        <f t="shared" ca="1" si="108"/>
        <v>29</v>
      </c>
      <c r="H88" s="334">
        <f t="shared" ca="1" si="108"/>
        <v>36</v>
      </c>
      <c r="I88" s="334">
        <f t="shared" ca="1" si="108"/>
        <v>22</v>
      </c>
      <c r="J88" s="334">
        <f t="shared" ca="1" si="108"/>
        <v>33</v>
      </c>
      <c r="K88" s="334">
        <f t="shared" ca="1" si="108"/>
        <v>28</v>
      </c>
      <c r="L88" s="334">
        <f t="shared" ca="1" si="108"/>
        <v>25</v>
      </c>
      <c r="M88" s="334">
        <f t="shared" ca="1" si="108"/>
        <v>13</v>
      </c>
      <c r="N88" s="334">
        <f t="shared" ca="1" si="108"/>
        <v>33</v>
      </c>
      <c r="O88" s="334">
        <f t="shared" ca="1" si="108"/>
        <v>36</v>
      </c>
      <c r="P88" s="334">
        <f t="shared" ca="1" si="108"/>
        <v>18</v>
      </c>
      <c r="Q88" s="334">
        <f t="shared" ca="1" si="108"/>
        <v>28</v>
      </c>
      <c r="R88" s="92" t="e">
        <f t="shared" ref="R88:AU88" si="109">RIGHT(R7,1)+RIGHT(R8,1)+RIGHT(R8,1)+RIGHT(R10,1)+RIGHT(R11,1)+RIGHT(R12,1)</f>
        <v>#VALUE!</v>
      </c>
      <c r="S88" s="92" t="e">
        <f t="shared" si="109"/>
        <v>#VALUE!</v>
      </c>
      <c r="T88" s="92" t="e">
        <f t="shared" si="109"/>
        <v>#VALUE!</v>
      </c>
      <c r="U88" s="92" t="e">
        <f t="shared" si="109"/>
        <v>#VALUE!</v>
      </c>
      <c r="V88" s="92" t="e">
        <f t="shared" si="109"/>
        <v>#VALUE!</v>
      </c>
      <c r="W88" s="92" t="e">
        <f t="shared" si="109"/>
        <v>#VALUE!</v>
      </c>
      <c r="X88" s="92" t="e">
        <f t="shared" si="109"/>
        <v>#VALUE!</v>
      </c>
      <c r="Y88" s="92" t="e">
        <f t="shared" si="109"/>
        <v>#VALUE!</v>
      </c>
      <c r="Z88" s="92" t="e">
        <f t="shared" si="109"/>
        <v>#VALUE!</v>
      </c>
      <c r="AA88" s="92" t="e">
        <f t="shared" si="109"/>
        <v>#VALUE!</v>
      </c>
      <c r="AB88" s="92" t="e">
        <f t="shared" si="109"/>
        <v>#VALUE!</v>
      </c>
      <c r="AC88" s="92" t="e">
        <f t="shared" si="109"/>
        <v>#VALUE!</v>
      </c>
      <c r="AD88" s="92" t="e">
        <f t="shared" si="109"/>
        <v>#VALUE!</v>
      </c>
      <c r="AE88" s="92" t="e">
        <f t="shared" si="109"/>
        <v>#VALUE!</v>
      </c>
      <c r="AF88" s="92" t="e">
        <f t="shared" si="109"/>
        <v>#VALUE!</v>
      </c>
      <c r="AG88" s="92" t="e">
        <f t="shared" si="109"/>
        <v>#VALUE!</v>
      </c>
      <c r="AH88" s="92" t="e">
        <f t="shared" si="109"/>
        <v>#VALUE!</v>
      </c>
      <c r="AI88" s="92" t="e">
        <f t="shared" si="109"/>
        <v>#VALUE!</v>
      </c>
      <c r="AJ88" s="92" t="e">
        <f t="shared" si="109"/>
        <v>#VALUE!</v>
      </c>
      <c r="AK88" s="92" t="e">
        <f t="shared" si="109"/>
        <v>#VALUE!</v>
      </c>
      <c r="AL88" s="92" t="e">
        <f t="shared" si="109"/>
        <v>#VALUE!</v>
      </c>
      <c r="AM88" s="92" t="e">
        <f t="shared" si="109"/>
        <v>#VALUE!</v>
      </c>
      <c r="AN88" s="92" t="e">
        <f t="shared" si="109"/>
        <v>#VALUE!</v>
      </c>
      <c r="AO88" s="92" t="e">
        <f t="shared" si="109"/>
        <v>#VALUE!</v>
      </c>
      <c r="AP88" s="92" t="e">
        <f t="shared" si="109"/>
        <v>#VALUE!</v>
      </c>
      <c r="AQ88" s="92" t="e">
        <f t="shared" si="109"/>
        <v>#VALUE!</v>
      </c>
      <c r="AR88" s="92" t="e">
        <f t="shared" si="109"/>
        <v>#VALUE!</v>
      </c>
      <c r="AS88" s="92" t="e">
        <f t="shared" si="109"/>
        <v>#VALUE!</v>
      </c>
      <c r="AT88" s="92" t="e">
        <f t="shared" si="109"/>
        <v>#VALUE!</v>
      </c>
      <c r="AU88" s="92" t="e">
        <f t="shared" si="109"/>
        <v>#VALUE!</v>
      </c>
      <c r="AV88" s="258"/>
      <c r="AW88" s="258"/>
      <c r="AX88" s="258"/>
      <c r="BC88" s="95"/>
      <c r="BD88" s="95"/>
      <c r="BE88" s="95"/>
      <c r="BF88" s="95"/>
      <c r="BG88" s="85"/>
      <c r="BH88" s="53"/>
      <c r="BI88" s="53"/>
      <c r="BJ88" s="2"/>
      <c r="BK88" s="2"/>
      <c r="BL88" s="2"/>
      <c r="BM88" s="2"/>
      <c r="BN88" s="2"/>
      <c r="BO88" s="2"/>
      <c r="BP88" s="2"/>
    </row>
    <row r="89" spans="1:68">
      <c r="A89" s="522" t="s">
        <v>653</v>
      </c>
      <c r="B89" s="78" t="s">
        <v>565</v>
      </c>
      <c r="C89" s="78" t="str">
        <f t="shared" ref="C89:AU89" ca="1" si="110">IF(C7=2,"O",IF(C7=3,"O",IF(C7=5,"O",IF(C7=7,"O",IF(C7=11,"O",IF(C7=13,"O",IF(C7=17,"O",IF(C7=19,"O","X"))))))))</f>
        <v>X</v>
      </c>
      <c r="D89" s="78" t="str">
        <f t="shared" ca="1" si="110"/>
        <v>X</v>
      </c>
      <c r="E89" s="78" t="str">
        <f t="shared" ca="1" si="110"/>
        <v>O</v>
      </c>
      <c r="F89" s="78" t="str">
        <f t="shared" ca="1" si="110"/>
        <v>X</v>
      </c>
      <c r="G89" s="78" t="str">
        <f t="shared" ca="1" si="110"/>
        <v>O</v>
      </c>
      <c r="H89" s="78" t="str">
        <f t="shared" ca="1" si="110"/>
        <v>X</v>
      </c>
      <c r="I89" s="78" t="str">
        <f t="shared" ca="1" si="110"/>
        <v>X</v>
      </c>
      <c r="J89" s="78" t="str">
        <f t="shared" ca="1" si="110"/>
        <v>X</v>
      </c>
      <c r="K89" s="78" t="str">
        <f t="shared" ca="1" si="110"/>
        <v>X</v>
      </c>
      <c r="L89" s="78" t="str">
        <f t="shared" ca="1" si="110"/>
        <v>X</v>
      </c>
      <c r="M89" s="242" t="str">
        <f t="shared" ca="1" si="110"/>
        <v>X</v>
      </c>
      <c r="N89" s="242" t="str">
        <f t="shared" ca="1" si="110"/>
        <v>X</v>
      </c>
      <c r="O89" s="242" t="str">
        <f t="shared" ca="1" si="110"/>
        <v>O</v>
      </c>
      <c r="P89" s="242" t="str">
        <f t="shared" ca="1" si="110"/>
        <v>X</v>
      </c>
      <c r="Q89" s="242" t="str">
        <f t="shared" ca="1" si="110"/>
        <v>X</v>
      </c>
      <c r="R89" s="242" t="str">
        <f t="shared" si="110"/>
        <v>X</v>
      </c>
      <c r="S89" s="242" t="str">
        <f t="shared" si="110"/>
        <v>X</v>
      </c>
      <c r="T89" s="242" t="str">
        <f t="shared" si="110"/>
        <v>X</v>
      </c>
      <c r="U89" s="242" t="str">
        <f t="shared" si="110"/>
        <v>X</v>
      </c>
      <c r="V89" s="242" t="str">
        <f t="shared" si="110"/>
        <v>X</v>
      </c>
      <c r="W89" s="242" t="str">
        <f t="shared" si="110"/>
        <v>X</v>
      </c>
      <c r="X89" s="242" t="str">
        <f t="shared" si="110"/>
        <v>X</v>
      </c>
      <c r="Y89" s="242" t="str">
        <f t="shared" si="110"/>
        <v>X</v>
      </c>
      <c r="Z89" s="242" t="str">
        <f t="shared" si="110"/>
        <v>X</v>
      </c>
      <c r="AA89" s="242" t="str">
        <f t="shared" si="110"/>
        <v>X</v>
      </c>
      <c r="AB89" s="242" t="str">
        <f t="shared" si="110"/>
        <v>X</v>
      </c>
      <c r="AC89" s="242" t="str">
        <f t="shared" si="110"/>
        <v>X</v>
      </c>
      <c r="AD89" s="242" t="str">
        <f t="shared" si="110"/>
        <v>X</v>
      </c>
      <c r="AE89" s="242" t="str">
        <f t="shared" si="110"/>
        <v>X</v>
      </c>
      <c r="AF89" s="242" t="str">
        <f t="shared" si="110"/>
        <v>X</v>
      </c>
      <c r="AG89" s="242" t="str">
        <f t="shared" si="110"/>
        <v>X</v>
      </c>
      <c r="AH89" s="242" t="str">
        <f t="shared" si="110"/>
        <v>X</v>
      </c>
      <c r="AI89" s="242" t="str">
        <f t="shared" si="110"/>
        <v>X</v>
      </c>
      <c r="AJ89" s="242" t="str">
        <f t="shared" si="110"/>
        <v>X</v>
      </c>
      <c r="AK89" s="242" t="str">
        <f t="shared" si="110"/>
        <v>X</v>
      </c>
      <c r="AL89" s="308" t="str">
        <f t="shared" si="110"/>
        <v>X</v>
      </c>
      <c r="AM89" s="308" t="str">
        <f t="shared" si="110"/>
        <v>X</v>
      </c>
      <c r="AN89" s="308" t="str">
        <f t="shared" si="110"/>
        <v>X</v>
      </c>
      <c r="AO89" s="308" t="str">
        <f t="shared" si="110"/>
        <v>X</v>
      </c>
      <c r="AP89" s="308" t="str">
        <f t="shared" si="110"/>
        <v>X</v>
      </c>
      <c r="AQ89" s="308" t="str">
        <f t="shared" si="110"/>
        <v>X</v>
      </c>
      <c r="AR89" s="308" t="str">
        <f t="shared" si="110"/>
        <v>X</v>
      </c>
      <c r="AS89" s="308" t="str">
        <f t="shared" si="110"/>
        <v>X</v>
      </c>
      <c r="AT89" s="308" t="str">
        <f t="shared" si="110"/>
        <v>X</v>
      </c>
      <c r="AU89" s="308" t="str">
        <f t="shared" si="110"/>
        <v>X</v>
      </c>
      <c r="AV89" s="205"/>
      <c r="AW89" s="205"/>
      <c r="AX89" s="205"/>
      <c r="BC89" s="95"/>
      <c r="BD89" s="95"/>
      <c r="BE89" s="95"/>
      <c r="BF89" s="95"/>
      <c r="BG89" s="348"/>
      <c r="BH89" s="53"/>
      <c r="BI89" s="53"/>
      <c r="BJ89" s="235"/>
      <c r="BK89" s="2"/>
      <c r="BL89" s="2"/>
      <c r="BM89" s="2"/>
      <c r="BN89" s="2"/>
      <c r="BO89" s="2"/>
      <c r="BP89" s="2"/>
    </row>
    <row r="90" spans="1:68">
      <c r="A90" s="522"/>
      <c r="B90" s="78" t="s">
        <v>566</v>
      </c>
      <c r="C90" s="78" t="str">
        <f t="shared" ref="C90:AU90" ca="1" si="111">IF(C8=2,"O",IF(C8=3,"O",IF(C8=5,"O",IF(C8=7,"O",IF(C8=11,"O",IF(C8=13,"O",IF(C8=17,"O",IF(C8=19,"O","X"))))))))</f>
        <v>X</v>
      </c>
      <c r="D90" s="78" t="str">
        <f t="shared" ca="1" si="111"/>
        <v>X</v>
      </c>
      <c r="E90" s="78" t="str">
        <f t="shared" ca="1" si="111"/>
        <v>X</v>
      </c>
      <c r="F90" s="78" t="str">
        <f t="shared" ca="1" si="111"/>
        <v>X</v>
      </c>
      <c r="G90" s="78" t="str">
        <f t="shared" ca="1" si="111"/>
        <v>X</v>
      </c>
      <c r="H90" s="78" t="str">
        <f t="shared" ca="1" si="111"/>
        <v>X</v>
      </c>
      <c r="I90" s="78" t="str">
        <f t="shared" ca="1" si="111"/>
        <v>X</v>
      </c>
      <c r="J90" s="78" t="str">
        <f t="shared" ca="1" si="111"/>
        <v>X</v>
      </c>
      <c r="K90" s="78" t="str">
        <f t="shared" ca="1" si="111"/>
        <v>X</v>
      </c>
      <c r="L90" s="78" t="str">
        <f t="shared" ca="1" si="111"/>
        <v>X</v>
      </c>
      <c r="M90" s="242" t="str">
        <f t="shared" ca="1" si="111"/>
        <v>X</v>
      </c>
      <c r="N90" s="242" t="str">
        <f t="shared" ca="1" si="111"/>
        <v>O</v>
      </c>
      <c r="O90" s="242" t="str">
        <f t="shared" ca="1" si="111"/>
        <v>X</v>
      </c>
      <c r="P90" s="242" t="str">
        <f t="shared" ca="1" si="111"/>
        <v>X</v>
      </c>
      <c r="Q90" s="242" t="str">
        <f t="shared" ca="1" si="111"/>
        <v>X</v>
      </c>
      <c r="R90" s="242" t="str">
        <f t="shared" si="111"/>
        <v>X</v>
      </c>
      <c r="S90" s="242" t="str">
        <f t="shared" si="111"/>
        <v>X</v>
      </c>
      <c r="T90" s="242" t="str">
        <f t="shared" si="111"/>
        <v>X</v>
      </c>
      <c r="U90" s="242" t="str">
        <f t="shared" si="111"/>
        <v>X</v>
      </c>
      <c r="V90" s="242" t="str">
        <f t="shared" si="111"/>
        <v>X</v>
      </c>
      <c r="W90" s="242" t="str">
        <f t="shared" si="111"/>
        <v>X</v>
      </c>
      <c r="X90" s="242" t="str">
        <f t="shared" si="111"/>
        <v>X</v>
      </c>
      <c r="Y90" s="242" t="str">
        <f t="shared" si="111"/>
        <v>X</v>
      </c>
      <c r="Z90" s="242" t="str">
        <f t="shared" si="111"/>
        <v>X</v>
      </c>
      <c r="AA90" s="242" t="str">
        <f t="shared" si="111"/>
        <v>X</v>
      </c>
      <c r="AB90" s="242" t="str">
        <f t="shared" si="111"/>
        <v>X</v>
      </c>
      <c r="AC90" s="242" t="str">
        <f t="shared" si="111"/>
        <v>X</v>
      </c>
      <c r="AD90" s="242" t="str">
        <f t="shared" si="111"/>
        <v>X</v>
      </c>
      <c r="AE90" s="242" t="str">
        <f t="shared" si="111"/>
        <v>X</v>
      </c>
      <c r="AF90" s="242" t="str">
        <f t="shared" si="111"/>
        <v>X</v>
      </c>
      <c r="AG90" s="242" t="str">
        <f t="shared" si="111"/>
        <v>X</v>
      </c>
      <c r="AH90" s="242" t="str">
        <f t="shared" si="111"/>
        <v>X</v>
      </c>
      <c r="AI90" s="242" t="str">
        <f t="shared" si="111"/>
        <v>X</v>
      </c>
      <c r="AJ90" s="242" t="str">
        <f t="shared" si="111"/>
        <v>X</v>
      </c>
      <c r="AK90" s="242" t="str">
        <f t="shared" si="111"/>
        <v>X</v>
      </c>
      <c r="AL90" s="308" t="str">
        <f t="shared" si="111"/>
        <v>X</v>
      </c>
      <c r="AM90" s="308" t="str">
        <f t="shared" si="111"/>
        <v>X</v>
      </c>
      <c r="AN90" s="308" t="str">
        <f t="shared" si="111"/>
        <v>X</v>
      </c>
      <c r="AO90" s="308" t="str">
        <f t="shared" si="111"/>
        <v>X</v>
      </c>
      <c r="AP90" s="308" t="str">
        <f t="shared" si="111"/>
        <v>X</v>
      </c>
      <c r="AQ90" s="308" t="str">
        <f t="shared" si="111"/>
        <v>X</v>
      </c>
      <c r="AR90" s="308" t="str">
        <f t="shared" si="111"/>
        <v>X</v>
      </c>
      <c r="AS90" s="308" t="str">
        <f t="shared" si="111"/>
        <v>X</v>
      </c>
      <c r="AT90" s="308" t="str">
        <f t="shared" si="111"/>
        <v>X</v>
      </c>
      <c r="AU90" s="308" t="str">
        <f t="shared" si="111"/>
        <v>X</v>
      </c>
      <c r="AV90" s="205"/>
      <c r="AW90" s="205"/>
      <c r="AX90" s="205"/>
      <c r="BC90" s="95"/>
      <c r="BD90" s="95"/>
      <c r="BE90" s="95"/>
      <c r="BF90" s="95"/>
      <c r="BG90" s="349"/>
      <c r="BH90" s="53"/>
      <c r="BI90" s="53"/>
      <c r="BJ90" s="151"/>
      <c r="BK90" s="2"/>
      <c r="BL90" s="2"/>
      <c r="BM90" s="2"/>
      <c r="BN90" s="2"/>
      <c r="BO90" s="2"/>
      <c r="BP90" s="2"/>
    </row>
    <row r="91" spans="1:68">
      <c r="A91" s="522"/>
      <c r="B91" s="78" t="s">
        <v>567</v>
      </c>
      <c r="C91" s="78" t="str">
        <f t="shared" ref="C91:AU91" ca="1" si="112">IF(C9=2,"O",IF(C9=3,"O",IF(C9=5,"O",IF(C9=7,"O",IF(C9=11,"O",IF(C9=13,"O",IF(C9=17,"O",IF(C9=19,"O","X"))))))))</f>
        <v>X</v>
      </c>
      <c r="D91" s="78" t="str">
        <f t="shared" ca="1" si="112"/>
        <v>X</v>
      </c>
      <c r="E91" s="78" t="str">
        <f t="shared" ca="1" si="112"/>
        <v>O</v>
      </c>
      <c r="F91" s="78" t="str">
        <f t="shared" ca="1" si="112"/>
        <v>X</v>
      </c>
      <c r="G91" s="78" t="str">
        <f t="shared" ca="1" si="112"/>
        <v>X</v>
      </c>
      <c r="H91" s="78" t="str">
        <f t="shared" ca="1" si="112"/>
        <v>O</v>
      </c>
      <c r="I91" s="78" t="str">
        <f t="shared" ca="1" si="112"/>
        <v>X</v>
      </c>
      <c r="J91" s="78" t="str">
        <f t="shared" ca="1" si="112"/>
        <v>X</v>
      </c>
      <c r="K91" s="78" t="str">
        <f t="shared" ca="1" si="112"/>
        <v>X</v>
      </c>
      <c r="L91" s="78" t="str">
        <f t="shared" ca="1" si="112"/>
        <v>O</v>
      </c>
      <c r="M91" s="242" t="str">
        <f t="shared" ca="1" si="112"/>
        <v>X</v>
      </c>
      <c r="N91" s="242" t="str">
        <f t="shared" ca="1" si="112"/>
        <v>X</v>
      </c>
      <c r="O91" s="242" t="str">
        <f t="shared" ca="1" si="112"/>
        <v>X</v>
      </c>
      <c r="P91" s="242" t="str">
        <f t="shared" ca="1" si="112"/>
        <v>X</v>
      </c>
      <c r="Q91" s="242" t="str">
        <f t="shared" ca="1" si="112"/>
        <v>X</v>
      </c>
      <c r="R91" s="242" t="str">
        <f t="shared" si="112"/>
        <v>X</v>
      </c>
      <c r="S91" s="242" t="str">
        <f t="shared" si="112"/>
        <v>X</v>
      </c>
      <c r="T91" s="242" t="str">
        <f t="shared" si="112"/>
        <v>X</v>
      </c>
      <c r="U91" s="242" t="str">
        <f t="shared" si="112"/>
        <v>X</v>
      </c>
      <c r="V91" s="242" t="str">
        <f t="shared" si="112"/>
        <v>X</v>
      </c>
      <c r="W91" s="242" t="str">
        <f t="shared" si="112"/>
        <v>X</v>
      </c>
      <c r="X91" s="242" t="str">
        <f t="shared" si="112"/>
        <v>X</v>
      </c>
      <c r="Y91" s="242" t="str">
        <f t="shared" si="112"/>
        <v>X</v>
      </c>
      <c r="Z91" s="242" t="str">
        <f t="shared" si="112"/>
        <v>X</v>
      </c>
      <c r="AA91" s="242" t="str">
        <f t="shared" si="112"/>
        <v>X</v>
      </c>
      <c r="AB91" s="242" t="str">
        <f t="shared" si="112"/>
        <v>X</v>
      </c>
      <c r="AC91" s="242" t="str">
        <f t="shared" si="112"/>
        <v>X</v>
      </c>
      <c r="AD91" s="242" t="str">
        <f t="shared" si="112"/>
        <v>X</v>
      </c>
      <c r="AE91" s="242" t="str">
        <f t="shared" si="112"/>
        <v>X</v>
      </c>
      <c r="AF91" s="242" t="str">
        <f t="shared" si="112"/>
        <v>X</v>
      </c>
      <c r="AG91" s="242" t="str">
        <f t="shared" si="112"/>
        <v>X</v>
      </c>
      <c r="AH91" s="242" t="str">
        <f t="shared" si="112"/>
        <v>X</v>
      </c>
      <c r="AI91" s="242" t="str">
        <f t="shared" si="112"/>
        <v>X</v>
      </c>
      <c r="AJ91" s="242" t="str">
        <f t="shared" si="112"/>
        <v>X</v>
      </c>
      <c r="AK91" s="242" t="str">
        <f t="shared" si="112"/>
        <v>X</v>
      </c>
      <c r="AL91" s="308" t="str">
        <f t="shared" si="112"/>
        <v>X</v>
      </c>
      <c r="AM91" s="308" t="str">
        <f t="shared" si="112"/>
        <v>X</v>
      </c>
      <c r="AN91" s="308" t="str">
        <f t="shared" si="112"/>
        <v>X</v>
      </c>
      <c r="AO91" s="308" t="str">
        <f t="shared" si="112"/>
        <v>X</v>
      </c>
      <c r="AP91" s="308" t="str">
        <f t="shared" si="112"/>
        <v>X</v>
      </c>
      <c r="AQ91" s="308" t="str">
        <f t="shared" si="112"/>
        <v>X</v>
      </c>
      <c r="AR91" s="308" t="str">
        <f t="shared" si="112"/>
        <v>X</v>
      </c>
      <c r="AS91" s="308" t="str">
        <f t="shared" si="112"/>
        <v>X</v>
      </c>
      <c r="AT91" s="308" t="str">
        <f t="shared" si="112"/>
        <v>X</v>
      </c>
      <c r="AU91" s="308" t="str">
        <f t="shared" si="112"/>
        <v>X</v>
      </c>
      <c r="AV91" s="205"/>
      <c r="AW91" s="205"/>
      <c r="AX91" s="205"/>
      <c r="BC91" s="95"/>
      <c r="BD91" s="95"/>
      <c r="BE91" s="95"/>
      <c r="BF91" s="95"/>
      <c r="BG91" s="350"/>
      <c r="BH91" s="53"/>
      <c r="BI91" s="53"/>
      <c r="BJ91" s="151"/>
      <c r="BK91" s="2"/>
      <c r="BL91" s="2"/>
      <c r="BM91" s="2"/>
      <c r="BN91" s="2"/>
      <c r="BO91" s="2"/>
      <c r="BP91" s="2"/>
    </row>
    <row r="92" spans="1:68">
      <c r="A92" s="522"/>
      <c r="B92" s="78" t="s">
        <v>568</v>
      </c>
      <c r="C92" s="78" t="str">
        <f t="shared" ref="C92:AU92" ca="1" si="113">IF(C10=2,"O",IF(C10=3,"O",IF(C10=5,"O",IF(C10=7,"O",IF(C10=11,"O",IF(C10=13,"O",IF(C10=17,"O",IF(C10=19,"O","X"))))))))</f>
        <v>X</v>
      </c>
      <c r="D92" s="78" t="str">
        <f t="shared" ca="1" si="113"/>
        <v>X</v>
      </c>
      <c r="E92" s="78" t="str">
        <f t="shared" ca="1" si="113"/>
        <v>X</v>
      </c>
      <c r="F92" s="78" t="str">
        <f t="shared" ca="1" si="113"/>
        <v>X</v>
      </c>
      <c r="G92" s="78" t="str">
        <f t="shared" ca="1" si="113"/>
        <v>O</v>
      </c>
      <c r="H92" s="78" t="str">
        <f t="shared" ca="1" si="113"/>
        <v>X</v>
      </c>
      <c r="I92" s="78" t="str">
        <f t="shared" ca="1" si="113"/>
        <v>X</v>
      </c>
      <c r="J92" s="78" t="str">
        <f t="shared" ca="1" si="113"/>
        <v>X</v>
      </c>
      <c r="K92" s="78" t="str">
        <f t="shared" ca="1" si="113"/>
        <v>X</v>
      </c>
      <c r="L92" s="78" t="str">
        <f t="shared" ca="1" si="113"/>
        <v>X</v>
      </c>
      <c r="M92" s="242" t="str">
        <f t="shared" ca="1" si="113"/>
        <v>X</v>
      </c>
      <c r="N92" s="242" t="str">
        <f t="shared" ca="1" si="113"/>
        <v>X</v>
      </c>
      <c r="O92" s="242" t="str">
        <f t="shared" ca="1" si="113"/>
        <v>X</v>
      </c>
      <c r="P92" s="242" t="str">
        <f t="shared" ca="1" si="113"/>
        <v>X</v>
      </c>
      <c r="Q92" s="242" t="str">
        <f t="shared" ca="1" si="113"/>
        <v>X</v>
      </c>
      <c r="R92" s="242" t="str">
        <f t="shared" si="113"/>
        <v>X</v>
      </c>
      <c r="S92" s="242" t="str">
        <f t="shared" si="113"/>
        <v>X</v>
      </c>
      <c r="T92" s="242" t="str">
        <f t="shared" si="113"/>
        <v>X</v>
      </c>
      <c r="U92" s="242" t="str">
        <f t="shared" si="113"/>
        <v>X</v>
      </c>
      <c r="V92" s="242" t="str">
        <f t="shared" si="113"/>
        <v>X</v>
      </c>
      <c r="W92" s="242" t="str">
        <f t="shared" si="113"/>
        <v>X</v>
      </c>
      <c r="X92" s="242" t="str">
        <f t="shared" si="113"/>
        <v>X</v>
      </c>
      <c r="Y92" s="242" t="str">
        <f t="shared" si="113"/>
        <v>X</v>
      </c>
      <c r="Z92" s="242" t="str">
        <f t="shared" si="113"/>
        <v>X</v>
      </c>
      <c r="AA92" s="242" t="str">
        <f t="shared" si="113"/>
        <v>X</v>
      </c>
      <c r="AB92" s="242" t="str">
        <f t="shared" si="113"/>
        <v>X</v>
      </c>
      <c r="AC92" s="242" t="str">
        <f t="shared" si="113"/>
        <v>X</v>
      </c>
      <c r="AD92" s="242" t="str">
        <f t="shared" si="113"/>
        <v>X</v>
      </c>
      <c r="AE92" s="242" t="str">
        <f t="shared" si="113"/>
        <v>X</v>
      </c>
      <c r="AF92" s="242" t="str">
        <f t="shared" si="113"/>
        <v>X</v>
      </c>
      <c r="AG92" s="242" t="str">
        <f t="shared" si="113"/>
        <v>X</v>
      </c>
      <c r="AH92" s="242" t="str">
        <f t="shared" si="113"/>
        <v>X</v>
      </c>
      <c r="AI92" s="242" t="str">
        <f t="shared" si="113"/>
        <v>X</v>
      </c>
      <c r="AJ92" s="242" t="str">
        <f t="shared" si="113"/>
        <v>X</v>
      </c>
      <c r="AK92" s="242" t="str">
        <f t="shared" si="113"/>
        <v>X</v>
      </c>
      <c r="AL92" s="308" t="str">
        <f t="shared" si="113"/>
        <v>X</v>
      </c>
      <c r="AM92" s="308" t="str">
        <f t="shared" si="113"/>
        <v>X</v>
      </c>
      <c r="AN92" s="308" t="str">
        <f t="shared" si="113"/>
        <v>X</v>
      </c>
      <c r="AO92" s="308" t="str">
        <f t="shared" si="113"/>
        <v>X</v>
      </c>
      <c r="AP92" s="308" t="str">
        <f t="shared" si="113"/>
        <v>X</v>
      </c>
      <c r="AQ92" s="308" t="str">
        <f t="shared" si="113"/>
        <v>X</v>
      </c>
      <c r="AR92" s="308" t="str">
        <f t="shared" si="113"/>
        <v>X</v>
      </c>
      <c r="AS92" s="308" t="str">
        <f t="shared" si="113"/>
        <v>X</v>
      </c>
      <c r="AT92" s="308" t="str">
        <f t="shared" si="113"/>
        <v>X</v>
      </c>
      <c r="AU92" s="308" t="str">
        <f t="shared" si="113"/>
        <v>X</v>
      </c>
      <c r="AV92" s="205"/>
      <c r="AW92" s="205"/>
      <c r="AX92" s="205"/>
      <c r="BC92" s="95"/>
      <c r="BD92" s="95"/>
      <c r="BE92" s="95"/>
      <c r="BF92" s="95"/>
      <c r="BG92" s="348"/>
      <c r="BH92" s="53"/>
      <c r="BI92" s="53"/>
      <c r="BJ92" s="151"/>
      <c r="BK92" s="2"/>
      <c r="BL92" s="2"/>
      <c r="BM92" s="2"/>
      <c r="BN92" s="2"/>
      <c r="BO92" s="2"/>
      <c r="BP92" s="2"/>
    </row>
    <row r="93" spans="1:68">
      <c r="A93" s="522"/>
      <c r="B93" s="78" t="s">
        <v>569</v>
      </c>
      <c r="C93" s="78" t="str">
        <f t="shared" ref="C93:AU93" ca="1" si="114">IF(C11=2,"O",IF(C11=3,"O",IF(C11=5,"O",IF(C11=7,"O",IF(C11=11,"O",IF(C11=13,"O",IF(C11=17,"O",IF(C11=19,"O","X"))))))))</f>
        <v>X</v>
      </c>
      <c r="D93" s="78" t="str">
        <f t="shared" ca="1" si="114"/>
        <v>O</v>
      </c>
      <c r="E93" s="78" t="str">
        <f t="shared" ca="1" si="114"/>
        <v>X</v>
      </c>
      <c r="F93" s="78" t="str">
        <f t="shared" ca="1" si="114"/>
        <v>X</v>
      </c>
      <c r="G93" s="78" t="str">
        <f t="shared" ca="1" si="114"/>
        <v>X</v>
      </c>
      <c r="H93" s="78" t="str">
        <f t="shared" ca="1" si="114"/>
        <v>X</v>
      </c>
      <c r="I93" s="78" t="str">
        <f t="shared" ca="1" si="114"/>
        <v>X</v>
      </c>
      <c r="J93" s="78" t="str">
        <f t="shared" ca="1" si="114"/>
        <v>X</v>
      </c>
      <c r="K93" s="78" t="str">
        <f t="shared" ca="1" si="114"/>
        <v>X</v>
      </c>
      <c r="L93" s="78" t="str">
        <f t="shared" ca="1" si="114"/>
        <v>X</v>
      </c>
      <c r="M93" s="242" t="str">
        <f t="shared" ca="1" si="114"/>
        <v>X</v>
      </c>
      <c r="N93" s="242" t="str">
        <f t="shared" ca="1" si="114"/>
        <v>X</v>
      </c>
      <c r="O93" s="242" t="str">
        <f t="shared" ca="1" si="114"/>
        <v>X</v>
      </c>
      <c r="P93" s="242" t="str">
        <f t="shared" ca="1" si="114"/>
        <v>X</v>
      </c>
      <c r="Q93" s="242" t="str">
        <f t="shared" ca="1" si="114"/>
        <v>X</v>
      </c>
      <c r="R93" s="242" t="str">
        <f t="shared" si="114"/>
        <v>X</v>
      </c>
      <c r="S93" s="242" t="str">
        <f t="shared" si="114"/>
        <v>X</v>
      </c>
      <c r="T93" s="242" t="str">
        <f t="shared" si="114"/>
        <v>X</v>
      </c>
      <c r="U93" s="242" t="str">
        <f t="shared" si="114"/>
        <v>X</v>
      </c>
      <c r="V93" s="242" t="str">
        <f t="shared" si="114"/>
        <v>X</v>
      </c>
      <c r="W93" s="242" t="str">
        <f t="shared" si="114"/>
        <v>X</v>
      </c>
      <c r="X93" s="242" t="str">
        <f t="shared" si="114"/>
        <v>X</v>
      </c>
      <c r="Y93" s="242" t="str">
        <f t="shared" si="114"/>
        <v>X</v>
      </c>
      <c r="Z93" s="242" t="str">
        <f t="shared" si="114"/>
        <v>X</v>
      </c>
      <c r="AA93" s="242" t="str">
        <f t="shared" si="114"/>
        <v>X</v>
      </c>
      <c r="AB93" s="242" t="str">
        <f t="shared" si="114"/>
        <v>X</v>
      </c>
      <c r="AC93" s="242" t="str">
        <f t="shared" si="114"/>
        <v>X</v>
      </c>
      <c r="AD93" s="242" t="str">
        <f t="shared" si="114"/>
        <v>X</v>
      </c>
      <c r="AE93" s="242" t="str">
        <f t="shared" si="114"/>
        <v>X</v>
      </c>
      <c r="AF93" s="242" t="str">
        <f t="shared" si="114"/>
        <v>X</v>
      </c>
      <c r="AG93" s="242" t="str">
        <f t="shared" si="114"/>
        <v>X</v>
      </c>
      <c r="AH93" s="242" t="str">
        <f t="shared" si="114"/>
        <v>X</v>
      </c>
      <c r="AI93" s="242" t="str">
        <f t="shared" si="114"/>
        <v>X</v>
      </c>
      <c r="AJ93" s="242" t="str">
        <f t="shared" si="114"/>
        <v>X</v>
      </c>
      <c r="AK93" s="242" t="str">
        <f t="shared" si="114"/>
        <v>X</v>
      </c>
      <c r="AL93" s="308" t="str">
        <f t="shared" si="114"/>
        <v>X</v>
      </c>
      <c r="AM93" s="308" t="str">
        <f t="shared" si="114"/>
        <v>X</v>
      </c>
      <c r="AN93" s="308" t="str">
        <f t="shared" si="114"/>
        <v>X</v>
      </c>
      <c r="AO93" s="308" t="str">
        <f t="shared" si="114"/>
        <v>X</v>
      </c>
      <c r="AP93" s="308" t="str">
        <f t="shared" si="114"/>
        <v>X</v>
      </c>
      <c r="AQ93" s="308" t="str">
        <f t="shared" si="114"/>
        <v>X</v>
      </c>
      <c r="AR93" s="308" t="str">
        <f t="shared" si="114"/>
        <v>X</v>
      </c>
      <c r="AS93" s="308" t="str">
        <f t="shared" si="114"/>
        <v>X</v>
      </c>
      <c r="AT93" s="308" t="str">
        <f t="shared" si="114"/>
        <v>X</v>
      </c>
      <c r="AU93" s="308" t="str">
        <f t="shared" si="114"/>
        <v>X</v>
      </c>
      <c r="AV93" s="205"/>
      <c r="AW93" s="205"/>
      <c r="AX93" s="205"/>
      <c r="BC93" s="95"/>
      <c r="BD93" s="95"/>
      <c r="BE93" s="95"/>
      <c r="BF93" s="95"/>
      <c r="BG93" s="351"/>
      <c r="BH93" s="53"/>
      <c r="BI93" s="53"/>
      <c r="BJ93" s="235"/>
      <c r="BK93" s="2"/>
      <c r="BL93" s="2"/>
      <c r="BM93" s="2"/>
      <c r="BN93" s="2"/>
      <c r="BO93" s="2"/>
      <c r="BP93" s="2"/>
    </row>
    <row r="94" spans="1:68">
      <c r="A94" s="522"/>
      <c r="B94" s="80" t="s">
        <v>540</v>
      </c>
      <c r="C94" s="80" t="str">
        <f t="shared" ref="C94:AU94" ca="1" si="115">IF(C12=2,"O",IF(C12=3,"O",IF(C12=5,"O",IF(C12=7,"O",IF(C12=11,"O",IF(C12=13,"O",IF(C12=17,"O",IF(C12=19,"O","X"))))))))</f>
        <v>X</v>
      </c>
      <c r="D94" s="80" t="str">
        <f t="shared" ca="1" si="115"/>
        <v>X</v>
      </c>
      <c r="E94" s="80" t="str">
        <f t="shared" ca="1" si="115"/>
        <v>X</v>
      </c>
      <c r="F94" s="80" t="str">
        <f t="shared" ca="1" si="115"/>
        <v>X</v>
      </c>
      <c r="G94" s="80" t="str">
        <f t="shared" ca="1" si="115"/>
        <v>X</v>
      </c>
      <c r="H94" s="80" t="str">
        <f t="shared" ca="1" si="115"/>
        <v>X</v>
      </c>
      <c r="I94" s="80" t="str">
        <f t="shared" ca="1" si="115"/>
        <v>X</v>
      </c>
      <c r="J94" s="80" t="str">
        <f t="shared" ca="1" si="115"/>
        <v>X</v>
      </c>
      <c r="K94" s="80" t="str">
        <f t="shared" ca="1" si="115"/>
        <v>O</v>
      </c>
      <c r="L94" s="80" t="str">
        <f t="shared" ca="1" si="115"/>
        <v>X</v>
      </c>
      <c r="M94" s="243" t="str">
        <f t="shared" ca="1" si="115"/>
        <v>O</v>
      </c>
      <c r="N94" s="243" t="str">
        <f t="shared" ca="1" si="115"/>
        <v>O</v>
      </c>
      <c r="O94" s="243" t="str">
        <f t="shared" ca="1" si="115"/>
        <v>X</v>
      </c>
      <c r="P94" s="243" t="str">
        <f t="shared" ca="1" si="115"/>
        <v>X</v>
      </c>
      <c r="Q94" s="243" t="str">
        <f t="shared" ca="1" si="115"/>
        <v>X</v>
      </c>
      <c r="R94" s="243" t="str">
        <f t="shared" si="115"/>
        <v>X</v>
      </c>
      <c r="S94" s="243" t="str">
        <f t="shared" si="115"/>
        <v>X</v>
      </c>
      <c r="T94" s="243" t="str">
        <f t="shared" si="115"/>
        <v>X</v>
      </c>
      <c r="U94" s="243" t="str">
        <f t="shared" si="115"/>
        <v>X</v>
      </c>
      <c r="V94" s="243" t="str">
        <f t="shared" si="115"/>
        <v>X</v>
      </c>
      <c r="W94" s="243" t="str">
        <f t="shared" si="115"/>
        <v>X</v>
      </c>
      <c r="X94" s="243" t="str">
        <f t="shared" si="115"/>
        <v>X</v>
      </c>
      <c r="Y94" s="243" t="str">
        <f t="shared" si="115"/>
        <v>X</v>
      </c>
      <c r="Z94" s="243" t="str">
        <f t="shared" si="115"/>
        <v>X</v>
      </c>
      <c r="AA94" s="243" t="str">
        <f t="shared" si="115"/>
        <v>X</v>
      </c>
      <c r="AB94" s="243" t="str">
        <f t="shared" si="115"/>
        <v>X</v>
      </c>
      <c r="AC94" s="243" t="str">
        <f t="shared" si="115"/>
        <v>X</v>
      </c>
      <c r="AD94" s="243" t="str">
        <f t="shared" si="115"/>
        <v>X</v>
      </c>
      <c r="AE94" s="243" t="str">
        <f t="shared" si="115"/>
        <v>X</v>
      </c>
      <c r="AF94" s="243" t="str">
        <f t="shared" si="115"/>
        <v>X</v>
      </c>
      <c r="AG94" s="243" t="str">
        <f t="shared" si="115"/>
        <v>X</v>
      </c>
      <c r="AH94" s="243" t="str">
        <f t="shared" si="115"/>
        <v>X</v>
      </c>
      <c r="AI94" s="243" t="str">
        <f t="shared" si="115"/>
        <v>X</v>
      </c>
      <c r="AJ94" s="243" t="str">
        <f t="shared" si="115"/>
        <v>X</v>
      </c>
      <c r="AK94" s="243" t="str">
        <f t="shared" si="115"/>
        <v>X</v>
      </c>
      <c r="AL94" s="309" t="str">
        <f t="shared" si="115"/>
        <v>X</v>
      </c>
      <c r="AM94" s="309" t="str">
        <f t="shared" si="115"/>
        <v>X</v>
      </c>
      <c r="AN94" s="309" t="str">
        <f t="shared" si="115"/>
        <v>X</v>
      </c>
      <c r="AO94" s="309" t="str">
        <f t="shared" si="115"/>
        <v>X</v>
      </c>
      <c r="AP94" s="309" t="str">
        <f t="shared" si="115"/>
        <v>X</v>
      </c>
      <c r="AQ94" s="309" t="str">
        <f t="shared" si="115"/>
        <v>X</v>
      </c>
      <c r="AR94" s="309" t="str">
        <f t="shared" si="115"/>
        <v>X</v>
      </c>
      <c r="AS94" s="309" t="str">
        <f t="shared" si="115"/>
        <v>X</v>
      </c>
      <c r="AT94" s="309" t="str">
        <f t="shared" si="115"/>
        <v>X</v>
      </c>
      <c r="AU94" s="309" t="str">
        <f t="shared" si="115"/>
        <v>X</v>
      </c>
      <c r="AV94" s="259"/>
      <c r="AW94" s="259"/>
      <c r="AX94" s="259"/>
      <c r="BC94" s="95"/>
      <c r="BD94" s="95"/>
      <c r="BE94" s="95"/>
      <c r="BF94" s="95"/>
      <c r="BG94" s="350"/>
      <c r="BH94" s="53"/>
      <c r="BI94" s="53"/>
      <c r="BJ94" s="235"/>
      <c r="BK94" s="2"/>
      <c r="BL94" s="2"/>
      <c r="BM94" s="2"/>
      <c r="BN94" s="2"/>
      <c r="BO94" s="2"/>
      <c r="BP94" s="2"/>
    </row>
    <row r="95" spans="1:68">
      <c r="A95" s="522"/>
      <c r="B95" s="78" t="s">
        <v>654</v>
      </c>
      <c r="C95" s="78" t="str">
        <f t="shared" ref="C95:AU95" ca="1" si="116">IF(C7=23,"O",IF(C7=29,"O",IF(C7=31,"O",IF(C7=37,"O",IF(C7=41,"O",IF(C7=43,"O","X"))))))</f>
        <v>X</v>
      </c>
      <c r="D95" s="78" t="str">
        <f t="shared" ca="1" si="116"/>
        <v>X</v>
      </c>
      <c r="E95" s="78" t="str">
        <f t="shared" ca="1" si="116"/>
        <v>X</v>
      </c>
      <c r="F95" s="78" t="str">
        <f t="shared" ca="1" si="116"/>
        <v>X</v>
      </c>
      <c r="G95" s="78" t="str">
        <f t="shared" ca="1" si="116"/>
        <v>X</v>
      </c>
      <c r="H95" s="78" t="str">
        <f t="shared" ca="1" si="116"/>
        <v>X</v>
      </c>
      <c r="I95" s="78" t="str">
        <f t="shared" ca="1" si="116"/>
        <v>X</v>
      </c>
      <c r="J95" s="78" t="str">
        <f t="shared" ca="1" si="116"/>
        <v>X</v>
      </c>
      <c r="K95" s="78" t="str">
        <f t="shared" ca="1" si="116"/>
        <v>O</v>
      </c>
      <c r="L95" s="78" t="str">
        <f t="shared" ca="1" si="116"/>
        <v>X</v>
      </c>
      <c r="M95" s="242" t="str">
        <f t="shared" ca="1" si="116"/>
        <v>X</v>
      </c>
      <c r="N95" s="242" t="str">
        <f t="shared" ca="1" si="116"/>
        <v>X</v>
      </c>
      <c r="O95" s="242" t="str">
        <f t="shared" ca="1" si="116"/>
        <v>X</v>
      </c>
      <c r="P95" s="242" t="str">
        <f t="shared" ca="1" si="116"/>
        <v>X</v>
      </c>
      <c r="Q95" s="242" t="str">
        <f ca="1">IF(Q7=23,"O",IF(Q7=29,"O",IF(Q7=31,"O",IF(Q7=37,"O",IF(Q7=41,"O",IF(Q7=43,"O","X"))))))</f>
        <v>X</v>
      </c>
      <c r="R95" s="242" t="str">
        <f t="shared" si="116"/>
        <v>X</v>
      </c>
      <c r="S95" s="242" t="str">
        <f t="shared" si="116"/>
        <v>X</v>
      </c>
      <c r="T95" s="242" t="str">
        <f t="shared" si="116"/>
        <v>X</v>
      </c>
      <c r="U95" s="242" t="str">
        <f t="shared" si="116"/>
        <v>X</v>
      </c>
      <c r="V95" s="242" t="str">
        <f t="shared" si="116"/>
        <v>X</v>
      </c>
      <c r="W95" s="242" t="str">
        <f t="shared" si="116"/>
        <v>X</v>
      </c>
      <c r="X95" s="242" t="str">
        <f t="shared" si="116"/>
        <v>X</v>
      </c>
      <c r="Y95" s="242" t="str">
        <f t="shared" si="116"/>
        <v>X</v>
      </c>
      <c r="Z95" s="242" t="str">
        <f t="shared" si="116"/>
        <v>X</v>
      </c>
      <c r="AA95" s="242" t="str">
        <f t="shared" si="116"/>
        <v>X</v>
      </c>
      <c r="AB95" s="242" t="str">
        <f t="shared" si="116"/>
        <v>X</v>
      </c>
      <c r="AC95" s="242" t="str">
        <f t="shared" si="116"/>
        <v>X</v>
      </c>
      <c r="AD95" s="242" t="str">
        <f t="shared" si="116"/>
        <v>X</v>
      </c>
      <c r="AE95" s="242" t="str">
        <f t="shared" si="116"/>
        <v>X</v>
      </c>
      <c r="AF95" s="242" t="str">
        <f t="shared" si="116"/>
        <v>X</v>
      </c>
      <c r="AG95" s="242" t="str">
        <f t="shared" si="116"/>
        <v>X</v>
      </c>
      <c r="AH95" s="242" t="str">
        <f t="shared" si="116"/>
        <v>X</v>
      </c>
      <c r="AI95" s="242" t="str">
        <f t="shared" si="116"/>
        <v>X</v>
      </c>
      <c r="AJ95" s="242" t="str">
        <f t="shared" si="116"/>
        <v>X</v>
      </c>
      <c r="AK95" s="242" t="str">
        <f t="shared" si="116"/>
        <v>X</v>
      </c>
      <c r="AL95" s="308" t="str">
        <f t="shared" si="116"/>
        <v>X</v>
      </c>
      <c r="AM95" s="308" t="str">
        <f t="shared" si="116"/>
        <v>X</v>
      </c>
      <c r="AN95" s="308" t="str">
        <f t="shared" si="116"/>
        <v>X</v>
      </c>
      <c r="AO95" s="308" t="str">
        <f t="shared" si="116"/>
        <v>X</v>
      </c>
      <c r="AP95" s="308" t="str">
        <f t="shared" si="116"/>
        <v>X</v>
      </c>
      <c r="AQ95" s="308" t="str">
        <f t="shared" si="116"/>
        <v>X</v>
      </c>
      <c r="AR95" s="308" t="str">
        <f t="shared" si="116"/>
        <v>X</v>
      </c>
      <c r="AS95" s="308" t="str">
        <f t="shared" si="116"/>
        <v>X</v>
      </c>
      <c r="AT95" s="308" t="str">
        <f t="shared" si="116"/>
        <v>X</v>
      </c>
      <c r="AU95" s="308" t="str">
        <f t="shared" si="116"/>
        <v>X</v>
      </c>
      <c r="AV95" s="205"/>
      <c r="AW95" s="205"/>
      <c r="AX95" s="205"/>
      <c r="BC95" s="95"/>
      <c r="BD95" s="95"/>
      <c r="BE95" s="95"/>
      <c r="BF95" s="95"/>
      <c r="BG95" s="349"/>
      <c r="BH95" s="53"/>
      <c r="BI95" s="2"/>
      <c r="BJ95" s="2"/>
      <c r="BK95" s="2"/>
      <c r="BL95" s="2"/>
      <c r="BM95" s="2"/>
      <c r="BN95" s="2"/>
      <c r="BO95" s="2"/>
      <c r="BP95" s="2"/>
    </row>
    <row r="96" spans="1:68">
      <c r="A96" s="522"/>
      <c r="B96" s="78" t="s">
        <v>655</v>
      </c>
      <c r="C96" s="78" t="str">
        <f t="shared" ref="C96:AU96" ca="1" si="117">IF(C8=23,"O",IF(C8=29,"O",IF(C8=31,"O",IF(C8=37,"O",IF(C8=41,"O",IF(C8=43,"O","X"))))))</f>
        <v>O</v>
      </c>
      <c r="D96" s="78" t="str">
        <f t="shared" ca="1" si="117"/>
        <v>X</v>
      </c>
      <c r="E96" s="78" t="str">
        <f t="shared" ca="1" si="117"/>
        <v>X</v>
      </c>
      <c r="F96" s="78" t="str">
        <f t="shared" ca="1" si="117"/>
        <v>X</v>
      </c>
      <c r="G96" s="78" t="str">
        <f t="shared" ca="1" si="117"/>
        <v>X</v>
      </c>
      <c r="H96" s="78" t="str">
        <f t="shared" ca="1" si="117"/>
        <v>X</v>
      </c>
      <c r="I96" s="78" t="str">
        <f t="shared" ca="1" si="117"/>
        <v>X</v>
      </c>
      <c r="J96" s="78" t="str">
        <f t="shared" ca="1" si="117"/>
        <v>X</v>
      </c>
      <c r="K96" s="78" t="str">
        <f t="shared" ca="1" si="117"/>
        <v>X</v>
      </c>
      <c r="L96" s="78" t="str">
        <f t="shared" ca="1" si="117"/>
        <v>X</v>
      </c>
      <c r="M96" s="242" t="str">
        <f t="shared" ca="1" si="117"/>
        <v>X</v>
      </c>
      <c r="N96" s="242" t="str">
        <f t="shared" ca="1" si="117"/>
        <v>X</v>
      </c>
      <c r="O96" s="242" t="str">
        <f t="shared" ca="1" si="117"/>
        <v>O</v>
      </c>
      <c r="P96" s="242" t="str">
        <f t="shared" ca="1" si="117"/>
        <v>X</v>
      </c>
      <c r="Q96" s="242" t="str">
        <f t="shared" ca="1" si="117"/>
        <v>X</v>
      </c>
      <c r="R96" s="242" t="str">
        <f t="shared" si="117"/>
        <v>X</v>
      </c>
      <c r="S96" s="242" t="str">
        <f t="shared" si="117"/>
        <v>X</v>
      </c>
      <c r="T96" s="242" t="str">
        <f t="shared" si="117"/>
        <v>X</v>
      </c>
      <c r="U96" s="242" t="str">
        <f t="shared" si="117"/>
        <v>X</v>
      </c>
      <c r="V96" s="242" t="str">
        <f t="shared" si="117"/>
        <v>X</v>
      </c>
      <c r="W96" s="242" t="str">
        <f t="shared" si="117"/>
        <v>X</v>
      </c>
      <c r="X96" s="242" t="str">
        <f t="shared" si="117"/>
        <v>X</v>
      </c>
      <c r="Y96" s="242" t="str">
        <f t="shared" si="117"/>
        <v>X</v>
      </c>
      <c r="Z96" s="242" t="str">
        <f t="shared" si="117"/>
        <v>X</v>
      </c>
      <c r="AA96" s="242" t="str">
        <f t="shared" si="117"/>
        <v>X</v>
      </c>
      <c r="AB96" s="242" t="str">
        <f t="shared" si="117"/>
        <v>X</v>
      </c>
      <c r="AC96" s="242" t="str">
        <f t="shared" si="117"/>
        <v>X</v>
      </c>
      <c r="AD96" s="242" t="str">
        <f t="shared" si="117"/>
        <v>X</v>
      </c>
      <c r="AE96" s="242" t="str">
        <f t="shared" si="117"/>
        <v>X</v>
      </c>
      <c r="AF96" s="242" t="str">
        <f t="shared" si="117"/>
        <v>X</v>
      </c>
      <c r="AG96" s="242" t="str">
        <f t="shared" si="117"/>
        <v>X</v>
      </c>
      <c r="AH96" s="242" t="str">
        <f t="shared" si="117"/>
        <v>X</v>
      </c>
      <c r="AI96" s="242" t="str">
        <f t="shared" si="117"/>
        <v>X</v>
      </c>
      <c r="AJ96" s="242" t="str">
        <f t="shared" si="117"/>
        <v>X</v>
      </c>
      <c r="AK96" s="242" t="str">
        <f t="shared" si="117"/>
        <v>X</v>
      </c>
      <c r="AL96" s="308" t="str">
        <f t="shared" si="117"/>
        <v>X</v>
      </c>
      <c r="AM96" s="308" t="str">
        <f t="shared" si="117"/>
        <v>X</v>
      </c>
      <c r="AN96" s="308" t="str">
        <f t="shared" si="117"/>
        <v>X</v>
      </c>
      <c r="AO96" s="308" t="str">
        <f t="shared" si="117"/>
        <v>X</v>
      </c>
      <c r="AP96" s="308" t="str">
        <f t="shared" si="117"/>
        <v>X</v>
      </c>
      <c r="AQ96" s="308" t="str">
        <f t="shared" si="117"/>
        <v>X</v>
      </c>
      <c r="AR96" s="308" t="str">
        <f t="shared" si="117"/>
        <v>X</v>
      </c>
      <c r="AS96" s="308" t="str">
        <f t="shared" si="117"/>
        <v>X</v>
      </c>
      <c r="AT96" s="308" t="str">
        <f t="shared" si="117"/>
        <v>X</v>
      </c>
      <c r="AU96" s="308" t="str">
        <f t="shared" si="117"/>
        <v>X</v>
      </c>
      <c r="AV96" s="205"/>
      <c r="AW96" s="205"/>
      <c r="AX96" s="205"/>
      <c r="BC96" s="95"/>
      <c r="BD96" s="95"/>
      <c r="BE96" s="95"/>
      <c r="BF96" s="95"/>
      <c r="BG96" s="351"/>
      <c r="BH96" s="53"/>
      <c r="BI96" s="2"/>
      <c r="BJ96" s="235"/>
      <c r="BK96" s="2"/>
      <c r="BL96" s="2"/>
      <c r="BM96" s="2"/>
      <c r="BN96" s="2"/>
      <c r="BO96" s="2"/>
      <c r="BP96" s="2"/>
    </row>
    <row r="97" spans="1:68">
      <c r="A97" s="522"/>
      <c r="B97" s="78" t="s">
        <v>656</v>
      </c>
      <c r="C97" s="78" t="str">
        <f t="shared" ref="C97:AU97" ca="1" si="118">IF(C9=23,"O",IF(C9=29,"O",IF(C9=31,"O",IF(C9=37,"O",IF(C9=41,"O",IF(C9=43,"O","X"))))))</f>
        <v>X</v>
      </c>
      <c r="D97" s="78" t="str">
        <f t="shared" ca="1" si="118"/>
        <v>X</v>
      </c>
      <c r="E97" s="78" t="str">
        <f t="shared" ca="1" si="118"/>
        <v>X</v>
      </c>
      <c r="F97" s="78" t="str">
        <f t="shared" ca="1" si="118"/>
        <v>X</v>
      </c>
      <c r="G97" s="78" t="str">
        <f t="shared" ca="1" si="118"/>
        <v>X</v>
      </c>
      <c r="H97" s="78" t="str">
        <f t="shared" ca="1" si="118"/>
        <v>X</v>
      </c>
      <c r="I97" s="78" t="str">
        <f t="shared" ca="1" si="118"/>
        <v>X</v>
      </c>
      <c r="J97" s="78" t="str">
        <f t="shared" ca="1" si="118"/>
        <v>X</v>
      </c>
      <c r="K97" s="78" t="str">
        <f t="shared" ca="1" si="118"/>
        <v>X</v>
      </c>
      <c r="L97" s="78" t="str">
        <f t="shared" ca="1" si="118"/>
        <v>X</v>
      </c>
      <c r="M97" s="242" t="str">
        <f t="shared" ca="1" si="118"/>
        <v>O</v>
      </c>
      <c r="N97" s="242" t="str">
        <f t="shared" ca="1" si="118"/>
        <v>X</v>
      </c>
      <c r="O97" s="242" t="str">
        <f t="shared" ca="1" si="118"/>
        <v>X</v>
      </c>
      <c r="P97" s="242" t="str">
        <f t="shared" ca="1" si="118"/>
        <v>X</v>
      </c>
      <c r="Q97" s="242" t="str">
        <f t="shared" ca="1" si="118"/>
        <v>X</v>
      </c>
      <c r="R97" s="242" t="str">
        <f t="shared" si="118"/>
        <v>X</v>
      </c>
      <c r="S97" s="242" t="str">
        <f t="shared" si="118"/>
        <v>X</v>
      </c>
      <c r="T97" s="242" t="str">
        <f t="shared" si="118"/>
        <v>X</v>
      </c>
      <c r="U97" s="242" t="str">
        <f t="shared" si="118"/>
        <v>X</v>
      </c>
      <c r="V97" s="242" t="str">
        <f t="shared" si="118"/>
        <v>X</v>
      </c>
      <c r="W97" s="242" t="str">
        <f t="shared" si="118"/>
        <v>X</v>
      </c>
      <c r="X97" s="242" t="str">
        <f t="shared" si="118"/>
        <v>X</v>
      </c>
      <c r="Y97" s="242" t="str">
        <f t="shared" si="118"/>
        <v>X</v>
      </c>
      <c r="Z97" s="242" t="str">
        <f t="shared" si="118"/>
        <v>X</v>
      </c>
      <c r="AA97" s="242" t="str">
        <f t="shared" si="118"/>
        <v>X</v>
      </c>
      <c r="AB97" s="242" t="str">
        <f t="shared" si="118"/>
        <v>X</v>
      </c>
      <c r="AC97" s="242" t="str">
        <f t="shared" si="118"/>
        <v>X</v>
      </c>
      <c r="AD97" s="242" t="str">
        <f t="shared" si="118"/>
        <v>X</v>
      </c>
      <c r="AE97" s="242" t="str">
        <f t="shared" si="118"/>
        <v>X</v>
      </c>
      <c r="AF97" s="242" t="str">
        <f t="shared" si="118"/>
        <v>X</v>
      </c>
      <c r="AG97" s="242" t="str">
        <f t="shared" si="118"/>
        <v>X</v>
      </c>
      <c r="AH97" s="242" t="str">
        <f t="shared" si="118"/>
        <v>X</v>
      </c>
      <c r="AI97" s="242" t="str">
        <f t="shared" si="118"/>
        <v>X</v>
      </c>
      <c r="AJ97" s="242" t="str">
        <f t="shared" si="118"/>
        <v>X</v>
      </c>
      <c r="AK97" s="242" t="str">
        <f t="shared" si="118"/>
        <v>X</v>
      </c>
      <c r="AL97" s="308" t="str">
        <f t="shared" si="118"/>
        <v>X</v>
      </c>
      <c r="AM97" s="308" t="str">
        <f t="shared" si="118"/>
        <v>X</v>
      </c>
      <c r="AN97" s="308" t="str">
        <f t="shared" si="118"/>
        <v>X</v>
      </c>
      <c r="AO97" s="308" t="str">
        <f t="shared" si="118"/>
        <v>X</v>
      </c>
      <c r="AP97" s="308" t="str">
        <f t="shared" si="118"/>
        <v>X</v>
      </c>
      <c r="AQ97" s="308" t="str">
        <f t="shared" si="118"/>
        <v>X</v>
      </c>
      <c r="AR97" s="308" t="str">
        <f t="shared" si="118"/>
        <v>X</v>
      </c>
      <c r="AS97" s="308" t="str">
        <f t="shared" si="118"/>
        <v>X</v>
      </c>
      <c r="AT97" s="308" t="str">
        <f t="shared" si="118"/>
        <v>X</v>
      </c>
      <c r="AU97" s="308" t="str">
        <f t="shared" si="118"/>
        <v>X</v>
      </c>
      <c r="AV97" s="205"/>
      <c r="AW97" s="205"/>
      <c r="AX97" s="205"/>
      <c r="BC97" s="95"/>
      <c r="BD97" s="95"/>
      <c r="BE97" s="95"/>
      <c r="BF97" s="95"/>
      <c r="BG97" s="351"/>
      <c r="BH97" s="53"/>
      <c r="BI97" s="2"/>
      <c r="BJ97" s="151"/>
      <c r="BK97" s="2"/>
      <c r="BL97" s="2"/>
      <c r="BM97" s="2"/>
      <c r="BN97" s="2"/>
      <c r="BO97" s="2"/>
      <c r="BP97" s="2"/>
    </row>
    <row r="98" spans="1:68">
      <c r="A98" s="522"/>
      <c r="B98" s="78" t="s">
        <v>657</v>
      </c>
      <c r="C98" s="78" t="str">
        <f t="shared" ref="C98:AU98" ca="1" si="119">IF(C10=23,"O",IF(C10=29,"O",IF(C10=31,"O",IF(C10=37,"O",IF(C10=41,"O",IF(C10=43,"O","X"))))))</f>
        <v>X</v>
      </c>
      <c r="D98" s="78" t="str">
        <f t="shared" ca="1" si="119"/>
        <v>X</v>
      </c>
      <c r="E98" s="78" t="str">
        <f t="shared" ca="1" si="119"/>
        <v>X</v>
      </c>
      <c r="F98" s="78" t="str">
        <f t="shared" ca="1" si="119"/>
        <v>X</v>
      </c>
      <c r="G98" s="78" t="str">
        <f t="shared" ca="1" si="119"/>
        <v>X</v>
      </c>
      <c r="H98" s="78" t="str">
        <f t="shared" ca="1" si="119"/>
        <v>X</v>
      </c>
      <c r="I98" s="78" t="str">
        <f t="shared" ca="1" si="119"/>
        <v>O</v>
      </c>
      <c r="J98" s="78" t="str">
        <f t="shared" ca="1" si="119"/>
        <v>O</v>
      </c>
      <c r="K98" s="78" t="str">
        <f t="shared" ca="1" si="119"/>
        <v>X</v>
      </c>
      <c r="L98" s="78" t="str">
        <f t="shared" ca="1" si="119"/>
        <v>X</v>
      </c>
      <c r="M98" s="242" t="str">
        <f t="shared" ca="1" si="119"/>
        <v>X</v>
      </c>
      <c r="N98" s="242" t="str">
        <f t="shared" ca="1" si="119"/>
        <v>X</v>
      </c>
      <c r="O98" s="242" t="str">
        <f t="shared" ca="1" si="119"/>
        <v>X</v>
      </c>
      <c r="P98" s="242" t="str">
        <f t="shared" ca="1" si="119"/>
        <v>X</v>
      </c>
      <c r="Q98" s="242" t="str">
        <f t="shared" ca="1" si="119"/>
        <v>X</v>
      </c>
      <c r="R98" s="242" t="str">
        <f t="shared" si="119"/>
        <v>X</v>
      </c>
      <c r="S98" s="242" t="str">
        <f t="shared" si="119"/>
        <v>X</v>
      </c>
      <c r="T98" s="242" t="str">
        <f t="shared" si="119"/>
        <v>X</v>
      </c>
      <c r="U98" s="242" t="str">
        <f t="shared" si="119"/>
        <v>X</v>
      </c>
      <c r="V98" s="242" t="str">
        <f t="shared" si="119"/>
        <v>X</v>
      </c>
      <c r="W98" s="242" t="str">
        <f t="shared" si="119"/>
        <v>X</v>
      </c>
      <c r="X98" s="242" t="str">
        <f t="shared" si="119"/>
        <v>X</v>
      </c>
      <c r="Y98" s="242" t="str">
        <f t="shared" si="119"/>
        <v>X</v>
      </c>
      <c r="Z98" s="242" t="str">
        <f t="shared" si="119"/>
        <v>X</v>
      </c>
      <c r="AA98" s="242" t="str">
        <f t="shared" si="119"/>
        <v>X</v>
      </c>
      <c r="AB98" s="242" t="str">
        <f t="shared" si="119"/>
        <v>X</v>
      </c>
      <c r="AC98" s="242" t="str">
        <f t="shared" si="119"/>
        <v>X</v>
      </c>
      <c r="AD98" s="242" t="str">
        <f t="shared" si="119"/>
        <v>X</v>
      </c>
      <c r="AE98" s="242" t="str">
        <f t="shared" si="119"/>
        <v>X</v>
      </c>
      <c r="AF98" s="242" t="str">
        <f t="shared" si="119"/>
        <v>X</v>
      </c>
      <c r="AG98" s="242" t="str">
        <f t="shared" si="119"/>
        <v>X</v>
      </c>
      <c r="AH98" s="242" t="str">
        <f t="shared" si="119"/>
        <v>X</v>
      </c>
      <c r="AI98" s="242" t="str">
        <f t="shared" si="119"/>
        <v>X</v>
      </c>
      <c r="AJ98" s="242" t="str">
        <f t="shared" si="119"/>
        <v>X</v>
      </c>
      <c r="AK98" s="242" t="str">
        <f t="shared" si="119"/>
        <v>X</v>
      </c>
      <c r="AL98" s="308" t="str">
        <f t="shared" si="119"/>
        <v>X</v>
      </c>
      <c r="AM98" s="308" t="str">
        <f t="shared" si="119"/>
        <v>X</v>
      </c>
      <c r="AN98" s="308" t="str">
        <f t="shared" si="119"/>
        <v>X</v>
      </c>
      <c r="AO98" s="308" t="str">
        <f t="shared" si="119"/>
        <v>X</v>
      </c>
      <c r="AP98" s="308" t="str">
        <f t="shared" si="119"/>
        <v>X</v>
      </c>
      <c r="AQ98" s="308" t="str">
        <f t="shared" si="119"/>
        <v>X</v>
      </c>
      <c r="AR98" s="308" t="str">
        <f t="shared" si="119"/>
        <v>X</v>
      </c>
      <c r="AS98" s="308" t="str">
        <f t="shared" si="119"/>
        <v>X</v>
      </c>
      <c r="AT98" s="308" t="str">
        <f t="shared" si="119"/>
        <v>X</v>
      </c>
      <c r="AU98" s="308" t="str">
        <f t="shared" si="119"/>
        <v>X</v>
      </c>
      <c r="AV98" s="205"/>
      <c r="AW98" s="205"/>
      <c r="AX98" s="205"/>
      <c r="BC98" s="95"/>
      <c r="BD98" s="95"/>
      <c r="BE98" s="95"/>
      <c r="BF98" s="95"/>
      <c r="BG98" s="348"/>
      <c r="BI98" s="2"/>
      <c r="BJ98" s="151"/>
      <c r="BK98" s="2"/>
      <c r="BL98" s="2"/>
      <c r="BM98" s="2"/>
      <c r="BN98" s="2"/>
      <c r="BO98" s="2"/>
      <c r="BP98" s="2"/>
    </row>
    <row r="99" spans="1:68">
      <c r="A99" s="522"/>
      <c r="B99" s="78" t="s">
        <v>658</v>
      </c>
      <c r="C99" s="78" t="str">
        <f t="shared" ref="C99:AU99" ca="1" si="120">IF(C11=23,"O",IF(C11=29,"O",IF(C11=31,"O",IF(C11=37,"O",IF(C11=41,"O",IF(C11=43,"O","X"))))))</f>
        <v>O</v>
      </c>
      <c r="D99" s="78" t="str">
        <f t="shared" ca="1" si="120"/>
        <v>X</v>
      </c>
      <c r="E99" s="78" t="str">
        <f t="shared" ca="1" si="120"/>
        <v>X</v>
      </c>
      <c r="F99" s="78" t="str">
        <f t="shared" ca="1" si="120"/>
        <v>X</v>
      </c>
      <c r="G99" s="78" t="str">
        <f t="shared" ca="1" si="120"/>
        <v>X</v>
      </c>
      <c r="H99" s="78" t="str">
        <f t="shared" ca="1" si="120"/>
        <v>X</v>
      </c>
      <c r="I99" s="78" t="str">
        <f t="shared" ca="1" si="120"/>
        <v>X</v>
      </c>
      <c r="J99" s="78" t="str">
        <f t="shared" ca="1" si="120"/>
        <v>X</v>
      </c>
      <c r="K99" s="78" t="str">
        <f t="shared" ca="1" si="120"/>
        <v>X</v>
      </c>
      <c r="L99" s="78" t="str">
        <f t="shared" ca="1" si="120"/>
        <v>O</v>
      </c>
      <c r="M99" s="242" t="str">
        <f t="shared" ca="1" si="120"/>
        <v>X</v>
      </c>
      <c r="N99" s="242" t="str">
        <f t="shared" ca="1" si="120"/>
        <v>X</v>
      </c>
      <c r="O99" s="242" t="str">
        <f t="shared" ca="1" si="120"/>
        <v>X</v>
      </c>
      <c r="P99" s="242" t="str">
        <f t="shared" ca="1" si="120"/>
        <v>X</v>
      </c>
      <c r="Q99" s="242" t="str">
        <f t="shared" ca="1" si="120"/>
        <v>X</v>
      </c>
      <c r="R99" s="242" t="str">
        <f t="shared" si="120"/>
        <v>X</v>
      </c>
      <c r="S99" s="242" t="str">
        <f t="shared" si="120"/>
        <v>X</v>
      </c>
      <c r="T99" s="242" t="str">
        <f t="shared" si="120"/>
        <v>X</v>
      </c>
      <c r="U99" s="242" t="str">
        <f t="shared" si="120"/>
        <v>X</v>
      </c>
      <c r="V99" s="242" t="str">
        <f t="shared" si="120"/>
        <v>X</v>
      </c>
      <c r="W99" s="242" t="str">
        <f t="shared" si="120"/>
        <v>X</v>
      </c>
      <c r="X99" s="242" t="str">
        <f t="shared" si="120"/>
        <v>X</v>
      </c>
      <c r="Y99" s="242" t="str">
        <f t="shared" si="120"/>
        <v>X</v>
      </c>
      <c r="Z99" s="242" t="str">
        <f t="shared" si="120"/>
        <v>X</v>
      </c>
      <c r="AA99" s="242" t="str">
        <f t="shared" si="120"/>
        <v>X</v>
      </c>
      <c r="AB99" s="242" t="str">
        <f t="shared" si="120"/>
        <v>X</v>
      </c>
      <c r="AC99" s="242" t="str">
        <f t="shared" si="120"/>
        <v>X</v>
      </c>
      <c r="AD99" s="242" t="str">
        <f t="shared" si="120"/>
        <v>X</v>
      </c>
      <c r="AE99" s="242" t="str">
        <f t="shared" si="120"/>
        <v>X</v>
      </c>
      <c r="AF99" s="242" t="str">
        <f t="shared" si="120"/>
        <v>X</v>
      </c>
      <c r="AG99" s="242" t="str">
        <f t="shared" si="120"/>
        <v>X</v>
      </c>
      <c r="AH99" s="242" t="str">
        <f t="shared" si="120"/>
        <v>X</v>
      </c>
      <c r="AI99" s="242" t="str">
        <f t="shared" si="120"/>
        <v>X</v>
      </c>
      <c r="AJ99" s="242" t="str">
        <f t="shared" si="120"/>
        <v>X</v>
      </c>
      <c r="AK99" s="242" t="str">
        <f t="shared" si="120"/>
        <v>X</v>
      </c>
      <c r="AL99" s="308" t="str">
        <f t="shared" si="120"/>
        <v>X</v>
      </c>
      <c r="AM99" s="308" t="str">
        <f t="shared" si="120"/>
        <v>X</v>
      </c>
      <c r="AN99" s="308" t="str">
        <f t="shared" si="120"/>
        <v>X</v>
      </c>
      <c r="AO99" s="308" t="str">
        <f t="shared" si="120"/>
        <v>X</v>
      </c>
      <c r="AP99" s="308" t="str">
        <f t="shared" si="120"/>
        <v>X</v>
      </c>
      <c r="AQ99" s="308" t="str">
        <f t="shared" si="120"/>
        <v>X</v>
      </c>
      <c r="AR99" s="308" t="str">
        <f t="shared" si="120"/>
        <v>X</v>
      </c>
      <c r="AS99" s="308" t="str">
        <f t="shared" si="120"/>
        <v>X</v>
      </c>
      <c r="AT99" s="308" t="str">
        <f t="shared" si="120"/>
        <v>X</v>
      </c>
      <c r="AU99" s="308" t="str">
        <f t="shared" si="120"/>
        <v>X</v>
      </c>
      <c r="AV99" s="205"/>
      <c r="AW99" s="205"/>
      <c r="AX99" s="205"/>
      <c r="BC99" s="95"/>
      <c r="BD99" s="95"/>
      <c r="BE99" s="95"/>
      <c r="BF99" s="95"/>
      <c r="BG99" s="348"/>
      <c r="BI99" s="2"/>
      <c r="BJ99" s="151"/>
      <c r="BK99" s="2"/>
      <c r="BL99" s="2"/>
      <c r="BM99" s="2"/>
      <c r="BN99" s="2"/>
      <c r="BO99" s="2"/>
      <c r="BP99" s="2"/>
    </row>
    <row r="100" spans="1:68">
      <c r="A100" s="522"/>
      <c r="B100" s="78" t="s">
        <v>659</v>
      </c>
      <c r="C100" s="78" t="str">
        <f t="shared" ref="C100:AU100" ca="1" si="121">IF(C12=23,"O",IF(C12=29,"O",IF(C12=31,"O",IF(C12=37,"O",IF(C12=41,"O",IF(C12=43,"O","X"))))))</f>
        <v>X</v>
      </c>
      <c r="D100" s="78" t="str">
        <f t="shared" ca="1" si="121"/>
        <v>X</v>
      </c>
      <c r="E100" s="78" t="str">
        <f t="shared" ca="1" si="121"/>
        <v>O</v>
      </c>
      <c r="F100" s="78" t="str">
        <f t="shared" ca="1" si="121"/>
        <v>X</v>
      </c>
      <c r="G100" s="78" t="str">
        <f t="shared" ca="1" si="121"/>
        <v>X</v>
      </c>
      <c r="H100" s="78" t="str">
        <f t="shared" ca="1" si="121"/>
        <v>X</v>
      </c>
      <c r="I100" s="78" t="str">
        <f t="shared" ca="1" si="121"/>
        <v>X</v>
      </c>
      <c r="J100" s="78" t="str">
        <f t="shared" ca="1" si="121"/>
        <v>X</v>
      </c>
      <c r="K100" s="78" t="str">
        <f t="shared" ca="1" si="121"/>
        <v>X</v>
      </c>
      <c r="L100" s="78" t="str">
        <f t="shared" ca="1" si="121"/>
        <v>X</v>
      </c>
      <c r="M100" s="242" t="str">
        <f t="shared" ca="1" si="121"/>
        <v>X</v>
      </c>
      <c r="N100" s="242" t="str">
        <f t="shared" ca="1" si="121"/>
        <v>X</v>
      </c>
      <c r="O100" s="242" t="str">
        <f t="shared" ca="1" si="121"/>
        <v>X</v>
      </c>
      <c r="P100" s="242" t="str">
        <f t="shared" ca="1" si="121"/>
        <v>X</v>
      </c>
      <c r="Q100" s="242" t="str">
        <f t="shared" ca="1" si="121"/>
        <v>O</v>
      </c>
      <c r="R100" s="242" t="str">
        <f t="shared" si="121"/>
        <v>X</v>
      </c>
      <c r="S100" s="242" t="str">
        <f t="shared" si="121"/>
        <v>X</v>
      </c>
      <c r="T100" s="242" t="str">
        <f t="shared" si="121"/>
        <v>X</v>
      </c>
      <c r="U100" s="242" t="str">
        <f t="shared" si="121"/>
        <v>X</v>
      </c>
      <c r="V100" s="242" t="str">
        <f t="shared" si="121"/>
        <v>X</v>
      </c>
      <c r="W100" s="242" t="str">
        <f t="shared" si="121"/>
        <v>X</v>
      </c>
      <c r="X100" s="242" t="str">
        <f t="shared" si="121"/>
        <v>X</v>
      </c>
      <c r="Y100" s="242" t="str">
        <f t="shared" si="121"/>
        <v>X</v>
      </c>
      <c r="Z100" s="242" t="str">
        <f t="shared" si="121"/>
        <v>X</v>
      </c>
      <c r="AA100" s="242" t="str">
        <f t="shared" si="121"/>
        <v>X</v>
      </c>
      <c r="AB100" s="242" t="str">
        <f t="shared" si="121"/>
        <v>X</v>
      </c>
      <c r="AC100" s="242" t="str">
        <f t="shared" si="121"/>
        <v>X</v>
      </c>
      <c r="AD100" s="242" t="str">
        <f t="shared" si="121"/>
        <v>X</v>
      </c>
      <c r="AE100" s="242" t="str">
        <f t="shared" si="121"/>
        <v>X</v>
      </c>
      <c r="AF100" s="242" t="str">
        <f t="shared" si="121"/>
        <v>X</v>
      </c>
      <c r="AG100" s="242" t="str">
        <f t="shared" si="121"/>
        <v>X</v>
      </c>
      <c r="AH100" s="242" t="str">
        <f t="shared" si="121"/>
        <v>X</v>
      </c>
      <c r="AI100" s="242" t="str">
        <f t="shared" si="121"/>
        <v>X</v>
      </c>
      <c r="AJ100" s="242" t="str">
        <f t="shared" si="121"/>
        <v>X</v>
      </c>
      <c r="AK100" s="242" t="str">
        <f t="shared" si="121"/>
        <v>X</v>
      </c>
      <c r="AL100" s="308" t="str">
        <f t="shared" si="121"/>
        <v>X</v>
      </c>
      <c r="AM100" s="308" t="str">
        <f t="shared" si="121"/>
        <v>X</v>
      </c>
      <c r="AN100" s="308" t="str">
        <f t="shared" si="121"/>
        <v>X</v>
      </c>
      <c r="AO100" s="308" t="str">
        <f t="shared" si="121"/>
        <v>X</v>
      </c>
      <c r="AP100" s="308" t="str">
        <f t="shared" si="121"/>
        <v>X</v>
      </c>
      <c r="AQ100" s="308" t="str">
        <f t="shared" si="121"/>
        <v>X</v>
      </c>
      <c r="AR100" s="308" t="str">
        <f t="shared" si="121"/>
        <v>X</v>
      </c>
      <c r="AS100" s="308" t="str">
        <f t="shared" si="121"/>
        <v>X</v>
      </c>
      <c r="AT100" s="308" t="str">
        <f t="shared" si="121"/>
        <v>X</v>
      </c>
      <c r="AU100" s="308" t="str">
        <f t="shared" si="121"/>
        <v>X</v>
      </c>
      <c r="AV100" s="205"/>
      <c r="AW100" s="205"/>
      <c r="AX100" s="205"/>
      <c r="BC100" s="95"/>
      <c r="BD100" s="95"/>
      <c r="BE100" s="95"/>
      <c r="BF100" s="95"/>
      <c r="BG100" s="348"/>
      <c r="BI100" s="2"/>
      <c r="BJ100" s="235"/>
      <c r="BK100" s="2"/>
      <c r="BL100" s="2"/>
      <c r="BM100" s="2"/>
      <c r="BN100" s="2"/>
      <c r="BO100" s="2"/>
      <c r="BP100" s="2"/>
    </row>
    <row r="101" spans="1:68">
      <c r="A101" s="522"/>
      <c r="B101" s="105" t="s">
        <v>667</v>
      </c>
      <c r="C101" s="101">
        <f ca="1">COUNTIF(C89:C100,"O")</f>
        <v>2</v>
      </c>
      <c r="D101" s="101">
        <f t="shared" ref="D101:Q101" ca="1" si="122">COUNTIF(D89:D100,"O")</f>
        <v>1</v>
      </c>
      <c r="E101" s="101">
        <f t="shared" ca="1" si="122"/>
        <v>3</v>
      </c>
      <c r="F101" s="101">
        <f t="shared" ca="1" si="122"/>
        <v>0</v>
      </c>
      <c r="G101" s="101">
        <f t="shared" ca="1" si="122"/>
        <v>2</v>
      </c>
      <c r="H101" s="101">
        <f t="shared" ca="1" si="122"/>
        <v>1</v>
      </c>
      <c r="I101" s="101">
        <f t="shared" ca="1" si="122"/>
        <v>1</v>
      </c>
      <c r="J101" s="101">
        <f t="shared" ca="1" si="122"/>
        <v>1</v>
      </c>
      <c r="K101" s="101">
        <f t="shared" ca="1" si="122"/>
        <v>2</v>
      </c>
      <c r="L101" s="101">
        <f t="shared" ca="1" si="122"/>
        <v>2</v>
      </c>
      <c r="M101" s="172">
        <f t="shared" ca="1" si="122"/>
        <v>2</v>
      </c>
      <c r="N101" s="172">
        <f t="shared" ca="1" si="122"/>
        <v>2</v>
      </c>
      <c r="O101" s="172">
        <f t="shared" ca="1" si="122"/>
        <v>2</v>
      </c>
      <c r="P101" s="172">
        <f t="shared" ca="1" si="122"/>
        <v>0</v>
      </c>
      <c r="Q101" s="172">
        <f t="shared" ca="1" si="122"/>
        <v>1</v>
      </c>
      <c r="R101" s="172">
        <f t="shared" ref="R101:AH101" si="123">COUNTIF(R89:R100,"O")</f>
        <v>0</v>
      </c>
      <c r="S101" s="172">
        <f t="shared" si="123"/>
        <v>0</v>
      </c>
      <c r="T101" s="172">
        <f t="shared" si="123"/>
        <v>0</v>
      </c>
      <c r="U101" s="172">
        <f t="shared" si="123"/>
        <v>0</v>
      </c>
      <c r="V101" s="172">
        <f t="shared" si="123"/>
        <v>0</v>
      </c>
      <c r="W101" s="172">
        <f t="shared" si="123"/>
        <v>0</v>
      </c>
      <c r="X101" s="172">
        <f t="shared" si="123"/>
        <v>0</v>
      </c>
      <c r="Y101" s="172">
        <f t="shared" si="123"/>
        <v>0</v>
      </c>
      <c r="Z101" s="172">
        <f t="shared" si="123"/>
        <v>0</v>
      </c>
      <c r="AA101" s="172">
        <f t="shared" si="123"/>
        <v>0</v>
      </c>
      <c r="AB101" s="172">
        <f t="shared" si="123"/>
        <v>0</v>
      </c>
      <c r="AC101" s="172">
        <f t="shared" si="123"/>
        <v>0</v>
      </c>
      <c r="AD101" s="172">
        <f t="shared" si="123"/>
        <v>0</v>
      </c>
      <c r="AE101" s="172">
        <f t="shared" si="123"/>
        <v>0</v>
      </c>
      <c r="AF101" s="172">
        <f t="shared" si="123"/>
        <v>0</v>
      </c>
      <c r="AG101" s="172">
        <f t="shared" si="123"/>
        <v>0</v>
      </c>
      <c r="AH101" s="172">
        <f t="shared" si="123"/>
        <v>0</v>
      </c>
      <c r="AI101" s="172">
        <f>COUNTIF(AI89:AI100,"O")</f>
        <v>0</v>
      </c>
      <c r="AJ101" s="172">
        <f>COUNTIF(AJ89:AJ100,"O")</f>
        <v>0</v>
      </c>
      <c r="AK101" s="172">
        <f>COUNTIF(AK89:AK100,"O")</f>
        <v>0</v>
      </c>
      <c r="AL101" s="172">
        <f t="shared" ref="AL101:AU101" si="124">COUNTIF(AL89:AL100,"O")</f>
        <v>0</v>
      </c>
      <c r="AM101" s="172">
        <f t="shared" si="124"/>
        <v>0</v>
      </c>
      <c r="AN101" s="172">
        <f t="shared" si="124"/>
        <v>0</v>
      </c>
      <c r="AO101" s="172">
        <f t="shared" si="124"/>
        <v>0</v>
      </c>
      <c r="AP101" s="172">
        <f t="shared" si="124"/>
        <v>0</v>
      </c>
      <c r="AQ101" s="172">
        <f t="shared" si="124"/>
        <v>0</v>
      </c>
      <c r="AR101" s="172">
        <f t="shared" si="124"/>
        <v>0</v>
      </c>
      <c r="AS101" s="172">
        <f t="shared" si="124"/>
        <v>0</v>
      </c>
      <c r="AT101" s="172">
        <f t="shared" si="124"/>
        <v>0</v>
      </c>
      <c r="AU101" s="172">
        <f t="shared" si="124"/>
        <v>0</v>
      </c>
      <c r="AV101" s="255"/>
      <c r="AW101" s="255"/>
      <c r="AX101" s="255"/>
      <c r="BC101" s="95"/>
      <c r="BD101" s="95"/>
      <c r="BE101" s="95"/>
      <c r="BF101" s="95"/>
      <c r="BG101" s="348"/>
      <c r="BI101" s="2"/>
      <c r="BJ101" s="235"/>
      <c r="BK101" s="2"/>
      <c r="BL101" s="2"/>
      <c r="BM101" s="2"/>
      <c r="BN101" s="2"/>
      <c r="BO101" s="2"/>
      <c r="BP101" s="2"/>
    </row>
    <row r="102" spans="1:68">
      <c r="A102" s="179" t="s">
        <v>839</v>
      </c>
      <c r="B102" s="99" t="s">
        <v>565</v>
      </c>
      <c r="C102" s="100" t="str">
        <f ca="1">IF(C7=$BC$20,"O",IF(C7=$BD$20,"O",IF(C7=$BE$20,"O",IF(C7=$BF$20,"O",IF(C7=$BG$20,"O",IF(C7=$BH$20,"O",IF(C7=$BI$20,"O",IF(C7=$BJ$20,"O",IF(C7=$BK$20,"O",IF(C7=$BL$20,"O",IF(C7=$BM$20,"O",IF(C7=$BN$20,"O",IF(C7=$BO$20,"O",IF(C7=$BP$20,"O",IF(C7=$BQ$20,"O",IF(C7=$BR$20,"O",IF(C7=$BS$20,"O",IF(C7=$BT$20,"O",IF(C7=$BU$20,"O",IF(C7=$BV$20,"O",IF(C7=$BW$20,"O",IF(C7=$BX$20,"O",IF(C7=$BY$20,"O",IF(C7=$BZ$20,"O",IF(C7=$CA$20,"O",IF(C7=$CB$20,"O",IF(C7=$CC$20,"O",IF(C7=$CD$20,"O",IF(C7=$CE$20,"O",IF(C7=$CF$20,"O",IF(C7=$CG$20,"O",IF(C7=$CH$20,"O",IF(C7=$CI$20,"O",IF(C7=$CJ$20,"O",IF(C7=$CK$20,"O",IF(C7=$CL$20,"O",IF(C7=$CM$20,"O",IF(C7=$CN$20,"O",IF(C7=$CO$20,"O",IF(C7=$CP$20,"O","X"))))))))))))))))))))))))))))))))))))))))</f>
        <v>O</v>
      </c>
      <c r="D102" s="354" t="str">
        <f t="shared" ref="D102:Q102" ca="1" si="125">IF(D7=$BC$20,"O",IF(D7=$BD$20,"O",IF(D7=$BE$20,"O",IF(D7=$BF$20,"O",IF(D7=$BG$20,"O",IF(D7=$BH$20,"O",IF(D7=$BI$20,"O",IF(D7=$BJ$20,"O",IF(D7=$BK$20,"O",IF(D7=$BL$20,"O",IF(D7=$BM$20,"O",IF(D7=$BN$20,"O",IF(D7=$BO$20,"O",IF(D7=$BP$20,"O",IF(D7=$BQ$20,"O",IF(D7=$BR$20,"O",IF(D7=$BS$20,"O",IF(D7=$BT$20,"O",IF(D7=$BU$20,"O",IF(D7=$BV$20,"O",IF(D7=$BW$20,"O",IF(D7=$BX$20,"O",IF(D7=$BY$20,"O",IF(D7=$BZ$20,"O",IF(D7=$CA$20,"O",IF(D7=$CB$20,"O",IF(D7=$CC$20,"O",IF(D7=$CD$20,"O",IF(D7=$CE$20,"O",IF(D7=$CF$20,"O",IF(D7=$CG$20,"O",IF(D7=$CH$20,"O",IF(D7=$CI$20,"O",IF(D7=$CJ$20,"O",IF(D7=$CK$20,"O",IF(D7=$CL$20,"O",IF(D7=$CM$20,"O",IF(D7=$CN$20,"O",IF(D7=$CO$20,"O",IF(D7=$CP$20,"O","X"))))))))))))))))))))))))))))))))))))))))</f>
        <v>O</v>
      </c>
      <c r="E102" s="354" t="str">
        <f t="shared" ca="1" si="125"/>
        <v>X</v>
      </c>
      <c r="F102" s="354" t="str">
        <f t="shared" ca="1" si="125"/>
        <v>O</v>
      </c>
      <c r="G102" s="354" t="str">
        <f t="shared" ca="1" si="125"/>
        <v>O</v>
      </c>
      <c r="H102" s="354" t="str">
        <f t="shared" ca="1" si="125"/>
        <v>O</v>
      </c>
      <c r="I102" s="354" t="str">
        <f t="shared" ca="1" si="125"/>
        <v>O</v>
      </c>
      <c r="J102" s="354" t="str">
        <f t="shared" ca="1" si="125"/>
        <v>O</v>
      </c>
      <c r="K102" s="354" t="str">
        <f t="shared" ca="1" si="125"/>
        <v>O</v>
      </c>
      <c r="L102" s="354" t="str">
        <f t="shared" ca="1" si="125"/>
        <v>X</v>
      </c>
      <c r="M102" s="354" t="str">
        <f t="shared" ca="1" si="125"/>
        <v>O</v>
      </c>
      <c r="N102" s="354" t="str">
        <f t="shared" ca="1" si="125"/>
        <v>X</v>
      </c>
      <c r="O102" s="354" t="str">
        <f t="shared" ca="1" si="125"/>
        <v>O</v>
      </c>
      <c r="P102" s="354" t="str">
        <f t="shared" ca="1" si="125"/>
        <v>O</v>
      </c>
      <c r="Q102" s="354" t="str">
        <f t="shared" ca="1" si="125"/>
        <v>O</v>
      </c>
      <c r="R102" s="272" t="str">
        <f t="shared" ref="R102:AU102" si="126">IF(R7=$BC$20,"O",IF(R7=$BD$20,"O",IF(R7=$BE$20,"O",IF(R7=$BF$20,"O",IF(R7=$BG$20,"O",IF(R7=$BH$20,"O",IF(R7=$BI$20,"O",IF(R7=$BJ$20,"O",IF(R7=$BK$20,"O",IF(R7=$BL$20,"O",IF(R7=$BM$20,"O",IF(R7=$BN$20,"O",IF(R7=$BO$20,"O",IF(R7=$BP$20,"O",IF(R7=$BQ$20,"O",IF(R7=$BR$20,"O",IF(R7=$BS$20,"O",IF(R7=$BT$20,"O",IF(R7=$BU$20,"O",IF(R7=$BV$20,"O",IF(R7=$BW$20,"O",IF(R7=$BX$20,"O",IF(R7=$BY$20,"O",IF(R7=$BZ$20,"O",IF(R7=$CA$20,"O",IF(R7=$CB$20,"O","X"))))))))))))))))))))))))))</f>
        <v>X</v>
      </c>
      <c r="S102" s="272" t="str">
        <f t="shared" si="126"/>
        <v>X</v>
      </c>
      <c r="T102" s="272" t="str">
        <f t="shared" si="126"/>
        <v>X</v>
      </c>
      <c r="U102" s="272" t="str">
        <f t="shared" si="126"/>
        <v>X</v>
      </c>
      <c r="V102" s="272" t="str">
        <f t="shared" si="126"/>
        <v>X</v>
      </c>
      <c r="W102" s="272" t="str">
        <f t="shared" si="126"/>
        <v>X</v>
      </c>
      <c r="X102" s="272" t="str">
        <f t="shared" si="126"/>
        <v>X</v>
      </c>
      <c r="Y102" s="272" t="str">
        <f t="shared" si="126"/>
        <v>X</v>
      </c>
      <c r="Z102" s="272" t="str">
        <f t="shared" si="126"/>
        <v>X</v>
      </c>
      <c r="AA102" s="272" t="str">
        <f t="shared" si="126"/>
        <v>X</v>
      </c>
      <c r="AB102" s="272" t="str">
        <f t="shared" si="126"/>
        <v>X</v>
      </c>
      <c r="AC102" s="272" t="str">
        <f t="shared" si="126"/>
        <v>X</v>
      </c>
      <c r="AD102" s="272" t="str">
        <f t="shared" si="126"/>
        <v>X</v>
      </c>
      <c r="AE102" s="272" t="str">
        <f t="shared" si="126"/>
        <v>X</v>
      </c>
      <c r="AF102" s="272" t="str">
        <f t="shared" si="126"/>
        <v>X</v>
      </c>
      <c r="AG102" s="272" t="str">
        <f t="shared" si="126"/>
        <v>X</v>
      </c>
      <c r="AH102" s="272" t="str">
        <f t="shared" si="126"/>
        <v>X</v>
      </c>
      <c r="AI102" s="272" t="str">
        <f t="shared" si="126"/>
        <v>X</v>
      </c>
      <c r="AJ102" s="272" t="str">
        <f t="shared" si="126"/>
        <v>X</v>
      </c>
      <c r="AK102" s="272" t="str">
        <f t="shared" si="126"/>
        <v>X</v>
      </c>
      <c r="AL102" s="307" t="str">
        <f t="shared" si="126"/>
        <v>X</v>
      </c>
      <c r="AM102" s="307" t="str">
        <f t="shared" si="126"/>
        <v>X</v>
      </c>
      <c r="AN102" s="307" t="str">
        <f t="shared" si="126"/>
        <v>X</v>
      </c>
      <c r="AO102" s="307" t="str">
        <f t="shared" si="126"/>
        <v>X</v>
      </c>
      <c r="AP102" s="307" t="str">
        <f t="shared" si="126"/>
        <v>X</v>
      </c>
      <c r="AQ102" s="307" t="str">
        <f t="shared" si="126"/>
        <v>X</v>
      </c>
      <c r="AR102" s="307" t="str">
        <f t="shared" si="126"/>
        <v>X</v>
      </c>
      <c r="AS102" s="307" t="str">
        <f t="shared" si="126"/>
        <v>X</v>
      </c>
      <c r="AT102" s="307" t="str">
        <f t="shared" si="126"/>
        <v>X</v>
      </c>
      <c r="AU102" s="307" t="str">
        <f t="shared" si="126"/>
        <v>X</v>
      </c>
      <c r="AV102" s="296"/>
      <c r="AW102" s="296"/>
      <c r="AX102" s="206"/>
      <c r="BC102" s="95"/>
      <c r="BD102" s="95"/>
      <c r="BE102" s="95"/>
      <c r="BF102" s="95"/>
      <c r="BG102" s="350"/>
      <c r="BI102" s="165"/>
      <c r="BJ102" s="164"/>
      <c r="BK102" s="2"/>
      <c r="BL102" s="2"/>
      <c r="BM102" s="2"/>
      <c r="BN102" s="2"/>
      <c r="BO102" s="2"/>
      <c r="BP102" s="2"/>
    </row>
    <row r="103" spans="1:68">
      <c r="A103" s="180"/>
      <c r="B103" s="99" t="s">
        <v>566</v>
      </c>
      <c r="C103" s="354" t="str">
        <f t="shared" ref="C103:Q103" ca="1" si="127">IF(C8=$BC$20,"O",IF(C8=$BD$20,"O",IF(C8=$BE$20,"O",IF(C8=$BF$20,"O",IF(C8=$BG$20,"O",IF(C8=$BH$20,"O",IF(C8=$BI$20,"O",IF(C8=$BJ$20,"O",IF(C8=$BK$20,"O",IF(C8=$BL$20,"O",IF(C8=$BM$20,"O",IF(C8=$BN$20,"O",IF(C8=$BO$20,"O",IF(C8=$BP$20,"O",IF(C8=$BQ$20,"O",IF(C8=$BR$20,"O",IF(C8=$BS$20,"O",IF(C8=$BT$20,"O",IF(C8=$BU$20,"O",IF(C8=$BV$20,"O",IF(C8=$BW$20,"O",IF(C8=$BX$20,"O",IF(C8=$BY$20,"O",IF(C8=$BZ$20,"O",IF(C8=$CA$20,"O",IF(C8=$CB$20,"O",IF(C8=$CC$20,"O",IF(C8=$CD$20,"O",IF(C8=$CE$20,"O",IF(C8=$CF$20,"O",IF(C8=$CG$20,"O",IF(C8=$CH$20,"O",IF(C8=$CI$20,"O",IF(C8=$CJ$20,"O",IF(C8=$CK$20,"O",IF(C8=$CL$20,"O",IF(C8=$CM$20,"O",IF(C8=$CN$20,"O",IF(C8=$CO$20,"O",IF(C8=$CP$20,"O","X"))))))))))))))))))))))))))))))))))))))))</f>
        <v>O</v>
      </c>
      <c r="D103" s="354" t="str">
        <f t="shared" ca="1" si="127"/>
        <v>O</v>
      </c>
      <c r="E103" s="354" t="str">
        <f t="shared" ca="1" si="127"/>
        <v>X</v>
      </c>
      <c r="F103" s="354" t="str">
        <f t="shared" ca="1" si="127"/>
        <v>O</v>
      </c>
      <c r="G103" s="354" t="str">
        <f t="shared" ca="1" si="127"/>
        <v>O</v>
      </c>
      <c r="H103" s="354" t="str">
        <f t="shared" ca="1" si="127"/>
        <v>O</v>
      </c>
      <c r="I103" s="354" t="str">
        <f t="shared" ca="1" si="127"/>
        <v>X</v>
      </c>
      <c r="J103" s="354" t="str">
        <f t="shared" ca="1" si="127"/>
        <v>O</v>
      </c>
      <c r="K103" s="354" t="str">
        <f t="shared" ca="1" si="127"/>
        <v>O</v>
      </c>
      <c r="L103" s="354" t="str">
        <f t="shared" ca="1" si="127"/>
        <v>X</v>
      </c>
      <c r="M103" s="354" t="str">
        <f t="shared" ca="1" si="127"/>
        <v>O</v>
      </c>
      <c r="N103" s="354" t="str">
        <f t="shared" ca="1" si="127"/>
        <v>O</v>
      </c>
      <c r="O103" s="354" t="str">
        <f t="shared" ca="1" si="127"/>
        <v>O</v>
      </c>
      <c r="P103" s="354" t="str">
        <f t="shared" ca="1" si="127"/>
        <v>X</v>
      </c>
      <c r="Q103" s="354" t="str">
        <f t="shared" ca="1" si="127"/>
        <v>O</v>
      </c>
      <c r="R103" s="272" t="str">
        <f t="shared" ref="R103:AU103" si="128">IF(R8=$BC$20,"O",IF(R8=$BD$20,"O",IF(R8=$BE$20,"O",IF(R8=$BF$20,"O",IF(R8=$BG$20,"O",IF(R8=$BH$20,"O",IF(R8=$BI$20,"O",IF(R8=$BJ$20,"O",IF(R8=$BK$20,"O",IF(R8=$BL$20,"O",IF(R8=$BM$20,"O",IF(R8=$BN$20,"O",IF(R8=$BO$20,"O",IF(R8=$BP$20,"O",IF(R8=$BQ$20,"O",IF(R8=$BR$20,"O",IF(R8=$BS$20,"O",IF(R8=$BT$20,"O",IF(R8=$BU$20,"O",IF(R8=$BV$20,"O",IF(R8=$BW$20,"O",IF(R8=$BX$20,"O",IF(R8=$BY$20,"O",IF(R8=$BZ$20,"O",IF(R8=$CA$20,"O",IF(R8=$CB$20,"O","X"))))))))))))))))))))))))))</f>
        <v>X</v>
      </c>
      <c r="S103" s="272" t="str">
        <f t="shared" si="128"/>
        <v>X</v>
      </c>
      <c r="T103" s="272" t="str">
        <f t="shared" si="128"/>
        <v>X</v>
      </c>
      <c r="U103" s="272" t="str">
        <f t="shared" si="128"/>
        <v>X</v>
      </c>
      <c r="V103" s="272" t="str">
        <f t="shared" si="128"/>
        <v>X</v>
      </c>
      <c r="W103" s="272" t="str">
        <f t="shared" si="128"/>
        <v>X</v>
      </c>
      <c r="X103" s="272" t="str">
        <f t="shared" si="128"/>
        <v>X</v>
      </c>
      <c r="Y103" s="272" t="str">
        <f t="shared" si="128"/>
        <v>X</v>
      </c>
      <c r="Z103" s="272" t="str">
        <f t="shared" si="128"/>
        <v>X</v>
      </c>
      <c r="AA103" s="272" t="str">
        <f t="shared" si="128"/>
        <v>X</v>
      </c>
      <c r="AB103" s="272" t="str">
        <f t="shared" si="128"/>
        <v>X</v>
      </c>
      <c r="AC103" s="272" t="str">
        <f t="shared" si="128"/>
        <v>X</v>
      </c>
      <c r="AD103" s="272" t="str">
        <f t="shared" si="128"/>
        <v>X</v>
      </c>
      <c r="AE103" s="272" t="str">
        <f t="shared" si="128"/>
        <v>X</v>
      </c>
      <c r="AF103" s="272" t="str">
        <f t="shared" si="128"/>
        <v>X</v>
      </c>
      <c r="AG103" s="272" t="str">
        <f t="shared" si="128"/>
        <v>X</v>
      </c>
      <c r="AH103" s="272" t="str">
        <f t="shared" si="128"/>
        <v>X</v>
      </c>
      <c r="AI103" s="272" t="str">
        <f t="shared" si="128"/>
        <v>X</v>
      </c>
      <c r="AJ103" s="272" t="str">
        <f t="shared" si="128"/>
        <v>X</v>
      </c>
      <c r="AK103" s="272" t="str">
        <f t="shared" si="128"/>
        <v>X</v>
      </c>
      <c r="AL103" s="307" t="str">
        <f t="shared" si="128"/>
        <v>X</v>
      </c>
      <c r="AM103" s="307" t="str">
        <f t="shared" si="128"/>
        <v>X</v>
      </c>
      <c r="AN103" s="307" t="str">
        <f t="shared" si="128"/>
        <v>X</v>
      </c>
      <c r="AO103" s="307" t="str">
        <f t="shared" si="128"/>
        <v>X</v>
      </c>
      <c r="AP103" s="307" t="str">
        <f t="shared" si="128"/>
        <v>X</v>
      </c>
      <c r="AQ103" s="307" t="str">
        <f t="shared" si="128"/>
        <v>X</v>
      </c>
      <c r="AR103" s="307" t="str">
        <f t="shared" si="128"/>
        <v>X</v>
      </c>
      <c r="AS103" s="307" t="str">
        <f t="shared" si="128"/>
        <v>X</v>
      </c>
      <c r="AT103" s="307" t="str">
        <f t="shared" si="128"/>
        <v>X</v>
      </c>
      <c r="AU103" s="307" t="str">
        <f t="shared" si="128"/>
        <v>X</v>
      </c>
      <c r="AV103" s="296"/>
      <c r="AW103" s="296"/>
      <c r="AX103" s="206"/>
      <c r="BC103" s="95"/>
      <c r="BD103" s="95"/>
      <c r="BE103" s="95"/>
      <c r="BF103" s="95"/>
      <c r="BG103" s="349"/>
      <c r="BI103" s="2"/>
      <c r="BJ103" s="235"/>
      <c r="BK103" s="2"/>
      <c r="BL103" s="2"/>
      <c r="BM103" s="2"/>
      <c r="BN103" s="2"/>
      <c r="BO103" s="2"/>
      <c r="BP103" s="2"/>
    </row>
    <row r="104" spans="1:68">
      <c r="A104" s="180"/>
      <c r="B104" s="99" t="s">
        <v>567</v>
      </c>
      <c r="C104" s="354" t="str">
        <f t="shared" ref="C104:Q104" ca="1" si="129">IF(C9=$BC$20,"O",IF(C9=$BD$20,"O",IF(C9=$BE$20,"O",IF(C9=$BF$20,"O",IF(C9=$BG$20,"O",IF(C9=$BH$20,"O",IF(C9=$BI$20,"O",IF(C9=$BJ$20,"O",IF(C9=$BK$20,"O",IF(C9=$BL$20,"O",IF(C9=$BM$20,"O",IF(C9=$BN$20,"O",IF(C9=$BO$20,"O",IF(C9=$BP$20,"O",IF(C9=$BQ$20,"O",IF(C9=$BR$20,"O",IF(C9=$BS$20,"O",IF(C9=$BT$20,"O",IF(C9=$BU$20,"O",IF(C9=$BV$20,"O",IF(C9=$BW$20,"O",IF(C9=$BX$20,"O",IF(C9=$BY$20,"O",IF(C9=$BZ$20,"O",IF(C9=$CA$20,"O",IF(C9=$CB$20,"O",IF(C9=$CC$20,"O",IF(C9=$CD$20,"O",IF(C9=$CE$20,"O",IF(C9=$CF$20,"O",IF(C9=$CG$20,"O",IF(C9=$CH$20,"O",IF(C9=$CI$20,"O",IF(C9=$CJ$20,"O",IF(C9=$CK$20,"O",IF(C9=$CL$20,"O",IF(C9=$CM$20,"O",IF(C9=$CN$20,"O",IF(C9=$CO$20,"O",IF(C9=$CP$20,"O","X"))))))))))))))))))))))))))))))))))))))))</f>
        <v>X</v>
      </c>
      <c r="D104" s="354" t="str">
        <f t="shared" ca="1" si="129"/>
        <v>O</v>
      </c>
      <c r="E104" s="354" t="str">
        <f t="shared" ca="1" si="129"/>
        <v>X</v>
      </c>
      <c r="F104" s="354" t="str">
        <f t="shared" ca="1" si="129"/>
        <v>O</v>
      </c>
      <c r="G104" s="354" t="str">
        <f t="shared" ca="1" si="129"/>
        <v>O</v>
      </c>
      <c r="H104" s="354" t="str">
        <f t="shared" ca="1" si="129"/>
        <v>O</v>
      </c>
      <c r="I104" s="354" t="str">
        <f t="shared" ca="1" si="129"/>
        <v>O</v>
      </c>
      <c r="J104" s="354" t="str">
        <f t="shared" ca="1" si="129"/>
        <v>O</v>
      </c>
      <c r="K104" s="354" t="str">
        <f t="shared" ca="1" si="129"/>
        <v>O</v>
      </c>
      <c r="L104" s="354" t="str">
        <f t="shared" ca="1" si="129"/>
        <v>X</v>
      </c>
      <c r="M104" s="354" t="str">
        <f t="shared" ca="1" si="129"/>
        <v>O</v>
      </c>
      <c r="N104" s="354" t="str">
        <f t="shared" ca="1" si="129"/>
        <v>O</v>
      </c>
      <c r="O104" s="354" t="str">
        <f t="shared" ca="1" si="129"/>
        <v>O</v>
      </c>
      <c r="P104" s="354" t="str">
        <f t="shared" ca="1" si="129"/>
        <v>O</v>
      </c>
      <c r="Q104" s="354" t="str">
        <f t="shared" ca="1" si="129"/>
        <v>X</v>
      </c>
      <c r="R104" s="272" t="str">
        <f t="shared" ref="R104:AU104" si="130">IF(R9=$BC$20,"O",IF(R9=$BD$20,"O",IF(R9=$BE$20,"O",IF(R9=$BF$20,"O",IF(R9=$BG$20,"O",IF(R9=$BH$20,"O",IF(R9=$BI$20,"O",IF(R9=$BJ$20,"O",IF(R9=$BK$20,"O",IF(R9=$BL$20,"O",IF(R9=$BM$20,"O",IF(R9=$BN$20,"O",IF(R9=$BO$20,"O",IF(R9=$BP$20,"O",IF(R9=$BQ$20,"O",IF(R9=$BR$20,"O",IF(R9=$BS$20,"O",IF(R9=$BT$20,"O",IF(R9=$BU$20,"O",IF(R9=$BV$20,"O",IF(R9=$BW$20,"O",IF(R9=$BX$20,"O",IF(R9=$BY$20,"O",IF(R9=$BZ$20,"O",IF(R9=$CA$20,"O",IF(R9=$CB$20,"O","X"))))))))))))))))))))))))))</f>
        <v>X</v>
      </c>
      <c r="S104" s="272" t="str">
        <f t="shared" si="130"/>
        <v>X</v>
      </c>
      <c r="T104" s="272" t="str">
        <f t="shared" si="130"/>
        <v>X</v>
      </c>
      <c r="U104" s="272" t="str">
        <f t="shared" si="130"/>
        <v>X</v>
      </c>
      <c r="V104" s="272" t="str">
        <f t="shared" si="130"/>
        <v>X</v>
      </c>
      <c r="W104" s="272" t="str">
        <f t="shared" si="130"/>
        <v>X</v>
      </c>
      <c r="X104" s="272" t="str">
        <f t="shared" si="130"/>
        <v>X</v>
      </c>
      <c r="Y104" s="272" t="str">
        <f t="shared" si="130"/>
        <v>X</v>
      </c>
      <c r="Z104" s="272" t="str">
        <f t="shared" si="130"/>
        <v>X</v>
      </c>
      <c r="AA104" s="272" t="str">
        <f t="shared" si="130"/>
        <v>X</v>
      </c>
      <c r="AB104" s="272" t="str">
        <f t="shared" si="130"/>
        <v>X</v>
      </c>
      <c r="AC104" s="272" t="str">
        <f t="shared" si="130"/>
        <v>X</v>
      </c>
      <c r="AD104" s="272" t="str">
        <f t="shared" si="130"/>
        <v>X</v>
      </c>
      <c r="AE104" s="272" t="str">
        <f t="shared" si="130"/>
        <v>X</v>
      </c>
      <c r="AF104" s="272" t="str">
        <f t="shared" si="130"/>
        <v>X</v>
      </c>
      <c r="AG104" s="272" t="str">
        <f t="shared" si="130"/>
        <v>X</v>
      </c>
      <c r="AH104" s="272" t="str">
        <f t="shared" si="130"/>
        <v>X</v>
      </c>
      <c r="AI104" s="272" t="str">
        <f t="shared" si="130"/>
        <v>X</v>
      </c>
      <c r="AJ104" s="272" t="str">
        <f t="shared" si="130"/>
        <v>X</v>
      </c>
      <c r="AK104" s="272" t="str">
        <f t="shared" si="130"/>
        <v>X</v>
      </c>
      <c r="AL104" s="307" t="str">
        <f t="shared" si="130"/>
        <v>X</v>
      </c>
      <c r="AM104" s="307" t="str">
        <f t="shared" si="130"/>
        <v>X</v>
      </c>
      <c r="AN104" s="307" t="str">
        <f t="shared" si="130"/>
        <v>X</v>
      </c>
      <c r="AO104" s="307" t="str">
        <f t="shared" si="130"/>
        <v>X</v>
      </c>
      <c r="AP104" s="307" t="str">
        <f t="shared" si="130"/>
        <v>X</v>
      </c>
      <c r="AQ104" s="307" t="str">
        <f t="shared" si="130"/>
        <v>X</v>
      </c>
      <c r="AR104" s="307" t="str">
        <f t="shared" si="130"/>
        <v>X</v>
      </c>
      <c r="AS104" s="307" t="str">
        <f t="shared" si="130"/>
        <v>X</v>
      </c>
      <c r="AT104" s="307" t="str">
        <f t="shared" si="130"/>
        <v>X</v>
      </c>
      <c r="AU104" s="307" t="str">
        <f t="shared" si="130"/>
        <v>X</v>
      </c>
      <c r="AV104" s="296"/>
      <c r="AW104" s="296"/>
      <c r="AX104" s="206"/>
      <c r="BC104" s="95"/>
      <c r="BD104" s="95"/>
      <c r="BE104" s="95"/>
      <c r="BF104" s="95"/>
      <c r="BG104" s="349"/>
      <c r="BI104" s="2"/>
      <c r="BJ104" s="151"/>
      <c r="BK104" s="2"/>
      <c r="BL104" s="2"/>
      <c r="BM104" s="2"/>
      <c r="BN104" s="2"/>
      <c r="BO104" s="2"/>
      <c r="BP104" s="2"/>
    </row>
    <row r="105" spans="1:68">
      <c r="A105" s="180"/>
      <c r="B105" s="99" t="s">
        <v>568</v>
      </c>
      <c r="C105" s="354" t="str">
        <f t="shared" ref="C105:Q105" ca="1" si="131">IF(C10=$BC$20,"O",IF(C10=$BD$20,"O",IF(C10=$BE$20,"O",IF(C10=$BF$20,"O",IF(C10=$BG$20,"O",IF(C10=$BH$20,"O",IF(C10=$BI$20,"O",IF(C10=$BJ$20,"O",IF(C10=$BK$20,"O",IF(C10=$BL$20,"O",IF(C10=$BM$20,"O",IF(C10=$BN$20,"O",IF(C10=$BO$20,"O",IF(C10=$BP$20,"O",IF(C10=$BQ$20,"O",IF(C10=$BR$20,"O",IF(C10=$BS$20,"O",IF(C10=$BT$20,"O",IF(C10=$BU$20,"O",IF(C10=$BV$20,"O",IF(C10=$BW$20,"O",IF(C10=$BX$20,"O",IF(C10=$BY$20,"O",IF(C10=$BZ$20,"O",IF(C10=$CA$20,"O",IF(C10=$CB$20,"O",IF(C10=$CC$20,"O",IF(C10=$CD$20,"O",IF(C10=$CE$20,"O",IF(C10=$CF$20,"O",IF(C10=$CG$20,"O",IF(C10=$CH$20,"O",IF(C10=$CI$20,"O",IF(C10=$CJ$20,"O",IF(C10=$CK$20,"O",IF(C10=$CL$20,"O",IF(C10=$CM$20,"O",IF(C10=$CN$20,"O",IF(C10=$CO$20,"O",IF(C10=$CP$20,"O","X"))))))))))))))))))))))))))))))))))))))))</f>
        <v>X</v>
      </c>
      <c r="D105" s="354" t="str">
        <f t="shared" ca="1" si="131"/>
        <v>O</v>
      </c>
      <c r="E105" s="354" t="str">
        <f t="shared" ca="1" si="131"/>
        <v>O</v>
      </c>
      <c r="F105" s="354" t="str">
        <f t="shared" ca="1" si="131"/>
        <v>O</v>
      </c>
      <c r="G105" s="354" t="str">
        <f t="shared" ca="1" si="131"/>
        <v>X</v>
      </c>
      <c r="H105" s="354" t="str">
        <f t="shared" ca="1" si="131"/>
        <v>O</v>
      </c>
      <c r="I105" s="354" t="str">
        <f t="shared" ca="1" si="131"/>
        <v>O</v>
      </c>
      <c r="J105" s="354" t="str">
        <f t="shared" ca="1" si="131"/>
        <v>O</v>
      </c>
      <c r="K105" s="354" t="str">
        <f t="shared" ca="1" si="131"/>
        <v>O</v>
      </c>
      <c r="L105" s="354" t="str">
        <f t="shared" ca="1" si="131"/>
        <v>X</v>
      </c>
      <c r="M105" s="354" t="str">
        <f t="shared" ca="1" si="131"/>
        <v>X</v>
      </c>
      <c r="N105" s="354" t="str">
        <f t="shared" ca="1" si="131"/>
        <v>O</v>
      </c>
      <c r="O105" s="354" t="str">
        <f t="shared" ca="1" si="131"/>
        <v>X</v>
      </c>
      <c r="P105" s="354" t="str">
        <f t="shared" ca="1" si="131"/>
        <v>O</v>
      </c>
      <c r="Q105" s="354" t="str">
        <f t="shared" ca="1" si="131"/>
        <v>O</v>
      </c>
      <c r="R105" s="272" t="str">
        <f t="shared" ref="R105:AU105" si="132">IF(R10=$BC$20,"O",IF(R10=$BD$20,"O",IF(R10=$BE$20,"O",IF(R10=$BF$20,"O",IF(R10=$BG$20,"O",IF(R10=$BH$20,"O",IF(R10=$BI$20,"O",IF(R10=$BJ$20,"O",IF(R10=$BK$20,"O",IF(R10=$BL$20,"O",IF(R10=$BM$20,"O",IF(R10=$BN$20,"O",IF(R10=$BO$20,"O",IF(R10=$BP$20,"O",IF(R10=$BQ$20,"O",IF(R10=$BR$20,"O",IF(R10=$BS$20,"O",IF(R10=$BT$20,"O",IF(R10=$BU$20,"O",IF(R10=$BV$20,"O",IF(R10=$BW$20,"O",IF(R10=$BX$20,"O",IF(R10=$BY$20,"O",IF(R10=$BZ$20,"O",IF(R10=$CA$20,"O",IF(R10=$CB$20,"O","X"))))))))))))))))))))))))))</f>
        <v>X</v>
      </c>
      <c r="S105" s="272" t="str">
        <f t="shared" si="132"/>
        <v>X</v>
      </c>
      <c r="T105" s="272" t="str">
        <f t="shared" si="132"/>
        <v>X</v>
      </c>
      <c r="U105" s="272" t="str">
        <f t="shared" si="132"/>
        <v>X</v>
      </c>
      <c r="V105" s="272" t="str">
        <f t="shared" si="132"/>
        <v>X</v>
      </c>
      <c r="W105" s="272" t="str">
        <f t="shared" si="132"/>
        <v>X</v>
      </c>
      <c r="X105" s="272" t="str">
        <f t="shared" si="132"/>
        <v>X</v>
      </c>
      <c r="Y105" s="272" t="str">
        <f t="shared" si="132"/>
        <v>X</v>
      </c>
      <c r="Z105" s="272" t="str">
        <f t="shared" si="132"/>
        <v>X</v>
      </c>
      <c r="AA105" s="272" t="str">
        <f t="shared" si="132"/>
        <v>X</v>
      </c>
      <c r="AB105" s="272" t="str">
        <f t="shared" si="132"/>
        <v>X</v>
      </c>
      <c r="AC105" s="272" t="str">
        <f t="shared" si="132"/>
        <v>X</v>
      </c>
      <c r="AD105" s="272" t="str">
        <f t="shared" si="132"/>
        <v>X</v>
      </c>
      <c r="AE105" s="272" t="str">
        <f t="shared" si="132"/>
        <v>X</v>
      </c>
      <c r="AF105" s="272" t="str">
        <f t="shared" si="132"/>
        <v>X</v>
      </c>
      <c r="AG105" s="272" t="str">
        <f t="shared" si="132"/>
        <v>X</v>
      </c>
      <c r="AH105" s="272" t="str">
        <f t="shared" si="132"/>
        <v>X</v>
      </c>
      <c r="AI105" s="272" t="str">
        <f t="shared" si="132"/>
        <v>X</v>
      </c>
      <c r="AJ105" s="272" t="str">
        <f t="shared" si="132"/>
        <v>X</v>
      </c>
      <c r="AK105" s="272" t="str">
        <f t="shared" si="132"/>
        <v>X</v>
      </c>
      <c r="AL105" s="307" t="str">
        <f t="shared" si="132"/>
        <v>X</v>
      </c>
      <c r="AM105" s="307" t="str">
        <f t="shared" si="132"/>
        <v>X</v>
      </c>
      <c r="AN105" s="307" t="str">
        <f t="shared" si="132"/>
        <v>X</v>
      </c>
      <c r="AO105" s="307" t="str">
        <f t="shared" si="132"/>
        <v>X</v>
      </c>
      <c r="AP105" s="307" t="str">
        <f t="shared" si="132"/>
        <v>X</v>
      </c>
      <c r="AQ105" s="307" t="str">
        <f t="shared" si="132"/>
        <v>X</v>
      </c>
      <c r="AR105" s="307" t="str">
        <f t="shared" si="132"/>
        <v>X</v>
      </c>
      <c r="AS105" s="307" t="str">
        <f t="shared" si="132"/>
        <v>X</v>
      </c>
      <c r="AT105" s="307" t="str">
        <f t="shared" si="132"/>
        <v>X</v>
      </c>
      <c r="AU105" s="307" t="str">
        <f t="shared" si="132"/>
        <v>X</v>
      </c>
      <c r="AV105" s="296"/>
      <c r="AW105" s="296"/>
      <c r="AX105" s="206"/>
      <c r="BC105" s="95"/>
      <c r="BD105" s="95"/>
      <c r="BE105" s="95"/>
      <c r="BF105" s="95"/>
      <c r="BG105" s="349"/>
      <c r="BH105" s="178"/>
      <c r="BI105" s="2"/>
      <c r="BJ105" s="151"/>
      <c r="BK105" s="2"/>
      <c r="BL105" s="2"/>
      <c r="BM105" s="2"/>
      <c r="BN105" s="2"/>
      <c r="BO105" s="2"/>
      <c r="BP105" s="2"/>
    </row>
    <row r="106" spans="1:68">
      <c r="A106" s="180"/>
      <c r="B106" s="99" t="s">
        <v>569</v>
      </c>
      <c r="C106" s="354" t="str">
        <f t="shared" ref="C106:Q106" ca="1" si="133">IF(C11=$BC$20,"O",IF(C11=$BD$20,"O",IF(C11=$BE$20,"O",IF(C11=$BF$20,"O",IF(C11=$BG$20,"O",IF(C11=$BH$20,"O",IF(C11=$BI$20,"O",IF(C11=$BJ$20,"O",IF(C11=$BK$20,"O",IF(C11=$BL$20,"O",IF(C11=$BM$20,"O",IF(C11=$BN$20,"O",IF(C11=$BO$20,"O",IF(C11=$BP$20,"O",IF(C11=$BQ$20,"O",IF(C11=$BR$20,"O",IF(C11=$BS$20,"O",IF(C11=$BT$20,"O",IF(C11=$BU$20,"O",IF(C11=$BV$20,"O",IF(C11=$BW$20,"O",IF(C11=$BX$20,"O",IF(C11=$BY$20,"O",IF(C11=$BZ$20,"O",IF(C11=$CA$20,"O",IF(C11=$CB$20,"O",IF(C11=$CC$20,"O",IF(C11=$CD$20,"O",IF(C11=$CE$20,"O",IF(C11=$CF$20,"O",IF(C11=$CG$20,"O",IF(C11=$CH$20,"O",IF(C11=$CI$20,"O",IF(C11=$CJ$20,"O",IF(C11=$CK$20,"O",IF(C11=$CL$20,"O",IF(C11=$CM$20,"O",IF(C11=$CN$20,"O",IF(C11=$CO$20,"O",IF(C11=$CP$20,"O","X"))))))))))))))))))))))))))))))))))))))))</f>
        <v>O</v>
      </c>
      <c r="D106" s="354" t="str">
        <f t="shared" ca="1" si="133"/>
        <v>O</v>
      </c>
      <c r="E106" s="354" t="str">
        <f t="shared" ca="1" si="133"/>
        <v>X</v>
      </c>
      <c r="F106" s="354" t="str">
        <f t="shared" ca="1" si="133"/>
        <v>X</v>
      </c>
      <c r="G106" s="354" t="str">
        <f t="shared" ca="1" si="133"/>
        <v>O</v>
      </c>
      <c r="H106" s="354" t="str">
        <f t="shared" ca="1" si="133"/>
        <v>O</v>
      </c>
      <c r="I106" s="354" t="str">
        <f t="shared" ca="1" si="133"/>
        <v>O</v>
      </c>
      <c r="J106" s="354" t="str">
        <f t="shared" ca="1" si="133"/>
        <v>O</v>
      </c>
      <c r="K106" s="354" t="str">
        <f t="shared" ca="1" si="133"/>
        <v>O</v>
      </c>
      <c r="L106" s="354" t="str">
        <f t="shared" ca="1" si="133"/>
        <v>O</v>
      </c>
      <c r="M106" s="354" t="str">
        <f t="shared" ca="1" si="133"/>
        <v>O</v>
      </c>
      <c r="N106" s="354" t="str">
        <f t="shared" ca="1" si="133"/>
        <v>O</v>
      </c>
      <c r="O106" s="354" t="str">
        <f t="shared" ca="1" si="133"/>
        <v>O</v>
      </c>
      <c r="P106" s="354" t="str">
        <f t="shared" ca="1" si="133"/>
        <v>O</v>
      </c>
      <c r="Q106" s="354" t="str">
        <f t="shared" ca="1" si="133"/>
        <v>O</v>
      </c>
      <c r="R106" s="272" t="str">
        <f t="shared" ref="R106:AU106" si="134">IF(R11=$BC$20,"O",IF(R11=$BD$20,"O",IF(R11=$BE$20,"O",IF(R11=$BF$20,"O",IF(R11=$BG$20,"O",IF(R11=$BH$20,"O",IF(R11=$BI$20,"O",IF(R11=$BJ$20,"O",IF(R11=$BK$20,"O",IF(R11=$BL$20,"O",IF(R11=$BM$20,"O",IF(R11=$BN$20,"O",IF(R11=$BO$20,"O",IF(R11=$BP$20,"O",IF(R11=$BQ$20,"O",IF(R11=$BR$20,"O",IF(R11=$BS$20,"O",IF(R11=$BT$20,"O",IF(R11=$BU$20,"O",IF(R11=$BV$20,"O",IF(R11=$BW$20,"O",IF(R11=$BX$20,"O",IF(R11=$BY$20,"O",IF(R11=$BZ$20,"O",IF(R11=$CA$20,"O",IF(R11=$CB$20,"O","X"))))))))))))))))))))))))))</f>
        <v>X</v>
      </c>
      <c r="S106" s="272" t="str">
        <f t="shared" si="134"/>
        <v>X</v>
      </c>
      <c r="T106" s="272" t="str">
        <f t="shared" si="134"/>
        <v>X</v>
      </c>
      <c r="U106" s="272" t="str">
        <f t="shared" si="134"/>
        <v>X</v>
      </c>
      <c r="V106" s="272" t="str">
        <f t="shared" si="134"/>
        <v>X</v>
      </c>
      <c r="W106" s="272" t="str">
        <f t="shared" si="134"/>
        <v>X</v>
      </c>
      <c r="X106" s="272" t="str">
        <f t="shared" si="134"/>
        <v>X</v>
      </c>
      <c r="Y106" s="272" t="str">
        <f t="shared" si="134"/>
        <v>X</v>
      </c>
      <c r="Z106" s="272" t="str">
        <f t="shared" si="134"/>
        <v>X</v>
      </c>
      <c r="AA106" s="272" t="str">
        <f t="shared" si="134"/>
        <v>X</v>
      </c>
      <c r="AB106" s="272" t="str">
        <f t="shared" si="134"/>
        <v>X</v>
      </c>
      <c r="AC106" s="272" t="str">
        <f t="shared" si="134"/>
        <v>X</v>
      </c>
      <c r="AD106" s="272" t="str">
        <f t="shared" si="134"/>
        <v>X</v>
      </c>
      <c r="AE106" s="272" t="str">
        <f t="shared" si="134"/>
        <v>X</v>
      </c>
      <c r="AF106" s="272" t="str">
        <f t="shared" si="134"/>
        <v>X</v>
      </c>
      <c r="AG106" s="272" t="str">
        <f t="shared" si="134"/>
        <v>X</v>
      </c>
      <c r="AH106" s="272" t="str">
        <f t="shared" si="134"/>
        <v>X</v>
      </c>
      <c r="AI106" s="272" t="str">
        <f t="shared" si="134"/>
        <v>X</v>
      </c>
      <c r="AJ106" s="272" t="str">
        <f t="shared" si="134"/>
        <v>X</v>
      </c>
      <c r="AK106" s="272" t="str">
        <f t="shared" si="134"/>
        <v>X</v>
      </c>
      <c r="AL106" s="307" t="str">
        <f t="shared" si="134"/>
        <v>X</v>
      </c>
      <c r="AM106" s="307" t="str">
        <f t="shared" si="134"/>
        <v>X</v>
      </c>
      <c r="AN106" s="307" t="str">
        <f t="shared" si="134"/>
        <v>X</v>
      </c>
      <c r="AO106" s="307" t="str">
        <f t="shared" si="134"/>
        <v>X</v>
      </c>
      <c r="AP106" s="307" t="str">
        <f t="shared" si="134"/>
        <v>X</v>
      </c>
      <c r="AQ106" s="307" t="str">
        <f t="shared" si="134"/>
        <v>X</v>
      </c>
      <c r="AR106" s="307" t="str">
        <f t="shared" si="134"/>
        <v>X</v>
      </c>
      <c r="AS106" s="307" t="str">
        <f t="shared" si="134"/>
        <v>X</v>
      </c>
      <c r="AT106" s="307" t="str">
        <f t="shared" si="134"/>
        <v>X</v>
      </c>
      <c r="AU106" s="307" t="str">
        <f t="shared" si="134"/>
        <v>X</v>
      </c>
      <c r="AV106" s="296"/>
      <c r="AW106" s="296"/>
      <c r="AX106" s="206"/>
      <c r="BC106" s="95"/>
      <c r="BD106" s="95"/>
      <c r="BE106" s="95"/>
      <c r="BF106" s="95"/>
      <c r="BG106" s="350"/>
      <c r="BH106" s="178"/>
      <c r="BI106" s="2"/>
      <c r="BJ106" s="151"/>
      <c r="BK106" s="2"/>
      <c r="BL106" s="2"/>
      <c r="BM106" s="2"/>
      <c r="BN106" s="2"/>
      <c r="BO106" s="2"/>
      <c r="BP106" s="2"/>
    </row>
    <row r="107" spans="1:68">
      <c r="A107" s="180"/>
      <c r="B107" s="100" t="s">
        <v>540</v>
      </c>
      <c r="C107" s="354" t="str">
        <f t="shared" ref="C107:P107" ca="1" si="135">IF(C12=$BC$20,"O",IF(C12=$BD$20,"O",IF(C12=$BE$20,"O",IF(C12=$BF$20,"O",IF(C12=$BG$20,"O",IF(C12=$BH$20,"O",IF(C12=$BI$20,"O",IF(C12=$BJ$20,"O",IF(C12=$BK$20,"O",IF(C12=$BL$20,"O",IF(C12=$BM$20,"O",IF(C12=$BN$20,"O",IF(C12=$BO$20,"O",IF(C12=$BP$20,"O",IF(C12=$BQ$20,"O",IF(C12=$BR$20,"O",IF(C12=$BS$20,"O",IF(C12=$BT$20,"O",IF(C12=$BU$20,"O",IF(C12=$BV$20,"O",IF(C12=$BW$20,"O",IF(C12=$BX$20,"O",IF(C12=$BY$20,"O",IF(C12=$BZ$20,"O",IF(C12=$CA$20,"O",IF(C12=$CB$20,"O",IF(C12=$CC$20,"O",IF(C12=$CD$20,"O",IF(C12=$CE$20,"O",IF(C12=$CF$20,"O",IF(C12=$CG$20,"O",IF(C12=$CH$20,"O",IF(C12=$CI$20,"O",IF(C12=$CJ$20,"O",IF(C12=$CK$20,"O",IF(C12=$CL$20,"O",IF(C12=$CM$20,"O",IF(C12=$CN$20,"O",IF(C12=$CO$20,"O",IF(C12=$CP$20,"O","X"))))))))))))))))))))))))))))))))))))))))</f>
        <v>O</v>
      </c>
      <c r="D107" s="354" t="str">
        <f t="shared" ca="1" si="135"/>
        <v>O</v>
      </c>
      <c r="E107" s="354" t="str">
        <f t="shared" ca="1" si="135"/>
        <v>O</v>
      </c>
      <c r="F107" s="354" t="str">
        <f t="shared" ca="1" si="135"/>
        <v>O</v>
      </c>
      <c r="G107" s="354" t="str">
        <f t="shared" ca="1" si="135"/>
        <v>O</v>
      </c>
      <c r="H107" s="354" t="str">
        <f t="shared" ca="1" si="135"/>
        <v>X</v>
      </c>
      <c r="I107" s="354" t="str">
        <f t="shared" ca="1" si="135"/>
        <v>O</v>
      </c>
      <c r="J107" s="354" t="str">
        <f t="shared" ca="1" si="135"/>
        <v>O</v>
      </c>
      <c r="K107" s="354" t="str">
        <f t="shared" ca="1" si="135"/>
        <v>X</v>
      </c>
      <c r="L107" s="354" t="str">
        <f t="shared" ca="1" si="135"/>
        <v>O</v>
      </c>
      <c r="M107" s="354" t="str">
        <f t="shared" ca="1" si="135"/>
        <v>X</v>
      </c>
      <c r="N107" s="354" t="str">
        <f t="shared" ca="1" si="135"/>
        <v>O</v>
      </c>
      <c r="O107" s="354" t="str">
        <f t="shared" ca="1" si="135"/>
        <v>O</v>
      </c>
      <c r="P107" s="354" t="str">
        <f t="shared" ca="1" si="135"/>
        <v>O</v>
      </c>
      <c r="Q107" s="354" t="str">
        <f ca="1">IF(Q12=$BC$20,"O",IF(Q12=$BD$20,"O",IF(Q12=$BE$20,"O",IF(Q12=$BF$20,"O",IF(Q12=$BG$20,"O",IF(Q12=$BH$20,"O",IF(Q12=$BI$20,"O",IF(Q12=$BJ$20,"O",IF(Q12=$BK$20,"O",IF(Q12=$BL$20,"O",IF(Q12=$BM$20,"O",IF(Q12=$BN$20,"O",IF(Q12=$BO$20,"O",IF(Q12=$BP$20,"O",IF(Q12=$BQ$20,"O",IF(Q12=$BR$20,"O",IF(Q12=$BS$20,"O",IF(Q12=$BT$20,"O",IF(Q12=$BU$20,"O",IF(Q12=$BV$20,"O",IF(Q12=$BW$20,"O",IF(Q12=$BX$20,"O",IF(Q12=$BY$20,"O",IF(Q12=$BZ$20,"O",IF(Q12=$CA$20,"O",IF(Q12=$CB$20,"O",IF(Q12=$CC$20,"O",IF(Q12=$CD$20,"O",IF(Q12=$CE$20,"O",IF(Q12=$CF$20,"O",IF(Q12=$CG$20,"O",IF(Q12=$CH$20,"O",IF(Q12=$CI$20,"O",IF(Q12=$CJ$20,"O",IF(Q12=$CK$20,"O",IF(Q12=$CL$20,"O",IF(Q12=$CM$20,"O",IF(Q12=$CN$20,"O",IF(Q12=$CO$20,"O",IF(Q12=$CP$20,"O","X"))))))))))))))))))))))))))))))))))))))))</f>
        <v>O</v>
      </c>
      <c r="R107" s="272" t="str">
        <f t="shared" ref="R107:AU107" si="136">IF(R12=$BC$20,"O",IF(R12=$BD$20,"O",IF(R12=$BE$20,"O",IF(R12=$BF$20,"O",IF(R12=$BG$20,"O",IF(R12=$BH$20,"O",IF(R12=$BI$20,"O",IF(R12=$BJ$20,"O",IF(R12=$BK$20,"O",IF(R12=$BL$20,"O",IF(R12=$BM$20,"O",IF(R12=$BN$20,"O",IF(R12=$BO$20,"O",IF(R12=$BP$20,"O",IF(R12=$BQ$20,"O",IF(R12=$BR$20,"O",IF(R12=$BS$20,"O",IF(R12=$BT$20,"O",IF(R12=$BU$20,"O",IF(R12=$BV$20,"O",IF(R12=$BW$20,"O",IF(R12=$BX$20,"O",IF(R12=$BY$20,"O",IF(R12=$BZ$20,"O",IF(R12=$CA$20,"O",IF(R12=$CB$20,"O","X"))))))))))))))))))))))))))</f>
        <v>X</v>
      </c>
      <c r="S107" s="272" t="str">
        <f t="shared" si="136"/>
        <v>X</v>
      </c>
      <c r="T107" s="272" t="str">
        <f t="shared" si="136"/>
        <v>X</v>
      </c>
      <c r="U107" s="272" t="str">
        <f t="shared" si="136"/>
        <v>X</v>
      </c>
      <c r="V107" s="272" t="str">
        <f t="shared" si="136"/>
        <v>X</v>
      </c>
      <c r="W107" s="272" t="str">
        <f t="shared" si="136"/>
        <v>X</v>
      </c>
      <c r="X107" s="272" t="str">
        <f t="shared" si="136"/>
        <v>X</v>
      </c>
      <c r="Y107" s="272" t="str">
        <f t="shared" si="136"/>
        <v>X</v>
      </c>
      <c r="Z107" s="272" t="str">
        <f t="shared" si="136"/>
        <v>X</v>
      </c>
      <c r="AA107" s="272" t="str">
        <f t="shared" si="136"/>
        <v>X</v>
      </c>
      <c r="AB107" s="272" t="str">
        <f t="shared" si="136"/>
        <v>X</v>
      </c>
      <c r="AC107" s="272" t="str">
        <f t="shared" si="136"/>
        <v>X</v>
      </c>
      <c r="AD107" s="272" t="str">
        <f t="shared" si="136"/>
        <v>X</v>
      </c>
      <c r="AE107" s="272" t="str">
        <f t="shared" si="136"/>
        <v>X</v>
      </c>
      <c r="AF107" s="272" t="str">
        <f t="shared" si="136"/>
        <v>X</v>
      </c>
      <c r="AG107" s="272" t="str">
        <f t="shared" si="136"/>
        <v>X</v>
      </c>
      <c r="AH107" s="272" t="str">
        <f t="shared" si="136"/>
        <v>X</v>
      </c>
      <c r="AI107" s="272" t="str">
        <f t="shared" si="136"/>
        <v>X</v>
      </c>
      <c r="AJ107" s="272" t="str">
        <f t="shared" si="136"/>
        <v>X</v>
      </c>
      <c r="AK107" s="272" t="str">
        <f t="shared" si="136"/>
        <v>X</v>
      </c>
      <c r="AL107" s="307" t="str">
        <f t="shared" si="136"/>
        <v>X</v>
      </c>
      <c r="AM107" s="307" t="str">
        <f t="shared" si="136"/>
        <v>X</v>
      </c>
      <c r="AN107" s="307" t="str">
        <f t="shared" si="136"/>
        <v>X</v>
      </c>
      <c r="AO107" s="307" t="str">
        <f t="shared" si="136"/>
        <v>X</v>
      </c>
      <c r="AP107" s="307" t="str">
        <f t="shared" si="136"/>
        <v>X</v>
      </c>
      <c r="AQ107" s="307" t="str">
        <f t="shared" si="136"/>
        <v>X</v>
      </c>
      <c r="AR107" s="307" t="str">
        <f t="shared" si="136"/>
        <v>X</v>
      </c>
      <c r="AS107" s="307" t="str">
        <f t="shared" si="136"/>
        <v>X</v>
      </c>
      <c r="AT107" s="307" t="str">
        <f t="shared" si="136"/>
        <v>X</v>
      </c>
      <c r="AU107" s="307" t="str">
        <f t="shared" si="136"/>
        <v>X</v>
      </c>
      <c r="AV107" s="296"/>
      <c r="AW107" s="296"/>
      <c r="AX107" s="206"/>
      <c r="BC107" s="95"/>
      <c r="BD107" s="95"/>
      <c r="BE107" s="95"/>
      <c r="BF107" s="95"/>
      <c r="BG107" s="350"/>
      <c r="BH107" s="178"/>
      <c r="BI107" s="2"/>
      <c r="BJ107" s="235"/>
      <c r="BK107" s="2"/>
      <c r="BL107" s="2"/>
      <c r="BM107" s="2"/>
      <c r="BN107" s="2"/>
      <c r="BO107" s="2"/>
      <c r="BP107" s="2"/>
    </row>
    <row r="108" spans="1:68">
      <c r="A108" s="181"/>
      <c r="B108" s="111" t="s">
        <v>663</v>
      </c>
      <c r="C108" s="172">
        <f ca="1">COUNTIF(C102:C107,"O")</f>
        <v>4</v>
      </c>
      <c r="D108" s="172">
        <f t="shared" ref="D108:P108" ca="1" si="137">COUNTIF(D102:D107,"O")</f>
        <v>6</v>
      </c>
      <c r="E108" s="172">
        <f t="shared" ca="1" si="137"/>
        <v>2</v>
      </c>
      <c r="F108" s="172">
        <f t="shared" ca="1" si="137"/>
        <v>5</v>
      </c>
      <c r="G108" s="172">
        <f t="shared" ca="1" si="137"/>
        <v>5</v>
      </c>
      <c r="H108" s="172">
        <f t="shared" ca="1" si="137"/>
        <v>5</v>
      </c>
      <c r="I108" s="172">
        <f t="shared" ca="1" si="137"/>
        <v>5</v>
      </c>
      <c r="J108" s="172">
        <f t="shared" ca="1" si="137"/>
        <v>6</v>
      </c>
      <c r="K108" s="172">
        <f t="shared" ca="1" si="137"/>
        <v>5</v>
      </c>
      <c r="L108" s="172">
        <f t="shared" ca="1" si="137"/>
        <v>2</v>
      </c>
      <c r="M108" s="172">
        <f t="shared" ca="1" si="137"/>
        <v>4</v>
      </c>
      <c r="N108" s="172">
        <f t="shared" ca="1" si="137"/>
        <v>5</v>
      </c>
      <c r="O108" s="172">
        <f t="shared" ca="1" si="137"/>
        <v>5</v>
      </c>
      <c r="P108" s="172">
        <f t="shared" ca="1" si="137"/>
        <v>5</v>
      </c>
      <c r="Q108" s="172">
        <f ca="1">COUNTIF(Q102:Q107,"O")</f>
        <v>5</v>
      </c>
      <c r="R108" s="172">
        <f t="shared" ref="R108:AK108" si="138">COUNTIF(R102:R107,"O")</f>
        <v>0</v>
      </c>
      <c r="S108" s="172">
        <f t="shared" si="138"/>
        <v>0</v>
      </c>
      <c r="T108" s="172">
        <f t="shared" si="138"/>
        <v>0</v>
      </c>
      <c r="U108" s="172">
        <f t="shared" si="138"/>
        <v>0</v>
      </c>
      <c r="V108" s="172">
        <f t="shared" si="138"/>
        <v>0</v>
      </c>
      <c r="W108" s="172">
        <f t="shared" si="138"/>
        <v>0</v>
      </c>
      <c r="X108" s="172">
        <f t="shared" si="138"/>
        <v>0</v>
      </c>
      <c r="Y108" s="172">
        <f t="shared" si="138"/>
        <v>0</v>
      </c>
      <c r="Z108" s="172">
        <f t="shared" si="138"/>
        <v>0</v>
      </c>
      <c r="AA108" s="172">
        <f t="shared" si="138"/>
        <v>0</v>
      </c>
      <c r="AB108" s="172">
        <f t="shared" si="138"/>
        <v>0</v>
      </c>
      <c r="AC108" s="172">
        <f t="shared" si="138"/>
        <v>0</v>
      </c>
      <c r="AD108" s="172">
        <f t="shared" si="138"/>
        <v>0</v>
      </c>
      <c r="AE108" s="172">
        <f t="shared" si="138"/>
        <v>0</v>
      </c>
      <c r="AF108" s="172">
        <f t="shared" si="138"/>
        <v>0</v>
      </c>
      <c r="AG108" s="172">
        <f t="shared" si="138"/>
        <v>0</v>
      </c>
      <c r="AH108" s="172">
        <f t="shared" si="138"/>
        <v>0</v>
      </c>
      <c r="AI108" s="172">
        <f t="shared" si="138"/>
        <v>0</v>
      </c>
      <c r="AJ108" s="172">
        <f t="shared" si="138"/>
        <v>0</v>
      </c>
      <c r="AK108" s="172">
        <f t="shared" si="138"/>
        <v>0</v>
      </c>
      <c r="AL108" s="172">
        <f t="shared" ref="AL108:AU108" si="139">COUNTIF(AL102:AL107,"O")</f>
        <v>0</v>
      </c>
      <c r="AM108" s="172">
        <f t="shared" si="139"/>
        <v>0</v>
      </c>
      <c r="AN108" s="172">
        <f t="shared" si="139"/>
        <v>0</v>
      </c>
      <c r="AO108" s="172">
        <f t="shared" si="139"/>
        <v>0</v>
      </c>
      <c r="AP108" s="172">
        <f t="shared" si="139"/>
        <v>0</v>
      </c>
      <c r="AQ108" s="172">
        <f t="shared" si="139"/>
        <v>0</v>
      </c>
      <c r="AR108" s="172">
        <f t="shared" si="139"/>
        <v>0</v>
      </c>
      <c r="AS108" s="172">
        <f t="shared" si="139"/>
        <v>0</v>
      </c>
      <c r="AT108" s="172">
        <f t="shared" si="139"/>
        <v>0</v>
      </c>
      <c r="AU108" s="172">
        <f t="shared" si="139"/>
        <v>0</v>
      </c>
      <c r="AV108" s="255"/>
      <c r="AW108" s="255"/>
      <c r="BC108" s="95"/>
      <c r="BD108" s="95"/>
      <c r="BE108" s="95"/>
      <c r="BF108" s="95"/>
      <c r="BG108" s="348"/>
      <c r="BH108" s="178"/>
      <c r="BI108" s="2"/>
      <c r="BJ108" s="235"/>
      <c r="BK108" s="2"/>
      <c r="BL108" s="2"/>
      <c r="BM108" s="2"/>
      <c r="BN108" s="2"/>
      <c r="BO108" s="2"/>
      <c r="BP108" s="2"/>
    </row>
    <row r="109" spans="1:68">
      <c r="A109" s="179" t="s">
        <v>922</v>
      </c>
      <c r="B109" s="216" t="s">
        <v>560</v>
      </c>
      <c r="C109" s="214" t="str">
        <f ca="1">IF(C7=$BC$21,"O",IF(C7=$BD$21,"O",IF(C7=$BE$21,"O",IF(C7=$BF$21,"O",IF(C7=$BG$21,"O",IF(C7=$BH$21,"O",IF(C7=$BI$21,"O",IF(C7=$BJ$21,"O",IF(C7=$BK$21,"O",IF(C7=$BL$21,"O",IF(C7=$BM$21,"O",IF(C7=$BN$21,"O",IF(C7=$BO$21,"O",IF(C7=$BP$21,"O",IF(C7=$BQ$21,"O",IF(C7=$BR$21,"O",IF(C7=$BS$21,"O",IF(C7=$BT$21,"O",IF(C7=$BU$21,"O",IF(C7=$BV$21,"O",IF(C7=$BW$21,"O",IF(C7=$BX$21,"O",IF(C7=$BY$21,"O",IF(C7=$BZ$21,"O",IF(C7=$CA$21,"O",IF(C7=$CB$21,"O",IF(C7=$CC$21,"O",IF(C7=$CD$21,"O",IF(C7=$CE$21,"O",IF(C7=$CF$21,"O",IF(C7=$CG$21,"O",IF(C7=$CH$21,"O",IF(C7=$CI$21,"O",IF(C7=$CJ$21,"O",IF(C7=$CK$21,"O",IF(C7=$CL$21,"O",IF(C7=$CM$21,"O",IF(C7=$CN$21,"O",IF(C7=$CO$21,"O",IF(C7=$CP$21,"O",IF(C7=$CQ$21,"O",IF(C7=$CR$21,"O",IF(C7=$CS$21,"O",IF(C7=$CT$21,"O","X"))))))))))))))))))))))))))))))))))))))))))))</f>
        <v>O</v>
      </c>
      <c r="D109" s="381" t="str">
        <f t="shared" ref="D109:Q109" ca="1" si="140">IF(D7=$BC$21,"O",IF(D7=$BD$21,"O",IF(D7=$BE$21,"O",IF(D7=$BF$21,"O",IF(D7=$BG$21,"O",IF(D7=$BH$21,"O",IF(D7=$BI$21,"O",IF(D7=$BJ$21,"O",IF(D7=$BK$21,"O",IF(D7=$BL$21,"O",IF(D7=$BM$21,"O",IF(D7=$BN$21,"O",IF(D7=$BO$21,"O",IF(D7=$BP$21,"O",IF(D7=$BQ$21,"O",IF(D7=$BR$21,"O",IF(D7=$BS$21,"O",IF(D7=$BT$21,"O",IF(D7=$BU$21,"O",IF(D7=$BV$21,"O",IF(D7=$BW$21,"O",IF(D7=$BX$21,"O",IF(D7=$BY$21,"O",IF(D7=$BZ$21,"O",IF(D7=$CA$21,"O",IF(D7=$CB$21,"O",IF(D7=$CC$21,"O",IF(D7=$CD$21,"O",IF(D7=$CE$21,"O",IF(D7=$CF$21,"O",IF(D7=$CG$21,"O",IF(D7=$CH$21,"O",IF(D7=$CI$21,"O",IF(D7=$CJ$21,"O",IF(D7=$CK$21,"O",IF(D7=$CL$21,"O",IF(D7=$CM$21,"O",IF(D7=$CN$21,"O",IF(D7=$CO$21,"O",IF(D7=$CP$21,"O",IF(D7=$CQ$21,"O",IF(D7=$CR$21,"O",IF(D7=$CS$21,"O",IF(D7=$CT$21,"O","X"))))))))))))))))))))))))))))))))))))))))))))</f>
        <v>O</v>
      </c>
      <c r="E109" s="381" t="str">
        <f t="shared" ca="1" si="140"/>
        <v>O</v>
      </c>
      <c r="F109" s="381" t="str">
        <f t="shared" ca="1" si="140"/>
        <v>O</v>
      </c>
      <c r="G109" s="381" t="str">
        <f t="shared" ca="1" si="140"/>
        <v>O</v>
      </c>
      <c r="H109" s="381" t="str">
        <f t="shared" ca="1" si="140"/>
        <v>O</v>
      </c>
      <c r="I109" s="381" t="str">
        <f t="shared" ca="1" si="140"/>
        <v>O</v>
      </c>
      <c r="J109" s="381" t="str">
        <f t="shared" ca="1" si="140"/>
        <v>O</v>
      </c>
      <c r="K109" s="381" t="str">
        <f t="shared" ca="1" si="140"/>
        <v>O</v>
      </c>
      <c r="L109" s="381" t="str">
        <f t="shared" ca="1" si="140"/>
        <v>X</v>
      </c>
      <c r="M109" s="381" t="str">
        <f t="shared" ca="1" si="140"/>
        <v>O</v>
      </c>
      <c r="N109" s="381" t="str">
        <f t="shared" ca="1" si="140"/>
        <v>X</v>
      </c>
      <c r="O109" s="381" t="str">
        <f t="shared" ca="1" si="140"/>
        <v>O</v>
      </c>
      <c r="P109" s="381" t="str">
        <f t="shared" ca="1" si="140"/>
        <v>X</v>
      </c>
      <c r="Q109" s="381" t="str">
        <f t="shared" ca="1" si="140"/>
        <v>O</v>
      </c>
      <c r="R109" s="272" t="str">
        <f t="shared" ref="R109:AU109" si="141">IF(R7=$BC$21,"O",IF(R7=$BD$21,"O",IF(R7=$BE$21,"O",IF(R7=$BF$21,"O",IF(R7=$BG$21,"O",IF(R7=$BH$21,"O",IF(R7=$BI$21,"O",IF(R7=$BJ$21,"O",IF(R7=$BK$21,"O",IF(R7=$BL$21,"O",IF(R7=$BM$21,"O",IF(R7=$BN$21,"O",IF(R7=$BO$21,"O",IF(R7=$BP$21,"O",IF(R7=$BQ$21,"O",IF(R7=$BR$21,"O",IF(R7=$BS$21,"O",IF(R7=$BT$21,"O",IF(R7=$BU$21,"O",IF(R7=$BV$21,"O",IF(R7=$BW$21,"O",IF(R7=$BX$21,"O",IF(R7=$BY$21,"O",IF(R7=$BZ$21,"O",IF(R7=$CA$21,"O",IF(R7=$CB$21,"O","X"))))))))))))))))))))))))))</f>
        <v>X</v>
      </c>
      <c r="S109" s="272" t="str">
        <f t="shared" si="141"/>
        <v>X</v>
      </c>
      <c r="T109" s="272" t="str">
        <f t="shared" si="141"/>
        <v>X</v>
      </c>
      <c r="U109" s="272" t="str">
        <f t="shared" si="141"/>
        <v>X</v>
      </c>
      <c r="V109" s="272" t="str">
        <f t="shared" si="141"/>
        <v>X</v>
      </c>
      <c r="W109" s="272" t="str">
        <f t="shared" si="141"/>
        <v>X</v>
      </c>
      <c r="X109" s="272" t="str">
        <f t="shared" si="141"/>
        <v>X</v>
      </c>
      <c r="Y109" s="272" t="str">
        <f t="shared" si="141"/>
        <v>X</v>
      </c>
      <c r="Z109" s="272" t="str">
        <f t="shared" si="141"/>
        <v>X</v>
      </c>
      <c r="AA109" s="272" t="str">
        <f t="shared" si="141"/>
        <v>X</v>
      </c>
      <c r="AB109" s="272" t="str">
        <f t="shared" si="141"/>
        <v>X</v>
      </c>
      <c r="AC109" s="272" t="str">
        <f t="shared" si="141"/>
        <v>X</v>
      </c>
      <c r="AD109" s="272" t="str">
        <f t="shared" si="141"/>
        <v>X</v>
      </c>
      <c r="AE109" s="272" t="str">
        <f t="shared" si="141"/>
        <v>X</v>
      </c>
      <c r="AF109" s="272" t="str">
        <f t="shared" si="141"/>
        <v>X</v>
      </c>
      <c r="AG109" s="272" t="str">
        <f t="shared" si="141"/>
        <v>X</v>
      </c>
      <c r="AH109" s="272" t="str">
        <f t="shared" si="141"/>
        <v>X</v>
      </c>
      <c r="AI109" s="272" t="str">
        <f t="shared" si="141"/>
        <v>X</v>
      </c>
      <c r="AJ109" s="272" t="str">
        <f t="shared" si="141"/>
        <v>X</v>
      </c>
      <c r="AK109" s="272" t="str">
        <f t="shared" si="141"/>
        <v>X</v>
      </c>
      <c r="AL109" s="307" t="str">
        <f t="shared" si="141"/>
        <v>X</v>
      </c>
      <c r="AM109" s="307" t="str">
        <f t="shared" si="141"/>
        <v>X</v>
      </c>
      <c r="AN109" s="307" t="str">
        <f t="shared" si="141"/>
        <v>X</v>
      </c>
      <c r="AO109" s="307" t="str">
        <f t="shared" si="141"/>
        <v>X</v>
      </c>
      <c r="AP109" s="307" t="str">
        <f t="shared" si="141"/>
        <v>X</v>
      </c>
      <c r="AQ109" s="307" t="str">
        <f t="shared" si="141"/>
        <v>X</v>
      </c>
      <c r="AR109" s="307" t="str">
        <f t="shared" si="141"/>
        <v>X</v>
      </c>
      <c r="AS109" s="307" t="str">
        <f t="shared" si="141"/>
        <v>X</v>
      </c>
      <c r="AT109" s="307" t="str">
        <f t="shared" si="141"/>
        <v>X</v>
      </c>
      <c r="AU109" s="307" t="str">
        <f t="shared" si="141"/>
        <v>X</v>
      </c>
      <c r="AV109" s="296"/>
      <c r="AW109" s="296"/>
      <c r="AX109" s="206"/>
      <c r="BC109" s="95"/>
      <c r="BD109" s="95"/>
      <c r="BE109" s="95"/>
      <c r="BF109" s="95"/>
      <c r="BG109" s="351"/>
      <c r="BH109" s="164"/>
      <c r="BI109" s="165"/>
      <c r="BJ109" s="164"/>
      <c r="BK109" s="2"/>
      <c r="BL109" s="2"/>
      <c r="BM109" s="2"/>
      <c r="BN109" s="2"/>
      <c r="BO109" s="2"/>
      <c r="BP109" s="2"/>
    </row>
    <row r="110" spans="1:68">
      <c r="A110" s="180" t="s">
        <v>923</v>
      </c>
      <c r="B110" s="216" t="s">
        <v>566</v>
      </c>
      <c r="C110" s="381" t="str">
        <f t="shared" ref="C110:Q110" ca="1" si="142">IF(C8=$BC$21,"O",IF(C8=$BD$21,"O",IF(C8=$BE$21,"O",IF(C8=$BF$21,"O",IF(C8=$BG$21,"O",IF(C8=$BH$21,"O",IF(C8=$BI$21,"O",IF(C8=$BJ$21,"O",IF(C8=$BK$21,"O",IF(C8=$BL$21,"O",IF(C8=$BM$21,"O",IF(C8=$BN$21,"O",IF(C8=$BO$21,"O",IF(C8=$BP$21,"O",IF(C8=$BQ$21,"O",IF(C8=$BR$21,"O",IF(C8=$BS$21,"O",IF(C8=$BT$21,"O",IF(C8=$BU$21,"O",IF(C8=$BV$21,"O",IF(C8=$BW$21,"O",IF(C8=$BX$21,"O",IF(C8=$BY$21,"O",IF(C8=$BZ$21,"O",IF(C8=$CA$21,"O",IF(C8=$CB$21,"O",IF(C8=$CC$21,"O",IF(C8=$CD$21,"O",IF(C8=$CE$21,"O",IF(C8=$CF$21,"O",IF(C8=$CG$21,"O",IF(C8=$CH$21,"O",IF(C8=$CI$21,"O",IF(C8=$CJ$21,"O",IF(C8=$CK$21,"O",IF(C8=$CL$21,"O",IF(C8=$CM$21,"O",IF(C8=$CN$21,"O",IF(C8=$CO$21,"O",IF(C8=$CP$21,"O",IF(C8=$CQ$21,"O",IF(C8=$CR$21,"O",IF(C8=$CS$21,"O",IF(C8=$CT$21,"O","X"))))))))))))))))))))))))))))))))))))))))))))</f>
        <v>O</v>
      </c>
      <c r="D110" s="381" t="str">
        <f t="shared" ca="1" si="142"/>
        <v>O</v>
      </c>
      <c r="E110" s="381" t="str">
        <f t="shared" ca="1" si="142"/>
        <v>X</v>
      </c>
      <c r="F110" s="381" t="str">
        <f t="shared" ca="1" si="142"/>
        <v>O</v>
      </c>
      <c r="G110" s="381" t="str">
        <f t="shared" ca="1" si="142"/>
        <v>O</v>
      </c>
      <c r="H110" s="381" t="str">
        <f t="shared" ca="1" si="142"/>
        <v>O</v>
      </c>
      <c r="I110" s="381" t="str">
        <f t="shared" ca="1" si="142"/>
        <v>X</v>
      </c>
      <c r="J110" s="381" t="str">
        <f t="shared" ca="1" si="142"/>
        <v>O</v>
      </c>
      <c r="K110" s="381" t="str">
        <f t="shared" ca="1" si="142"/>
        <v>O</v>
      </c>
      <c r="L110" s="381" t="str">
        <f t="shared" ca="1" si="142"/>
        <v>X</v>
      </c>
      <c r="M110" s="381" t="str">
        <f t="shared" ca="1" si="142"/>
        <v>X</v>
      </c>
      <c r="N110" s="381" t="str">
        <f t="shared" ca="1" si="142"/>
        <v>O</v>
      </c>
      <c r="O110" s="381" t="str">
        <f t="shared" ca="1" si="142"/>
        <v>O</v>
      </c>
      <c r="P110" s="381" t="str">
        <f t="shared" ca="1" si="142"/>
        <v>O</v>
      </c>
      <c r="Q110" s="381" t="str">
        <f t="shared" ca="1" si="142"/>
        <v>O</v>
      </c>
      <c r="R110" s="272" t="str">
        <f t="shared" ref="R110:AU110" si="143">IF(R8=$BC$21,"O",IF(R8=$BD$21,"O",IF(R8=$BE$21,"O",IF(R8=$BF$21,"O",IF(R8=$BG$21,"O",IF(R8=$BH$21,"O",IF(R8=$BI$21,"O",IF(R8=$BJ$21,"O",IF(R8=$BK$21,"O",IF(R8=$BL$21,"O",IF(R8=$BM$21,"O",IF(R8=$BN$21,"O",IF(R8=$BO$21,"O",IF(R8=$BP$21,"O",IF(R8=$BQ$21,"O",IF(R8=$BR$21,"O",IF(R8=$BS$21,"O",IF(R8=$BT$21,"O",IF(R8=$BU$21,"O",IF(R8=$BV$21,"O",IF(R8=$BW$21,"O",IF(R8=$BX$21,"O",IF(R8=$BY$21,"O",IF(R8=$BZ$21,"O",IF(R8=$CA$21,"O",IF(R8=$CB$21,"O","X"))))))))))))))))))))))))))</f>
        <v>X</v>
      </c>
      <c r="S110" s="272" t="str">
        <f t="shared" si="143"/>
        <v>X</v>
      </c>
      <c r="T110" s="272" t="str">
        <f t="shared" si="143"/>
        <v>X</v>
      </c>
      <c r="U110" s="272" t="str">
        <f t="shared" si="143"/>
        <v>X</v>
      </c>
      <c r="V110" s="272" t="str">
        <f t="shared" si="143"/>
        <v>X</v>
      </c>
      <c r="W110" s="272" t="str">
        <f t="shared" si="143"/>
        <v>X</v>
      </c>
      <c r="X110" s="272" t="str">
        <f t="shared" si="143"/>
        <v>X</v>
      </c>
      <c r="Y110" s="272" t="str">
        <f t="shared" si="143"/>
        <v>X</v>
      </c>
      <c r="Z110" s="272" t="str">
        <f t="shared" si="143"/>
        <v>X</v>
      </c>
      <c r="AA110" s="272" t="str">
        <f t="shared" si="143"/>
        <v>X</v>
      </c>
      <c r="AB110" s="272" t="str">
        <f t="shared" si="143"/>
        <v>X</v>
      </c>
      <c r="AC110" s="272" t="str">
        <f t="shared" si="143"/>
        <v>X</v>
      </c>
      <c r="AD110" s="272" t="str">
        <f t="shared" si="143"/>
        <v>X</v>
      </c>
      <c r="AE110" s="272" t="str">
        <f t="shared" si="143"/>
        <v>X</v>
      </c>
      <c r="AF110" s="272" t="str">
        <f t="shared" si="143"/>
        <v>X</v>
      </c>
      <c r="AG110" s="272" t="str">
        <f t="shared" si="143"/>
        <v>X</v>
      </c>
      <c r="AH110" s="272" t="str">
        <f t="shared" si="143"/>
        <v>X</v>
      </c>
      <c r="AI110" s="272" t="str">
        <f t="shared" si="143"/>
        <v>X</v>
      </c>
      <c r="AJ110" s="272" t="str">
        <f t="shared" si="143"/>
        <v>X</v>
      </c>
      <c r="AK110" s="272" t="str">
        <f t="shared" si="143"/>
        <v>X</v>
      </c>
      <c r="AL110" s="307" t="str">
        <f t="shared" si="143"/>
        <v>X</v>
      </c>
      <c r="AM110" s="307" t="str">
        <f t="shared" si="143"/>
        <v>X</v>
      </c>
      <c r="AN110" s="307" t="str">
        <f t="shared" si="143"/>
        <v>X</v>
      </c>
      <c r="AO110" s="307" t="str">
        <f t="shared" si="143"/>
        <v>X</v>
      </c>
      <c r="AP110" s="307" t="str">
        <f t="shared" si="143"/>
        <v>X</v>
      </c>
      <c r="AQ110" s="307" t="str">
        <f t="shared" si="143"/>
        <v>X</v>
      </c>
      <c r="AR110" s="307" t="str">
        <f t="shared" si="143"/>
        <v>X</v>
      </c>
      <c r="AS110" s="307" t="str">
        <f t="shared" si="143"/>
        <v>X</v>
      </c>
      <c r="AT110" s="307" t="str">
        <f t="shared" si="143"/>
        <v>X</v>
      </c>
      <c r="AU110" s="307" t="str">
        <f t="shared" si="143"/>
        <v>X</v>
      </c>
      <c r="AV110" s="296"/>
      <c r="AW110" s="296"/>
      <c r="AX110" s="206"/>
      <c r="BC110" s="95"/>
      <c r="BD110" s="95"/>
      <c r="BE110" s="95"/>
      <c r="BF110" s="95"/>
      <c r="BG110" s="348"/>
      <c r="BH110" s="164"/>
      <c r="BI110" s="2"/>
      <c r="BJ110" s="235"/>
      <c r="BK110" s="2"/>
      <c r="BL110" s="2"/>
      <c r="BM110" s="2"/>
      <c r="BN110" s="2"/>
      <c r="BO110" s="2"/>
      <c r="BP110" s="2"/>
    </row>
    <row r="111" spans="1:68">
      <c r="A111" s="180"/>
      <c r="B111" s="216" t="s">
        <v>567</v>
      </c>
      <c r="C111" s="381" t="str">
        <f t="shared" ref="C111:Q111" ca="1" si="144">IF(C9=$BC$21,"O",IF(C9=$BD$21,"O",IF(C9=$BE$21,"O",IF(C9=$BF$21,"O",IF(C9=$BG$21,"O",IF(C9=$BH$21,"O",IF(C9=$BI$21,"O",IF(C9=$BJ$21,"O",IF(C9=$BK$21,"O",IF(C9=$BL$21,"O",IF(C9=$BM$21,"O",IF(C9=$BN$21,"O",IF(C9=$BO$21,"O",IF(C9=$BP$21,"O",IF(C9=$BQ$21,"O",IF(C9=$BR$21,"O",IF(C9=$BS$21,"O",IF(C9=$BT$21,"O",IF(C9=$BU$21,"O",IF(C9=$BV$21,"O",IF(C9=$BW$21,"O",IF(C9=$BX$21,"O",IF(C9=$BY$21,"O",IF(C9=$BZ$21,"O",IF(C9=$CA$21,"O",IF(C9=$CB$21,"O",IF(C9=$CC$21,"O",IF(C9=$CD$21,"O",IF(C9=$CE$21,"O",IF(C9=$CF$21,"O",IF(C9=$CG$21,"O",IF(C9=$CH$21,"O",IF(C9=$CI$21,"O",IF(C9=$CJ$21,"O",IF(C9=$CK$21,"O",IF(C9=$CL$21,"O",IF(C9=$CM$21,"O",IF(C9=$CN$21,"O",IF(C9=$CO$21,"O",IF(C9=$CP$21,"O",IF(C9=$CQ$21,"O",IF(C9=$CR$21,"O",IF(C9=$CS$21,"O",IF(C9=$CT$21,"O","X"))))))))))))))))))))))))))))))))))))))))))))</f>
        <v>X</v>
      </c>
      <c r="D111" s="381" t="str">
        <f t="shared" ca="1" si="144"/>
        <v>O</v>
      </c>
      <c r="E111" s="381" t="str">
        <f t="shared" ca="1" si="144"/>
        <v>O</v>
      </c>
      <c r="F111" s="381" t="str">
        <f t="shared" ca="1" si="144"/>
        <v>O</v>
      </c>
      <c r="G111" s="381" t="str">
        <f t="shared" ca="1" si="144"/>
        <v>X</v>
      </c>
      <c r="H111" s="381" t="str">
        <f t="shared" ca="1" si="144"/>
        <v>O</v>
      </c>
      <c r="I111" s="381" t="str">
        <f t="shared" ca="1" si="144"/>
        <v>O</v>
      </c>
      <c r="J111" s="381" t="str">
        <f t="shared" ca="1" si="144"/>
        <v>O</v>
      </c>
      <c r="K111" s="381" t="str">
        <f t="shared" ca="1" si="144"/>
        <v>O</v>
      </c>
      <c r="L111" s="381" t="str">
        <f t="shared" ca="1" si="144"/>
        <v>O</v>
      </c>
      <c r="M111" s="381" t="str">
        <f t="shared" ca="1" si="144"/>
        <v>O</v>
      </c>
      <c r="N111" s="381" t="str">
        <f t="shared" ca="1" si="144"/>
        <v>O</v>
      </c>
      <c r="O111" s="381" t="str">
        <f t="shared" ca="1" si="144"/>
        <v>O</v>
      </c>
      <c r="P111" s="381" t="str">
        <f t="shared" ca="1" si="144"/>
        <v>O</v>
      </c>
      <c r="Q111" s="381" t="str">
        <f t="shared" ca="1" si="144"/>
        <v>X</v>
      </c>
      <c r="R111" s="272" t="str">
        <f t="shared" ref="R111:AU111" si="145">IF(R9=$BC$21,"O",IF(R9=$BD$21,"O",IF(R9=$BE$21,"O",IF(R9=$BF$21,"O",IF(R9=$BG$21,"O",IF(R9=$BH$21,"O",IF(R9=$BI$21,"O",IF(R9=$BJ$21,"O",IF(R9=$BK$21,"O",IF(R9=$BL$21,"O",IF(R9=$BM$21,"O",IF(R9=$BN$21,"O",IF(R9=$BO$21,"O",IF(R9=$BP$21,"O",IF(R9=$BQ$21,"O",IF(R9=$BR$21,"O",IF(R9=$BS$21,"O",IF(R9=$BT$21,"O",IF(R9=$BU$21,"O",IF(R9=$BV$21,"O",IF(R9=$BW$21,"O",IF(R9=$BX$21,"O",IF(R9=$BY$21,"O",IF(R9=$BZ$21,"O",IF(R9=$CA$21,"O",IF(R9=$CB$21,"O","X"))))))))))))))))))))))))))</f>
        <v>X</v>
      </c>
      <c r="S111" s="272" t="str">
        <f t="shared" si="145"/>
        <v>X</v>
      </c>
      <c r="T111" s="272" t="str">
        <f t="shared" si="145"/>
        <v>X</v>
      </c>
      <c r="U111" s="272" t="str">
        <f t="shared" si="145"/>
        <v>X</v>
      </c>
      <c r="V111" s="272" t="str">
        <f t="shared" si="145"/>
        <v>X</v>
      </c>
      <c r="W111" s="272" t="str">
        <f t="shared" si="145"/>
        <v>X</v>
      </c>
      <c r="X111" s="272" t="str">
        <f t="shared" si="145"/>
        <v>X</v>
      </c>
      <c r="Y111" s="272" t="str">
        <f t="shared" si="145"/>
        <v>X</v>
      </c>
      <c r="Z111" s="272" t="str">
        <f t="shared" si="145"/>
        <v>X</v>
      </c>
      <c r="AA111" s="272" t="str">
        <f t="shared" si="145"/>
        <v>X</v>
      </c>
      <c r="AB111" s="272" t="str">
        <f t="shared" si="145"/>
        <v>X</v>
      </c>
      <c r="AC111" s="272" t="str">
        <f t="shared" si="145"/>
        <v>X</v>
      </c>
      <c r="AD111" s="272" t="str">
        <f t="shared" si="145"/>
        <v>X</v>
      </c>
      <c r="AE111" s="272" t="str">
        <f t="shared" si="145"/>
        <v>X</v>
      </c>
      <c r="AF111" s="272" t="str">
        <f t="shared" si="145"/>
        <v>X</v>
      </c>
      <c r="AG111" s="272" t="str">
        <f t="shared" si="145"/>
        <v>X</v>
      </c>
      <c r="AH111" s="272" t="str">
        <f t="shared" si="145"/>
        <v>X</v>
      </c>
      <c r="AI111" s="272" t="str">
        <f t="shared" si="145"/>
        <v>X</v>
      </c>
      <c r="AJ111" s="272" t="str">
        <f t="shared" si="145"/>
        <v>X</v>
      </c>
      <c r="AK111" s="272" t="str">
        <f t="shared" si="145"/>
        <v>X</v>
      </c>
      <c r="AL111" s="307" t="str">
        <f t="shared" si="145"/>
        <v>X</v>
      </c>
      <c r="AM111" s="307" t="str">
        <f t="shared" si="145"/>
        <v>X</v>
      </c>
      <c r="AN111" s="307" t="str">
        <f t="shared" si="145"/>
        <v>X</v>
      </c>
      <c r="AO111" s="307" t="str">
        <f t="shared" si="145"/>
        <v>X</v>
      </c>
      <c r="AP111" s="307" t="str">
        <f t="shared" si="145"/>
        <v>X</v>
      </c>
      <c r="AQ111" s="307" t="str">
        <f t="shared" si="145"/>
        <v>X</v>
      </c>
      <c r="AR111" s="307" t="str">
        <f t="shared" si="145"/>
        <v>X</v>
      </c>
      <c r="AS111" s="307" t="str">
        <f t="shared" si="145"/>
        <v>X</v>
      </c>
      <c r="AT111" s="307" t="str">
        <f t="shared" si="145"/>
        <v>X</v>
      </c>
      <c r="AU111" s="307" t="str">
        <f t="shared" si="145"/>
        <v>X</v>
      </c>
      <c r="AV111" s="296"/>
      <c r="AW111" s="296"/>
      <c r="AX111" s="206"/>
      <c r="BC111" s="95"/>
      <c r="BD111" s="95"/>
      <c r="BE111" s="95"/>
      <c r="BF111" s="95"/>
      <c r="BG111" s="349"/>
      <c r="BH111" s="178"/>
      <c r="BI111" s="2"/>
      <c r="BJ111" s="151"/>
      <c r="BK111" s="2"/>
      <c r="BL111" s="2"/>
      <c r="BM111" s="2"/>
      <c r="BN111" s="2"/>
      <c r="BO111" s="2"/>
      <c r="BP111" s="2"/>
    </row>
    <row r="112" spans="1:68">
      <c r="A112" s="180"/>
      <c r="B112" s="216" t="s">
        <v>568</v>
      </c>
      <c r="C112" s="381" t="str">
        <f t="shared" ref="C112:Q112" ca="1" si="146">IF(C10=$BC$21,"O",IF(C10=$BD$21,"O",IF(C10=$BE$21,"O",IF(C10=$BF$21,"O",IF(C10=$BG$21,"O",IF(C10=$BH$21,"O",IF(C10=$BI$21,"O",IF(C10=$BJ$21,"O",IF(C10=$BK$21,"O",IF(C10=$BL$21,"O",IF(C10=$BM$21,"O",IF(C10=$BN$21,"O",IF(C10=$BO$21,"O",IF(C10=$BP$21,"O",IF(C10=$BQ$21,"O",IF(C10=$BR$21,"O",IF(C10=$BS$21,"O",IF(C10=$BT$21,"O",IF(C10=$BU$21,"O",IF(C10=$BV$21,"O",IF(C10=$BW$21,"O",IF(C10=$BX$21,"O",IF(C10=$BY$21,"O",IF(C10=$BZ$21,"O",IF(C10=$CA$21,"O",IF(C10=$CB$21,"O",IF(C10=$CC$21,"O",IF(C10=$CD$21,"O",IF(C10=$CE$21,"O",IF(C10=$CF$21,"O",IF(C10=$CG$21,"O",IF(C10=$CH$21,"O",IF(C10=$CI$21,"O",IF(C10=$CJ$21,"O",IF(C10=$CK$21,"O",IF(C10=$CL$21,"O",IF(C10=$CM$21,"O",IF(C10=$CN$21,"O",IF(C10=$CO$21,"O",IF(C10=$CP$21,"O",IF(C10=$CQ$21,"O",IF(C10=$CR$21,"O",IF(C10=$CS$21,"O",IF(C10=$CT$21,"O","X"))))))))))))))))))))))))))))))))))))))))))))</f>
        <v>X</v>
      </c>
      <c r="D112" s="381" t="str">
        <f t="shared" ca="1" si="146"/>
        <v>O</v>
      </c>
      <c r="E112" s="381" t="str">
        <f t="shared" ca="1" si="146"/>
        <v>O</v>
      </c>
      <c r="F112" s="381" t="str">
        <f t="shared" ca="1" si="146"/>
        <v>O</v>
      </c>
      <c r="G112" s="381" t="str">
        <f t="shared" ca="1" si="146"/>
        <v>O</v>
      </c>
      <c r="H112" s="381" t="str">
        <f t="shared" ca="1" si="146"/>
        <v>X</v>
      </c>
      <c r="I112" s="381" t="str">
        <f t="shared" ca="1" si="146"/>
        <v>O</v>
      </c>
      <c r="J112" s="381" t="str">
        <f t="shared" ca="1" si="146"/>
        <v>O</v>
      </c>
      <c r="K112" s="381" t="str">
        <f t="shared" ca="1" si="146"/>
        <v>O</v>
      </c>
      <c r="L112" s="381" t="str">
        <f t="shared" ca="1" si="146"/>
        <v>X</v>
      </c>
      <c r="M112" s="381" t="str">
        <f t="shared" ca="1" si="146"/>
        <v>X</v>
      </c>
      <c r="N112" s="381" t="str">
        <f t="shared" ca="1" si="146"/>
        <v>O</v>
      </c>
      <c r="O112" s="381" t="str">
        <f t="shared" ca="1" si="146"/>
        <v>O</v>
      </c>
      <c r="P112" s="381" t="str">
        <f t="shared" ca="1" si="146"/>
        <v>O</v>
      </c>
      <c r="Q112" s="381" t="str">
        <f t="shared" ca="1" si="146"/>
        <v>O</v>
      </c>
      <c r="R112" s="272" t="str">
        <f t="shared" ref="R112:AU112" si="147">IF(R10=$BC$21,"O",IF(R10=$BD$21,"O",IF(R10=$BE$21,"O",IF(R10=$BF$21,"O",IF(R10=$BG$21,"O",IF(R10=$BH$21,"O",IF(R10=$BI$21,"O",IF(R10=$BJ$21,"O",IF(R10=$BK$21,"O",IF(R10=$BL$21,"O",IF(R10=$BM$21,"O",IF(R10=$BN$21,"O",IF(R10=$BO$21,"O",IF(R10=$BP$21,"O",IF(R10=$BQ$21,"O",IF(R10=$BR$21,"O",IF(R10=$BS$21,"O",IF(R10=$BT$21,"O",IF(R10=$BU$21,"O",IF(R10=$BV$21,"O",IF(R10=$BW$21,"O",IF(R10=$BX$21,"O",IF(R10=$BY$21,"O",IF(R10=$BZ$21,"O",IF(R10=$CA$21,"O",IF(R10=$CB$21,"O","X"))))))))))))))))))))))))))</f>
        <v>X</v>
      </c>
      <c r="S112" s="272" t="str">
        <f t="shared" si="147"/>
        <v>X</v>
      </c>
      <c r="T112" s="272" t="str">
        <f t="shared" si="147"/>
        <v>X</v>
      </c>
      <c r="U112" s="272" t="str">
        <f t="shared" si="147"/>
        <v>X</v>
      </c>
      <c r="V112" s="272" t="str">
        <f t="shared" si="147"/>
        <v>X</v>
      </c>
      <c r="W112" s="272" t="str">
        <f t="shared" si="147"/>
        <v>X</v>
      </c>
      <c r="X112" s="272" t="str">
        <f t="shared" si="147"/>
        <v>X</v>
      </c>
      <c r="Y112" s="272" t="str">
        <f t="shared" si="147"/>
        <v>X</v>
      </c>
      <c r="Z112" s="272" t="str">
        <f t="shared" si="147"/>
        <v>X</v>
      </c>
      <c r="AA112" s="272" t="str">
        <f t="shared" si="147"/>
        <v>X</v>
      </c>
      <c r="AB112" s="272" t="str">
        <f t="shared" si="147"/>
        <v>X</v>
      </c>
      <c r="AC112" s="272" t="str">
        <f t="shared" si="147"/>
        <v>X</v>
      </c>
      <c r="AD112" s="272" t="str">
        <f t="shared" si="147"/>
        <v>X</v>
      </c>
      <c r="AE112" s="272" t="str">
        <f t="shared" si="147"/>
        <v>X</v>
      </c>
      <c r="AF112" s="272" t="str">
        <f t="shared" si="147"/>
        <v>X</v>
      </c>
      <c r="AG112" s="272" t="str">
        <f t="shared" si="147"/>
        <v>X</v>
      </c>
      <c r="AH112" s="272" t="str">
        <f t="shared" si="147"/>
        <v>X</v>
      </c>
      <c r="AI112" s="272" t="str">
        <f t="shared" si="147"/>
        <v>X</v>
      </c>
      <c r="AJ112" s="272" t="str">
        <f t="shared" si="147"/>
        <v>X</v>
      </c>
      <c r="AK112" s="272" t="str">
        <f t="shared" si="147"/>
        <v>X</v>
      </c>
      <c r="AL112" s="307" t="str">
        <f t="shared" si="147"/>
        <v>X</v>
      </c>
      <c r="AM112" s="307" t="str">
        <f t="shared" si="147"/>
        <v>X</v>
      </c>
      <c r="AN112" s="307" t="str">
        <f t="shared" si="147"/>
        <v>X</v>
      </c>
      <c r="AO112" s="307" t="str">
        <f t="shared" si="147"/>
        <v>X</v>
      </c>
      <c r="AP112" s="307" t="str">
        <f t="shared" si="147"/>
        <v>X</v>
      </c>
      <c r="AQ112" s="307" t="str">
        <f t="shared" si="147"/>
        <v>X</v>
      </c>
      <c r="AR112" s="307" t="str">
        <f t="shared" si="147"/>
        <v>X</v>
      </c>
      <c r="AS112" s="307" t="str">
        <f t="shared" si="147"/>
        <v>X</v>
      </c>
      <c r="AT112" s="307" t="str">
        <f t="shared" si="147"/>
        <v>X</v>
      </c>
      <c r="AU112" s="307" t="str">
        <f t="shared" si="147"/>
        <v>X</v>
      </c>
      <c r="AV112" s="296"/>
      <c r="AW112" s="296"/>
      <c r="AX112" s="206"/>
      <c r="BC112" s="95"/>
      <c r="BD112" s="95"/>
      <c r="BE112" s="95"/>
      <c r="BF112" s="95"/>
      <c r="BG112" s="348"/>
      <c r="BH112" s="178"/>
      <c r="BI112" s="2"/>
      <c r="BJ112" s="151"/>
      <c r="BK112" s="2"/>
      <c r="BL112" s="2"/>
      <c r="BM112" s="2"/>
      <c r="BN112" s="2"/>
      <c r="BO112" s="2"/>
      <c r="BP112" s="2"/>
    </row>
    <row r="113" spans="1:68">
      <c r="A113" s="180"/>
      <c r="B113" s="216" t="s">
        <v>569</v>
      </c>
      <c r="C113" s="381" t="str">
        <f t="shared" ref="C113:Q113" ca="1" si="148">IF(C11=$BC$21,"O",IF(C11=$BD$21,"O",IF(C11=$BE$21,"O",IF(C11=$BF$21,"O",IF(C11=$BG$21,"O",IF(C11=$BH$21,"O",IF(C11=$BI$21,"O",IF(C11=$BJ$21,"O",IF(C11=$BK$21,"O",IF(C11=$BL$21,"O",IF(C11=$BM$21,"O",IF(C11=$BN$21,"O",IF(C11=$BO$21,"O",IF(C11=$BP$21,"O",IF(C11=$BQ$21,"O",IF(C11=$BR$21,"O",IF(C11=$BS$21,"O",IF(C11=$BT$21,"O",IF(C11=$BU$21,"O",IF(C11=$BV$21,"O",IF(C11=$BW$21,"O",IF(C11=$BX$21,"O",IF(C11=$BY$21,"O",IF(C11=$BZ$21,"O",IF(C11=$CA$21,"O",IF(C11=$CB$21,"O",IF(C11=$CC$21,"O",IF(C11=$CD$21,"O",IF(C11=$CE$21,"O",IF(C11=$CF$21,"O",IF(C11=$CG$21,"O",IF(C11=$CH$21,"O",IF(C11=$CI$21,"O",IF(C11=$CJ$21,"O",IF(C11=$CK$21,"O",IF(C11=$CL$21,"O",IF(C11=$CM$21,"O",IF(C11=$CN$21,"O",IF(C11=$CO$21,"O",IF(C11=$CP$21,"O",IF(C11=$CQ$21,"O",IF(C11=$CR$21,"O",IF(C11=$CS$21,"O",IF(C11=$CT$21,"O","X"))))))))))))))))))))))))))))))))))))))))))))</f>
        <v>O</v>
      </c>
      <c r="D113" s="381" t="str">
        <f t="shared" ca="1" si="148"/>
        <v>O</v>
      </c>
      <c r="E113" s="381" t="str">
        <f t="shared" ca="1" si="148"/>
        <v>X</v>
      </c>
      <c r="F113" s="381" t="str">
        <f t="shared" ca="1" si="148"/>
        <v>X</v>
      </c>
      <c r="G113" s="381" t="str">
        <f t="shared" ca="1" si="148"/>
        <v>O</v>
      </c>
      <c r="H113" s="381" t="str">
        <f t="shared" ca="1" si="148"/>
        <v>O</v>
      </c>
      <c r="I113" s="381" t="str">
        <f t="shared" ca="1" si="148"/>
        <v>O</v>
      </c>
      <c r="J113" s="381" t="str">
        <f t="shared" ca="1" si="148"/>
        <v>X</v>
      </c>
      <c r="K113" s="381" t="str">
        <f t="shared" ca="1" si="148"/>
        <v>O</v>
      </c>
      <c r="L113" s="381" t="str">
        <f t="shared" ca="1" si="148"/>
        <v>O</v>
      </c>
      <c r="M113" s="381" t="str">
        <f t="shared" ca="1" si="148"/>
        <v>X</v>
      </c>
      <c r="N113" s="381" t="str">
        <f t="shared" ca="1" si="148"/>
        <v>O</v>
      </c>
      <c r="O113" s="381" t="str">
        <f t="shared" ca="1" si="148"/>
        <v>O</v>
      </c>
      <c r="P113" s="381" t="str">
        <f t="shared" ca="1" si="148"/>
        <v>X</v>
      </c>
      <c r="Q113" s="381" t="str">
        <f t="shared" ca="1" si="148"/>
        <v>O</v>
      </c>
      <c r="R113" s="272" t="str">
        <f t="shared" ref="R113:AU113" si="149">IF(R11=$BC$21,"O",IF(R11=$BD$21,"O",IF(R11=$BE$21,"O",IF(R11=$BF$21,"O",IF(R11=$BG$21,"O",IF(R11=$BH$21,"O",IF(R11=$BI$21,"O",IF(R11=$BJ$21,"O",IF(R11=$BK$21,"O",IF(R11=$BL$21,"O",IF(R11=$BM$21,"O",IF(R11=$BN$21,"O",IF(R11=$BO$21,"O",IF(R11=$BP$21,"O",IF(R11=$BQ$21,"O",IF(R11=$BR$21,"O",IF(R11=$BS$21,"O",IF(R11=$BT$21,"O",IF(R11=$BU$21,"O",IF(R11=$BV$21,"O",IF(R11=$BW$21,"O",IF(R11=$BX$21,"O",IF(R11=$BY$21,"O",IF(R11=$BZ$21,"O",IF(R11=$CA$21,"O",IF(R11=$CB$21,"O","X"))))))))))))))))))))))))))</f>
        <v>X</v>
      </c>
      <c r="S113" s="272" t="str">
        <f t="shared" si="149"/>
        <v>X</v>
      </c>
      <c r="T113" s="272" t="str">
        <f t="shared" si="149"/>
        <v>X</v>
      </c>
      <c r="U113" s="272" t="str">
        <f t="shared" si="149"/>
        <v>X</v>
      </c>
      <c r="V113" s="272" t="str">
        <f t="shared" si="149"/>
        <v>X</v>
      </c>
      <c r="W113" s="272" t="str">
        <f t="shared" si="149"/>
        <v>X</v>
      </c>
      <c r="X113" s="272" t="str">
        <f t="shared" si="149"/>
        <v>X</v>
      </c>
      <c r="Y113" s="272" t="str">
        <f t="shared" si="149"/>
        <v>X</v>
      </c>
      <c r="Z113" s="272" t="str">
        <f t="shared" si="149"/>
        <v>X</v>
      </c>
      <c r="AA113" s="272" t="str">
        <f t="shared" si="149"/>
        <v>X</v>
      </c>
      <c r="AB113" s="272" t="str">
        <f t="shared" si="149"/>
        <v>X</v>
      </c>
      <c r="AC113" s="272" t="str">
        <f t="shared" si="149"/>
        <v>X</v>
      </c>
      <c r="AD113" s="272" t="str">
        <f t="shared" si="149"/>
        <v>X</v>
      </c>
      <c r="AE113" s="272" t="str">
        <f t="shared" si="149"/>
        <v>X</v>
      </c>
      <c r="AF113" s="272" t="str">
        <f t="shared" si="149"/>
        <v>X</v>
      </c>
      <c r="AG113" s="272" t="str">
        <f t="shared" si="149"/>
        <v>X</v>
      </c>
      <c r="AH113" s="272" t="str">
        <f t="shared" si="149"/>
        <v>X</v>
      </c>
      <c r="AI113" s="272" t="str">
        <f t="shared" si="149"/>
        <v>X</v>
      </c>
      <c r="AJ113" s="272" t="str">
        <f t="shared" si="149"/>
        <v>X</v>
      </c>
      <c r="AK113" s="272" t="str">
        <f t="shared" si="149"/>
        <v>X</v>
      </c>
      <c r="AL113" s="307" t="str">
        <f t="shared" si="149"/>
        <v>X</v>
      </c>
      <c r="AM113" s="307" t="str">
        <f t="shared" si="149"/>
        <v>X</v>
      </c>
      <c r="AN113" s="307" t="str">
        <f t="shared" si="149"/>
        <v>X</v>
      </c>
      <c r="AO113" s="307" t="str">
        <f t="shared" si="149"/>
        <v>X</v>
      </c>
      <c r="AP113" s="307" t="str">
        <f t="shared" si="149"/>
        <v>X</v>
      </c>
      <c r="AQ113" s="307" t="str">
        <f t="shared" si="149"/>
        <v>X</v>
      </c>
      <c r="AR113" s="307" t="str">
        <f t="shared" si="149"/>
        <v>X</v>
      </c>
      <c r="AS113" s="307" t="str">
        <f t="shared" si="149"/>
        <v>X</v>
      </c>
      <c r="AT113" s="307" t="str">
        <f t="shared" si="149"/>
        <v>X</v>
      </c>
      <c r="AU113" s="307" t="str">
        <f t="shared" si="149"/>
        <v>X</v>
      </c>
      <c r="AV113" s="296"/>
      <c r="AW113" s="296"/>
      <c r="AX113" s="206"/>
      <c r="BC113" s="95"/>
      <c r="BD113" s="95"/>
      <c r="BE113" s="95"/>
      <c r="BF113" s="95"/>
      <c r="BG113" s="350"/>
      <c r="BH113" s="178"/>
      <c r="BI113" s="2"/>
      <c r="BJ113" s="151"/>
      <c r="BK113" s="2"/>
      <c r="BL113" s="2"/>
      <c r="BM113" s="2"/>
      <c r="BN113" s="2"/>
      <c r="BO113" s="2"/>
      <c r="BP113" s="2"/>
    </row>
    <row r="114" spans="1:68">
      <c r="A114" s="180"/>
      <c r="B114" s="214" t="s">
        <v>540</v>
      </c>
      <c r="C114" s="381" t="str">
        <f t="shared" ref="C114:P114" ca="1" si="150">IF(C12=$BC$21,"O",IF(C12=$BD$21,"O",IF(C12=$BE$21,"O",IF(C12=$BF$21,"O",IF(C12=$BG$21,"O",IF(C12=$BH$21,"O",IF(C12=$BI$21,"O",IF(C12=$BJ$21,"O",IF(C12=$BK$21,"O",IF(C12=$BL$21,"O",IF(C12=$BM$21,"O",IF(C12=$BN$21,"O",IF(C12=$BO$21,"O",IF(C12=$BP$21,"O",IF(C12=$BQ$21,"O",IF(C12=$BR$21,"O",IF(C12=$BS$21,"O",IF(C12=$BT$21,"O",IF(C12=$BU$21,"O",IF(C12=$BV$21,"O",IF(C12=$BW$21,"O",IF(C12=$BX$21,"O",IF(C12=$BY$21,"O",IF(C12=$BZ$21,"O",IF(C12=$CA$21,"O",IF(C12=$CB$21,"O",IF(C12=$CC$21,"O",IF(C12=$CD$21,"O",IF(C12=$CE$21,"O",IF(C12=$CF$21,"O",IF(C12=$CG$21,"O",IF(C12=$CH$21,"O",IF(C12=$CI$21,"O",IF(C12=$CJ$21,"O",IF(C12=$CK$21,"O",IF(C12=$CL$21,"O",IF(C12=$CM$21,"O",IF(C12=$CN$21,"O",IF(C12=$CO$21,"O",IF(C12=$CP$21,"O",IF(C12=$CQ$21,"O",IF(C12=$CR$21,"O",IF(C12=$CS$21,"O",IF(C12=$CT$21,"O","X"))))))))))))))))))))))))))))))))))))))))))))</f>
        <v>O</v>
      </c>
      <c r="D114" s="381" t="str">
        <f t="shared" ca="1" si="150"/>
        <v>O</v>
      </c>
      <c r="E114" s="381" t="str">
        <f t="shared" ca="1" si="150"/>
        <v>O</v>
      </c>
      <c r="F114" s="381" t="str">
        <f t="shared" ca="1" si="150"/>
        <v>X</v>
      </c>
      <c r="G114" s="381" t="str">
        <f t="shared" ca="1" si="150"/>
        <v>O</v>
      </c>
      <c r="H114" s="381" t="str">
        <f t="shared" ca="1" si="150"/>
        <v>X</v>
      </c>
      <c r="I114" s="381" t="str">
        <f t="shared" ca="1" si="150"/>
        <v>O</v>
      </c>
      <c r="J114" s="381" t="str">
        <f t="shared" ca="1" si="150"/>
        <v>O</v>
      </c>
      <c r="K114" s="381" t="str">
        <f t="shared" ca="1" si="150"/>
        <v>O</v>
      </c>
      <c r="L114" s="381" t="str">
        <f t="shared" ca="1" si="150"/>
        <v>O</v>
      </c>
      <c r="M114" s="381" t="str">
        <f t="shared" ca="1" si="150"/>
        <v>O</v>
      </c>
      <c r="N114" s="381" t="str">
        <f t="shared" ca="1" si="150"/>
        <v>O</v>
      </c>
      <c r="O114" s="381" t="str">
        <f t="shared" ca="1" si="150"/>
        <v>O</v>
      </c>
      <c r="P114" s="381" t="str">
        <f t="shared" ca="1" si="150"/>
        <v>O</v>
      </c>
      <c r="Q114" s="381" t="str">
        <f ca="1">IF(Q12=$BC$21,"O",IF(Q12=$BD$21,"O",IF(Q12=$BE$21,"O",IF(Q12=$BF$21,"O",IF(Q12=$BG$21,"O",IF(Q12=$BH$21,"O",IF(Q12=$BI$21,"O",IF(Q12=$BJ$21,"O",IF(Q12=$BK$21,"O",IF(Q12=$BL$21,"O",IF(Q12=$BM$21,"O",IF(Q12=$BN$21,"O",IF(Q12=$BO$21,"O",IF(Q12=$BP$21,"O",IF(Q12=$BQ$21,"O",IF(Q12=$BR$21,"O",IF(Q12=$BS$21,"O",IF(Q12=$BT$21,"O",IF(Q12=$BU$21,"O",IF(Q12=$BV$21,"O",IF(Q12=$BW$21,"O",IF(Q12=$BX$21,"O",IF(Q12=$BY$21,"O",IF(Q12=$BZ$21,"O",IF(Q12=$CA$21,"O",IF(Q12=$CB$21,"O",IF(Q12=$CC$21,"O",IF(Q12=$CD$21,"O",IF(Q12=$CE$21,"O",IF(Q12=$CF$21,"O",IF(Q12=$CG$21,"O",IF(Q12=$CH$21,"O",IF(Q12=$CI$21,"O",IF(Q12=$CJ$21,"O",IF(Q12=$CK$21,"O",IF(Q12=$CL$21,"O",IF(Q12=$CM$21,"O",IF(Q12=$CN$21,"O",IF(Q12=$CO$21,"O",IF(Q12=$CP$21,"O",IF(Q12=$CQ$21,"O",IF(Q12=$CR$21,"O",IF(Q12=$CS$21,"O",IF(Q12=$CT$21,"O","X"))))))))))))))))))))))))))))))))))))))))))))</f>
        <v>O</v>
      </c>
      <c r="R114" s="272" t="str">
        <f t="shared" ref="R114:AU114" si="151">IF(R12=$BC$21,"O",IF(R12=$BD$21,"O",IF(R12=$BE$21,"O",IF(R12=$BF$21,"O",IF(R12=$BG$21,"O",IF(R12=$BH$21,"O",IF(R12=$BI$21,"O",IF(R12=$BJ$21,"O",IF(R12=$BK$21,"O",IF(R12=$BL$21,"O",IF(R12=$BM$21,"O",IF(R12=$BN$21,"O",IF(R12=$BO$21,"O",IF(R12=$BP$21,"O",IF(R12=$BQ$21,"O",IF(R12=$BR$21,"O",IF(R12=$BS$21,"O",IF(R12=$BT$21,"O",IF(R12=$BU$21,"O",IF(R12=$BV$21,"O",IF(R12=$BW$21,"O",IF(R12=$BX$21,"O",IF(R12=$BY$21,"O",IF(R12=$BZ$21,"O",IF(R12=$CA$21,"O",IF(R12=$CB$21,"O","X"))))))))))))))))))))))))))</f>
        <v>X</v>
      </c>
      <c r="S114" s="272" t="str">
        <f t="shared" si="151"/>
        <v>X</v>
      </c>
      <c r="T114" s="272" t="str">
        <f t="shared" si="151"/>
        <v>X</v>
      </c>
      <c r="U114" s="272" t="str">
        <f t="shared" si="151"/>
        <v>X</v>
      </c>
      <c r="V114" s="272" t="str">
        <f t="shared" si="151"/>
        <v>X</v>
      </c>
      <c r="W114" s="272" t="str">
        <f t="shared" si="151"/>
        <v>X</v>
      </c>
      <c r="X114" s="272" t="str">
        <f t="shared" si="151"/>
        <v>X</v>
      </c>
      <c r="Y114" s="272" t="str">
        <f t="shared" si="151"/>
        <v>X</v>
      </c>
      <c r="Z114" s="272" t="str">
        <f t="shared" si="151"/>
        <v>X</v>
      </c>
      <c r="AA114" s="272" t="str">
        <f t="shared" si="151"/>
        <v>X</v>
      </c>
      <c r="AB114" s="272" t="str">
        <f t="shared" si="151"/>
        <v>X</v>
      </c>
      <c r="AC114" s="272" t="str">
        <f t="shared" si="151"/>
        <v>X</v>
      </c>
      <c r="AD114" s="272" t="str">
        <f t="shared" si="151"/>
        <v>X</v>
      </c>
      <c r="AE114" s="272" t="str">
        <f t="shared" si="151"/>
        <v>X</v>
      </c>
      <c r="AF114" s="272" t="str">
        <f t="shared" si="151"/>
        <v>X</v>
      </c>
      <c r="AG114" s="272" t="str">
        <f t="shared" si="151"/>
        <v>X</v>
      </c>
      <c r="AH114" s="272" t="str">
        <f t="shared" si="151"/>
        <v>X</v>
      </c>
      <c r="AI114" s="272" t="str">
        <f t="shared" si="151"/>
        <v>X</v>
      </c>
      <c r="AJ114" s="272" t="str">
        <f t="shared" si="151"/>
        <v>X</v>
      </c>
      <c r="AK114" s="272" t="str">
        <f t="shared" si="151"/>
        <v>X</v>
      </c>
      <c r="AL114" s="307" t="str">
        <f t="shared" si="151"/>
        <v>X</v>
      </c>
      <c r="AM114" s="307" t="str">
        <f t="shared" si="151"/>
        <v>X</v>
      </c>
      <c r="AN114" s="307" t="str">
        <f t="shared" si="151"/>
        <v>X</v>
      </c>
      <c r="AO114" s="307" t="str">
        <f t="shared" si="151"/>
        <v>X</v>
      </c>
      <c r="AP114" s="307" t="str">
        <f t="shared" si="151"/>
        <v>X</v>
      </c>
      <c r="AQ114" s="307" t="str">
        <f t="shared" si="151"/>
        <v>X</v>
      </c>
      <c r="AR114" s="307" t="str">
        <f t="shared" si="151"/>
        <v>X</v>
      </c>
      <c r="AS114" s="307" t="str">
        <f t="shared" si="151"/>
        <v>X</v>
      </c>
      <c r="AT114" s="307" t="str">
        <f t="shared" si="151"/>
        <v>X</v>
      </c>
      <c r="AU114" s="307" t="str">
        <f t="shared" si="151"/>
        <v>X</v>
      </c>
      <c r="AV114" s="296"/>
      <c r="AW114" s="296"/>
      <c r="AX114" s="206"/>
      <c r="BC114" s="95"/>
      <c r="BD114" s="95"/>
      <c r="BE114" s="95"/>
      <c r="BF114" s="95"/>
      <c r="BG114" s="351"/>
      <c r="BH114" s="178"/>
      <c r="BI114" s="2"/>
      <c r="BJ114" s="235"/>
      <c r="BK114" s="2"/>
      <c r="BL114" s="2"/>
      <c r="BM114" s="2"/>
      <c r="BN114" s="2"/>
      <c r="BO114" s="2"/>
      <c r="BP114" s="2"/>
    </row>
    <row r="115" spans="1:68">
      <c r="A115" s="181"/>
      <c r="B115" s="111" t="s">
        <v>663</v>
      </c>
      <c r="C115" s="172">
        <f ca="1">COUNTIF(C109:C114,"O")</f>
        <v>4</v>
      </c>
      <c r="D115" s="172">
        <f t="shared" ref="D115:P115" ca="1" si="152">COUNTIF(D109:D114,"O")</f>
        <v>6</v>
      </c>
      <c r="E115" s="172">
        <f t="shared" ca="1" si="152"/>
        <v>4</v>
      </c>
      <c r="F115" s="172">
        <f t="shared" ca="1" si="152"/>
        <v>4</v>
      </c>
      <c r="G115" s="172">
        <f t="shared" ca="1" si="152"/>
        <v>5</v>
      </c>
      <c r="H115" s="172">
        <f t="shared" ca="1" si="152"/>
        <v>4</v>
      </c>
      <c r="I115" s="172">
        <f t="shared" ca="1" si="152"/>
        <v>5</v>
      </c>
      <c r="J115" s="172">
        <f t="shared" ca="1" si="152"/>
        <v>5</v>
      </c>
      <c r="K115" s="172">
        <f t="shared" ca="1" si="152"/>
        <v>6</v>
      </c>
      <c r="L115" s="172">
        <f t="shared" ca="1" si="152"/>
        <v>3</v>
      </c>
      <c r="M115" s="172">
        <f t="shared" ca="1" si="152"/>
        <v>3</v>
      </c>
      <c r="N115" s="172">
        <f t="shared" ca="1" si="152"/>
        <v>5</v>
      </c>
      <c r="O115" s="172">
        <f t="shared" ca="1" si="152"/>
        <v>6</v>
      </c>
      <c r="P115" s="172">
        <f t="shared" ca="1" si="152"/>
        <v>4</v>
      </c>
      <c r="Q115" s="172">
        <f ca="1">COUNTIF(Q109:Q114,"O")</f>
        <v>5</v>
      </c>
      <c r="R115" s="172">
        <f t="shared" ref="R115:AJ115" si="153">COUNTIF(R109:R114,"O")</f>
        <v>0</v>
      </c>
      <c r="S115" s="172">
        <f t="shared" si="153"/>
        <v>0</v>
      </c>
      <c r="T115" s="172">
        <f t="shared" si="153"/>
        <v>0</v>
      </c>
      <c r="U115" s="172">
        <f t="shared" si="153"/>
        <v>0</v>
      </c>
      <c r="V115" s="172">
        <f t="shared" si="153"/>
        <v>0</v>
      </c>
      <c r="W115" s="172">
        <f t="shared" si="153"/>
        <v>0</v>
      </c>
      <c r="X115" s="172">
        <f t="shared" si="153"/>
        <v>0</v>
      </c>
      <c r="Y115" s="172">
        <f t="shared" si="153"/>
        <v>0</v>
      </c>
      <c r="Z115" s="172">
        <f t="shared" si="153"/>
        <v>0</v>
      </c>
      <c r="AA115" s="172">
        <f t="shared" si="153"/>
        <v>0</v>
      </c>
      <c r="AB115" s="172">
        <f t="shared" si="153"/>
        <v>0</v>
      </c>
      <c r="AC115" s="172">
        <f t="shared" si="153"/>
        <v>0</v>
      </c>
      <c r="AD115" s="172">
        <f t="shared" si="153"/>
        <v>0</v>
      </c>
      <c r="AE115" s="172">
        <f t="shared" si="153"/>
        <v>0</v>
      </c>
      <c r="AF115" s="172">
        <f t="shared" si="153"/>
        <v>0</v>
      </c>
      <c r="AG115" s="172">
        <f t="shared" si="153"/>
        <v>0</v>
      </c>
      <c r="AH115" s="172">
        <f t="shared" si="153"/>
        <v>0</v>
      </c>
      <c r="AI115" s="172">
        <f t="shared" si="153"/>
        <v>0</v>
      </c>
      <c r="AJ115" s="172">
        <f t="shared" si="153"/>
        <v>0</v>
      </c>
      <c r="AK115" s="172">
        <f>COUNTIF(AK109:AK114,"O")</f>
        <v>0</v>
      </c>
      <c r="AL115" s="172">
        <f t="shared" ref="AL115:AU115" si="154">COUNTIF(AL109:AL114,"O")</f>
        <v>0</v>
      </c>
      <c r="AM115" s="172">
        <f t="shared" si="154"/>
        <v>0</v>
      </c>
      <c r="AN115" s="172">
        <f t="shared" si="154"/>
        <v>0</v>
      </c>
      <c r="AO115" s="172">
        <f t="shared" si="154"/>
        <v>0</v>
      </c>
      <c r="AP115" s="172">
        <f t="shared" si="154"/>
        <v>0</v>
      </c>
      <c r="AQ115" s="172">
        <f t="shared" si="154"/>
        <v>0</v>
      </c>
      <c r="AR115" s="172">
        <f t="shared" si="154"/>
        <v>0</v>
      </c>
      <c r="AS115" s="172">
        <f t="shared" si="154"/>
        <v>0</v>
      </c>
      <c r="AT115" s="172">
        <f t="shared" si="154"/>
        <v>0</v>
      </c>
      <c r="AU115" s="172">
        <f t="shared" si="154"/>
        <v>0</v>
      </c>
      <c r="AV115" s="255"/>
      <c r="AW115" s="255"/>
      <c r="AX115" s="255"/>
      <c r="BC115" s="151"/>
      <c r="BD115" s="151"/>
      <c r="BE115" s="151"/>
      <c r="BF115" s="151"/>
      <c r="BG115" s="348"/>
      <c r="BH115" s="178"/>
      <c r="BI115" s="2"/>
      <c r="BJ115" s="235"/>
      <c r="BK115" s="164"/>
      <c r="BL115" s="164"/>
      <c r="BM115" s="168"/>
      <c r="BN115" s="168"/>
      <c r="BO115" s="2"/>
      <c r="BP115" s="2"/>
    </row>
    <row r="116" spans="1:68">
      <c r="A116" s="179" t="s">
        <v>840</v>
      </c>
      <c r="B116" s="216" t="s">
        <v>560</v>
      </c>
      <c r="C116" s="214" t="str">
        <f ca="1">IF(C7=$BC$22,"O",IF(C7=$BD$22,"O",IF(C7=$BE$22,"O",IF(C7=$BF$22,"O",IF(C7=$BG$22,"O",IF(C7=$BH$22,"O",IF(C7=$BI$22,"O",IF(C7=$BJ$22,"O",IF(C7=$BK$22,"O",IF(C7=$BL$22,"O",IF(C7=$BM$22,"O",IF(C7=$BN$22,"O",IF(C7=$BO$22,"O",IF(C7=$BP$22,"O",IF(C7=$BQ$22,"O",IF(C7=$BR$22,"O",IF(C7=$BS$22,"O",IF(C7=$BT$22,"O",IF(C7=$BU$22,"O",IF(C7=$BV$22,"O",IF(C7=$BW$22,"O",IF(C7=$BX$22,"O",IF(C7=$BY$22,"O",IF(C7=$BZ$22,"O",IF(C7=$CA$22,"O",IF(C7=$CB$22,"O",IF(C7=$CC$22,"O",IF(C7=$CD$22,"O",IF(C7=$CE$22,"O",IF(C7=$CF$22,"O",IF(C7=$CG$22,"O",IF(C7=$CH$22,"O",IF(C7=$CI$22,"O",IF(C7=$CJ$22,"O",IF(C7=$CK$22,"O",IF(C7=$CL$22,"O",IF(C7=$CM$22,"O",IF(C7=$CN$22,"O",IF(C7=$CO$22,"O",IF(C7=$CP$22,"O","X"))))))))))))))))))))))))))))))))))))))))</f>
        <v>X</v>
      </c>
      <c r="D116" s="354" t="str">
        <f t="shared" ref="D116:Q116" ca="1" si="155">IF(D7=$BC$22,"O",IF(D7=$BD$22,"O",IF(D7=$BE$22,"O",IF(D7=$BF$22,"O",IF(D7=$BG$22,"O",IF(D7=$BH$22,"O",IF(D7=$BI$22,"O",IF(D7=$BJ$22,"O",IF(D7=$BK$22,"O",IF(D7=$BL$22,"O",IF(D7=$BM$22,"O",IF(D7=$BN$22,"O",IF(D7=$BO$22,"O",IF(D7=$BP$22,"O",IF(D7=$BQ$22,"O",IF(D7=$BR$22,"O",IF(D7=$BS$22,"O",IF(D7=$BT$22,"O",IF(D7=$BU$22,"O",IF(D7=$BV$22,"O",IF(D7=$BW$22,"O",IF(D7=$BX$22,"O",IF(D7=$BY$22,"O",IF(D7=$BZ$22,"O",IF(D7=$CA$22,"O",IF(D7=$CB$22,"O",IF(D7=$CC$22,"O",IF(D7=$CD$22,"O",IF(D7=$CE$22,"O",IF(D7=$CF$22,"O",IF(D7=$CG$22,"O",IF(D7=$CH$22,"O",IF(D7=$CI$22,"O",IF(D7=$CJ$22,"O",IF(D7=$CK$22,"O",IF(D7=$CL$22,"O",IF(D7=$CM$22,"O",IF(D7=$CN$22,"O",IF(D7=$CO$22,"O",IF(D7=$CP$22,"O","X"))))))))))))))))))))))))))))))))))))))))</f>
        <v>O</v>
      </c>
      <c r="E116" s="354" t="str">
        <f t="shared" ca="1" si="155"/>
        <v>O</v>
      </c>
      <c r="F116" s="354" t="str">
        <f t="shared" ca="1" si="155"/>
        <v>O</v>
      </c>
      <c r="G116" s="354" t="str">
        <f t="shared" ca="1" si="155"/>
        <v>O</v>
      </c>
      <c r="H116" s="354" t="str">
        <f t="shared" ca="1" si="155"/>
        <v>O</v>
      </c>
      <c r="I116" s="354" t="str">
        <f t="shared" ca="1" si="155"/>
        <v>O</v>
      </c>
      <c r="J116" s="354" t="str">
        <f t="shared" ca="1" si="155"/>
        <v>X</v>
      </c>
      <c r="K116" s="354" t="str">
        <f t="shared" ca="1" si="155"/>
        <v>X</v>
      </c>
      <c r="L116" s="354" t="str">
        <f t="shared" ca="1" si="155"/>
        <v>X</v>
      </c>
      <c r="M116" s="354" t="str">
        <f t="shared" ca="1" si="155"/>
        <v>O</v>
      </c>
      <c r="N116" s="354" t="str">
        <f t="shared" ca="1" si="155"/>
        <v>X</v>
      </c>
      <c r="O116" s="354" t="str">
        <f t="shared" ca="1" si="155"/>
        <v>O</v>
      </c>
      <c r="P116" s="354" t="str">
        <f t="shared" ca="1" si="155"/>
        <v>O</v>
      </c>
      <c r="Q116" s="354" t="str">
        <f t="shared" ca="1" si="155"/>
        <v>O</v>
      </c>
      <c r="R116" s="272" t="str">
        <f t="shared" ref="R116:AU116" si="156">IF(R7=$BC$22,"O",IF(R7=$BD$22,"O",IF(R7=$BE$22,"O",IF(R7=$BF$22,"O",IF(R7=$BG$22,"O",IF(R7=$BH$22,"O",IF(R7=$BI$22,"O",IF(R7=$BJ$22,"O",IF(R7=$BK$22,"O",IF(R7=$BL$22,"O",IF(R7=$BM$22,"O",IF(R7=$BN$22,"O",IF(R7=$BO$22,"O",IF(R7=$BP$22,"O",IF(R7=$BQ$22,"O",IF(R7=$BR$22,"O",IF(R7=$BS$22,"O",IF(R7=$BT$22,"O",IF(R7=$BU$22,"O",IF(R7=$BV$22,"O",IF(R7=$BW$22,"O",IF(R7=$BX$22,"O",IF(R7=$BY$22,"O",IF(R7=$BZ$22,"O",IF(R7=$CA$22,"O",IF(R7=$CB$22,"O","X"))))))))))))))))))))))))))</f>
        <v>X</v>
      </c>
      <c r="S116" s="272" t="str">
        <f t="shared" si="156"/>
        <v>X</v>
      </c>
      <c r="T116" s="272" t="str">
        <f t="shared" si="156"/>
        <v>X</v>
      </c>
      <c r="U116" s="272" t="str">
        <f t="shared" si="156"/>
        <v>X</v>
      </c>
      <c r="V116" s="272" t="str">
        <f t="shared" si="156"/>
        <v>X</v>
      </c>
      <c r="W116" s="272" t="str">
        <f t="shared" si="156"/>
        <v>X</v>
      </c>
      <c r="X116" s="272" t="str">
        <f t="shared" si="156"/>
        <v>X</v>
      </c>
      <c r="Y116" s="272" t="str">
        <f t="shared" si="156"/>
        <v>X</v>
      </c>
      <c r="Z116" s="272" t="str">
        <f t="shared" si="156"/>
        <v>X</v>
      </c>
      <c r="AA116" s="272" t="str">
        <f t="shared" si="156"/>
        <v>X</v>
      </c>
      <c r="AB116" s="272" t="str">
        <f t="shared" si="156"/>
        <v>X</v>
      </c>
      <c r="AC116" s="272" t="str">
        <f t="shared" si="156"/>
        <v>X</v>
      </c>
      <c r="AD116" s="272" t="str">
        <f t="shared" si="156"/>
        <v>X</v>
      </c>
      <c r="AE116" s="272" t="str">
        <f t="shared" si="156"/>
        <v>X</v>
      </c>
      <c r="AF116" s="272" t="str">
        <f t="shared" si="156"/>
        <v>X</v>
      </c>
      <c r="AG116" s="272" t="str">
        <f t="shared" si="156"/>
        <v>X</v>
      </c>
      <c r="AH116" s="272" t="str">
        <f t="shared" si="156"/>
        <v>X</v>
      </c>
      <c r="AI116" s="272" t="str">
        <f t="shared" si="156"/>
        <v>X</v>
      </c>
      <c r="AJ116" s="272" t="str">
        <f t="shared" si="156"/>
        <v>X</v>
      </c>
      <c r="AK116" s="272" t="str">
        <f t="shared" si="156"/>
        <v>X</v>
      </c>
      <c r="AL116" s="307" t="str">
        <f t="shared" si="156"/>
        <v>X</v>
      </c>
      <c r="AM116" s="307" t="str">
        <f t="shared" si="156"/>
        <v>X</v>
      </c>
      <c r="AN116" s="307" t="str">
        <f t="shared" si="156"/>
        <v>X</v>
      </c>
      <c r="AO116" s="307" t="str">
        <f t="shared" si="156"/>
        <v>X</v>
      </c>
      <c r="AP116" s="307" t="str">
        <f t="shared" si="156"/>
        <v>X</v>
      </c>
      <c r="AQ116" s="307" t="str">
        <f t="shared" si="156"/>
        <v>X</v>
      </c>
      <c r="AR116" s="307" t="str">
        <f t="shared" si="156"/>
        <v>X</v>
      </c>
      <c r="AS116" s="307" t="str">
        <f t="shared" si="156"/>
        <v>X</v>
      </c>
      <c r="AT116" s="307" t="str">
        <f t="shared" si="156"/>
        <v>X</v>
      </c>
      <c r="AU116" s="307" t="str">
        <f t="shared" si="156"/>
        <v>X</v>
      </c>
      <c r="AV116" s="296"/>
      <c r="AW116" s="296"/>
      <c r="AX116" s="206"/>
      <c r="BC116" s="151"/>
      <c r="BD116" s="151"/>
      <c r="BE116" s="151"/>
      <c r="BF116" s="151"/>
      <c r="BG116" s="163"/>
      <c r="BH116" s="178"/>
      <c r="BI116" s="165"/>
      <c r="BJ116" s="164"/>
      <c r="BK116" s="2"/>
      <c r="BL116" s="2"/>
      <c r="BM116" s="2"/>
      <c r="BN116" s="2"/>
      <c r="BO116" s="2"/>
      <c r="BP116" s="2"/>
    </row>
    <row r="117" spans="1:68">
      <c r="A117" s="180"/>
      <c r="B117" s="216" t="s">
        <v>566</v>
      </c>
      <c r="C117" s="354" t="str">
        <f t="shared" ref="C117:Q117" ca="1" si="157">IF(C8=$BC$22,"O",IF(C8=$BD$22,"O",IF(C8=$BE$22,"O",IF(C8=$BF$22,"O",IF(C8=$BG$22,"O",IF(C8=$BH$22,"O",IF(C8=$BI$22,"O",IF(C8=$BJ$22,"O",IF(C8=$BK$22,"O",IF(C8=$BL$22,"O",IF(C8=$BM$22,"O",IF(C8=$BN$22,"O",IF(C8=$BO$22,"O",IF(C8=$BP$22,"O",IF(C8=$BQ$22,"O",IF(C8=$BR$22,"O",IF(C8=$BS$22,"O",IF(C8=$BT$22,"O",IF(C8=$BU$22,"O",IF(C8=$BV$22,"O",IF(C8=$BW$22,"O",IF(C8=$BX$22,"O",IF(C8=$BY$22,"O",IF(C8=$BZ$22,"O",IF(C8=$CA$22,"O",IF(C8=$CB$22,"O",IF(C8=$CC$22,"O",IF(C8=$CD$22,"O",IF(C8=$CE$22,"O",IF(C8=$CF$22,"O",IF(C8=$CG$22,"O",IF(C8=$CH$22,"O",IF(C8=$CI$22,"O",IF(C8=$CJ$22,"O",IF(C8=$CK$22,"O",IF(C8=$CL$22,"O",IF(C8=$CM$22,"O",IF(C8=$CN$22,"O",IF(C8=$CO$22,"O",IF(C8=$CP$22,"O","X"))))))))))))))))))))))))))))))))))))))))</f>
        <v>O</v>
      </c>
      <c r="D117" s="354" t="str">
        <f t="shared" ca="1" si="157"/>
        <v>O</v>
      </c>
      <c r="E117" s="354" t="str">
        <f t="shared" ca="1" si="157"/>
        <v>O</v>
      </c>
      <c r="F117" s="354" t="str">
        <f t="shared" ca="1" si="157"/>
        <v>X</v>
      </c>
      <c r="G117" s="354" t="str">
        <f t="shared" ca="1" si="157"/>
        <v>X</v>
      </c>
      <c r="H117" s="354" t="str">
        <f t="shared" ca="1" si="157"/>
        <v>O</v>
      </c>
      <c r="I117" s="354" t="str">
        <f t="shared" ca="1" si="157"/>
        <v>X</v>
      </c>
      <c r="J117" s="354" t="str">
        <f t="shared" ca="1" si="157"/>
        <v>O</v>
      </c>
      <c r="K117" s="354" t="str">
        <f t="shared" ca="1" si="157"/>
        <v>X</v>
      </c>
      <c r="L117" s="354" t="str">
        <f t="shared" ca="1" si="157"/>
        <v>X</v>
      </c>
      <c r="M117" s="354" t="str">
        <f t="shared" ca="1" si="157"/>
        <v>O</v>
      </c>
      <c r="N117" s="354" t="str">
        <f t="shared" ca="1" si="157"/>
        <v>O</v>
      </c>
      <c r="O117" s="354" t="str">
        <f t="shared" ca="1" si="157"/>
        <v>X</v>
      </c>
      <c r="P117" s="354" t="str">
        <f t="shared" ca="1" si="157"/>
        <v>O</v>
      </c>
      <c r="Q117" s="354" t="str">
        <f t="shared" ca="1" si="157"/>
        <v>O</v>
      </c>
      <c r="R117" s="272" t="str">
        <f t="shared" ref="R117:AU117" si="158">IF(R8=$BC$22,"O",IF(R8=$BD$22,"O",IF(R8=$BE$22,"O",IF(R8=$BF$22,"O",IF(R8=$BG$22,"O",IF(R8=$BH$22,"O",IF(R8=$BI$22,"O",IF(R8=$BJ$22,"O",IF(R8=$BK$22,"O",IF(R8=$BL$22,"O",IF(R8=$BM$22,"O",IF(R8=$BN$22,"O",IF(R8=$BO$22,"O",IF(R8=$BP$22,"O",IF(R8=$BQ$22,"O",IF(R8=$BR$22,"O",IF(R8=$BS$22,"O",IF(R8=$BT$22,"O",IF(R8=$BU$22,"O",IF(R8=$BV$22,"O",IF(R8=$BW$22,"O",IF(R8=$BX$22,"O",IF(R8=$BY$22,"O",IF(R8=$BZ$22,"O",IF(R8=$CA$22,"O",IF(R8=$CB$22,"O","X"))))))))))))))))))))))))))</f>
        <v>X</v>
      </c>
      <c r="S117" s="272" t="str">
        <f t="shared" si="158"/>
        <v>X</v>
      </c>
      <c r="T117" s="272" t="str">
        <f t="shared" si="158"/>
        <v>X</v>
      </c>
      <c r="U117" s="272" t="str">
        <f t="shared" si="158"/>
        <v>X</v>
      </c>
      <c r="V117" s="272" t="str">
        <f t="shared" si="158"/>
        <v>X</v>
      </c>
      <c r="W117" s="272" t="str">
        <f t="shared" si="158"/>
        <v>X</v>
      </c>
      <c r="X117" s="272" t="str">
        <f t="shared" si="158"/>
        <v>X</v>
      </c>
      <c r="Y117" s="272" t="str">
        <f t="shared" si="158"/>
        <v>X</v>
      </c>
      <c r="Z117" s="272" t="str">
        <f t="shared" si="158"/>
        <v>X</v>
      </c>
      <c r="AA117" s="272" t="str">
        <f t="shared" si="158"/>
        <v>X</v>
      </c>
      <c r="AB117" s="272" t="str">
        <f t="shared" si="158"/>
        <v>X</v>
      </c>
      <c r="AC117" s="272" t="str">
        <f t="shared" si="158"/>
        <v>X</v>
      </c>
      <c r="AD117" s="272" t="str">
        <f t="shared" si="158"/>
        <v>X</v>
      </c>
      <c r="AE117" s="272" t="str">
        <f t="shared" si="158"/>
        <v>X</v>
      </c>
      <c r="AF117" s="272" t="str">
        <f t="shared" si="158"/>
        <v>X</v>
      </c>
      <c r="AG117" s="272" t="str">
        <f t="shared" si="158"/>
        <v>X</v>
      </c>
      <c r="AH117" s="272" t="str">
        <f t="shared" si="158"/>
        <v>X</v>
      </c>
      <c r="AI117" s="272" t="str">
        <f t="shared" si="158"/>
        <v>X</v>
      </c>
      <c r="AJ117" s="272" t="str">
        <f t="shared" si="158"/>
        <v>X</v>
      </c>
      <c r="AK117" s="272" t="str">
        <f t="shared" si="158"/>
        <v>X</v>
      </c>
      <c r="AL117" s="307" t="str">
        <f t="shared" si="158"/>
        <v>X</v>
      </c>
      <c r="AM117" s="307" t="str">
        <f t="shared" si="158"/>
        <v>X</v>
      </c>
      <c r="AN117" s="307" t="str">
        <f t="shared" si="158"/>
        <v>X</v>
      </c>
      <c r="AO117" s="307" t="str">
        <f t="shared" si="158"/>
        <v>X</v>
      </c>
      <c r="AP117" s="307" t="str">
        <f t="shared" si="158"/>
        <v>X</v>
      </c>
      <c r="AQ117" s="307" t="str">
        <f t="shared" si="158"/>
        <v>X</v>
      </c>
      <c r="AR117" s="307" t="str">
        <f t="shared" si="158"/>
        <v>X</v>
      </c>
      <c r="AS117" s="307" t="str">
        <f t="shared" si="158"/>
        <v>X</v>
      </c>
      <c r="AT117" s="307" t="str">
        <f t="shared" si="158"/>
        <v>X</v>
      </c>
      <c r="AU117" s="307" t="str">
        <f t="shared" si="158"/>
        <v>X</v>
      </c>
      <c r="AV117" s="296"/>
      <c r="AW117" s="296"/>
      <c r="AX117" s="206"/>
      <c r="BC117" s="151"/>
      <c r="BD117" s="151"/>
      <c r="BE117" s="151"/>
      <c r="BF117" s="151"/>
      <c r="BG117" s="163"/>
      <c r="BH117" s="178"/>
      <c r="BI117" s="2"/>
      <c r="BJ117" s="235"/>
      <c r="BK117" s="2"/>
      <c r="BL117" s="2"/>
      <c r="BM117" s="2"/>
      <c r="BN117" s="2"/>
      <c r="BO117" s="2"/>
      <c r="BP117" s="2"/>
    </row>
    <row r="118" spans="1:68">
      <c r="A118" s="180"/>
      <c r="B118" s="216" t="s">
        <v>567</v>
      </c>
      <c r="C118" s="354" t="str">
        <f t="shared" ref="C118:Q118" ca="1" si="159">IF(C9=$BC$22,"O",IF(C9=$BD$22,"O",IF(C9=$BE$22,"O",IF(C9=$BF$22,"O",IF(C9=$BG$22,"O",IF(C9=$BH$22,"O",IF(C9=$BI$22,"O",IF(C9=$BJ$22,"O",IF(C9=$BK$22,"O",IF(C9=$BL$22,"O",IF(C9=$BM$22,"O",IF(C9=$BN$22,"O",IF(C9=$BO$22,"O",IF(C9=$BP$22,"O",IF(C9=$BQ$22,"O",IF(C9=$BR$22,"O",IF(C9=$BS$22,"O",IF(C9=$BT$22,"O",IF(C9=$BU$22,"O",IF(C9=$BV$22,"O",IF(C9=$BW$22,"O",IF(C9=$BX$22,"O",IF(C9=$BY$22,"O",IF(C9=$BZ$22,"O",IF(C9=$CA$22,"O",IF(C9=$CB$22,"O",IF(C9=$CC$22,"O",IF(C9=$CD$22,"O",IF(C9=$CE$22,"O",IF(C9=$CF$22,"O",IF(C9=$CG$22,"O",IF(C9=$CH$22,"O",IF(C9=$CI$22,"O",IF(C9=$CJ$22,"O",IF(C9=$CK$22,"O",IF(C9=$CL$22,"O",IF(C9=$CM$22,"O",IF(C9=$CN$22,"O",IF(C9=$CO$22,"O",IF(C9=$CP$22,"O","X"))))))))))))))))))))))))))))))))))))))))</f>
        <v>O</v>
      </c>
      <c r="D118" s="354" t="str">
        <f t="shared" ca="1" si="159"/>
        <v>O</v>
      </c>
      <c r="E118" s="354" t="str">
        <f t="shared" ca="1" si="159"/>
        <v>O</v>
      </c>
      <c r="F118" s="354" t="str">
        <f t="shared" ca="1" si="159"/>
        <v>O</v>
      </c>
      <c r="G118" s="354" t="str">
        <f t="shared" ca="1" si="159"/>
        <v>O</v>
      </c>
      <c r="H118" s="354" t="str">
        <f t="shared" ca="1" si="159"/>
        <v>O</v>
      </c>
      <c r="I118" s="354" t="str">
        <f t="shared" ca="1" si="159"/>
        <v>O</v>
      </c>
      <c r="J118" s="354" t="str">
        <f t="shared" ca="1" si="159"/>
        <v>O</v>
      </c>
      <c r="K118" s="354" t="str">
        <f t="shared" ca="1" si="159"/>
        <v>X</v>
      </c>
      <c r="L118" s="354" t="str">
        <f t="shared" ca="1" si="159"/>
        <v>O</v>
      </c>
      <c r="M118" s="354" t="str">
        <f t="shared" ca="1" si="159"/>
        <v>X</v>
      </c>
      <c r="N118" s="354" t="str">
        <f t="shared" ca="1" si="159"/>
        <v>X</v>
      </c>
      <c r="O118" s="354" t="str">
        <f t="shared" ca="1" si="159"/>
        <v>O</v>
      </c>
      <c r="P118" s="354" t="str">
        <f t="shared" ca="1" si="159"/>
        <v>O</v>
      </c>
      <c r="Q118" s="354" t="str">
        <f t="shared" ca="1" si="159"/>
        <v>O</v>
      </c>
      <c r="R118" s="272" t="str">
        <f t="shared" ref="R118:AU118" si="160">IF(R9=$BC$22,"O",IF(R9=$BD$22,"O",IF(R9=$BE$22,"O",IF(R9=$BF$22,"O",IF(R9=$BG$22,"O",IF(R9=$BH$22,"O",IF(R9=$BI$22,"O",IF(R9=$BJ$22,"O",IF(R9=$BK$22,"O",IF(R9=$BL$22,"O",IF(R9=$BM$22,"O",IF(R9=$BN$22,"O",IF(R9=$BO$22,"O",IF(R9=$BP$22,"O",IF(R9=$BQ$22,"O",IF(R9=$BR$22,"O",IF(R9=$BS$22,"O",IF(R9=$BT$22,"O",IF(R9=$BU$22,"O",IF(R9=$BV$22,"O",IF(R9=$BW$22,"O",IF(R9=$BX$22,"O",IF(R9=$BY$22,"O",IF(R9=$BZ$22,"O",IF(R9=$CA$22,"O",IF(R9=$CB$22,"O","X"))))))))))))))))))))))))))</f>
        <v>X</v>
      </c>
      <c r="S118" s="272" t="str">
        <f t="shared" si="160"/>
        <v>X</v>
      </c>
      <c r="T118" s="272" t="str">
        <f t="shared" si="160"/>
        <v>X</v>
      </c>
      <c r="U118" s="272" t="str">
        <f t="shared" si="160"/>
        <v>X</v>
      </c>
      <c r="V118" s="272" t="str">
        <f t="shared" si="160"/>
        <v>X</v>
      </c>
      <c r="W118" s="272" t="str">
        <f t="shared" si="160"/>
        <v>X</v>
      </c>
      <c r="X118" s="272" t="str">
        <f t="shared" si="160"/>
        <v>X</v>
      </c>
      <c r="Y118" s="272" t="str">
        <f t="shared" si="160"/>
        <v>X</v>
      </c>
      <c r="Z118" s="272" t="str">
        <f t="shared" si="160"/>
        <v>X</v>
      </c>
      <c r="AA118" s="272" t="str">
        <f t="shared" si="160"/>
        <v>X</v>
      </c>
      <c r="AB118" s="272" t="str">
        <f t="shared" si="160"/>
        <v>X</v>
      </c>
      <c r="AC118" s="272" t="str">
        <f t="shared" si="160"/>
        <v>X</v>
      </c>
      <c r="AD118" s="272" t="str">
        <f t="shared" si="160"/>
        <v>X</v>
      </c>
      <c r="AE118" s="272" t="str">
        <f t="shared" si="160"/>
        <v>X</v>
      </c>
      <c r="AF118" s="272" t="str">
        <f t="shared" si="160"/>
        <v>X</v>
      </c>
      <c r="AG118" s="272" t="str">
        <f t="shared" si="160"/>
        <v>X</v>
      </c>
      <c r="AH118" s="272" t="str">
        <f t="shared" si="160"/>
        <v>X</v>
      </c>
      <c r="AI118" s="272" t="str">
        <f t="shared" si="160"/>
        <v>X</v>
      </c>
      <c r="AJ118" s="272" t="str">
        <f t="shared" si="160"/>
        <v>X</v>
      </c>
      <c r="AK118" s="272" t="str">
        <f t="shared" si="160"/>
        <v>X</v>
      </c>
      <c r="AL118" s="307" t="str">
        <f t="shared" si="160"/>
        <v>X</v>
      </c>
      <c r="AM118" s="307" t="str">
        <f t="shared" si="160"/>
        <v>X</v>
      </c>
      <c r="AN118" s="307" t="str">
        <f t="shared" si="160"/>
        <v>X</v>
      </c>
      <c r="AO118" s="307" t="str">
        <f t="shared" si="160"/>
        <v>X</v>
      </c>
      <c r="AP118" s="307" t="str">
        <f t="shared" si="160"/>
        <v>X</v>
      </c>
      <c r="AQ118" s="307" t="str">
        <f t="shared" si="160"/>
        <v>X</v>
      </c>
      <c r="AR118" s="307" t="str">
        <f t="shared" si="160"/>
        <v>X</v>
      </c>
      <c r="AS118" s="307" t="str">
        <f t="shared" si="160"/>
        <v>X</v>
      </c>
      <c r="AT118" s="307" t="str">
        <f t="shared" si="160"/>
        <v>X</v>
      </c>
      <c r="AU118" s="307" t="str">
        <f t="shared" si="160"/>
        <v>X</v>
      </c>
      <c r="AV118" s="296"/>
      <c r="AW118" s="296"/>
      <c r="AX118" s="206"/>
      <c r="BC118" s="151"/>
      <c r="BD118" s="151"/>
      <c r="BE118" s="151"/>
      <c r="BF118" s="151"/>
      <c r="BG118" s="163"/>
      <c r="BH118" s="178"/>
      <c r="BI118" s="2"/>
      <c r="BJ118" s="151"/>
      <c r="BK118" s="2"/>
      <c r="BL118" s="2"/>
      <c r="BM118" s="2"/>
      <c r="BN118" s="2"/>
      <c r="BO118" s="2"/>
      <c r="BP118" s="2"/>
    </row>
    <row r="119" spans="1:68">
      <c r="A119" s="180"/>
      <c r="B119" s="216" t="s">
        <v>568</v>
      </c>
      <c r="C119" s="354" t="str">
        <f t="shared" ref="C119:Q119" ca="1" si="161">IF(C10=$BC$22,"O",IF(C10=$BD$22,"O",IF(C10=$BE$22,"O",IF(C10=$BF$22,"O",IF(C10=$BG$22,"O",IF(C10=$BH$22,"O",IF(C10=$BI$22,"O",IF(C10=$BJ$22,"O",IF(C10=$BK$22,"O",IF(C10=$BL$22,"O",IF(C10=$BM$22,"O",IF(C10=$BN$22,"O",IF(C10=$BO$22,"O",IF(C10=$BP$22,"O",IF(C10=$BQ$22,"O",IF(C10=$BR$22,"O",IF(C10=$BS$22,"O",IF(C10=$BT$22,"O",IF(C10=$BU$22,"O",IF(C10=$BV$22,"O",IF(C10=$BW$22,"O",IF(C10=$BX$22,"O",IF(C10=$BY$22,"O",IF(C10=$BZ$22,"O",IF(C10=$CA$22,"O",IF(C10=$CB$22,"O",IF(C10=$CC$22,"O",IF(C10=$CD$22,"O",IF(C10=$CE$22,"O",IF(C10=$CF$22,"O",IF(C10=$CG$22,"O",IF(C10=$CH$22,"O",IF(C10=$CI$22,"O",IF(C10=$CJ$22,"O",IF(C10=$CK$22,"O",IF(C10=$CL$22,"O",IF(C10=$CM$22,"O",IF(C10=$CN$22,"O",IF(C10=$CO$22,"O",IF(C10=$CP$22,"O","X"))))))))))))))))))))))))))))))))))))))))</f>
        <v>O</v>
      </c>
      <c r="D119" s="354" t="str">
        <f t="shared" ca="1" si="161"/>
        <v>X</v>
      </c>
      <c r="E119" s="354" t="str">
        <f t="shared" ca="1" si="161"/>
        <v>O</v>
      </c>
      <c r="F119" s="354" t="str">
        <f t="shared" ca="1" si="161"/>
        <v>O</v>
      </c>
      <c r="G119" s="354" t="str">
        <f t="shared" ca="1" si="161"/>
        <v>O</v>
      </c>
      <c r="H119" s="354" t="str">
        <f t="shared" ca="1" si="161"/>
        <v>X</v>
      </c>
      <c r="I119" s="354" t="str">
        <f t="shared" ca="1" si="161"/>
        <v>O</v>
      </c>
      <c r="J119" s="354" t="str">
        <f t="shared" ca="1" si="161"/>
        <v>X</v>
      </c>
      <c r="K119" s="354" t="str">
        <f t="shared" ca="1" si="161"/>
        <v>X</v>
      </c>
      <c r="L119" s="354" t="str">
        <f t="shared" ca="1" si="161"/>
        <v>X</v>
      </c>
      <c r="M119" s="354" t="str">
        <f t="shared" ca="1" si="161"/>
        <v>O</v>
      </c>
      <c r="N119" s="354" t="str">
        <f t="shared" ca="1" si="161"/>
        <v>O</v>
      </c>
      <c r="O119" s="354" t="str">
        <f t="shared" ca="1" si="161"/>
        <v>O</v>
      </c>
      <c r="P119" s="354" t="str">
        <f t="shared" ca="1" si="161"/>
        <v>O</v>
      </c>
      <c r="Q119" s="354" t="str">
        <f t="shared" ca="1" si="161"/>
        <v>O</v>
      </c>
      <c r="R119" s="272" t="str">
        <f t="shared" ref="R119:AU119" si="162">IF(R10=$BC$22,"O",IF(R10=$BD$22,"O",IF(R10=$BE$22,"O",IF(R10=$BF$22,"O",IF(R10=$BG$22,"O",IF(R10=$BH$22,"O",IF(R10=$BI$22,"O",IF(R10=$BJ$22,"O",IF(R10=$BK$22,"O",IF(R10=$BL$22,"O",IF(R10=$BM$22,"O",IF(R10=$BN$22,"O",IF(R10=$BO$22,"O",IF(R10=$BP$22,"O",IF(R10=$BQ$22,"O",IF(R10=$BR$22,"O",IF(R10=$BS$22,"O",IF(R10=$BT$22,"O",IF(R10=$BU$22,"O",IF(R10=$BV$22,"O",IF(R10=$BW$22,"O",IF(R10=$BX$22,"O",IF(R10=$BY$22,"O",IF(R10=$BZ$22,"O",IF(R10=$CA$22,"O",IF(R10=$CB$22,"O","X"))))))))))))))))))))))))))</f>
        <v>X</v>
      </c>
      <c r="S119" s="272" t="str">
        <f t="shared" si="162"/>
        <v>X</v>
      </c>
      <c r="T119" s="272" t="str">
        <f t="shared" si="162"/>
        <v>X</v>
      </c>
      <c r="U119" s="272" t="str">
        <f t="shared" si="162"/>
        <v>X</v>
      </c>
      <c r="V119" s="272" t="str">
        <f t="shared" si="162"/>
        <v>X</v>
      </c>
      <c r="W119" s="272" t="str">
        <f t="shared" si="162"/>
        <v>X</v>
      </c>
      <c r="X119" s="272" t="str">
        <f t="shared" si="162"/>
        <v>X</v>
      </c>
      <c r="Y119" s="272" t="str">
        <f t="shared" si="162"/>
        <v>X</v>
      </c>
      <c r="Z119" s="272" t="str">
        <f t="shared" si="162"/>
        <v>X</v>
      </c>
      <c r="AA119" s="272" t="str">
        <f t="shared" si="162"/>
        <v>X</v>
      </c>
      <c r="AB119" s="272" t="str">
        <f t="shared" si="162"/>
        <v>X</v>
      </c>
      <c r="AC119" s="272" t="str">
        <f t="shared" si="162"/>
        <v>X</v>
      </c>
      <c r="AD119" s="272" t="str">
        <f t="shared" si="162"/>
        <v>X</v>
      </c>
      <c r="AE119" s="272" t="str">
        <f t="shared" si="162"/>
        <v>X</v>
      </c>
      <c r="AF119" s="272" t="str">
        <f t="shared" si="162"/>
        <v>X</v>
      </c>
      <c r="AG119" s="272" t="str">
        <f t="shared" si="162"/>
        <v>X</v>
      </c>
      <c r="AH119" s="272" t="str">
        <f t="shared" si="162"/>
        <v>X</v>
      </c>
      <c r="AI119" s="272" t="str">
        <f t="shared" si="162"/>
        <v>X</v>
      </c>
      <c r="AJ119" s="272" t="str">
        <f t="shared" si="162"/>
        <v>X</v>
      </c>
      <c r="AK119" s="272" t="str">
        <f t="shared" si="162"/>
        <v>X</v>
      </c>
      <c r="AL119" s="307" t="str">
        <f t="shared" si="162"/>
        <v>X</v>
      </c>
      <c r="AM119" s="307" t="str">
        <f t="shared" si="162"/>
        <v>X</v>
      </c>
      <c r="AN119" s="307" t="str">
        <f t="shared" si="162"/>
        <v>X</v>
      </c>
      <c r="AO119" s="307" t="str">
        <f t="shared" si="162"/>
        <v>X</v>
      </c>
      <c r="AP119" s="307" t="str">
        <f t="shared" si="162"/>
        <v>X</v>
      </c>
      <c r="AQ119" s="307" t="str">
        <f t="shared" si="162"/>
        <v>X</v>
      </c>
      <c r="AR119" s="307" t="str">
        <f t="shared" si="162"/>
        <v>X</v>
      </c>
      <c r="AS119" s="307" t="str">
        <f t="shared" si="162"/>
        <v>X</v>
      </c>
      <c r="AT119" s="307" t="str">
        <f t="shared" si="162"/>
        <v>X</v>
      </c>
      <c r="AU119" s="307" t="str">
        <f t="shared" si="162"/>
        <v>X</v>
      </c>
      <c r="AV119" s="296"/>
      <c r="AW119" s="296"/>
      <c r="AX119" s="206"/>
      <c r="BC119" s="151"/>
      <c r="BD119" s="151"/>
      <c r="BE119" s="151"/>
      <c r="BF119" s="151"/>
      <c r="BG119" s="163"/>
      <c r="BH119" s="178"/>
      <c r="BI119" s="2"/>
      <c r="BJ119" s="151"/>
      <c r="BK119" s="2"/>
      <c r="BL119" s="2"/>
      <c r="BM119" s="2"/>
      <c r="BN119" s="2"/>
      <c r="BO119" s="2"/>
      <c r="BP119" s="2"/>
    </row>
    <row r="120" spans="1:68">
      <c r="A120" s="180"/>
      <c r="B120" s="216" t="s">
        <v>569</v>
      </c>
      <c r="C120" s="354" t="str">
        <f t="shared" ref="C120:Q120" ca="1" si="163">IF(C11=$BC$22,"O",IF(C11=$BD$22,"O",IF(C11=$BE$22,"O",IF(C11=$BF$22,"O",IF(C11=$BG$22,"O",IF(C11=$BH$22,"O",IF(C11=$BI$22,"O",IF(C11=$BJ$22,"O",IF(C11=$BK$22,"O",IF(C11=$BL$22,"O",IF(C11=$BM$22,"O",IF(C11=$BN$22,"O",IF(C11=$BO$22,"O",IF(C11=$BP$22,"O",IF(C11=$BQ$22,"O",IF(C11=$BR$22,"O",IF(C11=$BS$22,"O",IF(C11=$BT$22,"O",IF(C11=$BU$22,"O",IF(C11=$BV$22,"O",IF(C11=$BW$22,"O",IF(C11=$BX$22,"O",IF(C11=$BY$22,"O",IF(C11=$BZ$22,"O",IF(C11=$CA$22,"O",IF(C11=$CB$22,"O",IF(C11=$CC$22,"O",IF(C11=$CD$22,"O",IF(C11=$CE$22,"O",IF(C11=$CF$22,"O",IF(C11=$CG$22,"O",IF(C11=$CH$22,"O",IF(C11=$CI$22,"O",IF(C11=$CJ$22,"O",IF(C11=$CK$22,"O",IF(C11=$CL$22,"O",IF(C11=$CM$22,"O",IF(C11=$CN$22,"O",IF(C11=$CO$22,"O",IF(C11=$CP$22,"O","X"))))))))))))))))))))))))))))))))))))))))</f>
        <v>O</v>
      </c>
      <c r="D120" s="354" t="str">
        <f t="shared" ca="1" si="163"/>
        <v>O</v>
      </c>
      <c r="E120" s="354" t="str">
        <f t="shared" ca="1" si="163"/>
        <v>X</v>
      </c>
      <c r="F120" s="354" t="str">
        <f t="shared" ca="1" si="163"/>
        <v>O</v>
      </c>
      <c r="G120" s="354" t="str">
        <f t="shared" ca="1" si="163"/>
        <v>O</v>
      </c>
      <c r="H120" s="354" t="str">
        <f t="shared" ca="1" si="163"/>
        <v>X</v>
      </c>
      <c r="I120" s="354" t="str">
        <f t="shared" ca="1" si="163"/>
        <v>O</v>
      </c>
      <c r="J120" s="354" t="str">
        <f t="shared" ca="1" si="163"/>
        <v>O</v>
      </c>
      <c r="K120" s="354" t="str">
        <f t="shared" ca="1" si="163"/>
        <v>O</v>
      </c>
      <c r="L120" s="354" t="str">
        <f t="shared" ca="1" si="163"/>
        <v>X</v>
      </c>
      <c r="M120" s="354" t="str">
        <f t="shared" ca="1" si="163"/>
        <v>X</v>
      </c>
      <c r="N120" s="354" t="str">
        <f t="shared" ca="1" si="163"/>
        <v>X</v>
      </c>
      <c r="O120" s="354" t="str">
        <f t="shared" ca="1" si="163"/>
        <v>X</v>
      </c>
      <c r="P120" s="354" t="str">
        <f t="shared" ca="1" si="163"/>
        <v>O</v>
      </c>
      <c r="Q120" s="354" t="str">
        <f t="shared" ca="1" si="163"/>
        <v>O</v>
      </c>
      <c r="R120" s="272" t="str">
        <f t="shared" ref="R120:AU120" si="164">IF(R11=$BC$22,"O",IF(R11=$BD$22,"O",IF(R11=$BE$22,"O",IF(R11=$BF$22,"O",IF(R11=$BG$22,"O",IF(R11=$BH$22,"O",IF(R11=$BI$22,"O",IF(R11=$BJ$22,"O",IF(R11=$BK$22,"O",IF(R11=$BL$22,"O",IF(R11=$BM$22,"O",IF(R11=$BN$22,"O",IF(R11=$BO$22,"O",IF(R11=$BP$22,"O",IF(R11=$BQ$22,"O",IF(R11=$BR$22,"O",IF(R11=$BS$22,"O",IF(R11=$BT$22,"O",IF(R11=$BU$22,"O",IF(R11=$BV$22,"O",IF(R11=$BW$22,"O",IF(R11=$BX$22,"O",IF(R11=$BY$22,"O",IF(R11=$BZ$22,"O",IF(R11=$CA$22,"O",IF(R11=$CB$22,"O","X"))))))))))))))))))))))))))</f>
        <v>X</v>
      </c>
      <c r="S120" s="272" t="str">
        <f t="shared" si="164"/>
        <v>X</v>
      </c>
      <c r="T120" s="272" t="str">
        <f t="shared" si="164"/>
        <v>X</v>
      </c>
      <c r="U120" s="272" t="str">
        <f t="shared" si="164"/>
        <v>X</v>
      </c>
      <c r="V120" s="272" t="str">
        <f t="shared" si="164"/>
        <v>X</v>
      </c>
      <c r="W120" s="272" t="str">
        <f t="shared" si="164"/>
        <v>X</v>
      </c>
      <c r="X120" s="272" t="str">
        <f t="shared" si="164"/>
        <v>X</v>
      </c>
      <c r="Y120" s="272" t="str">
        <f t="shared" si="164"/>
        <v>X</v>
      </c>
      <c r="Z120" s="272" t="str">
        <f t="shared" si="164"/>
        <v>X</v>
      </c>
      <c r="AA120" s="272" t="str">
        <f t="shared" si="164"/>
        <v>X</v>
      </c>
      <c r="AB120" s="272" t="str">
        <f t="shared" si="164"/>
        <v>X</v>
      </c>
      <c r="AC120" s="272" t="str">
        <f t="shared" si="164"/>
        <v>X</v>
      </c>
      <c r="AD120" s="272" t="str">
        <f t="shared" si="164"/>
        <v>X</v>
      </c>
      <c r="AE120" s="272" t="str">
        <f t="shared" si="164"/>
        <v>X</v>
      </c>
      <c r="AF120" s="272" t="str">
        <f t="shared" si="164"/>
        <v>X</v>
      </c>
      <c r="AG120" s="272" t="str">
        <f t="shared" si="164"/>
        <v>X</v>
      </c>
      <c r="AH120" s="272" t="str">
        <f t="shared" si="164"/>
        <v>X</v>
      </c>
      <c r="AI120" s="272" t="str">
        <f t="shared" si="164"/>
        <v>X</v>
      </c>
      <c r="AJ120" s="272" t="str">
        <f t="shared" si="164"/>
        <v>X</v>
      </c>
      <c r="AK120" s="272" t="str">
        <f t="shared" si="164"/>
        <v>X</v>
      </c>
      <c r="AL120" s="307" t="str">
        <f t="shared" si="164"/>
        <v>X</v>
      </c>
      <c r="AM120" s="307" t="str">
        <f t="shared" si="164"/>
        <v>X</v>
      </c>
      <c r="AN120" s="307" t="str">
        <f t="shared" si="164"/>
        <v>X</v>
      </c>
      <c r="AO120" s="307" t="str">
        <f t="shared" si="164"/>
        <v>X</v>
      </c>
      <c r="AP120" s="307" t="str">
        <f t="shared" si="164"/>
        <v>X</v>
      </c>
      <c r="AQ120" s="307" t="str">
        <f t="shared" si="164"/>
        <v>X</v>
      </c>
      <c r="AR120" s="307" t="str">
        <f t="shared" si="164"/>
        <v>X</v>
      </c>
      <c r="AS120" s="307" t="str">
        <f t="shared" si="164"/>
        <v>X</v>
      </c>
      <c r="AT120" s="307" t="str">
        <f t="shared" si="164"/>
        <v>X</v>
      </c>
      <c r="AU120" s="307" t="str">
        <f t="shared" si="164"/>
        <v>X</v>
      </c>
      <c r="AV120" s="296"/>
      <c r="AW120" s="296"/>
      <c r="AX120" s="206"/>
      <c r="BC120" s="151"/>
      <c r="BD120" s="151"/>
      <c r="BE120" s="151"/>
      <c r="BF120" s="151"/>
      <c r="BG120" s="163"/>
      <c r="BH120" s="2"/>
      <c r="BI120" s="2"/>
      <c r="BJ120" s="151"/>
      <c r="BK120" s="2"/>
      <c r="BL120" s="2"/>
      <c r="BM120" s="2"/>
      <c r="BN120" s="2"/>
      <c r="BO120" s="2"/>
      <c r="BP120" s="2"/>
    </row>
    <row r="121" spans="1:68">
      <c r="A121" s="180"/>
      <c r="B121" s="214" t="s">
        <v>540</v>
      </c>
      <c r="C121" s="354" t="str">
        <f t="shared" ref="C121:P121" ca="1" si="165">IF(C12=$BC$22,"O",IF(C12=$BD$22,"O",IF(C12=$BE$22,"O",IF(C12=$BF$22,"O",IF(C12=$BG$22,"O",IF(C12=$BH$22,"O",IF(C12=$BI$22,"O",IF(C12=$BJ$22,"O",IF(C12=$BK$22,"O",IF(C12=$BL$22,"O",IF(C12=$BM$22,"O",IF(C12=$BN$22,"O",IF(C12=$BO$22,"O",IF(C12=$BP$22,"O",IF(C12=$BQ$22,"O",IF(C12=$BR$22,"O",IF(C12=$BS$22,"O",IF(C12=$BT$22,"O",IF(C12=$BU$22,"O",IF(C12=$BV$22,"O",IF(C12=$BW$22,"O",IF(C12=$BX$22,"O",IF(C12=$BY$22,"O",IF(C12=$BZ$22,"O",IF(C12=$CA$22,"O",IF(C12=$CB$22,"O",IF(C12=$CC$22,"O",IF(C12=$CD$22,"O",IF(C12=$CE$22,"O",IF(C12=$CF$22,"O",IF(C12=$CG$22,"O",IF(C12=$CH$22,"O",IF(C12=$CI$22,"O",IF(C12=$CJ$22,"O",IF(C12=$CK$22,"O",IF(C12=$CL$22,"O",IF(C12=$CM$22,"O",IF(C12=$CN$22,"O",IF(C12=$CO$22,"O",IF(C12=$CP$22,"O","X"))))))))))))))))))))))))))))))))))))))))</f>
        <v>X</v>
      </c>
      <c r="D121" s="354" t="str">
        <f t="shared" ca="1" si="165"/>
        <v>O</v>
      </c>
      <c r="E121" s="354" t="str">
        <f t="shared" ca="1" si="165"/>
        <v>X</v>
      </c>
      <c r="F121" s="354" t="str">
        <f t="shared" ca="1" si="165"/>
        <v>X</v>
      </c>
      <c r="G121" s="354" t="str">
        <f t="shared" ca="1" si="165"/>
        <v>X</v>
      </c>
      <c r="H121" s="354" t="str">
        <f t="shared" ca="1" si="165"/>
        <v>X</v>
      </c>
      <c r="I121" s="354" t="str">
        <f t="shared" ca="1" si="165"/>
        <v>X</v>
      </c>
      <c r="J121" s="354" t="str">
        <f t="shared" ca="1" si="165"/>
        <v>X</v>
      </c>
      <c r="K121" s="354" t="str">
        <f t="shared" ca="1" si="165"/>
        <v>O</v>
      </c>
      <c r="L121" s="354" t="str">
        <f t="shared" ca="1" si="165"/>
        <v>O</v>
      </c>
      <c r="M121" s="354" t="str">
        <f t="shared" ca="1" si="165"/>
        <v>O</v>
      </c>
      <c r="N121" s="354" t="str">
        <f t="shared" ca="1" si="165"/>
        <v>O</v>
      </c>
      <c r="O121" s="354" t="str">
        <f t="shared" ca="1" si="165"/>
        <v>O</v>
      </c>
      <c r="P121" s="354" t="str">
        <f t="shared" ca="1" si="165"/>
        <v>O</v>
      </c>
      <c r="Q121" s="354" t="str">
        <f ca="1">IF(Q12=$BC$22,"O",IF(Q12=$BD$22,"O",IF(Q12=$BE$22,"O",IF(Q12=$BF$22,"O",IF(Q12=$BG$22,"O",IF(Q12=$BH$22,"O",IF(Q12=$BI$22,"O",IF(Q12=$BJ$22,"O",IF(Q12=$BK$22,"O",IF(Q12=$BL$22,"O",IF(Q12=$BM$22,"O",IF(Q12=$BN$22,"O",IF(Q12=$BO$22,"O",IF(Q12=$BP$22,"O",IF(Q12=$BQ$22,"O",IF(Q12=$BR$22,"O",IF(Q12=$BS$22,"O",IF(Q12=$BT$22,"O",IF(Q12=$BU$22,"O",IF(Q12=$BV$22,"O",IF(Q12=$BW$22,"O",IF(Q12=$BX$22,"O",IF(Q12=$BY$22,"O",IF(Q12=$BZ$22,"O",IF(Q12=$CA$22,"O",IF(Q12=$CB$22,"O",IF(Q12=$CC$22,"O",IF(Q12=$CD$22,"O",IF(Q12=$CE$22,"O",IF(Q12=$CF$22,"O",IF(Q12=$CG$22,"O",IF(Q12=$CH$22,"O",IF(Q12=$CI$22,"O",IF(Q12=$CJ$22,"O",IF(Q12=$CK$22,"O",IF(Q12=$CL$22,"O",IF(Q12=$CM$22,"O",IF(Q12=$CN$22,"O",IF(Q12=$CO$22,"O",IF(Q12=$CP$22,"O","X"))))))))))))))))))))))))))))))))))))))))</f>
        <v>X</v>
      </c>
      <c r="R121" s="272" t="str">
        <f t="shared" ref="R121:AU121" si="166">IF(R12=$BC$22,"O",IF(R12=$BD$22,"O",IF(R12=$BE$22,"O",IF(R12=$BF$22,"O",IF(R12=$BG$22,"O",IF(R12=$BH$22,"O",IF(R12=$BI$22,"O",IF(R12=$BJ$22,"O",IF(R12=$BK$22,"O",IF(R12=$BL$22,"O",IF(R12=$BM$22,"O",IF(R12=$BN$22,"O",IF(R12=$BO$22,"O",IF(R12=$BP$22,"O",IF(R12=$BQ$22,"O",IF(R12=$BR$22,"O",IF(R12=$BS$22,"O",IF(R12=$BT$22,"O",IF(R12=$BU$22,"O",IF(R12=$BV$22,"O",IF(R12=$BW$22,"O",IF(R12=$BX$22,"O",IF(R12=$BY$22,"O",IF(R12=$BZ$22,"O",IF(R12=$CA$22,"O",IF(R12=$CB$22,"O","X"))))))))))))))))))))))))))</f>
        <v>X</v>
      </c>
      <c r="S121" s="272" t="str">
        <f t="shared" si="166"/>
        <v>X</v>
      </c>
      <c r="T121" s="272" t="str">
        <f t="shared" si="166"/>
        <v>X</v>
      </c>
      <c r="U121" s="272" t="str">
        <f t="shared" si="166"/>
        <v>X</v>
      </c>
      <c r="V121" s="272" t="str">
        <f t="shared" si="166"/>
        <v>X</v>
      </c>
      <c r="W121" s="272" t="str">
        <f t="shared" si="166"/>
        <v>X</v>
      </c>
      <c r="X121" s="272" t="str">
        <f t="shared" si="166"/>
        <v>X</v>
      </c>
      <c r="Y121" s="272" t="str">
        <f t="shared" si="166"/>
        <v>X</v>
      </c>
      <c r="Z121" s="272" t="str">
        <f t="shared" si="166"/>
        <v>X</v>
      </c>
      <c r="AA121" s="272" t="str">
        <f t="shared" si="166"/>
        <v>X</v>
      </c>
      <c r="AB121" s="272" t="str">
        <f t="shared" si="166"/>
        <v>X</v>
      </c>
      <c r="AC121" s="272" t="str">
        <f t="shared" si="166"/>
        <v>X</v>
      </c>
      <c r="AD121" s="272" t="str">
        <f t="shared" si="166"/>
        <v>X</v>
      </c>
      <c r="AE121" s="272" t="str">
        <f t="shared" si="166"/>
        <v>X</v>
      </c>
      <c r="AF121" s="272" t="str">
        <f t="shared" si="166"/>
        <v>X</v>
      </c>
      <c r="AG121" s="272" t="str">
        <f t="shared" si="166"/>
        <v>X</v>
      </c>
      <c r="AH121" s="272" t="str">
        <f t="shared" si="166"/>
        <v>X</v>
      </c>
      <c r="AI121" s="272" t="str">
        <f t="shared" si="166"/>
        <v>X</v>
      </c>
      <c r="AJ121" s="272" t="str">
        <f t="shared" si="166"/>
        <v>X</v>
      </c>
      <c r="AK121" s="272" t="str">
        <f t="shared" si="166"/>
        <v>X</v>
      </c>
      <c r="AL121" s="307" t="str">
        <f t="shared" si="166"/>
        <v>X</v>
      </c>
      <c r="AM121" s="307" t="str">
        <f t="shared" si="166"/>
        <v>X</v>
      </c>
      <c r="AN121" s="307" t="str">
        <f t="shared" si="166"/>
        <v>X</v>
      </c>
      <c r="AO121" s="307" t="str">
        <f t="shared" si="166"/>
        <v>X</v>
      </c>
      <c r="AP121" s="307" t="str">
        <f t="shared" si="166"/>
        <v>X</v>
      </c>
      <c r="AQ121" s="307" t="str">
        <f t="shared" si="166"/>
        <v>X</v>
      </c>
      <c r="AR121" s="307" t="str">
        <f t="shared" si="166"/>
        <v>X</v>
      </c>
      <c r="AS121" s="307" t="str">
        <f t="shared" si="166"/>
        <v>X</v>
      </c>
      <c r="AT121" s="307" t="str">
        <f t="shared" si="166"/>
        <v>X</v>
      </c>
      <c r="AU121" s="307" t="str">
        <f t="shared" si="166"/>
        <v>X</v>
      </c>
      <c r="AV121" s="296"/>
      <c r="AW121" s="296"/>
      <c r="AX121" s="206"/>
      <c r="BC121" s="151"/>
      <c r="BD121" s="151"/>
      <c r="BE121" s="151"/>
      <c r="BF121" s="151"/>
      <c r="BG121" s="163"/>
      <c r="BH121" s="2"/>
      <c r="BI121" s="2"/>
      <c r="BJ121" s="235"/>
      <c r="BK121" s="2"/>
      <c r="BL121" s="2"/>
      <c r="BM121" s="2"/>
      <c r="BN121" s="2"/>
      <c r="BO121" s="2"/>
      <c r="BP121" s="2"/>
    </row>
    <row r="122" spans="1:68">
      <c r="A122" s="181"/>
      <c r="B122" s="111" t="s">
        <v>663</v>
      </c>
      <c r="C122" s="172">
        <f ca="1">COUNTIF(C116:C121,"O")</f>
        <v>4</v>
      </c>
      <c r="D122" s="172">
        <f t="shared" ref="D122:Q122" ca="1" si="167">COUNTIF(D116:D121,"O")</f>
        <v>5</v>
      </c>
      <c r="E122" s="172">
        <f t="shared" ca="1" si="167"/>
        <v>4</v>
      </c>
      <c r="F122" s="172">
        <f t="shared" ca="1" si="167"/>
        <v>4</v>
      </c>
      <c r="G122" s="172">
        <f t="shared" ca="1" si="167"/>
        <v>4</v>
      </c>
      <c r="H122" s="172">
        <f t="shared" ca="1" si="167"/>
        <v>3</v>
      </c>
      <c r="I122" s="172">
        <f t="shared" ca="1" si="167"/>
        <v>4</v>
      </c>
      <c r="J122" s="172">
        <f t="shared" ca="1" si="167"/>
        <v>3</v>
      </c>
      <c r="K122" s="172">
        <f t="shared" ca="1" si="167"/>
        <v>2</v>
      </c>
      <c r="L122" s="172">
        <f t="shared" ca="1" si="167"/>
        <v>2</v>
      </c>
      <c r="M122" s="172">
        <f t="shared" ca="1" si="167"/>
        <v>4</v>
      </c>
      <c r="N122" s="172">
        <f t="shared" ca="1" si="167"/>
        <v>3</v>
      </c>
      <c r="O122" s="172">
        <f t="shared" ca="1" si="167"/>
        <v>4</v>
      </c>
      <c r="P122" s="172">
        <f t="shared" ca="1" si="167"/>
        <v>6</v>
      </c>
      <c r="Q122" s="172">
        <f t="shared" ca="1" si="167"/>
        <v>5</v>
      </c>
      <c r="R122" s="172">
        <f t="shared" ref="R122:AK122" si="168">COUNTIF(R116:R121,"O")</f>
        <v>0</v>
      </c>
      <c r="S122" s="172">
        <f t="shared" si="168"/>
        <v>0</v>
      </c>
      <c r="T122" s="172">
        <f t="shared" si="168"/>
        <v>0</v>
      </c>
      <c r="U122" s="172">
        <f t="shared" si="168"/>
        <v>0</v>
      </c>
      <c r="V122" s="172">
        <f t="shared" si="168"/>
        <v>0</v>
      </c>
      <c r="W122" s="172">
        <f t="shared" si="168"/>
        <v>0</v>
      </c>
      <c r="X122" s="172">
        <f t="shared" si="168"/>
        <v>0</v>
      </c>
      <c r="Y122" s="172">
        <f t="shared" si="168"/>
        <v>0</v>
      </c>
      <c r="Z122" s="172">
        <f t="shared" si="168"/>
        <v>0</v>
      </c>
      <c r="AA122" s="172">
        <f t="shared" si="168"/>
        <v>0</v>
      </c>
      <c r="AB122" s="172">
        <f t="shared" si="168"/>
        <v>0</v>
      </c>
      <c r="AC122" s="172">
        <f t="shared" si="168"/>
        <v>0</v>
      </c>
      <c r="AD122" s="172">
        <f t="shared" si="168"/>
        <v>0</v>
      </c>
      <c r="AE122" s="172">
        <f t="shared" si="168"/>
        <v>0</v>
      </c>
      <c r="AF122" s="172">
        <f t="shared" si="168"/>
        <v>0</v>
      </c>
      <c r="AG122" s="172">
        <f t="shared" si="168"/>
        <v>0</v>
      </c>
      <c r="AH122" s="172">
        <f t="shared" si="168"/>
        <v>0</v>
      </c>
      <c r="AI122" s="172">
        <f t="shared" si="168"/>
        <v>0</v>
      </c>
      <c r="AJ122" s="172">
        <f t="shared" si="168"/>
        <v>0</v>
      </c>
      <c r="AK122" s="172">
        <f t="shared" si="168"/>
        <v>0</v>
      </c>
      <c r="AL122" s="172">
        <f t="shared" ref="AL122:AU122" si="169">COUNTIF(AL116:AL121,"O")</f>
        <v>0</v>
      </c>
      <c r="AM122" s="172">
        <f t="shared" si="169"/>
        <v>0</v>
      </c>
      <c r="AN122" s="172">
        <f t="shared" si="169"/>
        <v>0</v>
      </c>
      <c r="AO122" s="172">
        <f t="shared" si="169"/>
        <v>0</v>
      </c>
      <c r="AP122" s="172">
        <f t="shared" si="169"/>
        <v>0</v>
      </c>
      <c r="AQ122" s="172">
        <f t="shared" si="169"/>
        <v>0</v>
      </c>
      <c r="AR122" s="172">
        <f t="shared" si="169"/>
        <v>0</v>
      </c>
      <c r="AS122" s="172">
        <f t="shared" si="169"/>
        <v>0</v>
      </c>
      <c r="AT122" s="172">
        <f t="shared" si="169"/>
        <v>0</v>
      </c>
      <c r="AU122" s="172">
        <f t="shared" si="169"/>
        <v>0</v>
      </c>
      <c r="AV122" s="255"/>
      <c r="AW122" s="255"/>
      <c r="AX122" s="255"/>
      <c r="BC122" s="151"/>
      <c r="BD122" s="151"/>
      <c r="BE122" s="151"/>
      <c r="BF122" s="151"/>
      <c r="BG122" s="163"/>
      <c r="BH122" s="2"/>
      <c r="BI122" s="2"/>
      <c r="BJ122" s="235"/>
      <c r="BK122" s="164"/>
      <c r="BL122" s="164"/>
      <c r="BM122" s="168"/>
      <c r="BN122" s="168"/>
      <c r="BO122" s="2"/>
      <c r="BP122" s="2"/>
    </row>
    <row r="123" spans="1:68">
      <c r="A123" s="179" t="s">
        <v>843</v>
      </c>
      <c r="B123" s="216" t="s">
        <v>560</v>
      </c>
      <c r="C123" s="214" t="str">
        <f ca="1">IF(C7=$BC$23,"O",IF(C7=$BD$23,"O",IF(C7=$BE$23,"O",IF(C7=$BF$23,"O",IF(C7=$BG$23,"O",IF(C7=$BH$23,"O",IF(C7=$BI$23,"O",IF(C7=$BJ$23,"O",IF(C7=$BK$23,"O",IF(C7=$BL$23,"O",IF(C7=$BM$23,"O",IF(C7=$BN$23,"O",IF(C7=$BO$23,"O",IF(C7=$BP$23,"O",IF(C7=$BQ$23,"O",IF(C7=$BR$23,"O",IF(C7=$BS$23,"O",IF(C7=$BT$23,"O",IF(C7=$BU$23,"O",IF(C7=$BV$23,"O",IF(C7=$BW$23,"O",IF(C7=$BX$23,"O",IF(C7=$BY$23,"O",IF(C7=$BZ$23,"O",IF(C7=$CA$23,"O",IF(C7=$CB$23,"O",IF(C7=$CC$23,"O",IF(C7=$CD$23,"O",IF(C7=$CE$23,"O",IF(C7=$CF$23,"O",IF(C7=$CG$23,"O",IF(C7=$CH$23,"O",IF(C7=$CI$23,"O",IF(C7=$CJ$23,"O",IF(C7=$CK$23,"O",IF(C7=$CL$23,"O",IF(C7=$CM$23,"O",IF(C7=$CN$23,"O",IF(C7=$CO$23,"O",IF(C7=$CP$23,"O","X"))))))))))))))))))))))))))))))))))))))))</f>
        <v>O</v>
      </c>
      <c r="D123" s="354" t="str">
        <f t="shared" ref="D123:P123" ca="1" si="170">IF(D7=$BC$23,"O",IF(D7=$BD$23,"O",IF(D7=$BE$23,"O",IF(D7=$BF$23,"O",IF(D7=$BG$23,"O",IF(D7=$BH$23,"O",IF(D7=$BI$23,"O",IF(D7=$BJ$23,"O",IF(D7=$BK$23,"O",IF(D7=$BL$23,"O",IF(D7=$BM$23,"O",IF(D7=$BN$23,"O",IF(D7=$BO$23,"O",IF(D7=$BP$23,"O",IF(D7=$BQ$23,"O",IF(D7=$BR$23,"O",IF(D7=$BS$23,"O",IF(D7=$BT$23,"O",IF(D7=$BU$23,"O",IF(D7=$BV$23,"O",IF(D7=$BW$23,"O",IF(D7=$BX$23,"O",IF(D7=$BY$23,"O",IF(D7=$BZ$23,"O",IF(D7=$CA$23,"O",IF(D7=$CB$23,"O",IF(D7=$CC$23,"O",IF(D7=$CD$23,"O",IF(D7=$CE$23,"O",IF(D7=$CF$23,"O",IF(D7=$CG$23,"O",IF(D7=$CH$23,"O",IF(D7=$CI$23,"O",IF(D7=$CJ$23,"O",IF(D7=$CK$23,"O",IF(D7=$CL$23,"O",IF(D7=$CM$23,"O",IF(D7=$CN$23,"O",IF(D7=$CO$23,"O",IF(D7=$CP$23,"O","X"))))))))))))))))))))))))))))))))))))))))</f>
        <v>X</v>
      </c>
      <c r="E123" s="354" t="str">
        <f t="shared" ca="1" si="170"/>
        <v>X</v>
      </c>
      <c r="F123" s="354" t="str">
        <f t="shared" ca="1" si="170"/>
        <v>O</v>
      </c>
      <c r="G123" s="354" t="str">
        <f t="shared" ca="1" si="170"/>
        <v>X</v>
      </c>
      <c r="H123" s="354" t="str">
        <f t="shared" ca="1" si="170"/>
        <v>X</v>
      </c>
      <c r="I123" s="354" t="str">
        <f t="shared" ca="1" si="170"/>
        <v>X</v>
      </c>
      <c r="J123" s="354" t="str">
        <f t="shared" ca="1" si="170"/>
        <v>X</v>
      </c>
      <c r="K123" s="354" t="str">
        <f t="shared" ca="1" si="170"/>
        <v>O</v>
      </c>
      <c r="L123" s="354" t="str">
        <f t="shared" ca="1" si="170"/>
        <v>X</v>
      </c>
      <c r="M123" s="354" t="str">
        <f t="shared" ca="1" si="170"/>
        <v>O</v>
      </c>
      <c r="N123" s="354" t="str">
        <f t="shared" ca="1" si="170"/>
        <v>X</v>
      </c>
      <c r="O123" s="354" t="str">
        <f t="shared" ca="1" si="170"/>
        <v>X</v>
      </c>
      <c r="P123" s="354" t="str">
        <f t="shared" ca="1" si="170"/>
        <v>X</v>
      </c>
      <c r="Q123" s="354" t="str">
        <f ca="1">IF(Q7=$BC$23,"O",IF(Q7=$BD$23,"O",IF(Q7=$BE$23,"O",IF(Q7=$BF$23,"O",IF(Q7=$BG$23,"O",IF(Q7=$BH$23,"O",IF(Q7=$BI$23,"O",IF(Q7=$BJ$23,"O",IF(Q7=$BK$23,"O",IF(Q7=$BL$23,"O",IF(Q7=$BM$23,"O",IF(Q7=$BN$23,"O",IF(Q7=$BO$23,"O",IF(Q7=$BP$23,"O",IF(Q7=$BQ$23,"O",IF(Q7=$BR$23,"O",IF(Q7=$BS$23,"O",IF(Q7=$BT$23,"O",IF(Q7=$BU$23,"O",IF(Q7=$BV$23,"O",IF(Q7=$BW$23,"O",IF(Q7=$BX$23,"O",IF(Q7=$BY$23,"O",IF(Q7=$BZ$23,"O",IF(Q7=$CA$23,"O",IF(Q7=$CB$23,"O",IF(Q7=$CC$23,"O",IF(Q7=$CD$23,"O",IF(Q7=$CE$23,"O",IF(Q7=$CF$23,"O",IF(Q7=$CG$23,"O",IF(Q7=$CH$23,"O",IF(Q7=$CI$23,"O",IF(Q7=$CJ$23,"O",IF(Q7=$CK$23,"O",IF(Q7=$CL$23,"O",IF(Q7=$CM$23,"O",IF(Q7=$CN$23,"O",IF(Q7=$CO$23,"O",IF(Q7=$CP$23,"O","X"))))))))))))))))))))))))))))))))))))))))</f>
        <v>O</v>
      </c>
      <c r="R123" s="272" t="str">
        <f t="shared" ref="R123:AU123" si="171">IF(R7=$BC$23,"O",IF(R7=$BD$23,"O",IF(R7=$BE$23,"O",IF(R7=$BF$23,"O",IF(R7=$BG$23,"O",IF(R7=$BH$23,"O",IF(R7=$BI$23,"O",IF(R7=$BJ$23,"O",IF(R7=$BK$23,"O",IF(R7=$BL$23,"O",IF(R7=$BM$23,"O",IF(R7=$BN$23,"O",IF(R7=$BO$23,"O",IF(R7=$BP$23,"O",IF(R7=$BQ$23,"O",IF(R7=$BR$23,"O",IF(R7=$BS$23,"O",IF(R7=$BT$23,"O",IF(R7=$BU$23,"O",IF(R7=$BV$23,"O",IF(R7=$BW$23,"O",IF(R7=$BX$23,"O",IF(R7=$BY$23,"O",IF(R7=$BZ$23,"O",IF(R7=$CA$23,"O",IF(R7=$CB$23,"O","X"))))))))))))))))))))))))))</f>
        <v>X</v>
      </c>
      <c r="S123" s="272" t="str">
        <f t="shared" si="171"/>
        <v>X</v>
      </c>
      <c r="T123" s="272" t="str">
        <f t="shared" si="171"/>
        <v>X</v>
      </c>
      <c r="U123" s="272" t="str">
        <f t="shared" si="171"/>
        <v>X</v>
      </c>
      <c r="V123" s="272" t="str">
        <f t="shared" si="171"/>
        <v>X</v>
      </c>
      <c r="W123" s="272" t="str">
        <f t="shared" si="171"/>
        <v>X</v>
      </c>
      <c r="X123" s="272" t="str">
        <f t="shared" si="171"/>
        <v>X</v>
      </c>
      <c r="Y123" s="272" t="str">
        <f t="shared" si="171"/>
        <v>X</v>
      </c>
      <c r="Z123" s="272" t="str">
        <f t="shared" si="171"/>
        <v>X</v>
      </c>
      <c r="AA123" s="272" t="str">
        <f t="shared" si="171"/>
        <v>X</v>
      </c>
      <c r="AB123" s="272" t="str">
        <f t="shared" si="171"/>
        <v>X</v>
      </c>
      <c r="AC123" s="272" t="str">
        <f t="shared" si="171"/>
        <v>X</v>
      </c>
      <c r="AD123" s="272" t="str">
        <f t="shared" si="171"/>
        <v>X</v>
      </c>
      <c r="AE123" s="272" t="str">
        <f t="shared" si="171"/>
        <v>X</v>
      </c>
      <c r="AF123" s="272" t="str">
        <f t="shared" si="171"/>
        <v>X</v>
      </c>
      <c r="AG123" s="272" t="str">
        <f t="shared" si="171"/>
        <v>X</v>
      </c>
      <c r="AH123" s="272" t="str">
        <f t="shared" si="171"/>
        <v>X</v>
      </c>
      <c r="AI123" s="272" t="str">
        <f t="shared" si="171"/>
        <v>X</v>
      </c>
      <c r="AJ123" s="272" t="str">
        <f t="shared" si="171"/>
        <v>X</v>
      </c>
      <c r="AK123" s="272" t="str">
        <f t="shared" si="171"/>
        <v>X</v>
      </c>
      <c r="AL123" s="307" t="str">
        <f t="shared" si="171"/>
        <v>X</v>
      </c>
      <c r="AM123" s="307" t="str">
        <f t="shared" si="171"/>
        <v>X</v>
      </c>
      <c r="AN123" s="307" t="str">
        <f t="shared" si="171"/>
        <v>X</v>
      </c>
      <c r="AO123" s="307" t="str">
        <f t="shared" si="171"/>
        <v>X</v>
      </c>
      <c r="AP123" s="307" t="str">
        <f t="shared" si="171"/>
        <v>X</v>
      </c>
      <c r="AQ123" s="307" t="str">
        <f t="shared" si="171"/>
        <v>X</v>
      </c>
      <c r="AR123" s="307" t="str">
        <f t="shared" si="171"/>
        <v>X</v>
      </c>
      <c r="AS123" s="307" t="str">
        <f t="shared" si="171"/>
        <v>X</v>
      </c>
      <c r="AT123" s="307" t="str">
        <f t="shared" si="171"/>
        <v>X</v>
      </c>
      <c r="AU123" s="307" t="str">
        <f t="shared" si="171"/>
        <v>X</v>
      </c>
      <c r="AV123" s="296"/>
      <c r="AW123" s="296"/>
      <c r="AX123" s="206"/>
      <c r="BC123" s="151"/>
      <c r="BD123" s="151"/>
      <c r="BE123" s="151"/>
      <c r="BF123" s="151"/>
      <c r="BG123" s="163"/>
      <c r="BH123" s="2"/>
      <c r="BI123" s="165"/>
      <c r="BJ123" s="164"/>
      <c r="BK123" s="2"/>
      <c r="BL123" s="2"/>
      <c r="BM123" s="2"/>
      <c r="BN123" s="2"/>
      <c r="BO123" s="2"/>
      <c r="BP123" s="2"/>
    </row>
    <row r="124" spans="1:68">
      <c r="A124" s="180"/>
      <c r="B124" s="216" t="s">
        <v>566</v>
      </c>
      <c r="C124" s="354" t="str">
        <f t="shared" ref="C124:Q124" ca="1" si="172">IF(C8=$BC$23,"O",IF(C8=$BD$23,"O",IF(C8=$BE$23,"O",IF(C8=$BF$23,"O",IF(C8=$BG$23,"O",IF(C8=$BH$23,"O",IF(C8=$BI$23,"O",IF(C8=$BJ$23,"O",IF(C8=$BK$23,"O",IF(C8=$BL$23,"O",IF(C8=$BM$23,"O",IF(C8=$BN$23,"O",IF(C8=$BO$23,"O",IF(C8=$BP$23,"O",IF(C8=$BQ$23,"O",IF(C8=$BR$23,"O",IF(C8=$BS$23,"O",IF(C8=$BT$23,"O",IF(C8=$BU$23,"O",IF(C8=$BV$23,"O",IF(C8=$BW$23,"O",IF(C8=$BX$23,"O",IF(C8=$BY$23,"O",IF(C8=$BZ$23,"O",IF(C8=$CA$23,"O",IF(C8=$CB$23,"O",IF(C8=$CC$23,"O",IF(C8=$CD$23,"O",IF(C8=$CE$23,"O",IF(C8=$CF$23,"O",IF(C8=$CG$23,"O",IF(C8=$CH$23,"O",IF(C8=$CI$23,"O",IF(C8=$CJ$23,"O",IF(C8=$CK$23,"O",IF(C8=$CL$23,"O",IF(C8=$CM$23,"O",IF(C8=$CN$23,"O",IF(C8=$CO$23,"O",IF(C8=$CP$23,"O","X"))))))))))))))))))))))))))))))))))))))))</f>
        <v>O</v>
      </c>
      <c r="D124" s="354" t="str">
        <f t="shared" ca="1" si="172"/>
        <v>O</v>
      </c>
      <c r="E124" s="354" t="str">
        <f t="shared" ca="1" si="172"/>
        <v>O</v>
      </c>
      <c r="F124" s="354" t="str">
        <f t="shared" ca="1" si="172"/>
        <v>O</v>
      </c>
      <c r="G124" s="354" t="str">
        <f t="shared" ca="1" si="172"/>
        <v>O</v>
      </c>
      <c r="H124" s="354" t="str">
        <f t="shared" ca="1" si="172"/>
        <v>X</v>
      </c>
      <c r="I124" s="354" t="str">
        <f t="shared" ca="1" si="172"/>
        <v>X</v>
      </c>
      <c r="J124" s="354" t="str">
        <f t="shared" ca="1" si="172"/>
        <v>O</v>
      </c>
      <c r="K124" s="354" t="str">
        <f t="shared" ca="1" si="172"/>
        <v>X</v>
      </c>
      <c r="L124" s="354" t="str">
        <f t="shared" ca="1" si="172"/>
        <v>X</v>
      </c>
      <c r="M124" s="354" t="str">
        <f t="shared" ca="1" si="172"/>
        <v>X</v>
      </c>
      <c r="N124" s="354" t="str">
        <f t="shared" ca="1" si="172"/>
        <v>X</v>
      </c>
      <c r="O124" s="354" t="str">
        <f t="shared" ca="1" si="172"/>
        <v>O</v>
      </c>
      <c r="P124" s="354" t="str">
        <f t="shared" ca="1" si="172"/>
        <v>X</v>
      </c>
      <c r="Q124" s="354" t="str">
        <f t="shared" ca="1" si="172"/>
        <v>X</v>
      </c>
      <c r="R124" s="272" t="str">
        <f t="shared" ref="R124:AU124" si="173">IF(R8=$BC$23,"O",IF(R8=$BD$23,"O",IF(R8=$BE$23,"O",IF(R8=$BF$23,"O",IF(R8=$BG$23,"O",IF(R8=$BH$23,"O",IF(R8=$BI$23,"O",IF(R8=$BJ$23,"O",IF(R8=$BK$23,"O",IF(R8=$BL$23,"O",IF(R8=$BM$23,"O",IF(R8=$BN$23,"O",IF(R8=$BO$23,"O",IF(R8=$BP$23,"O",IF(R8=$BQ$23,"O",IF(R8=$BR$23,"O",IF(R8=$BS$23,"O",IF(R8=$BT$23,"O",IF(R8=$BU$23,"O",IF(R8=$BV$23,"O",IF(R8=$BW$23,"O",IF(R8=$BX$23,"O",IF(R8=$BY$23,"O",IF(R8=$BZ$23,"O",IF(R8=$CA$23,"O",IF(R8=$CB$23,"O","X"))))))))))))))))))))))))))</f>
        <v>X</v>
      </c>
      <c r="S124" s="272" t="str">
        <f t="shared" si="173"/>
        <v>X</v>
      </c>
      <c r="T124" s="272" t="str">
        <f t="shared" si="173"/>
        <v>X</v>
      </c>
      <c r="U124" s="272" t="str">
        <f t="shared" si="173"/>
        <v>X</v>
      </c>
      <c r="V124" s="272" t="str">
        <f t="shared" si="173"/>
        <v>X</v>
      </c>
      <c r="W124" s="272" t="str">
        <f t="shared" si="173"/>
        <v>X</v>
      </c>
      <c r="X124" s="272" t="str">
        <f t="shared" si="173"/>
        <v>X</v>
      </c>
      <c r="Y124" s="272" t="str">
        <f t="shared" si="173"/>
        <v>X</v>
      </c>
      <c r="Z124" s="272" t="str">
        <f t="shared" si="173"/>
        <v>X</v>
      </c>
      <c r="AA124" s="272" t="str">
        <f t="shared" si="173"/>
        <v>X</v>
      </c>
      <c r="AB124" s="272" t="str">
        <f t="shared" si="173"/>
        <v>X</v>
      </c>
      <c r="AC124" s="272" t="str">
        <f t="shared" si="173"/>
        <v>X</v>
      </c>
      <c r="AD124" s="272" t="str">
        <f t="shared" si="173"/>
        <v>X</v>
      </c>
      <c r="AE124" s="272" t="str">
        <f t="shared" si="173"/>
        <v>X</v>
      </c>
      <c r="AF124" s="272" t="str">
        <f t="shared" si="173"/>
        <v>X</v>
      </c>
      <c r="AG124" s="272" t="str">
        <f t="shared" si="173"/>
        <v>X</v>
      </c>
      <c r="AH124" s="272" t="str">
        <f t="shared" si="173"/>
        <v>X</v>
      </c>
      <c r="AI124" s="272" t="str">
        <f t="shared" si="173"/>
        <v>X</v>
      </c>
      <c r="AJ124" s="272" t="str">
        <f t="shared" si="173"/>
        <v>X</v>
      </c>
      <c r="AK124" s="272" t="str">
        <f t="shared" si="173"/>
        <v>X</v>
      </c>
      <c r="AL124" s="307" t="str">
        <f t="shared" si="173"/>
        <v>X</v>
      </c>
      <c r="AM124" s="307" t="str">
        <f t="shared" si="173"/>
        <v>X</v>
      </c>
      <c r="AN124" s="307" t="str">
        <f t="shared" si="173"/>
        <v>X</v>
      </c>
      <c r="AO124" s="307" t="str">
        <f t="shared" si="173"/>
        <v>X</v>
      </c>
      <c r="AP124" s="307" t="str">
        <f t="shared" si="173"/>
        <v>X</v>
      </c>
      <c r="AQ124" s="307" t="str">
        <f t="shared" si="173"/>
        <v>X</v>
      </c>
      <c r="AR124" s="307" t="str">
        <f t="shared" si="173"/>
        <v>X</v>
      </c>
      <c r="AS124" s="307" t="str">
        <f t="shared" si="173"/>
        <v>X</v>
      </c>
      <c r="AT124" s="307" t="str">
        <f t="shared" si="173"/>
        <v>X</v>
      </c>
      <c r="AU124" s="307" t="str">
        <f t="shared" si="173"/>
        <v>X</v>
      </c>
      <c r="AV124" s="296"/>
      <c r="AW124" s="296"/>
      <c r="AX124" s="206"/>
      <c r="BC124" s="151"/>
      <c r="BD124" s="151"/>
      <c r="BE124" s="151"/>
      <c r="BF124" s="151"/>
      <c r="BG124" s="163"/>
      <c r="BH124" s="2"/>
      <c r="BI124" s="2"/>
      <c r="BJ124" s="235"/>
      <c r="BK124" s="2"/>
      <c r="BL124" s="2"/>
      <c r="BM124" s="2"/>
      <c r="BN124" s="2"/>
      <c r="BO124" s="2"/>
      <c r="BP124" s="2"/>
    </row>
    <row r="125" spans="1:68">
      <c r="A125" s="180"/>
      <c r="B125" s="216" t="s">
        <v>567</v>
      </c>
      <c r="C125" s="354" t="str">
        <f t="shared" ref="C125:Q125" ca="1" si="174">IF(C9=$BC$23,"O",IF(C9=$BD$23,"O",IF(C9=$BE$23,"O",IF(C9=$BF$23,"O",IF(C9=$BG$23,"O",IF(C9=$BH$23,"O",IF(C9=$BI$23,"O",IF(C9=$BJ$23,"O",IF(C9=$BK$23,"O",IF(C9=$BL$23,"O",IF(C9=$BM$23,"O",IF(C9=$BN$23,"O",IF(C9=$BO$23,"O",IF(C9=$BP$23,"O",IF(C9=$BQ$23,"O",IF(C9=$BR$23,"O",IF(C9=$BS$23,"O",IF(C9=$BT$23,"O",IF(C9=$BU$23,"O",IF(C9=$BV$23,"O",IF(C9=$BW$23,"O",IF(C9=$BX$23,"O",IF(C9=$BY$23,"O",IF(C9=$BZ$23,"O",IF(C9=$CA$23,"O",IF(C9=$CB$23,"O",IF(C9=$CC$23,"O",IF(C9=$CD$23,"O",IF(C9=$CE$23,"O",IF(C9=$CF$23,"O",IF(C9=$CG$23,"O",IF(C9=$CH$23,"O",IF(C9=$CI$23,"O",IF(C9=$CJ$23,"O",IF(C9=$CK$23,"O",IF(C9=$CL$23,"O",IF(C9=$CM$23,"O",IF(C9=$CN$23,"O",IF(C9=$CO$23,"O",IF(C9=$CP$23,"O","X"))))))))))))))))))))))))))))))))))))))))</f>
        <v>X</v>
      </c>
      <c r="D125" s="354" t="str">
        <f t="shared" ca="1" si="174"/>
        <v>X</v>
      </c>
      <c r="E125" s="354" t="str">
        <f t="shared" ca="1" si="174"/>
        <v>O</v>
      </c>
      <c r="F125" s="354" t="str">
        <f t="shared" ca="1" si="174"/>
        <v>O</v>
      </c>
      <c r="G125" s="354" t="str">
        <f t="shared" ca="1" si="174"/>
        <v>O</v>
      </c>
      <c r="H125" s="354" t="str">
        <f t="shared" ca="1" si="174"/>
        <v>O</v>
      </c>
      <c r="I125" s="354" t="str">
        <f t="shared" ca="1" si="174"/>
        <v>O</v>
      </c>
      <c r="J125" s="354" t="str">
        <f t="shared" ca="1" si="174"/>
        <v>X</v>
      </c>
      <c r="K125" s="354" t="str">
        <f t="shared" ca="1" si="174"/>
        <v>X</v>
      </c>
      <c r="L125" s="354" t="str">
        <f t="shared" ca="1" si="174"/>
        <v>X</v>
      </c>
      <c r="M125" s="354" t="str">
        <f t="shared" ca="1" si="174"/>
        <v>O</v>
      </c>
      <c r="N125" s="354" t="str">
        <f t="shared" ca="1" si="174"/>
        <v>X</v>
      </c>
      <c r="O125" s="354" t="str">
        <f t="shared" ca="1" si="174"/>
        <v>O</v>
      </c>
      <c r="P125" s="354" t="str">
        <f t="shared" ca="1" si="174"/>
        <v>X</v>
      </c>
      <c r="Q125" s="354" t="str">
        <f t="shared" ca="1" si="174"/>
        <v>O</v>
      </c>
      <c r="R125" s="272" t="str">
        <f t="shared" ref="R125:AU125" si="175">IF(R9=$BC$23,"O",IF(R9=$BD$23,"O",IF(R9=$BE$23,"O",IF(R9=$BF$23,"O",IF(R9=$BG$23,"O",IF(R9=$BH$23,"O",IF(R9=$BI$23,"O",IF(R9=$BJ$23,"O",IF(R9=$BK$23,"O",IF(R9=$BL$23,"O",IF(R9=$BM$23,"O",IF(R9=$BN$23,"O",IF(R9=$BO$23,"O",IF(R9=$BP$23,"O",IF(R9=$BQ$23,"O",IF(R9=$BR$23,"O",IF(R9=$BS$23,"O",IF(R9=$BT$23,"O",IF(R9=$BU$23,"O",IF(R9=$BV$23,"O",IF(R9=$BW$23,"O",IF(R9=$BX$23,"O",IF(R9=$BY$23,"O",IF(R9=$BZ$23,"O",IF(R9=$CA$23,"O",IF(R9=$CB$23,"O","X"))))))))))))))))))))))))))</f>
        <v>X</v>
      </c>
      <c r="S125" s="272" t="str">
        <f t="shared" si="175"/>
        <v>X</v>
      </c>
      <c r="T125" s="272" t="str">
        <f t="shared" si="175"/>
        <v>X</v>
      </c>
      <c r="U125" s="272" t="str">
        <f t="shared" si="175"/>
        <v>X</v>
      </c>
      <c r="V125" s="272" t="str">
        <f t="shared" si="175"/>
        <v>X</v>
      </c>
      <c r="W125" s="272" t="str">
        <f t="shared" si="175"/>
        <v>X</v>
      </c>
      <c r="X125" s="272" t="str">
        <f t="shared" si="175"/>
        <v>X</v>
      </c>
      <c r="Y125" s="272" t="str">
        <f t="shared" si="175"/>
        <v>X</v>
      </c>
      <c r="Z125" s="272" t="str">
        <f t="shared" si="175"/>
        <v>X</v>
      </c>
      <c r="AA125" s="272" t="str">
        <f t="shared" si="175"/>
        <v>X</v>
      </c>
      <c r="AB125" s="272" t="str">
        <f t="shared" si="175"/>
        <v>X</v>
      </c>
      <c r="AC125" s="272" t="str">
        <f t="shared" si="175"/>
        <v>X</v>
      </c>
      <c r="AD125" s="272" t="str">
        <f t="shared" si="175"/>
        <v>X</v>
      </c>
      <c r="AE125" s="272" t="str">
        <f t="shared" si="175"/>
        <v>X</v>
      </c>
      <c r="AF125" s="272" t="str">
        <f t="shared" si="175"/>
        <v>X</v>
      </c>
      <c r="AG125" s="272" t="str">
        <f t="shared" si="175"/>
        <v>X</v>
      </c>
      <c r="AH125" s="272" t="str">
        <f t="shared" si="175"/>
        <v>X</v>
      </c>
      <c r="AI125" s="272" t="str">
        <f t="shared" si="175"/>
        <v>X</v>
      </c>
      <c r="AJ125" s="272" t="str">
        <f t="shared" si="175"/>
        <v>X</v>
      </c>
      <c r="AK125" s="272" t="str">
        <f t="shared" si="175"/>
        <v>X</v>
      </c>
      <c r="AL125" s="307" t="str">
        <f t="shared" si="175"/>
        <v>X</v>
      </c>
      <c r="AM125" s="307" t="str">
        <f t="shared" si="175"/>
        <v>X</v>
      </c>
      <c r="AN125" s="307" t="str">
        <f t="shared" si="175"/>
        <v>X</v>
      </c>
      <c r="AO125" s="307" t="str">
        <f t="shared" si="175"/>
        <v>X</v>
      </c>
      <c r="AP125" s="307" t="str">
        <f t="shared" si="175"/>
        <v>X</v>
      </c>
      <c r="AQ125" s="307" t="str">
        <f t="shared" si="175"/>
        <v>X</v>
      </c>
      <c r="AR125" s="307" t="str">
        <f t="shared" si="175"/>
        <v>X</v>
      </c>
      <c r="AS125" s="307" t="str">
        <f t="shared" si="175"/>
        <v>X</v>
      </c>
      <c r="AT125" s="307" t="str">
        <f t="shared" si="175"/>
        <v>X</v>
      </c>
      <c r="AU125" s="307" t="str">
        <f t="shared" si="175"/>
        <v>X</v>
      </c>
      <c r="AV125" s="296"/>
      <c r="AW125" s="296"/>
      <c r="AX125" s="206"/>
      <c r="BC125" s="151"/>
      <c r="BD125" s="151"/>
      <c r="BE125" s="151"/>
      <c r="BF125" s="151"/>
      <c r="BG125" s="163"/>
      <c r="BH125" s="2"/>
      <c r="BI125" s="2"/>
      <c r="BJ125" s="151"/>
      <c r="BK125" s="2"/>
      <c r="BL125" s="2"/>
      <c r="BM125" s="2"/>
      <c r="BN125" s="2"/>
      <c r="BO125" s="2"/>
      <c r="BP125" s="2"/>
    </row>
    <row r="126" spans="1:68">
      <c r="A126" s="180"/>
      <c r="B126" s="216" t="s">
        <v>568</v>
      </c>
      <c r="C126" s="354" t="str">
        <f t="shared" ref="C126:Q126" ca="1" si="176">IF(C10=$BC$23,"O",IF(C10=$BD$23,"O",IF(C10=$BE$23,"O",IF(C10=$BF$23,"O",IF(C10=$BG$23,"O",IF(C10=$BH$23,"O",IF(C10=$BI$23,"O",IF(C10=$BJ$23,"O",IF(C10=$BK$23,"O",IF(C10=$BL$23,"O",IF(C10=$BM$23,"O",IF(C10=$BN$23,"O",IF(C10=$BO$23,"O",IF(C10=$BP$23,"O",IF(C10=$BQ$23,"O",IF(C10=$BR$23,"O",IF(C10=$BS$23,"O",IF(C10=$BT$23,"O",IF(C10=$BU$23,"O",IF(C10=$BV$23,"O",IF(C10=$BW$23,"O",IF(C10=$BX$23,"O",IF(C10=$BY$23,"O",IF(C10=$BZ$23,"O",IF(C10=$CA$23,"O",IF(C10=$CB$23,"O",IF(C10=$CC$23,"O",IF(C10=$CD$23,"O",IF(C10=$CE$23,"O",IF(C10=$CF$23,"O",IF(C10=$CG$23,"O",IF(C10=$CH$23,"O",IF(C10=$CI$23,"O",IF(C10=$CJ$23,"O",IF(C10=$CK$23,"O",IF(C10=$CL$23,"O",IF(C10=$CM$23,"O",IF(C10=$CN$23,"O",IF(C10=$CO$23,"O",IF(C10=$CP$23,"O","X"))))))))))))))))))))))))))))))))))))))))</f>
        <v>X</v>
      </c>
      <c r="D126" s="354" t="str">
        <f t="shared" ca="1" si="176"/>
        <v>O</v>
      </c>
      <c r="E126" s="354" t="str">
        <f t="shared" ca="1" si="176"/>
        <v>X</v>
      </c>
      <c r="F126" s="354" t="str">
        <f t="shared" ca="1" si="176"/>
        <v>O</v>
      </c>
      <c r="G126" s="354" t="str">
        <f t="shared" ca="1" si="176"/>
        <v>X</v>
      </c>
      <c r="H126" s="354" t="str">
        <f t="shared" ca="1" si="176"/>
        <v>O</v>
      </c>
      <c r="I126" s="354" t="str">
        <f t="shared" ca="1" si="176"/>
        <v>X</v>
      </c>
      <c r="J126" s="354" t="str">
        <f t="shared" ca="1" si="176"/>
        <v>O</v>
      </c>
      <c r="K126" s="354" t="str">
        <f t="shared" ca="1" si="176"/>
        <v>O</v>
      </c>
      <c r="L126" s="354" t="str">
        <f t="shared" ca="1" si="176"/>
        <v>X</v>
      </c>
      <c r="M126" s="354" t="str">
        <f t="shared" ca="1" si="176"/>
        <v>O</v>
      </c>
      <c r="N126" s="354" t="str">
        <f t="shared" ca="1" si="176"/>
        <v>O</v>
      </c>
      <c r="O126" s="354" t="str">
        <f t="shared" ca="1" si="176"/>
        <v>X</v>
      </c>
      <c r="P126" s="354" t="str">
        <f t="shared" ca="1" si="176"/>
        <v>X</v>
      </c>
      <c r="Q126" s="354" t="str">
        <f t="shared" ca="1" si="176"/>
        <v>X</v>
      </c>
      <c r="R126" s="272" t="str">
        <f t="shared" ref="R126:AU126" si="177">IF(R10=$BC$23,"O",IF(R10=$BD$23,"O",IF(R10=$BE$23,"O",IF(R10=$BF$23,"O",IF(R10=$BG$23,"O",IF(R10=$BH$23,"O",IF(R10=$BI$23,"O",IF(R10=$BJ$23,"O",IF(R10=$BK$23,"O",IF(R10=$BL$23,"O",IF(R10=$BM$23,"O",IF(R10=$BN$23,"O",IF(R10=$BO$23,"O",IF(R10=$BP$23,"O",IF(R10=$BQ$23,"O",IF(R10=$BR$23,"O",IF(R10=$BS$23,"O",IF(R10=$BT$23,"O",IF(R10=$BU$23,"O",IF(R10=$BV$23,"O",IF(R10=$BW$23,"O",IF(R10=$BX$23,"O",IF(R10=$BY$23,"O",IF(R10=$BZ$23,"O",IF(R10=$CA$23,"O",IF(R10=$CB$23,"O","X"))))))))))))))))))))))))))</f>
        <v>X</v>
      </c>
      <c r="S126" s="272" t="str">
        <f t="shared" si="177"/>
        <v>X</v>
      </c>
      <c r="T126" s="272" t="str">
        <f t="shared" si="177"/>
        <v>X</v>
      </c>
      <c r="U126" s="272" t="str">
        <f t="shared" si="177"/>
        <v>X</v>
      </c>
      <c r="V126" s="272" t="str">
        <f t="shared" si="177"/>
        <v>X</v>
      </c>
      <c r="W126" s="272" t="str">
        <f t="shared" si="177"/>
        <v>X</v>
      </c>
      <c r="X126" s="272" t="str">
        <f t="shared" si="177"/>
        <v>X</v>
      </c>
      <c r="Y126" s="272" t="str">
        <f t="shared" si="177"/>
        <v>X</v>
      </c>
      <c r="Z126" s="272" t="str">
        <f t="shared" si="177"/>
        <v>X</v>
      </c>
      <c r="AA126" s="272" t="str">
        <f t="shared" si="177"/>
        <v>X</v>
      </c>
      <c r="AB126" s="272" t="str">
        <f t="shared" si="177"/>
        <v>X</v>
      </c>
      <c r="AC126" s="272" t="str">
        <f t="shared" si="177"/>
        <v>X</v>
      </c>
      <c r="AD126" s="272" t="str">
        <f t="shared" si="177"/>
        <v>X</v>
      </c>
      <c r="AE126" s="272" t="str">
        <f t="shared" si="177"/>
        <v>X</v>
      </c>
      <c r="AF126" s="272" t="str">
        <f t="shared" si="177"/>
        <v>X</v>
      </c>
      <c r="AG126" s="272" t="str">
        <f t="shared" si="177"/>
        <v>X</v>
      </c>
      <c r="AH126" s="272" t="str">
        <f t="shared" si="177"/>
        <v>X</v>
      </c>
      <c r="AI126" s="272" t="str">
        <f t="shared" si="177"/>
        <v>X</v>
      </c>
      <c r="AJ126" s="272" t="str">
        <f t="shared" si="177"/>
        <v>X</v>
      </c>
      <c r="AK126" s="272" t="str">
        <f t="shared" si="177"/>
        <v>X</v>
      </c>
      <c r="AL126" s="307" t="str">
        <f t="shared" si="177"/>
        <v>X</v>
      </c>
      <c r="AM126" s="307" t="str">
        <f t="shared" si="177"/>
        <v>X</v>
      </c>
      <c r="AN126" s="307" t="str">
        <f t="shared" si="177"/>
        <v>X</v>
      </c>
      <c r="AO126" s="307" t="str">
        <f t="shared" si="177"/>
        <v>X</v>
      </c>
      <c r="AP126" s="307" t="str">
        <f t="shared" si="177"/>
        <v>X</v>
      </c>
      <c r="AQ126" s="307" t="str">
        <f t="shared" si="177"/>
        <v>X</v>
      </c>
      <c r="AR126" s="307" t="str">
        <f t="shared" si="177"/>
        <v>X</v>
      </c>
      <c r="AS126" s="307" t="str">
        <f t="shared" si="177"/>
        <v>X</v>
      </c>
      <c r="AT126" s="307" t="str">
        <f t="shared" si="177"/>
        <v>X</v>
      </c>
      <c r="AU126" s="307" t="str">
        <f t="shared" si="177"/>
        <v>X</v>
      </c>
      <c r="AV126" s="296"/>
      <c r="AW126" s="296"/>
      <c r="AX126" s="206"/>
      <c r="BC126" s="151"/>
      <c r="BD126" s="151"/>
      <c r="BE126" s="151"/>
      <c r="BF126" s="151"/>
      <c r="BG126" s="163"/>
      <c r="BH126" s="2"/>
      <c r="BI126" s="2"/>
      <c r="BJ126" s="151"/>
      <c r="BK126" s="2"/>
      <c r="BL126" s="2"/>
      <c r="BM126" s="2"/>
      <c r="BN126" s="2"/>
      <c r="BO126" s="2"/>
      <c r="BP126" s="2"/>
    </row>
    <row r="127" spans="1:68">
      <c r="A127" s="180"/>
      <c r="B127" s="216" t="s">
        <v>569</v>
      </c>
      <c r="C127" s="354" t="str">
        <f t="shared" ref="C127:Q127" ca="1" si="178">IF(C11=$BC$23,"O",IF(C11=$BD$23,"O",IF(C11=$BE$23,"O",IF(C11=$BF$23,"O",IF(C11=$BG$23,"O",IF(C11=$BH$23,"O",IF(C11=$BI$23,"O",IF(C11=$BJ$23,"O",IF(C11=$BK$23,"O",IF(C11=$BL$23,"O",IF(C11=$BM$23,"O",IF(C11=$BN$23,"O",IF(C11=$BO$23,"O",IF(C11=$BP$23,"O",IF(C11=$BQ$23,"O",IF(C11=$BR$23,"O",IF(C11=$BS$23,"O",IF(C11=$BT$23,"O",IF(C11=$BU$23,"O",IF(C11=$BV$23,"O",IF(C11=$BW$23,"O",IF(C11=$BX$23,"O",IF(C11=$BY$23,"O",IF(C11=$BZ$23,"O",IF(C11=$CA$23,"O",IF(C11=$CB$23,"O",IF(C11=$CC$23,"O",IF(C11=$CD$23,"O",IF(C11=$CE$23,"O",IF(C11=$CF$23,"O",IF(C11=$CG$23,"O",IF(C11=$CH$23,"O",IF(C11=$CI$23,"O",IF(C11=$CJ$23,"O",IF(C11=$CK$23,"O",IF(C11=$CL$23,"O",IF(C11=$CM$23,"O",IF(C11=$CN$23,"O",IF(C11=$CO$23,"O",IF(C11=$CP$23,"O","X"))))))))))))))))))))))))))))))))))))))))</f>
        <v>X</v>
      </c>
      <c r="D127" s="354" t="str">
        <f t="shared" ca="1" si="178"/>
        <v>X</v>
      </c>
      <c r="E127" s="354" t="str">
        <f t="shared" ca="1" si="178"/>
        <v>X</v>
      </c>
      <c r="F127" s="354" t="str">
        <f t="shared" ca="1" si="178"/>
        <v>X</v>
      </c>
      <c r="G127" s="354" t="str">
        <f t="shared" ca="1" si="178"/>
        <v>O</v>
      </c>
      <c r="H127" s="354" t="str">
        <f t="shared" ca="1" si="178"/>
        <v>X</v>
      </c>
      <c r="I127" s="354" t="str">
        <f t="shared" ca="1" si="178"/>
        <v>O</v>
      </c>
      <c r="J127" s="354" t="str">
        <f t="shared" ca="1" si="178"/>
        <v>O</v>
      </c>
      <c r="K127" s="354" t="str">
        <f t="shared" ca="1" si="178"/>
        <v>X</v>
      </c>
      <c r="L127" s="354" t="str">
        <f t="shared" ca="1" si="178"/>
        <v>O</v>
      </c>
      <c r="M127" s="354" t="str">
        <f t="shared" ca="1" si="178"/>
        <v>O</v>
      </c>
      <c r="N127" s="354" t="str">
        <f t="shared" ca="1" si="178"/>
        <v>X</v>
      </c>
      <c r="O127" s="354" t="str">
        <f t="shared" ca="1" si="178"/>
        <v>X</v>
      </c>
      <c r="P127" s="354" t="str">
        <f t="shared" ca="1" si="178"/>
        <v>X</v>
      </c>
      <c r="Q127" s="354" t="str">
        <f t="shared" ca="1" si="178"/>
        <v>O</v>
      </c>
      <c r="R127" s="272" t="str">
        <f t="shared" ref="R127:AU127" si="179">IF(R11=$BC$23,"O",IF(R11=$BD$23,"O",IF(R11=$BE$23,"O",IF(R11=$BF$23,"O",IF(R11=$BG$23,"O",IF(R11=$BH$23,"O",IF(R11=$BI$23,"O",IF(R11=$BJ$23,"O",IF(R11=$BK$23,"O",IF(R11=$BL$23,"O",IF(R11=$BM$23,"O",IF(R11=$BN$23,"O",IF(R11=$BO$23,"O",IF(R11=$BP$23,"O",IF(R11=$BQ$23,"O",IF(R11=$BR$23,"O",IF(R11=$BS$23,"O",IF(R11=$BT$23,"O",IF(R11=$BU$23,"O",IF(R11=$BV$23,"O",IF(R11=$BW$23,"O",IF(R11=$BX$23,"O",IF(R11=$BY$23,"O",IF(R11=$BZ$23,"O",IF(R11=$CA$23,"O",IF(R11=$CB$23,"O","X"))))))))))))))))))))))))))</f>
        <v>X</v>
      </c>
      <c r="S127" s="272" t="str">
        <f t="shared" si="179"/>
        <v>X</v>
      </c>
      <c r="T127" s="272" t="str">
        <f t="shared" si="179"/>
        <v>X</v>
      </c>
      <c r="U127" s="272" t="str">
        <f t="shared" si="179"/>
        <v>X</v>
      </c>
      <c r="V127" s="272" t="str">
        <f t="shared" si="179"/>
        <v>X</v>
      </c>
      <c r="W127" s="272" t="str">
        <f t="shared" si="179"/>
        <v>X</v>
      </c>
      <c r="X127" s="272" t="str">
        <f t="shared" si="179"/>
        <v>X</v>
      </c>
      <c r="Y127" s="272" t="str">
        <f t="shared" si="179"/>
        <v>X</v>
      </c>
      <c r="Z127" s="272" t="str">
        <f t="shared" si="179"/>
        <v>X</v>
      </c>
      <c r="AA127" s="272" t="str">
        <f t="shared" si="179"/>
        <v>X</v>
      </c>
      <c r="AB127" s="272" t="str">
        <f t="shared" si="179"/>
        <v>X</v>
      </c>
      <c r="AC127" s="272" t="str">
        <f t="shared" si="179"/>
        <v>X</v>
      </c>
      <c r="AD127" s="272" t="str">
        <f t="shared" si="179"/>
        <v>X</v>
      </c>
      <c r="AE127" s="272" t="str">
        <f t="shared" si="179"/>
        <v>X</v>
      </c>
      <c r="AF127" s="272" t="str">
        <f t="shared" si="179"/>
        <v>X</v>
      </c>
      <c r="AG127" s="272" t="str">
        <f t="shared" si="179"/>
        <v>X</v>
      </c>
      <c r="AH127" s="272" t="str">
        <f t="shared" si="179"/>
        <v>X</v>
      </c>
      <c r="AI127" s="272" t="str">
        <f t="shared" si="179"/>
        <v>X</v>
      </c>
      <c r="AJ127" s="272" t="str">
        <f t="shared" si="179"/>
        <v>X</v>
      </c>
      <c r="AK127" s="272" t="str">
        <f t="shared" si="179"/>
        <v>X</v>
      </c>
      <c r="AL127" s="307" t="str">
        <f t="shared" si="179"/>
        <v>X</v>
      </c>
      <c r="AM127" s="307" t="str">
        <f t="shared" si="179"/>
        <v>X</v>
      </c>
      <c r="AN127" s="307" t="str">
        <f t="shared" si="179"/>
        <v>X</v>
      </c>
      <c r="AO127" s="307" t="str">
        <f t="shared" si="179"/>
        <v>X</v>
      </c>
      <c r="AP127" s="307" t="str">
        <f t="shared" si="179"/>
        <v>X</v>
      </c>
      <c r="AQ127" s="307" t="str">
        <f t="shared" si="179"/>
        <v>X</v>
      </c>
      <c r="AR127" s="307" t="str">
        <f t="shared" si="179"/>
        <v>X</v>
      </c>
      <c r="AS127" s="307" t="str">
        <f t="shared" si="179"/>
        <v>X</v>
      </c>
      <c r="AT127" s="307" t="str">
        <f t="shared" si="179"/>
        <v>X</v>
      </c>
      <c r="AU127" s="307" t="str">
        <f t="shared" si="179"/>
        <v>X</v>
      </c>
      <c r="AV127" s="296"/>
      <c r="AW127" s="296"/>
      <c r="AX127" s="206"/>
      <c r="BC127" s="151"/>
      <c r="BD127" s="151"/>
      <c r="BE127" s="151"/>
      <c r="BF127" s="151"/>
      <c r="BG127" s="163"/>
      <c r="BH127" s="2"/>
      <c r="BI127" s="2"/>
      <c r="BJ127" s="151"/>
      <c r="BK127" s="2"/>
      <c r="BL127" s="2"/>
      <c r="BM127" s="2"/>
      <c r="BN127" s="2"/>
      <c r="BO127" s="2"/>
      <c r="BP127" s="2"/>
    </row>
    <row r="128" spans="1:68">
      <c r="A128" s="180"/>
      <c r="B128" s="214" t="s">
        <v>540</v>
      </c>
      <c r="C128" s="354" t="str">
        <f t="shared" ref="C128:P128" ca="1" si="180">IF(C12=$BC$23,"O",IF(C12=$BD$23,"O",IF(C12=$BE$23,"O",IF(C12=$BF$23,"O",IF(C12=$BG$23,"O",IF(C12=$BH$23,"O",IF(C12=$BI$23,"O",IF(C12=$BJ$23,"O",IF(C12=$BK$23,"O",IF(C12=$BL$23,"O",IF(C12=$BM$23,"O",IF(C12=$BN$23,"O",IF(C12=$BO$23,"O",IF(C12=$BP$23,"O",IF(C12=$BQ$23,"O",IF(C12=$BR$23,"O",IF(C12=$BS$23,"O",IF(C12=$BT$23,"O",IF(C12=$BU$23,"O",IF(C12=$BV$23,"O",IF(C12=$BW$23,"O",IF(C12=$BX$23,"O",IF(C12=$BY$23,"O",IF(C12=$BZ$23,"O",IF(C12=$CA$23,"O",IF(C12=$CB$23,"O",IF(C12=$CC$23,"O",IF(C12=$CD$23,"O",IF(C12=$CE$23,"O",IF(C12=$CF$23,"O",IF(C12=$CG$23,"O",IF(C12=$CH$23,"O",IF(C12=$CI$23,"O",IF(C12=$CJ$23,"O",IF(C12=$CK$23,"O",IF(C12=$CL$23,"O",IF(C12=$CM$23,"O",IF(C12=$CN$23,"O",IF(C12=$CO$23,"O",IF(C12=$CP$23,"O","X"))))))))))))))))))))))))))))))))))))))))</f>
        <v>X</v>
      </c>
      <c r="D128" s="354" t="str">
        <f t="shared" ca="1" si="180"/>
        <v>X</v>
      </c>
      <c r="E128" s="354" t="str">
        <f t="shared" ca="1" si="180"/>
        <v>O</v>
      </c>
      <c r="F128" s="354" t="str">
        <f t="shared" ca="1" si="180"/>
        <v>O</v>
      </c>
      <c r="G128" s="354" t="str">
        <f t="shared" ca="1" si="180"/>
        <v>O</v>
      </c>
      <c r="H128" s="354" t="str">
        <f t="shared" ca="1" si="180"/>
        <v>X</v>
      </c>
      <c r="I128" s="354" t="str">
        <f t="shared" ca="1" si="180"/>
        <v>X</v>
      </c>
      <c r="J128" s="354" t="str">
        <f t="shared" ca="1" si="180"/>
        <v>O</v>
      </c>
      <c r="K128" s="354" t="str">
        <f t="shared" ca="1" si="180"/>
        <v>X</v>
      </c>
      <c r="L128" s="354" t="str">
        <f t="shared" ca="1" si="180"/>
        <v>O</v>
      </c>
      <c r="M128" s="354" t="str">
        <f t="shared" ca="1" si="180"/>
        <v>O</v>
      </c>
      <c r="N128" s="354" t="str">
        <f t="shared" ca="1" si="180"/>
        <v>O</v>
      </c>
      <c r="O128" s="354" t="str">
        <f t="shared" ca="1" si="180"/>
        <v>X</v>
      </c>
      <c r="P128" s="354" t="str">
        <f t="shared" ca="1" si="180"/>
        <v>X</v>
      </c>
      <c r="Q128" s="354" t="str">
        <f ca="1">IF(Q12=$BC$23,"O",IF(Q12=$BD$23,"O",IF(Q12=$BE$23,"O",IF(Q12=$BF$23,"O",IF(Q12=$BG$23,"O",IF(Q12=$BH$23,"O",IF(Q12=$BI$23,"O",IF(Q12=$BJ$23,"O",IF(Q12=$BK$23,"O",IF(Q12=$BL$23,"O",IF(Q12=$BM$23,"O",IF(Q12=$BN$23,"O",IF(Q12=$BO$23,"O",IF(Q12=$BP$23,"O",IF(Q12=$BQ$23,"O",IF(Q12=$BR$23,"O",IF(Q12=$BS$23,"O",IF(Q12=$BT$23,"O",IF(Q12=$BU$23,"O",IF(Q12=$BV$23,"O",IF(Q12=$BW$23,"O",IF(Q12=$BX$23,"O",IF(Q12=$BY$23,"O",IF(Q12=$BZ$23,"O",IF(Q12=$CA$23,"O",IF(Q12=$CB$23,"O",IF(Q12=$CC$23,"O",IF(Q12=$CD$23,"O",IF(Q12=$CE$23,"O",IF(Q12=$CF$23,"O",IF(Q12=$CG$23,"O",IF(Q12=$CH$23,"O",IF(Q12=$CI$23,"O",IF(Q12=$CJ$23,"O",IF(Q12=$CK$23,"O",IF(Q12=$CL$23,"O",IF(Q12=$CM$23,"O",IF(Q12=$CN$23,"O",IF(Q12=$CO$23,"O",IF(Q12=$CP$23,"O","X"))))))))))))))))))))))))))))))))))))))))</f>
        <v>O</v>
      </c>
      <c r="R128" s="272" t="str">
        <f t="shared" ref="R128:AU128" si="181">IF(R12=$BC$23,"O",IF(R12=$BD$23,"O",IF(R12=$BE$23,"O",IF(R12=$BF$23,"O",IF(R12=$BG$23,"O",IF(R12=$BH$23,"O",IF(R12=$BI$23,"O",IF(R12=$BJ$23,"O",IF(R12=$BK$23,"O",IF(R12=$BL$23,"O",IF(R12=$BM$23,"O",IF(R12=$BN$23,"O",IF(R12=$BO$23,"O",IF(R12=$BP$23,"O",IF(R12=$BQ$23,"O",IF(R12=$BR$23,"O",IF(R12=$BS$23,"O",IF(R12=$BT$23,"O",IF(R12=$BU$23,"O",IF(R12=$BV$23,"O",IF(R12=$BW$23,"O",IF(R12=$BX$23,"O",IF(R12=$BY$23,"O",IF(R12=$BZ$23,"O",IF(R12=$CA$23,"O",IF(R12=$CB$23,"O","X"))))))))))))))))))))))))))</f>
        <v>X</v>
      </c>
      <c r="S128" s="272" t="str">
        <f t="shared" si="181"/>
        <v>X</v>
      </c>
      <c r="T128" s="272" t="str">
        <f t="shared" si="181"/>
        <v>X</v>
      </c>
      <c r="U128" s="272" t="str">
        <f t="shared" si="181"/>
        <v>X</v>
      </c>
      <c r="V128" s="272" t="str">
        <f t="shared" si="181"/>
        <v>X</v>
      </c>
      <c r="W128" s="272" t="str">
        <f t="shared" si="181"/>
        <v>X</v>
      </c>
      <c r="X128" s="272" t="str">
        <f t="shared" si="181"/>
        <v>X</v>
      </c>
      <c r="Y128" s="272" t="str">
        <f t="shared" si="181"/>
        <v>X</v>
      </c>
      <c r="Z128" s="272" t="str">
        <f t="shared" si="181"/>
        <v>X</v>
      </c>
      <c r="AA128" s="272" t="str">
        <f t="shared" si="181"/>
        <v>X</v>
      </c>
      <c r="AB128" s="272" t="str">
        <f t="shared" si="181"/>
        <v>X</v>
      </c>
      <c r="AC128" s="272" t="str">
        <f t="shared" si="181"/>
        <v>X</v>
      </c>
      <c r="AD128" s="272" t="str">
        <f t="shared" si="181"/>
        <v>X</v>
      </c>
      <c r="AE128" s="272" t="str">
        <f t="shared" si="181"/>
        <v>X</v>
      </c>
      <c r="AF128" s="272" t="str">
        <f t="shared" si="181"/>
        <v>X</v>
      </c>
      <c r="AG128" s="272" t="str">
        <f t="shared" si="181"/>
        <v>X</v>
      </c>
      <c r="AH128" s="272" t="str">
        <f t="shared" si="181"/>
        <v>X</v>
      </c>
      <c r="AI128" s="272" t="str">
        <f t="shared" si="181"/>
        <v>X</v>
      </c>
      <c r="AJ128" s="272" t="str">
        <f t="shared" si="181"/>
        <v>X</v>
      </c>
      <c r="AK128" s="272" t="str">
        <f t="shared" si="181"/>
        <v>X</v>
      </c>
      <c r="AL128" s="307" t="str">
        <f t="shared" si="181"/>
        <v>X</v>
      </c>
      <c r="AM128" s="307" t="str">
        <f t="shared" si="181"/>
        <v>X</v>
      </c>
      <c r="AN128" s="307" t="str">
        <f t="shared" si="181"/>
        <v>X</v>
      </c>
      <c r="AO128" s="307" t="str">
        <f t="shared" si="181"/>
        <v>X</v>
      </c>
      <c r="AP128" s="307" t="str">
        <f t="shared" si="181"/>
        <v>X</v>
      </c>
      <c r="AQ128" s="307" t="str">
        <f t="shared" si="181"/>
        <v>X</v>
      </c>
      <c r="AR128" s="307" t="str">
        <f t="shared" si="181"/>
        <v>X</v>
      </c>
      <c r="AS128" s="307" t="str">
        <f t="shared" si="181"/>
        <v>X</v>
      </c>
      <c r="AT128" s="307" t="str">
        <f t="shared" si="181"/>
        <v>X</v>
      </c>
      <c r="AU128" s="307" t="str">
        <f t="shared" si="181"/>
        <v>X</v>
      </c>
      <c r="AV128" s="296"/>
      <c r="AW128" s="296"/>
      <c r="AX128" s="206"/>
      <c r="BC128" s="151"/>
      <c r="BD128" s="151"/>
      <c r="BE128" s="151"/>
      <c r="BF128" s="151"/>
      <c r="BG128" s="163"/>
      <c r="BH128" s="2"/>
      <c r="BI128" s="2"/>
      <c r="BJ128" s="235"/>
      <c r="BK128" s="2"/>
      <c r="BL128" s="2"/>
      <c r="BM128" s="2"/>
      <c r="BN128" s="2"/>
      <c r="BO128" s="2"/>
      <c r="BP128" s="2"/>
    </row>
    <row r="129" spans="1:68">
      <c r="A129" s="181"/>
      <c r="B129" s="111" t="s">
        <v>663</v>
      </c>
      <c r="C129" s="172">
        <f ca="1">COUNTIF(C123:C128,"O")</f>
        <v>2</v>
      </c>
      <c r="D129" s="172">
        <f t="shared" ref="D129:Q129" ca="1" si="182">COUNTIF(D123:D128,"O")</f>
        <v>2</v>
      </c>
      <c r="E129" s="172">
        <f t="shared" ca="1" si="182"/>
        <v>3</v>
      </c>
      <c r="F129" s="172">
        <f t="shared" ca="1" si="182"/>
        <v>5</v>
      </c>
      <c r="G129" s="172">
        <f t="shared" ca="1" si="182"/>
        <v>4</v>
      </c>
      <c r="H129" s="172">
        <f t="shared" ca="1" si="182"/>
        <v>2</v>
      </c>
      <c r="I129" s="172">
        <f t="shared" ca="1" si="182"/>
        <v>2</v>
      </c>
      <c r="J129" s="172">
        <f t="shared" ca="1" si="182"/>
        <v>4</v>
      </c>
      <c r="K129" s="172">
        <f t="shared" ca="1" si="182"/>
        <v>2</v>
      </c>
      <c r="L129" s="172">
        <f t="shared" ca="1" si="182"/>
        <v>2</v>
      </c>
      <c r="M129" s="172">
        <f t="shared" ca="1" si="182"/>
        <v>5</v>
      </c>
      <c r="N129" s="172">
        <f t="shared" ca="1" si="182"/>
        <v>2</v>
      </c>
      <c r="O129" s="172">
        <f t="shared" ca="1" si="182"/>
        <v>2</v>
      </c>
      <c r="P129" s="172">
        <f t="shared" ca="1" si="182"/>
        <v>0</v>
      </c>
      <c r="Q129" s="172">
        <f t="shared" ca="1" si="182"/>
        <v>4</v>
      </c>
      <c r="R129" s="172">
        <f t="shared" ref="R129:AK129" si="183">COUNTIF(R123:R128,"O")</f>
        <v>0</v>
      </c>
      <c r="S129" s="172">
        <f t="shared" si="183"/>
        <v>0</v>
      </c>
      <c r="T129" s="172">
        <f t="shared" si="183"/>
        <v>0</v>
      </c>
      <c r="U129" s="172">
        <f t="shared" si="183"/>
        <v>0</v>
      </c>
      <c r="V129" s="172">
        <f t="shared" si="183"/>
        <v>0</v>
      </c>
      <c r="W129" s="172">
        <f t="shared" si="183"/>
        <v>0</v>
      </c>
      <c r="X129" s="172">
        <f t="shared" si="183"/>
        <v>0</v>
      </c>
      <c r="Y129" s="172">
        <f t="shared" si="183"/>
        <v>0</v>
      </c>
      <c r="Z129" s="172">
        <f t="shared" si="183"/>
        <v>0</v>
      </c>
      <c r="AA129" s="172">
        <f t="shared" si="183"/>
        <v>0</v>
      </c>
      <c r="AB129" s="172">
        <f t="shared" si="183"/>
        <v>0</v>
      </c>
      <c r="AC129" s="172">
        <f t="shared" si="183"/>
        <v>0</v>
      </c>
      <c r="AD129" s="172">
        <f t="shared" si="183"/>
        <v>0</v>
      </c>
      <c r="AE129" s="172">
        <f t="shared" si="183"/>
        <v>0</v>
      </c>
      <c r="AF129" s="172">
        <f t="shared" si="183"/>
        <v>0</v>
      </c>
      <c r="AG129" s="172">
        <f t="shared" si="183"/>
        <v>0</v>
      </c>
      <c r="AH129" s="172">
        <f t="shared" si="183"/>
        <v>0</v>
      </c>
      <c r="AI129" s="172">
        <f t="shared" si="183"/>
        <v>0</v>
      </c>
      <c r="AJ129" s="172">
        <f t="shared" si="183"/>
        <v>0</v>
      </c>
      <c r="AK129" s="172">
        <f t="shared" si="183"/>
        <v>0</v>
      </c>
      <c r="AL129" s="172">
        <f t="shared" ref="AL129:AU129" si="184">COUNTIF(AL123:AL128,"O")</f>
        <v>0</v>
      </c>
      <c r="AM129" s="172">
        <f t="shared" si="184"/>
        <v>0</v>
      </c>
      <c r="AN129" s="172">
        <f t="shared" si="184"/>
        <v>0</v>
      </c>
      <c r="AO129" s="172">
        <f t="shared" si="184"/>
        <v>0</v>
      </c>
      <c r="AP129" s="172">
        <f t="shared" si="184"/>
        <v>0</v>
      </c>
      <c r="AQ129" s="172">
        <f t="shared" si="184"/>
        <v>0</v>
      </c>
      <c r="AR129" s="172">
        <f t="shared" si="184"/>
        <v>0</v>
      </c>
      <c r="AS129" s="172">
        <f t="shared" si="184"/>
        <v>0</v>
      </c>
      <c r="AT129" s="172">
        <f t="shared" si="184"/>
        <v>0</v>
      </c>
      <c r="AU129" s="172">
        <f t="shared" si="184"/>
        <v>0</v>
      </c>
      <c r="AV129" s="255"/>
      <c r="AW129" s="255"/>
      <c r="AX129" s="255"/>
      <c r="BC129" s="151"/>
      <c r="BD129" s="151"/>
      <c r="BE129" s="151"/>
      <c r="BF129" s="151"/>
      <c r="BG129" s="163"/>
      <c r="BH129" s="2"/>
      <c r="BI129" s="2"/>
      <c r="BJ129" s="235"/>
      <c r="BK129" s="164"/>
      <c r="BL129" s="164"/>
      <c r="BM129" s="168"/>
      <c r="BN129" s="168"/>
      <c r="BO129" s="2"/>
      <c r="BP129" s="2"/>
    </row>
    <row r="130" spans="1:68">
      <c r="A130" s="179" t="s">
        <v>844</v>
      </c>
      <c r="B130" s="216" t="s">
        <v>560</v>
      </c>
      <c r="C130" s="347" t="str">
        <f ca="1">IF(C7=$BC$24,"O",IF(C7=$BD$24,"O",IF(C7=$BE$24,"O",IF(C7=$BF$24,"O",IF(C7=$BG$24,"O",IF(C7=$BH$24,"O",IF(C7=$BI$24,"O",IF(C7=$BJ$24,"O",IF(C7=$BK$24,"O",IF(C7=$BL$24,"O",IF(C7=$BM$24,"O",IF(C7=$BN$24,"O",IF(C7=$BO$24,"O",IF(C7=$BP$24,"O",IF(C7=$BQ$24,"O",IF(C7=$BR$24,"O",IF(C7=$BS$24,"O",IF(C7=$BT$24,"O",IF(C7=$BU$24,"O",IF(C7=$BV$24,"O",IF(C7=$BW$24,"O",IF(C7=$BX$24,"O",IF(C7=$BY$24,"O",IF(C7=$BZ$24,"O",IF(C7=$CA$24,"O",IF(C7=$CB$24,"O",IF(C7=$CC$24,"O",IF(C7=$CD$24,"O",IF(C7=$CE$24,"O",IF(C7=$CF$24,"O",IF(C7=$CG$24,"O",IF(C7=$CH$24,"O",IF(C7=$CI$24,"O",IF(C7=$CJ$24,"O",IF(C7=$CK$24,"O",IF(C7=$CL$24,"O",IF(C7=$CM$24,"O",IF(C7=$CN$24,"O",IF(C7=$CO$24,"O",IF(C7=$CP$24,"O","X"))))))))))))))))))))))))))))))))))))))))</f>
        <v>X</v>
      </c>
      <c r="D130" s="354" t="str">
        <f t="shared" ref="D130:Q130" ca="1" si="185">IF(D7=$BC$24,"O",IF(D7=$BD$24,"O",IF(D7=$BE$24,"O",IF(D7=$BF$24,"O",IF(D7=$BG$24,"O",IF(D7=$BH$24,"O",IF(D7=$BI$24,"O",IF(D7=$BJ$24,"O",IF(D7=$BK$24,"O",IF(D7=$BL$24,"O",IF(D7=$BM$24,"O",IF(D7=$BN$24,"O",IF(D7=$BO$24,"O",IF(D7=$BP$24,"O",IF(D7=$BQ$24,"O",IF(D7=$BR$24,"O",IF(D7=$BS$24,"O",IF(D7=$BT$24,"O",IF(D7=$BU$24,"O",IF(D7=$BV$24,"O",IF(D7=$BW$24,"O",IF(D7=$BX$24,"O",IF(D7=$BY$24,"O",IF(D7=$BZ$24,"O",IF(D7=$CA$24,"O",IF(D7=$CB$24,"O",IF(D7=$CC$24,"O",IF(D7=$CD$24,"O",IF(D7=$CE$24,"O",IF(D7=$CF$24,"O",IF(D7=$CG$24,"O",IF(D7=$CH$24,"O",IF(D7=$CI$24,"O",IF(D7=$CJ$24,"O",IF(D7=$CK$24,"O",IF(D7=$CL$24,"O",IF(D7=$CM$24,"O",IF(D7=$CN$24,"O",IF(D7=$CO$24,"O",IF(D7=$CP$24,"O","X"))))))))))))))))))))))))))))))))))))))))</f>
        <v>X</v>
      </c>
      <c r="E130" s="354" t="str">
        <f t="shared" ca="1" si="185"/>
        <v>X</v>
      </c>
      <c r="F130" s="354" t="str">
        <f t="shared" ca="1" si="185"/>
        <v>O</v>
      </c>
      <c r="G130" s="354" t="str">
        <f t="shared" ca="1" si="185"/>
        <v>O</v>
      </c>
      <c r="H130" s="354" t="str">
        <f t="shared" ca="1" si="185"/>
        <v>X</v>
      </c>
      <c r="I130" s="354" t="str">
        <f t="shared" ca="1" si="185"/>
        <v>X</v>
      </c>
      <c r="J130" s="354" t="str">
        <f t="shared" ca="1" si="185"/>
        <v>O</v>
      </c>
      <c r="K130" s="354" t="str">
        <f t="shared" ca="1" si="185"/>
        <v>O</v>
      </c>
      <c r="L130" s="354" t="str">
        <f t="shared" ca="1" si="185"/>
        <v>O</v>
      </c>
      <c r="M130" s="354" t="str">
        <f t="shared" ca="1" si="185"/>
        <v>O</v>
      </c>
      <c r="N130" s="354" t="str">
        <f t="shared" ca="1" si="185"/>
        <v>X</v>
      </c>
      <c r="O130" s="354" t="str">
        <f t="shared" ca="1" si="185"/>
        <v>X</v>
      </c>
      <c r="P130" s="354" t="str">
        <f t="shared" ca="1" si="185"/>
        <v>O</v>
      </c>
      <c r="Q130" s="354" t="str">
        <f t="shared" ca="1" si="185"/>
        <v>O</v>
      </c>
      <c r="R130" s="272" t="e">
        <f>IF(R7=$BC$24,"O",IF(R7=$BD$24,"O",IF(R7=$BE$24,"O",IF(R7=$BF$24,"O",IF(R7=$BG$24,"O",IF(R7=$BH$24,"O",IF(R7=$BI$24,"O",IF(R7=$BJ$24,"O",IF(R7=$BK$24,"O",IF(R7=$BL$24,"O",IF(R7=$BM$24,"O",IF(R7=$BN$24,"O",IF(R7=$BO$24,"O",IF(R7=$BP$24,"O",IF(R7=$BQ$24,"O",IF(R7=#REF!,"O",IF(R7=$BS$24,"O",IF(R7=$BT$24,"O",IF(R7=$BU$24,"O",IF(R7=$BV$24,"O",IF(R7=$BW$24,"O",IF(R7=$BX$24,"O",IF(R7=$BY$24,"O",IF(R7=$BZ$24,"O",IF(R7=$CA$24,"O",IF(R7=$CB$24,"O","X"))))))))))))))))))))))))))</f>
        <v>#REF!</v>
      </c>
      <c r="S130" s="272" t="e">
        <f>IF(S7=$BC$24,"O",IF(S7=$BD$24,"O",IF(S7=$BE$24,"O",IF(S7=$BF$24,"O",IF(S7=$BG$24,"O",IF(S7=$BH$24,"O",IF(S7=$BI$24,"O",IF(S7=$BJ$24,"O",IF(S7=$BK$24,"O",IF(S7=$BL$24,"O",IF(S7=$BM$24,"O",IF(S7=$BN$24,"O",IF(S7=$BO$24,"O",IF(S7=$BP$24,"O",IF(S7=$BQ$24,"O",IF(S7=#REF!,"O",IF(S7=$BS$24,"O",IF(S7=$BT$24,"O",IF(S7=$BU$24,"O",IF(S7=$BV$24,"O",IF(S7=$BW$24,"O",IF(S7=$BX$24,"O",IF(S7=$BY$24,"O",IF(S7=$BZ$24,"O",IF(S7=$CA$24,"O",IF(S7=$CB$24,"O","X"))))))))))))))))))))))))))</f>
        <v>#REF!</v>
      </c>
      <c r="T130" s="272" t="e">
        <f>IF(T7=$BC$24,"O",IF(T7=$BD$24,"O",IF(T7=$BE$24,"O",IF(T7=$BF$24,"O",IF(T7=$BG$24,"O",IF(T7=$BH$24,"O",IF(T7=$BI$24,"O",IF(T7=$BJ$24,"O",IF(T7=$BK$24,"O",IF(T7=$BL$24,"O",IF(T7=$BM$24,"O",IF(T7=$BN$24,"O",IF(T7=$BO$24,"O",IF(T7=$BP$24,"O",IF(T7=$BQ$24,"O",IF(T7=#REF!,"O",IF(T7=$BS$24,"O",IF(T7=$BT$24,"O",IF(T7=$BU$24,"O",IF(T7=$BV$24,"O",IF(T7=$BW$24,"O",IF(T7=$BX$24,"O",IF(T7=$BY$24,"O",IF(T7=$BZ$24,"O",IF(T7=$CA$24,"O",IF(T7=$CB$24,"O","X"))))))))))))))))))))))))))</f>
        <v>#REF!</v>
      </c>
      <c r="U130" s="272" t="e">
        <f>IF(U7=$BC$24,"O",IF(U7=$BD$24,"O",IF(U7=$BE$24,"O",IF(U7=$BF$24,"O",IF(U7=$BG$24,"O",IF(U7=$BH$24,"O",IF(U7=$BI$24,"O",IF(U7=$BJ$24,"O",IF(U7=$BK$24,"O",IF(U7=$BL$24,"O",IF(U7=$BM$24,"O",IF(U7=$BN$24,"O",IF(U7=$BO$24,"O",IF(U7=$BP$24,"O",IF(U7=$BQ$24,"O",IF(U7=#REF!,"O",IF(U7=$BS$24,"O",IF(U7=$BT$24,"O",IF(U7=$BU$24,"O",IF(U7=$BV$24,"O",IF(U7=$BW$24,"O",IF(U7=$BX$24,"O",IF(U7=$BY$24,"O",IF(U7=$BZ$24,"O",IF(U7=$CA$24,"O",IF(U7=$CB$24,"O","X"))))))))))))))))))))))))))</f>
        <v>#REF!</v>
      </c>
      <c r="V130" s="272" t="e">
        <f>IF(V7=$BC$24,"O",IF(V7=$BD$24,"O",IF(V7=$BE$24,"O",IF(V7=$BF$24,"O",IF(V7=$BG$24,"O",IF(V7=$BH$24,"O",IF(V7=$BI$24,"O",IF(V7=$BJ$24,"O",IF(V7=$BK$24,"O",IF(V7=$BL$24,"O",IF(V7=$BM$24,"O",IF(V7=$BN$24,"O",IF(V7=$BO$24,"O",IF(V7=$BP$24,"O",IF(V7=$BQ$24,"O",IF(V7=#REF!,"O",IF(V7=$BS$24,"O",IF(V7=$BT$24,"O",IF(V7=$BU$24,"O",IF(V7=$BV$24,"O",IF(V7=$BW$24,"O",IF(V7=$BX$24,"O",IF(V7=$BY$24,"O",IF(V7=$BZ$24,"O",IF(V7=$CA$24,"O",IF(V7=$CB$24,"O","X"))))))))))))))))))))))))))</f>
        <v>#REF!</v>
      </c>
      <c r="W130" s="272" t="e">
        <f>IF(W7=$BC$24,"O",IF(W7=$BD$24,"O",IF(W7=$BE$24,"O",IF(W7=$BF$24,"O",IF(W7=$BG$24,"O",IF(W7=$BH$24,"O",IF(W7=$BI$24,"O",IF(W7=$BJ$24,"O",IF(W7=$BK$24,"O",IF(W7=$BL$24,"O",IF(W7=$BM$24,"O",IF(W7=$BN$24,"O",IF(W7=$BO$24,"O",IF(W7=$BP$24,"O",IF(W7=$BQ$24,"O",IF(W7=#REF!,"O",IF(W7=$BS$24,"O",IF(W7=$BT$24,"O",IF(W7=$BU$24,"O",IF(W7=$BV$24,"O",IF(W7=$BW$24,"O",IF(W7=$BX$24,"O",IF(W7=$BY$24,"O",IF(W7=$BZ$24,"O",IF(W7=$CA$24,"O",IF(W7=$CB$24,"O","X"))))))))))))))))))))))))))</f>
        <v>#REF!</v>
      </c>
      <c r="X130" s="272" t="e">
        <f>IF(X7=$BC$24,"O",IF(X7=$BD$24,"O",IF(X7=$BE$24,"O",IF(X7=$BF$24,"O",IF(X7=$BG$24,"O",IF(X7=$BH$24,"O",IF(X7=$BI$24,"O",IF(X7=$BJ$24,"O",IF(X7=$BK$24,"O",IF(X7=$BL$24,"O",IF(X7=$BM$24,"O",IF(X7=$BN$24,"O",IF(X7=$BO$24,"O",IF(X7=$BP$24,"O",IF(X7=$BQ$24,"O",IF(X7=#REF!,"O",IF(X7=$BS$24,"O",IF(X7=$BT$24,"O",IF(X7=$BU$24,"O",IF(X7=$BV$24,"O",IF(X7=$BW$24,"O",IF(X7=$BX$24,"O",IF(X7=$BY$24,"O",IF(X7=$BZ$24,"O",IF(X7=$CA$24,"O",IF(X7=$CB$24,"O","X"))))))))))))))))))))))))))</f>
        <v>#REF!</v>
      </c>
      <c r="Y130" s="272" t="e">
        <f>IF(Y7=$BC$24,"O",IF(Y7=$BD$24,"O",IF(Y7=$BE$24,"O",IF(Y7=$BF$24,"O",IF(Y7=$BG$24,"O",IF(Y7=$BH$24,"O",IF(Y7=$BI$24,"O",IF(Y7=$BJ$24,"O",IF(Y7=$BK$24,"O",IF(Y7=$BL$24,"O",IF(Y7=$BM$24,"O",IF(Y7=$BN$24,"O",IF(Y7=$BO$24,"O",IF(Y7=$BP$24,"O",IF(Y7=$BQ$24,"O",IF(Y7=#REF!,"O",IF(Y7=$BS$24,"O",IF(Y7=$BT$24,"O",IF(Y7=$BU$24,"O",IF(Y7=$BV$24,"O",IF(Y7=$BW$24,"O",IF(Y7=$BX$24,"O",IF(Y7=$BY$24,"O",IF(Y7=$BZ$24,"O",IF(Y7=$CA$24,"O",IF(Y7=$CB$24,"O","X"))))))))))))))))))))))))))</f>
        <v>#REF!</v>
      </c>
      <c r="Z130" s="272" t="e">
        <f>IF(Z7=$BC$24,"O",IF(Z7=$BD$24,"O",IF(Z7=$BE$24,"O",IF(Z7=$BF$24,"O",IF(Z7=$BG$24,"O",IF(Z7=$BH$24,"O",IF(Z7=$BI$24,"O",IF(Z7=$BJ$24,"O",IF(Z7=$BK$24,"O",IF(Z7=$BL$24,"O",IF(Z7=$BM$24,"O",IF(Z7=$BN$24,"O",IF(Z7=$BO$24,"O",IF(Z7=$BP$24,"O",IF(Z7=$BQ$24,"O",IF(Z7=#REF!,"O",IF(Z7=$BS$24,"O",IF(Z7=$BT$24,"O",IF(Z7=$BU$24,"O",IF(Z7=$BV$24,"O",IF(Z7=$BW$24,"O",IF(Z7=$BX$24,"O",IF(Z7=$BY$24,"O",IF(Z7=$BZ$24,"O",IF(Z7=$CA$24,"O",IF(Z7=$CB$24,"O","X"))))))))))))))))))))))))))</f>
        <v>#REF!</v>
      </c>
      <c r="AA130" s="272" t="e">
        <f>IF(AA7=$BC$24,"O",IF(AA7=$BD$24,"O",IF(AA7=$BE$24,"O",IF(AA7=$BF$24,"O",IF(AA7=$BG$24,"O",IF(AA7=$BH$24,"O",IF(AA7=$BI$24,"O",IF(AA7=$BJ$24,"O",IF(AA7=$BK$24,"O",IF(AA7=$BL$24,"O",IF(AA7=$BM$24,"O",IF(AA7=$BN$24,"O",IF(AA7=$BO$24,"O",IF(AA7=$BP$24,"O",IF(AA7=$BQ$24,"O",IF(AA7=#REF!,"O",IF(AA7=$BS$24,"O",IF(AA7=$BT$24,"O",IF(AA7=$BU$24,"O",IF(AA7=$BV$24,"O",IF(AA7=$BW$24,"O",IF(AA7=$BX$24,"O",IF(AA7=$BY$24,"O",IF(AA7=$BZ$24,"O",IF(AA7=$CA$24,"O",IF(AA7=$CB$24,"O","X"))))))))))))))))))))))))))</f>
        <v>#REF!</v>
      </c>
      <c r="AB130" s="272" t="e">
        <f>IF(AB7=$BC$24,"O",IF(AB7=$BD$24,"O",IF(AB7=$BE$24,"O",IF(AB7=$BF$24,"O",IF(AB7=$BG$24,"O",IF(AB7=$BH$24,"O",IF(AB7=$BI$24,"O",IF(AB7=$BJ$24,"O",IF(AB7=$BK$24,"O",IF(AB7=$BL$24,"O",IF(AB7=$BM$24,"O",IF(AB7=$BN$24,"O",IF(AB7=$BO$24,"O",IF(AB7=$BP$24,"O",IF(AB7=$BQ$24,"O",IF(AB7=#REF!,"O",IF(AB7=$BS$24,"O",IF(AB7=$BT$24,"O",IF(AB7=$BU$24,"O",IF(AB7=$BV$24,"O",IF(AB7=$BW$24,"O",IF(AB7=$BX$24,"O",IF(AB7=$BY$24,"O",IF(AB7=$BZ$24,"O",IF(AB7=$CA$24,"O",IF(AB7=$CB$24,"O","X"))))))))))))))))))))))))))</f>
        <v>#REF!</v>
      </c>
      <c r="AC130" s="272" t="e">
        <f>IF(AC7=$BC$24,"O",IF(AC7=$BD$24,"O",IF(AC7=$BE$24,"O",IF(AC7=$BF$24,"O",IF(AC7=$BG$24,"O",IF(AC7=$BH$24,"O",IF(AC7=$BI$24,"O",IF(AC7=$BJ$24,"O",IF(AC7=$BK$24,"O",IF(AC7=$BL$24,"O",IF(AC7=$BM$24,"O",IF(AC7=$BN$24,"O",IF(AC7=$BO$24,"O",IF(AC7=$BP$24,"O",IF(AC7=$BQ$24,"O",IF(AC7=#REF!,"O",IF(AC7=$BS$24,"O",IF(AC7=$BT$24,"O",IF(AC7=$BU$24,"O",IF(AC7=$BV$24,"O",IF(AC7=$BW$24,"O",IF(AC7=$BX$24,"O",IF(AC7=$BY$24,"O",IF(AC7=$BZ$24,"O",IF(AC7=$CA$24,"O",IF(AC7=$CB$24,"O","X"))))))))))))))))))))))))))</f>
        <v>#REF!</v>
      </c>
      <c r="AD130" s="272" t="e">
        <f>IF(AD7=$BC$24,"O",IF(AD7=$BD$24,"O",IF(AD7=$BE$24,"O",IF(AD7=$BF$24,"O",IF(AD7=$BG$24,"O",IF(AD7=$BH$24,"O",IF(AD7=$BI$24,"O",IF(AD7=$BJ$24,"O",IF(AD7=$BK$24,"O",IF(AD7=$BL$24,"O",IF(AD7=$BM$24,"O",IF(AD7=$BN$24,"O",IF(AD7=$BO$24,"O",IF(AD7=$BP$24,"O",IF(AD7=$BQ$24,"O",IF(AD7=#REF!,"O",IF(AD7=$BS$24,"O",IF(AD7=$BT$24,"O",IF(AD7=$BU$24,"O",IF(AD7=$BV$24,"O",IF(AD7=$BW$24,"O",IF(AD7=$BX$24,"O",IF(AD7=$BY$24,"O",IF(AD7=$BZ$24,"O",IF(AD7=$CA$24,"O",IF(AD7=$CB$24,"O","X"))))))))))))))))))))))))))</f>
        <v>#REF!</v>
      </c>
      <c r="AE130" s="272" t="e">
        <f>IF(AE7=$BC$24,"O",IF(AE7=$BD$24,"O",IF(AE7=$BE$24,"O",IF(AE7=$BF$24,"O",IF(AE7=$BG$24,"O",IF(AE7=$BH$24,"O",IF(AE7=$BI$24,"O",IF(AE7=$BJ$24,"O",IF(AE7=$BK$24,"O",IF(AE7=$BL$24,"O",IF(AE7=$BM$24,"O",IF(AE7=$BN$24,"O",IF(AE7=$BO$24,"O",IF(AE7=$BP$24,"O",IF(AE7=$BQ$24,"O",IF(AE7=#REF!,"O",IF(AE7=$BS$24,"O",IF(AE7=$BT$24,"O",IF(AE7=$BU$24,"O",IF(AE7=$BV$24,"O",IF(AE7=$BW$24,"O",IF(AE7=$BX$24,"O",IF(AE7=$BY$24,"O",IF(AE7=$BZ$24,"O",IF(AE7=$CA$24,"O",IF(AE7=$CB$24,"O","X"))))))))))))))))))))))))))</f>
        <v>#REF!</v>
      </c>
      <c r="AF130" s="272" t="e">
        <f>IF(AF7=$BC$24,"O",IF(AF7=$BD$24,"O",IF(AF7=$BE$24,"O",IF(AF7=$BF$24,"O",IF(AF7=$BG$24,"O",IF(AF7=$BH$24,"O",IF(AF7=$BI$24,"O",IF(AF7=$BJ$24,"O",IF(AF7=$BK$24,"O",IF(AF7=$BL$24,"O",IF(AF7=$BM$24,"O",IF(AF7=$BN$24,"O",IF(AF7=$BO$24,"O",IF(AF7=$BP$24,"O",IF(AF7=$BQ$24,"O",IF(AF7=#REF!,"O",IF(AF7=$BS$24,"O",IF(AF7=$BT$24,"O",IF(AF7=$BU$24,"O",IF(AF7=$BV$24,"O",IF(AF7=$BW$24,"O",IF(AF7=$BX$24,"O",IF(AF7=$BY$24,"O",IF(AF7=$BZ$24,"O",IF(AF7=$CA$24,"O",IF(AF7=$CB$24,"O","X"))))))))))))))))))))))))))</f>
        <v>#REF!</v>
      </c>
      <c r="AG130" s="272" t="e">
        <f>IF(AG7=$BC$24,"O",IF(AG7=$BD$24,"O",IF(AG7=$BE$24,"O",IF(AG7=$BF$24,"O",IF(AG7=$BG$24,"O",IF(AG7=$BH$24,"O",IF(AG7=$BI$24,"O",IF(AG7=$BJ$24,"O",IF(AG7=$BK$24,"O",IF(AG7=$BL$24,"O",IF(AG7=$BM$24,"O",IF(AG7=$BN$24,"O",IF(AG7=$BO$24,"O",IF(AG7=$BP$24,"O",IF(AG7=$BQ$24,"O",IF(AG7=#REF!,"O",IF(AG7=$BS$24,"O",IF(AG7=$BT$24,"O",IF(AG7=$BU$24,"O",IF(AG7=$BV$24,"O",IF(AG7=$BW$24,"O",IF(AG7=$BX$24,"O",IF(AG7=$BY$24,"O",IF(AG7=$BZ$24,"O",IF(AG7=$CA$24,"O",IF(AG7=$CB$24,"O","X"))))))))))))))))))))))))))</f>
        <v>#REF!</v>
      </c>
      <c r="AH130" s="272" t="e">
        <f>IF(AH7=$BC$24,"O",IF(AH7=$BD$24,"O",IF(AH7=$BE$24,"O",IF(AH7=$BF$24,"O",IF(AH7=$BG$24,"O",IF(AH7=$BH$24,"O",IF(AH7=$BI$24,"O",IF(AH7=$BJ$24,"O",IF(AH7=$BK$24,"O",IF(AH7=$BL$24,"O",IF(AH7=$BM$24,"O",IF(AH7=$BN$24,"O",IF(AH7=$BO$24,"O",IF(AH7=$BP$24,"O",IF(AH7=$BQ$24,"O",IF(AH7=#REF!,"O",IF(AH7=$BS$24,"O",IF(AH7=$BT$24,"O",IF(AH7=$BU$24,"O",IF(AH7=$BV$24,"O",IF(AH7=$BW$24,"O",IF(AH7=$BX$24,"O",IF(AH7=$BY$24,"O",IF(AH7=$BZ$24,"O",IF(AH7=$CA$24,"O",IF(AH7=$CB$24,"O","X"))))))))))))))))))))))))))</f>
        <v>#REF!</v>
      </c>
      <c r="AI130" s="272" t="e">
        <f>IF(AI7=$BC$24,"O",IF(AI7=$BD$24,"O",IF(AI7=$BE$24,"O",IF(AI7=$BF$24,"O",IF(AI7=$BG$24,"O",IF(AI7=$BH$24,"O",IF(AI7=$BI$24,"O",IF(AI7=$BJ$24,"O",IF(AI7=$BK$24,"O",IF(AI7=$BL$24,"O",IF(AI7=$BM$24,"O",IF(AI7=$BN$24,"O",IF(AI7=$BO$24,"O",IF(AI7=$BP$24,"O",IF(AI7=$BQ$24,"O",IF(AI7=#REF!,"O",IF(AI7=$BS$24,"O",IF(AI7=$BT$24,"O",IF(AI7=$BU$24,"O",IF(AI7=$BV$24,"O",IF(AI7=$BW$24,"O",IF(AI7=$BX$24,"O",IF(AI7=$BY$24,"O",IF(AI7=$BZ$24,"O",IF(AI7=$CA$24,"O",IF(AI7=$CB$24,"O","X"))))))))))))))))))))))))))</f>
        <v>#REF!</v>
      </c>
      <c r="AJ130" s="272" t="e">
        <f>IF(AJ7=$BC$24,"O",IF(AJ7=$BD$24,"O",IF(AJ7=$BE$24,"O",IF(AJ7=$BF$24,"O",IF(AJ7=$BG$24,"O",IF(AJ7=$BH$24,"O",IF(AJ7=$BI$24,"O",IF(AJ7=$BJ$24,"O",IF(AJ7=$BK$24,"O",IF(AJ7=$BL$24,"O",IF(AJ7=$BM$24,"O",IF(AJ7=$BN$24,"O",IF(AJ7=$BO$24,"O",IF(AJ7=$BP$24,"O",IF(AJ7=$BQ$24,"O",IF(AJ7=#REF!,"O",IF(AJ7=$BS$24,"O",IF(AJ7=$BT$24,"O",IF(AJ7=$BU$24,"O",IF(AJ7=$BV$24,"O",IF(AJ7=$BW$24,"O",IF(AJ7=$BX$24,"O",IF(AJ7=$BY$24,"O",IF(AJ7=$BZ$24,"O",IF(AJ7=$CA$24,"O",IF(AJ7=$CB$24,"O","X"))))))))))))))))))))))))))</f>
        <v>#REF!</v>
      </c>
      <c r="AK130" s="272" t="e">
        <f>IF(AK7=$BC$24,"O",IF(AK7=$BD$24,"O",IF(AK7=$BE$24,"O",IF(AK7=$BF$24,"O",IF(AK7=$BG$24,"O",IF(AK7=$BH$24,"O",IF(AK7=$BI$24,"O",IF(AK7=$BJ$24,"O",IF(AK7=$BK$24,"O",IF(AK7=$BL$24,"O",IF(AK7=$BM$24,"O",IF(AK7=$BN$24,"O",IF(AK7=$BO$24,"O",IF(AK7=$BP$24,"O",IF(AK7=$BQ$24,"O",IF(AK7=#REF!,"O",IF(AK7=$BS$24,"O",IF(AK7=$BT$24,"O",IF(AK7=$BU$24,"O",IF(AK7=$BV$24,"O",IF(AK7=$BW$24,"O",IF(AK7=$BX$24,"O",IF(AK7=$BY$24,"O",IF(AK7=$BZ$24,"O",IF(AK7=$CA$24,"O",IF(AK7=$CB$24,"O","X"))))))))))))))))))))))))))</f>
        <v>#REF!</v>
      </c>
      <c r="AL130" s="307" t="e">
        <f>IF(AL7=$BC$24,"O",IF(AL7=$BD$24,"O",IF(AL7=$BE$24,"O",IF(AL7=$BF$24,"O",IF(AL7=$BG$24,"O",IF(AL7=$BH$24,"O",IF(AL7=$BI$24,"O",IF(AL7=$BJ$24,"O",IF(AL7=$BK$24,"O",IF(AL7=$BL$24,"O",IF(AL7=$BM$24,"O",IF(AL7=$BN$24,"O",IF(AL7=$BO$24,"O",IF(AL7=$BP$24,"O",IF(AL7=$BQ$24,"O",IF(AL7=#REF!,"O",IF(AL7=$BS$24,"O",IF(AL7=$BT$24,"O",IF(AL7=$BU$24,"O",IF(AL7=$BV$24,"O",IF(AL7=$BW$24,"O",IF(AL7=$BX$24,"O",IF(AL7=$BY$24,"O",IF(AL7=$BZ$24,"O",IF(AL7=$CA$24,"O",IF(AL7=$CB$24,"O","X"))))))))))))))))))))))))))</f>
        <v>#REF!</v>
      </c>
      <c r="AM130" s="307" t="e">
        <f>IF(AM7=$BC$24,"O",IF(AM7=$BD$24,"O",IF(AM7=$BE$24,"O",IF(AM7=$BF$24,"O",IF(AM7=$BG$24,"O",IF(AM7=$BH$24,"O",IF(AM7=$BI$24,"O",IF(AM7=$BJ$24,"O",IF(AM7=$BK$24,"O",IF(AM7=$BL$24,"O",IF(AM7=$BM$24,"O",IF(AM7=$BN$24,"O",IF(AM7=$BO$24,"O",IF(AM7=$BP$24,"O",IF(AM7=$BQ$24,"O",IF(AM7=#REF!,"O",IF(AM7=$BS$24,"O",IF(AM7=$BT$24,"O",IF(AM7=$BU$24,"O",IF(AM7=$BV$24,"O",IF(AM7=$BW$24,"O",IF(AM7=$BX$24,"O",IF(AM7=$BY$24,"O",IF(AM7=$BZ$24,"O",IF(AM7=$CA$24,"O",IF(AM7=$CB$24,"O","X"))))))))))))))))))))))))))</f>
        <v>#REF!</v>
      </c>
      <c r="AN130" s="307" t="e">
        <f>IF(AN7=$BC$24,"O",IF(AN7=$BD$24,"O",IF(AN7=$BE$24,"O",IF(AN7=$BF$24,"O",IF(AN7=$BG$24,"O",IF(AN7=$BH$24,"O",IF(AN7=$BI$24,"O",IF(AN7=$BJ$24,"O",IF(AN7=$BK$24,"O",IF(AN7=$BL$24,"O",IF(AN7=$BM$24,"O",IF(AN7=$BN$24,"O",IF(AN7=$BO$24,"O",IF(AN7=$BP$24,"O",IF(AN7=$BQ$24,"O",IF(AN7=#REF!,"O",IF(AN7=$BS$24,"O",IF(AN7=$BT$24,"O",IF(AN7=$BU$24,"O",IF(AN7=$BV$24,"O",IF(AN7=$BW$24,"O",IF(AN7=$BX$24,"O",IF(AN7=$BY$24,"O",IF(AN7=$BZ$24,"O",IF(AN7=$CA$24,"O",IF(AN7=$CB$24,"O","X"))))))))))))))))))))))))))</f>
        <v>#REF!</v>
      </c>
      <c r="AO130" s="307" t="e">
        <f>IF(AO7=$BC$24,"O",IF(AO7=$BD$24,"O",IF(AO7=$BE$24,"O",IF(AO7=$BF$24,"O",IF(AO7=$BG$24,"O",IF(AO7=$BH$24,"O",IF(AO7=$BI$24,"O",IF(AO7=$BJ$24,"O",IF(AO7=$BK$24,"O",IF(AO7=$BL$24,"O",IF(AO7=$BM$24,"O",IF(AO7=$BN$24,"O",IF(AO7=$BO$24,"O",IF(AO7=$BP$24,"O",IF(AO7=$BQ$24,"O",IF(AO7=#REF!,"O",IF(AO7=$BS$24,"O",IF(AO7=$BT$24,"O",IF(AO7=$BU$24,"O",IF(AO7=$BV$24,"O",IF(AO7=$BW$24,"O",IF(AO7=$BX$24,"O",IF(AO7=$BY$24,"O",IF(AO7=$BZ$24,"O",IF(AO7=$CA$24,"O",IF(AO7=$CB$24,"O","X"))))))))))))))))))))))))))</f>
        <v>#REF!</v>
      </c>
      <c r="AP130" s="307" t="e">
        <f>IF(AP7=$BC$24,"O",IF(AP7=$BD$24,"O",IF(AP7=$BE$24,"O",IF(AP7=$BF$24,"O",IF(AP7=$BG$24,"O",IF(AP7=$BH$24,"O",IF(AP7=$BI$24,"O",IF(AP7=$BJ$24,"O",IF(AP7=$BK$24,"O",IF(AP7=$BL$24,"O",IF(AP7=$BM$24,"O",IF(AP7=$BN$24,"O",IF(AP7=$BO$24,"O",IF(AP7=$BP$24,"O",IF(AP7=$BQ$24,"O",IF(AP7=#REF!,"O",IF(AP7=$BS$24,"O",IF(AP7=$BT$24,"O",IF(AP7=$BU$24,"O",IF(AP7=$BV$24,"O",IF(AP7=$BW$24,"O",IF(AP7=$BX$24,"O",IF(AP7=$BY$24,"O",IF(AP7=$BZ$24,"O",IF(AP7=$CA$24,"O",IF(AP7=$CB$24,"O","X"))))))))))))))))))))))))))</f>
        <v>#REF!</v>
      </c>
      <c r="AQ130" s="307" t="e">
        <f>IF(AQ7=$BC$24,"O",IF(AQ7=$BD$24,"O",IF(AQ7=$BE$24,"O",IF(AQ7=$BF$24,"O",IF(AQ7=$BG$24,"O",IF(AQ7=$BH$24,"O",IF(AQ7=$BI$24,"O",IF(AQ7=$BJ$24,"O",IF(AQ7=$BK$24,"O",IF(AQ7=$BL$24,"O",IF(AQ7=$BM$24,"O",IF(AQ7=$BN$24,"O",IF(AQ7=$BO$24,"O",IF(AQ7=$BP$24,"O",IF(AQ7=$BQ$24,"O",IF(AQ7=#REF!,"O",IF(AQ7=$BS$24,"O",IF(AQ7=$BT$24,"O",IF(AQ7=$BU$24,"O",IF(AQ7=$BV$24,"O",IF(AQ7=$BW$24,"O",IF(AQ7=$BX$24,"O",IF(AQ7=$BY$24,"O",IF(AQ7=$BZ$24,"O",IF(AQ7=$CA$24,"O",IF(AQ7=$CB$24,"O","X"))))))))))))))))))))))))))</f>
        <v>#REF!</v>
      </c>
      <c r="AR130" s="307" t="e">
        <f>IF(AR7=$BC$24,"O",IF(AR7=$BD$24,"O",IF(AR7=$BE$24,"O",IF(AR7=$BF$24,"O",IF(AR7=$BG$24,"O",IF(AR7=$BH$24,"O",IF(AR7=$BI$24,"O",IF(AR7=$BJ$24,"O",IF(AR7=$BK$24,"O",IF(AR7=$BL$24,"O",IF(AR7=$BM$24,"O",IF(AR7=$BN$24,"O",IF(AR7=$BO$24,"O",IF(AR7=$BP$24,"O",IF(AR7=$BQ$24,"O",IF(AR7=#REF!,"O",IF(AR7=$BS$24,"O",IF(AR7=$BT$24,"O",IF(AR7=$BU$24,"O",IF(AR7=$BV$24,"O",IF(AR7=$BW$24,"O",IF(AR7=$BX$24,"O",IF(AR7=$BY$24,"O",IF(AR7=$BZ$24,"O",IF(AR7=$CA$24,"O",IF(AR7=$CB$24,"O","X"))))))))))))))))))))))))))</f>
        <v>#REF!</v>
      </c>
      <c r="AS130" s="307" t="e">
        <f>IF(AS7=$BC$24,"O",IF(AS7=$BD$24,"O",IF(AS7=$BE$24,"O",IF(AS7=$BF$24,"O",IF(AS7=$BG$24,"O",IF(AS7=$BH$24,"O",IF(AS7=$BI$24,"O",IF(AS7=$BJ$24,"O",IF(AS7=$BK$24,"O",IF(AS7=$BL$24,"O",IF(AS7=$BM$24,"O",IF(AS7=$BN$24,"O",IF(AS7=$BO$24,"O",IF(AS7=$BP$24,"O",IF(AS7=$BQ$24,"O",IF(AS7=#REF!,"O",IF(AS7=$BS$24,"O",IF(AS7=$BT$24,"O",IF(AS7=$BU$24,"O",IF(AS7=$BV$24,"O",IF(AS7=$BW$24,"O",IF(AS7=$BX$24,"O",IF(AS7=$BY$24,"O",IF(AS7=$BZ$24,"O",IF(AS7=$CA$24,"O",IF(AS7=$CB$24,"O","X"))))))))))))))))))))))))))</f>
        <v>#REF!</v>
      </c>
      <c r="AT130" s="307" t="e">
        <f>IF(AT7=$BC$24,"O",IF(AT7=$BD$24,"O",IF(AT7=$BE$24,"O",IF(AT7=$BF$24,"O",IF(AT7=$BG$24,"O",IF(AT7=$BH$24,"O",IF(AT7=$BI$24,"O",IF(AT7=$BJ$24,"O",IF(AT7=$BK$24,"O",IF(AT7=$BL$24,"O",IF(AT7=$BM$24,"O",IF(AT7=$BN$24,"O",IF(AT7=$BO$24,"O",IF(AT7=$BP$24,"O",IF(AT7=$BQ$24,"O",IF(AT7=#REF!,"O",IF(AT7=$BS$24,"O",IF(AT7=$BT$24,"O",IF(AT7=$BU$24,"O",IF(AT7=$BV$24,"O",IF(AT7=$BW$24,"O",IF(AT7=$BX$24,"O",IF(AT7=$BY$24,"O",IF(AT7=$BZ$24,"O",IF(AT7=$CA$24,"O",IF(AT7=$CB$24,"O","X"))))))))))))))))))))))))))</f>
        <v>#REF!</v>
      </c>
      <c r="AU130" s="307" t="e">
        <f>IF(AU7=$BC$24,"O",IF(AU7=$BD$24,"O",IF(AU7=$BE$24,"O",IF(AU7=$BF$24,"O",IF(AU7=$BG$24,"O",IF(AU7=$BH$24,"O",IF(AU7=$BI$24,"O",IF(AU7=$BJ$24,"O",IF(AU7=$BK$24,"O",IF(AU7=$BL$24,"O",IF(AU7=$BM$24,"O",IF(AU7=$BN$24,"O",IF(AU7=$BO$24,"O",IF(AU7=$BP$24,"O",IF(AU7=$BQ$24,"O",IF(AU7=#REF!,"O",IF(AU7=$BS$24,"O",IF(AU7=$BT$24,"O",IF(AU7=$BU$24,"O",IF(AU7=$BV$24,"O",IF(AU7=$BW$24,"O",IF(AU7=$BX$24,"O",IF(AU7=$BY$24,"O",IF(AU7=$BZ$24,"O",IF(AU7=$CA$24,"O",IF(AU7=$CB$24,"O","X"))))))))))))))))))))))))))</f>
        <v>#REF!</v>
      </c>
      <c r="AV130" s="296"/>
      <c r="AW130" s="296"/>
      <c r="AX130" s="206"/>
      <c r="BC130" s="151"/>
      <c r="BD130" s="151"/>
      <c r="BE130" s="151"/>
      <c r="BF130" s="151"/>
      <c r="BG130" s="163"/>
      <c r="BH130" s="178"/>
      <c r="BI130" s="165"/>
      <c r="BJ130" s="164"/>
      <c r="BK130" s="2"/>
      <c r="BL130" s="2"/>
      <c r="BM130" s="2"/>
      <c r="BN130" s="2"/>
      <c r="BO130" s="2"/>
      <c r="BP130" s="2"/>
    </row>
    <row r="131" spans="1:68">
      <c r="A131" s="180"/>
      <c r="B131" s="216" t="s">
        <v>566</v>
      </c>
      <c r="C131" s="354" t="str">
        <f t="shared" ref="C131:Q131" ca="1" si="186">IF(C8=$BC$24,"O",IF(C8=$BD$24,"O",IF(C8=$BE$24,"O",IF(C8=$BF$24,"O",IF(C8=$BG$24,"O",IF(C8=$BH$24,"O",IF(C8=$BI$24,"O",IF(C8=$BJ$24,"O",IF(C8=$BK$24,"O",IF(C8=$BL$24,"O",IF(C8=$BM$24,"O",IF(C8=$BN$24,"O",IF(C8=$BO$24,"O",IF(C8=$BP$24,"O",IF(C8=$BQ$24,"O",IF(C8=$BR$24,"O",IF(C8=$BS$24,"O",IF(C8=$BT$24,"O",IF(C8=$BU$24,"O",IF(C8=$BV$24,"O",IF(C8=$BW$24,"O",IF(C8=$BX$24,"O",IF(C8=$BY$24,"O",IF(C8=$BZ$24,"O",IF(C8=$CA$24,"O",IF(C8=$CB$24,"O",IF(C8=$CC$24,"O",IF(C8=$CD$24,"O",IF(C8=$CE$24,"O",IF(C8=$CF$24,"O",IF(C8=$CG$24,"O",IF(C8=$CH$24,"O",IF(C8=$CI$24,"O",IF(C8=$CJ$24,"O",IF(C8=$CK$24,"O",IF(C8=$CL$24,"O",IF(C8=$CM$24,"O",IF(C8=$CN$24,"O",IF(C8=$CO$24,"O",IF(C8=$CP$24,"O","X"))))))))))))))))))))))))))))))))))))))))</f>
        <v>O</v>
      </c>
      <c r="D131" s="354" t="str">
        <f t="shared" ca="1" si="186"/>
        <v>O</v>
      </c>
      <c r="E131" s="354" t="str">
        <f t="shared" ca="1" si="186"/>
        <v>O</v>
      </c>
      <c r="F131" s="354" t="str">
        <f t="shared" ca="1" si="186"/>
        <v>O</v>
      </c>
      <c r="G131" s="354" t="str">
        <f t="shared" ca="1" si="186"/>
        <v>X</v>
      </c>
      <c r="H131" s="354" t="str">
        <f t="shared" ca="1" si="186"/>
        <v>X</v>
      </c>
      <c r="I131" s="354" t="str">
        <f t="shared" ca="1" si="186"/>
        <v>X</v>
      </c>
      <c r="J131" s="354" t="str">
        <f t="shared" ca="1" si="186"/>
        <v>O</v>
      </c>
      <c r="K131" s="354" t="str">
        <f t="shared" ca="1" si="186"/>
        <v>O</v>
      </c>
      <c r="L131" s="354" t="str">
        <f t="shared" ca="1" si="186"/>
        <v>O</v>
      </c>
      <c r="M131" s="354" t="str">
        <f t="shared" ca="1" si="186"/>
        <v>O</v>
      </c>
      <c r="N131" s="354" t="str">
        <f t="shared" ca="1" si="186"/>
        <v>O</v>
      </c>
      <c r="O131" s="354" t="str">
        <f t="shared" ca="1" si="186"/>
        <v>O</v>
      </c>
      <c r="P131" s="354" t="str">
        <f t="shared" ca="1" si="186"/>
        <v>X</v>
      </c>
      <c r="Q131" s="354" t="str">
        <f t="shared" ca="1" si="186"/>
        <v>X</v>
      </c>
      <c r="R131" s="272" t="e">
        <f>IF(R8=$BC$24,"O",IF(R8=$BD$24,"O",IF(R8=$BE$24,"O",IF(R8=$BF$24,"O",IF(R8=$BG$24,"O",IF(R8=$BH$24,"O",IF(R8=$BI$24,"O",IF(R8=$BJ$24,"O",IF(R8=$BK$24,"O",IF(R8=$BL$24,"O",IF(R8=$BM$24,"O",IF(R8=$BN$24,"O",IF(R8=$BO$24,"O",IF(R8=$BP$24,"O",IF(R8=$BQ$24,"O",IF(R8=#REF!,"O",IF(R8=$BS$24,"O",IF(R8=$BT$24,"O",IF(R8=$BU$24,"O",IF(R8=$BV$24,"O",IF(R8=$BW$24,"O",IF(R8=$BX$24,"O",IF(R8=$BY$24,"O",IF(R8=$BZ$24,"O",IF(R8=$CA$24,"O",IF(R8=$CB$24,"O","X"))))))))))))))))))))))))))</f>
        <v>#REF!</v>
      </c>
      <c r="S131" s="272" t="e">
        <f>IF(S8=$BC$24,"O",IF(S8=$BD$24,"O",IF(S8=$BE$24,"O",IF(S8=$BF$24,"O",IF(S8=$BG$24,"O",IF(S8=$BH$24,"O",IF(S8=$BI$24,"O",IF(S8=$BJ$24,"O",IF(S8=$BK$24,"O",IF(S8=$BL$24,"O",IF(S8=$BM$24,"O",IF(S8=$BN$24,"O",IF(S8=$BO$24,"O",IF(S8=$BP$24,"O",IF(S8=$BQ$24,"O",IF(S8=#REF!,"O",IF(S8=$BS$24,"O",IF(S8=$BT$24,"O",IF(S8=$BU$24,"O",IF(S8=$BV$24,"O",IF(S8=$BW$24,"O",IF(S8=$BX$24,"O",IF(S8=$BY$24,"O",IF(S8=$BZ$24,"O",IF(S8=$CA$24,"O",IF(S8=$CB$24,"O","X"))))))))))))))))))))))))))</f>
        <v>#REF!</v>
      </c>
      <c r="T131" s="272" t="e">
        <f>IF(T8=$BC$24,"O",IF(T8=$BD$24,"O",IF(T8=$BE$24,"O",IF(T8=$BF$24,"O",IF(T8=$BG$24,"O",IF(T8=$BH$24,"O",IF(T8=$BI$24,"O",IF(T8=$BJ$24,"O",IF(T8=$BK$24,"O",IF(T8=$BL$24,"O",IF(T8=$BM$24,"O",IF(T8=$BN$24,"O",IF(T8=$BO$24,"O",IF(T8=$BP$24,"O",IF(T8=$BQ$24,"O",IF(T8=#REF!,"O",IF(T8=$BS$24,"O",IF(T8=$BT$24,"O",IF(T8=$BU$24,"O",IF(T8=$BV$24,"O",IF(T8=$BW$24,"O",IF(T8=$BX$24,"O",IF(T8=$BY$24,"O",IF(T8=$BZ$24,"O",IF(T8=$CA$24,"O",IF(T8=$CB$24,"O","X"))))))))))))))))))))))))))</f>
        <v>#REF!</v>
      </c>
      <c r="U131" s="272" t="e">
        <f>IF(U8=$BC$24,"O",IF(U8=$BD$24,"O",IF(U8=$BE$24,"O",IF(U8=$BF$24,"O",IF(U8=$BG$24,"O",IF(U8=$BH$24,"O",IF(U8=$BI$24,"O",IF(U8=$BJ$24,"O",IF(U8=$BK$24,"O",IF(U8=$BL$24,"O",IF(U8=$BM$24,"O",IF(U8=$BN$24,"O",IF(U8=$BO$24,"O",IF(U8=$BP$24,"O",IF(U8=$BQ$24,"O",IF(U8=#REF!,"O",IF(U8=$BS$24,"O",IF(U8=$BT$24,"O",IF(U8=$BU$24,"O",IF(U8=$BV$24,"O",IF(U8=$BW$24,"O",IF(U8=$BX$24,"O",IF(U8=$BY$24,"O",IF(U8=$BZ$24,"O",IF(U8=$CA$24,"O",IF(U8=$CB$24,"O","X"))))))))))))))))))))))))))</f>
        <v>#REF!</v>
      </c>
      <c r="V131" s="272" t="e">
        <f>IF(V8=$BC$24,"O",IF(V8=$BD$24,"O",IF(V8=$BE$24,"O",IF(V8=$BF$24,"O",IF(V8=$BG$24,"O",IF(V8=$BH$24,"O",IF(V8=$BI$24,"O",IF(V8=$BJ$24,"O",IF(V8=$BK$24,"O",IF(V8=$BL$24,"O",IF(V8=$BM$24,"O",IF(V8=$BN$24,"O",IF(V8=$BO$24,"O",IF(V8=$BP$24,"O",IF(V8=$BQ$24,"O",IF(V8=#REF!,"O",IF(V8=$BS$24,"O",IF(V8=$BT$24,"O",IF(V8=$BU$24,"O",IF(V8=$BV$24,"O",IF(V8=$BW$24,"O",IF(V8=$BX$24,"O",IF(V8=$BY$24,"O",IF(V8=$BZ$24,"O",IF(V8=$CA$24,"O",IF(V8=$CB$24,"O","X"))))))))))))))))))))))))))</f>
        <v>#REF!</v>
      </c>
      <c r="W131" s="272" t="e">
        <f>IF(W8=$BC$24,"O",IF(W8=$BD$24,"O",IF(W8=$BE$24,"O",IF(W8=$BF$24,"O",IF(W8=$BG$24,"O",IF(W8=$BH$24,"O",IF(W8=$BI$24,"O",IF(W8=$BJ$24,"O",IF(W8=$BK$24,"O",IF(W8=$BL$24,"O",IF(W8=$BM$24,"O",IF(W8=$BN$24,"O",IF(W8=$BO$24,"O",IF(W8=$BP$24,"O",IF(W8=$BQ$24,"O",IF(W8=#REF!,"O",IF(W8=$BS$24,"O",IF(W8=$BT$24,"O",IF(W8=$BU$24,"O",IF(W8=$BV$24,"O",IF(W8=$BW$24,"O",IF(W8=$BX$24,"O",IF(W8=$BY$24,"O",IF(W8=$BZ$24,"O",IF(W8=$CA$24,"O",IF(W8=$CB$24,"O","X"))))))))))))))))))))))))))</f>
        <v>#REF!</v>
      </c>
      <c r="X131" s="272" t="e">
        <f>IF(X8=$BC$24,"O",IF(X8=$BD$24,"O",IF(X8=$BE$24,"O",IF(X8=$BF$24,"O",IF(X8=$BG$24,"O",IF(X8=$BH$24,"O",IF(X8=$BI$24,"O",IF(X8=$BJ$24,"O",IF(X8=$BK$24,"O",IF(X8=$BL$24,"O",IF(X8=$BM$24,"O",IF(X8=$BN$24,"O",IF(X8=$BO$24,"O",IF(X8=$BP$24,"O",IF(X8=$BQ$24,"O",IF(X8=#REF!,"O",IF(X8=$BS$24,"O",IF(X8=$BT$24,"O",IF(X8=$BU$24,"O",IF(X8=$BV$24,"O",IF(X8=$BW$24,"O",IF(X8=$BX$24,"O",IF(X8=$BY$24,"O",IF(X8=$BZ$24,"O",IF(X8=$CA$24,"O",IF(X8=$CB$24,"O","X"))))))))))))))))))))))))))</f>
        <v>#REF!</v>
      </c>
      <c r="Y131" s="272" t="e">
        <f>IF(Y8=$BC$24,"O",IF(Y8=$BD$24,"O",IF(Y8=$BE$24,"O",IF(Y8=$BF$24,"O",IF(Y8=$BG$24,"O",IF(Y8=$BH$24,"O",IF(Y8=$BI$24,"O",IF(Y8=$BJ$24,"O",IF(Y8=$BK$24,"O",IF(Y8=$BL$24,"O",IF(Y8=$BM$24,"O",IF(Y8=$BN$24,"O",IF(Y8=$BO$24,"O",IF(Y8=$BP$24,"O",IF(Y8=$BQ$24,"O",IF(Y8=#REF!,"O",IF(Y8=$BS$24,"O",IF(Y8=$BT$24,"O",IF(Y8=$BU$24,"O",IF(Y8=$BV$24,"O",IF(Y8=$BW$24,"O",IF(Y8=$BX$24,"O",IF(Y8=$BY$24,"O",IF(Y8=$BZ$24,"O",IF(Y8=$CA$24,"O",IF(Y8=$CB$24,"O","X"))))))))))))))))))))))))))</f>
        <v>#REF!</v>
      </c>
      <c r="Z131" s="272" t="e">
        <f>IF(Z8=$BC$24,"O",IF(Z8=$BD$24,"O",IF(Z8=$BE$24,"O",IF(Z8=$BF$24,"O",IF(Z8=$BG$24,"O",IF(Z8=$BH$24,"O",IF(Z8=$BI$24,"O",IF(Z8=$BJ$24,"O",IF(Z8=$BK$24,"O",IF(Z8=$BL$24,"O",IF(Z8=$BM$24,"O",IF(Z8=$BN$24,"O",IF(Z8=$BO$24,"O",IF(Z8=$BP$24,"O",IF(Z8=$BQ$24,"O",IF(Z8=#REF!,"O",IF(Z8=$BS$24,"O",IF(Z8=$BT$24,"O",IF(Z8=$BU$24,"O",IF(Z8=$BV$24,"O",IF(Z8=$BW$24,"O",IF(Z8=$BX$24,"O",IF(Z8=$BY$24,"O",IF(Z8=$BZ$24,"O",IF(Z8=$CA$24,"O",IF(Z8=$CB$24,"O","X"))))))))))))))))))))))))))</f>
        <v>#REF!</v>
      </c>
      <c r="AA131" s="272" t="e">
        <f>IF(AA8=$BC$24,"O",IF(AA8=$BD$24,"O",IF(AA8=$BE$24,"O",IF(AA8=$BF$24,"O",IF(AA8=$BG$24,"O",IF(AA8=$BH$24,"O",IF(AA8=$BI$24,"O",IF(AA8=$BJ$24,"O",IF(AA8=$BK$24,"O",IF(AA8=$BL$24,"O",IF(AA8=$BM$24,"O",IF(AA8=$BN$24,"O",IF(AA8=$BO$24,"O",IF(AA8=$BP$24,"O",IF(AA8=$BQ$24,"O",IF(AA8=#REF!,"O",IF(AA8=$BS$24,"O",IF(AA8=$BT$24,"O",IF(AA8=$BU$24,"O",IF(AA8=$BV$24,"O",IF(AA8=$BW$24,"O",IF(AA8=$BX$24,"O",IF(AA8=$BY$24,"O",IF(AA8=$BZ$24,"O",IF(AA8=$CA$24,"O",IF(AA8=$CB$24,"O","X"))))))))))))))))))))))))))</f>
        <v>#REF!</v>
      </c>
      <c r="AB131" s="272" t="e">
        <f>IF(AB8=$BC$24,"O",IF(AB8=$BD$24,"O",IF(AB8=$BE$24,"O",IF(AB8=$BF$24,"O",IF(AB8=$BG$24,"O",IF(AB8=$BH$24,"O",IF(AB8=$BI$24,"O",IF(AB8=$BJ$24,"O",IF(AB8=$BK$24,"O",IF(AB8=$BL$24,"O",IF(AB8=$BM$24,"O",IF(AB8=$BN$24,"O",IF(AB8=$BO$24,"O",IF(AB8=$BP$24,"O",IF(AB8=$BQ$24,"O",IF(AB8=#REF!,"O",IF(AB8=$BS$24,"O",IF(AB8=$BT$24,"O",IF(AB8=$BU$24,"O",IF(AB8=$BV$24,"O",IF(AB8=$BW$24,"O",IF(AB8=$BX$24,"O",IF(AB8=$BY$24,"O",IF(AB8=$BZ$24,"O",IF(AB8=$CA$24,"O",IF(AB8=$CB$24,"O","X"))))))))))))))))))))))))))</f>
        <v>#REF!</v>
      </c>
      <c r="AC131" s="272" t="e">
        <f>IF(AC8=$BC$24,"O",IF(AC8=$BD$24,"O",IF(AC8=$BE$24,"O",IF(AC8=$BF$24,"O",IF(AC8=$BG$24,"O",IF(AC8=$BH$24,"O",IF(AC8=$BI$24,"O",IF(AC8=$BJ$24,"O",IF(AC8=$BK$24,"O",IF(AC8=$BL$24,"O",IF(AC8=$BM$24,"O",IF(AC8=$BN$24,"O",IF(AC8=$BO$24,"O",IF(AC8=$BP$24,"O",IF(AC8=$BQ$24,"O",IF(AC8=#REF!,"O",IF(AC8=$BS$24,"O",IF(AC8=$BT$24,"O",IF(AC8=$BU$24,"O",IF(AC8=$BV$24,"O",IF(AC8=$BW$24,"O",IF(AC8=$BX$24,"O",IF(AC8=$BY$24,"O",IF(AC8=$BZ$24,"O",IF(AC8=$CA$24,"O",IF(AC8=$CB$24,"O","X"))))))))))))))))))))))))))</f>
        <v>#REF!</v>
      </c>
      <c r="AD131" s="272" t="e">
        <f>IF(AD8=$BC$24,"O",IF(AD8=$BD$24,"O",IF(AD8=$BE$24,"O",IF(AD8=$BF$24,"O",IF(AD8=$BG$24,"O",IF(AD8=$BH$24,"O",IF(AD8=$BI$24,"O",IF(AD8=$BJ$24,"O",IF(AD8=$BK$24,"O",IF(AD8=$BL$24,"O",IF(AD8=$BM$24,"O",IF(AD8=$BN$24,"O",IF(AD8=$BO$24,"O",IF(AD8=$BP$24,"O",IF(AD8=$BQ$24,"O",IF(AD8=#REF!,"O",IF(AD8=$BS$24,"O",IF(AD8=$BT$24,"O",IF(AD8=$BU$24,"O",IF(AD8=$BV$24,"O",IF(AD8=$BW$24,"O",IF(AD8=$BX$24,"O",IF(AD8=$BY$24,"O",IF(AD8=$BZ$24,"O",IF(AD8=$CA$24,"O",IF(AD8=$CB$24,"O","X"))))))))))))))))))))))))))</f>
        <v>#REF!</v>
      </c>
      <c r="AE131" s="272" t="e">
        <f>IF(AE8=$BC$24,"O",IF(AE8=$BD$24,"O",IF(AE8=$BE$24,"O",IF(AE8=$BF$24,"O",IF(AE8=$BG$24,"O",IF(AE8=$BH$24,"O",IF(AE8=$BI$24,"O",IF(AE8=$BJ$24,"O",IF(AE8=$BK$24,"O",IF(AE8=$BL$24,"O",IF(AE8=$BM$24,"O",IF(AE8=$BN$24,"O",IF(AE8=$BO$24,"O",IF(AE8=$BP$24,"O",IF(AE8=$BQ$24,"O",IF(AE8=#REF!,"O",IF(AE8=$BS$24,"O",IF(AE8=$BT$24,"O",IF(AE8=$BU$24,"O",IF(AE8=$BV$24,"O",IF(AE8=$BW$24,"O",IF(AE8=$BX$24,"O",IF(AE8=$BY$24,"O",IF(AE8=$BZ$24,"O",IF(AE8=$CA$24,"O",IF(AE8=$CB$24,"O","X"))))))))))))))))))))))))))</f>
        <v>#REF!</v>
      </c>
      <c r="AF131" s="272" t="e">
        <f>IF(AF8=$BC$24,"O",IF(AF8=$BD$24,"O",IF(AF8=$BE$24,"O",IF(AF8=$BF$24,"O",IF(AF8=$BG$24,"O",IF(AF8=$BH$24,"O",IF(AF8=$BI$24,"O",IF(AF8=$BJ$24,"O",IF(AF8=$BK$24,"O",IF(AF8=$BL$24,"O",IF(AF8=$BM$24,"O",IF(AF8=$BN$24,"O",IF(AF8=$BO$24,"O",IF(AF8=$BP$24,"O",IF(AF8=$BQ$24,"O",IF(AF8=#REF!,"O",IF(AF8=$BS$24,"O",IF(AF8=$BT$24,"O",IF(AF8=$BU$24,"O",IF(AF8=$BV$24,"O",IF(AF8=$BW$24,"O",IF(AF8=$BX$24,"O",IF(AF8=$BY$24,"O",IF(AF8=$BZ$24,"O",IF(AF8=$CA$24,"O",IF(AF8=$CB$24,"O","X"))))))))))))))))))))))))))</f>
        <v>#REF!</v>
      </c>
      <c r="AG131" s="272" t="e">
        <f>IF(AG8=$BC$24,"O",IF(AG8=$BD$24,"O",IF(AG8=$BE$24,"O",IF(AG8=$BF$24,"O",IF(AG8=$BG$24,"O",IF(AG8=$BH$24,"O",IF(AG8=$BI$24,"O",IF(AG8=$BJ$24,"O",IF(AG8=$BK$24,"O",IF(AG8=$BL$24,"O",IF(AG8=$BM$24,"O",IF(AG8=$BN$24,"O",IF(AG8=$BO$24,"O",IF(AG8=$BP$24,"O",IF(AG8=$BQ$24,"O",IF(AG8=#REF!,"O",IF(AG8=$BS$24,"O",IF(AG8=$BT$24,"O",IF(AG8=$BU$24,"O",IF(AG8=$BV$24,"O",IF(AG8=$BW$24,"O",IF(AG8=$BX$24,"O",IF(AG8=$BY$24,"O",IF(AG8=$BZ$24,"O",IF(AG8=$CA$24,"O",IF(AG8=$CB$24,"O","X"))))))))))))))))))))))))))</f>
        <v>#REF!</v>
      </c>
      <c r="AH131" s="272" t="e">
        <f>IF(AH8=$BC$24,"O",IF(AH8=$BD$24,"O",IF(AH8=$BE$24,"O",IF(AH8=$BF$24,"O",IF(AH8=$BG$24,"O",IF(AH8=$BH$24,"O",IF(AH8=$BI$24,"O",IF(AH8=$BJ$24,"O",IF(AH8=$BK$24,"O",IF(AH8=$BL$24,"O",IF(AH8=$BM$24,"O",IF(AH8=$BN$24,"O",IF(AH8=$BO$24,"O",IF(AH8=$BP$24,"O",IF(AH8=$BQ$24,"O",IF(AH8=#REF!,"O",IF(AH8=$BS$24,"O",IF(AH8=$BT$24,"O",IF(AH8=$BU$24,"O",IF(AH8=$BV$24,"O",IF(AH8=$BW$24,"O",IF(AH8=$BX$24,"O",IF(AH8=$BY$24,"O",IF(AH8=$BZ$24,"O",IF(AH8=$CA$24,"O",IF(AH8=$CB$24,"O","X"))))))))))))))))))))))))))</f>
        <v>#REF!</v>
      </c>
      <c r="AI131" s="272" t="e">
        <f>IF(AI8=$BC$24,"O",IF(AI8=$BD$24,"O",IF(AI8=$BE$24,"O",IF(AI8=$BF$24,"O",IF(AI8=$BG$24,"O",IF(AI8=$BH$24,"O",IF(AI8=$BI$24,"O",IF(AI8=$BJ$24,"O",IF(AI8=$BK$24,"O",IF(AI8=$BL$24,"O",IF(AI8=$BM$24,"O",IF(AI8=$BN$24,"O",IF(AI8=$BO$24,"O",IF(AI8=$BP$24,"O",IF(AI8=$BQ$24,"O",IF(AI8=#REF!,"O",IF(AI8=$BS$24,"O",IF(AI8=$BT$24,"O",IF(AI8=$BU$24,"O",IF(AI8=$BV$24,"O",IF(AI8=$BW$24,"O",IF(AI8=$BX$24,"O",IF(AI8=$BY$24,"O",IF(AI8=$BZ$24,"O",IF(AI8=$CA$24,"O",IF(AI8=$CB$24,"O","X"))))))))))))))))))))))))))</f>
        <v>#REF!</v>
      </c>
      <c r="AJ131" s="272" t="e">
        <f>IF(AJ8=$BC$24,"O",IF(AJ8=$BD$24,"O",IF(AJ8=$BE$24,"O",IF(AJ8=$BF$24,"O",IF(AJ8=$BG$24,"O",IF(AJ8=$BH$24,"O",IF(AJ8=$BI$24,"O",IF(AJ8=$BJ$24,"O",IF(AJ8=$BK$24,"O",IF(AJ8=$BL$24,"O",IF(AJ8=$BM$24,"O",IF(AJ8=$BN$24,"O",IF(AJ8=$BO$24,"O",IF(AJ8=$BP$24,"O",IF(AJ8=$BQ$24,"O",IF(AJ8=#REF!,"O",IF(AJ8=$BS$24,"O",IF(AJ8=$BT$24,"O",IF(AJ8=$BU$24,"O",IF(AJ8=$BV$24,"O",IF(AJ8=$BW$24,"O",IF(AJ8=$BX$24,"O",IF(AJ8=$BY$24,"O",IF(AJ8=$BZ$24,"O",IF(AJ8=$CA$24,"O",IF(AJ8=$CB$24,"O","X"))))))))))))))))))))))))))</f>
        <v>#REF!</v>
      </c>
      <c r="AK131" s="272" t="e">
        <f>IF(AK8=$BC$24,"O",IF(AK8=$BD$24,"O",IF(AK8=$BE$24,"O",IF(AK8=$BF$24,"O",IF(AK8=$BG$24,"O",IF(AK8=$BH$24,"O",IF(AK8=$BI$24,"O",IF(AK8=$BJ$24,"O",IF(AK8=$BK$24,"O",IF(AK8=$BL$24,"O",IF(AK8=$BM$24,"O",IF(AK8=$BN$24,"O",IF(AK8=$BO$24,"O",IF(AK8=$BP$24,"O",IF(AK8=$BQ$24,"O",IF(AK8=#REF!,"O",IF(AK8=$BS$24,"O",IF(AK8=$BT$24,"O",IF(AK8=$BU$24,"O",IF(AK8=$BV$24,"O",IF(AK8=$BW$24,"O",IF(AK8=$BX$24,"O",IF(AK8=$BY$24,"O",IF(AK8=$BZ$24,"O",IF(AK8=$CA$24,"O",IF(AK8=$CB$24,"O","X"))))))))))))))))))))))))))</f>
        <v>#REF!</v>
      </c>
      <c r="AL131" s="307" t="e">
        <f>IF(AL8=$BC$24,"O",IF(AL8=$BD$24,"O",IF(AL8=$BE$24,"O",IF(AL8=$BF$24,"O",IF(AL8=$BG$24,"O",IF(AL8=$BH$24,"O",IF(AL8=$BI$24,"O",IF(AL8=$BJ$24,"O",IF(AL8=$BK$24,"O",IF(AL8=$BL$24,"O",IF(AL8=$BM$24,"O",IF(AL8=$BN$24,"O",IF(AL8=$BO$24,"O",IF(AL8=$BP$24,"O",IF(AL8=$BQ$24,"O",IF(AL8=#REF!,"O",IF(AL8=$BS$24,"O",IF(AL8=$BT$24,"O",IF(AL8=$BU$24,"O",IF(AL8=$BV$24,"O",IF(AL8=$BW$24,"O",IF(AL8=$BX$24,"O",IF(AL8=$BY$24,"O",IF(AL8=$BZ$24,"O",IF(AL8=$CA$24,"O",IF(AL8=$CB$24,"O","X"))))))))))))))))))))))))))</f>
        <v>#REF!</v>
      </c>
      <c r="AM131" s="307" t="e">
        <f>IF(AM8=$BC$24,"O",IF(AM8=$BD$24,"O",IF(AM8=$BE$24,"O",IF(AM8=$BF$24,"O",IF(AM8=$BG$24,"O",IF(AM8=$BH$24,"O",IF(AM8=$BI$24,"O",IF(AM8=$BJ$24,"O",IF(AM8=$BK$24,"O",IF(AM8=$BL$24,"O",IF(AM8=$BM$24,"O",IF(AM8=$BN$24,"O",IF(AM8=$BO$24,"O",IF(AM8=$BP$24,"O",IF(AM8=$BQ$24,"O",IF(AM8=#REF!,"O",IF(AM8=$BS$24,"O",IF(AM8=$BT$24,"O",IF(AM8=$BU$24,"O",IF(AM8=$BV$24,"O",IF(AM8=$BW$24,"O",IF(AM8=$BX$24,"O",IF(AM8=$BY$24,"O",IF(AM8=$BZ$24,"O",IF(AM8=$CA$24,"O",IF(AM8=$CB$24,"O","X"))))))))))))))))))))))))))</f>
        <v>#REF!</v>
      </c>
      <c r="AN131" s="307" t="e">
        <f>IF(AN8=$BC$24,"O",IF(AN8=$BD$24,"O",IF(AN8=$BE$24,"O",IF(AN8=$BF$24,"O",IF(AN8=$BG$24,"O",IF(AN8=$BH$24,"O",IF(AN8=$BI$24,"O",IF(AN8=$BJ$24,"O",IF(AN8=$BK$24,"O",IF(AN8=$BL$24,"O",IF(AN8=$BM$24,"O",IF(AN8=$BN$24,"O",IF(AN8=$BO$24,"O",IF(AN8=$BP$24,"O",IF(AN8=$BQ$24,"O",IF(AN8=#REF!,"O",IF(AN8=$BS$24,"O",IF(AN8=$BT$24,"O",IF(AN8=$BU$24,"O",IF(AN8=$BV$24,"O",IF(AN8=$BW$24,"O",IF(AN8=$BX$24,"O",IF(AN8=$BY$24,"O",IF(AN8=$BZ$24,"O",IF(AN8=$CA$24,"O",IF(AN8=$CB$24,"O","X"))))))))))))))))))))))))))</f>
        <v>#REF!</v>
      </c>
      <c r="AO131" s="307" t="e">
        <f>IF(AO8=$BC$24,"O",IF(AO8=$BD$24,"O",IF(AO8=$BE$24,"O",IF(AO8=$BF$24,"O",IF(AO8=$BG$24,"O",IF(AO8=$BH$24,"O",IF(AO8=$BI$24,"O",IF(AO8=$BJ$24,"O",IF(AO8=$BK$24,"O",IF(AO8=$BL$24,"O",IF(AO8=$BM$24,"O",IF(AO8=$BN$24,"O",IF(AO8=$BO$24,"O",IF(AO8=$BP$24,"O",IF(AO8=$BQ$24,"O",IF(AO8=#REF!,"O",IF(AO8=$BS$24,"O",IF(AO8=$BT$24,"O",IF(AO8=$BU$24,"O",IF(AO8=$BV$24,"O",IF(AO8=$BW$24,"O",IF(AO8=$BX$24,"O",IF(AO8=$BY$24,"O",IF(AO8=$BZ$24,"O",IF(AO8=$CA$24,"O",IF(AO8=$CB$24,"O","X"))))))))))))))))))))))))))</f>
        <v>#REF!</v>
      </c>
      <c r="AP131" s="307" t="e">
        <f>IF(AP8=$BC$24,"O",IF(AP8=$BD$24,"O",IF(AP8=$BE$24,"O",IF(AP8=$BF$24,"O",IF(AP8=$BG$24,"O",IF(AP8=$BH$24,"O",IF(AP8=$BI$24,"O",IF(AP8=$BJ$24,"O",IF(AP8=$BK$24,"O",IF(AP8=$BL$24,"O",IF(AP8=$BM$24,"O",IF(AP8=$BN$24,"O",IF(AP8=$BO$24,"O",IF(AP8=$BP$24,"O",IF(AP8=$BQ$24,"O",IF(AP8=#REF!,"O",IF(AP8=$BS$24,"O",IF(AP8=$BT$24,"O",IF(AP8=$BU$24,"O",IF(AP8=$BV$24,"O",IF(AP8=$BW$24,"O",IF(AP8=$BX$24,"O",IF(AP8=$BY$24,"O",IF(AP8=$BZ$24,"O",IF(AP8=$CA$24,"O",IF(AP8=$CB$24,"O","X"))))))))))))))))))))))))))</f>
        <v>#REF!</v>
      </c>
      <c r="AQ131" s="307" t="e">
        <f>IF(AQ8=$BC$24,"O",IF(AQ8=$BD$24,"O",IF(AQ8=$BE$24,"O",IF(AQ8=$BF$24,"O",IF(AQ8=$BG$24,"O",IF(AQ8=$BH$24,"O",IF(AQ8=$BI$24,"O",IF(AQ8=$BJ$24,"O",IF(AQ8=$BK$24,"O",IF(AQ8=$BL$24,"O",IF(AQ8=$BM$24,"O",IF(AQ8=$BN$24,"O",IF(AQ8=$BO$24,"O",IF(AQ8=$BP$24,"O",IF(AQ8=$BQ$24,"O",IF(AQ8=#REF!,"O",IF(AQ8=$BS$24,"O",IF(AQ8=$BT$24,"O",IF(AQ8=$BU$24,"O",IF(AQ8=$BV$24,"O",IF(AQ8=$BW$24,"O",IF(AQ8=$BX$24,"O",IF(AQ8=$BY$24,"O",IF(AQ8=$BZ$24,"O",IF(AQ8=$CA$24,"O",IF(AQ8=$CB$24,"O","X"))))))))))))))))))))))))))</f>
        <v>#REF!</v>
      </c>
      <c r="AR131" s="307" t="e">
        <f>IF(AR8=$BC$24,"O",IF(AR8=$BD$24,"O",IF(AR8=$BE$24,"O",IF(AR8=$BF$24,"O",IF(AR8=$BG$24,"O",IF(AR8=$BH$24,"O",IF(AR8=$BI$24,"O",IF(AR8=$BJ$24,"O",IF(AR8=$BK$24,"O",IF(AR8=$BL$24,"O",IF(AR8=$BM$24,"O",IF(AR8=$BN$24,"O",IF(AR8=$BO$24,"O",IF(AR8=$BP$24,"O",IF(AR8=$BQ$24,"O",IF(AR8=#REF!,"O",IF(AR8=$BS$24,"O",IF(AR8=$BT$24,"O",IF(AR8=$BU$24,"O",IF(AR8=$BV$24,"O",IF(AR8=$BW$24,"O",IF(AR8=$BX$24,"O",IF(AR8=$BY$24,"O",IF(AR8=$BZ$24,"O",IF(AR8=$CA$24,"O",IF(AR8=$CB$24,"O","X"))))))))))))))))))))))))))</f>
        <v>#REF!</v>
      </c>
      <c r="AS131" s="307" t="e">
        <f>IF(AS8=$BC$24,"O",IF(AS8=$BD$24,"O",IF(AS8=$BE$24,"O",IF(AS8=$BF$24,"O",IF(AS8=$BG$24,"O",IF(AS8=$BH$24,"O",IF(AS8=$BI$24,"O",IF(AS8=$BJ$24,"O",IF(AS8=$BK$24,"O",IF(AS8=$BL$24,"O",IF(AS8=$BM$24,"O",IF(AS8=$BN$24,"O",IF(AS8=$BO$24,"O",IF(AS8=$BP$24,"O",IF(AS8=$BQ$24,"O",IF(AS8=#REF!,"O",IF(AS8=$BS$24,"O",IF(AS8=$BT$24,"O",IF(AS8=$BU$24,"O",IF(AS8=$BV$24,"O",IF(AS8=$BW$24,"O",IF(AS8=$BX$24,"O",IF(AS8=$BY$24,"O",IF(AS8=$BZ$24,"O",IF(AS8=$CA$24,"O",IF(AS8=$CB$24,"O","X"))))))))))))))))))))))))))</f>
        <v>#REF!</v>
      </c>
      <c r="AT131" s="307" t="e">
        <f>IF(AT8=$BC$24,"O",IF(AT8=$BD$24,"O",IF(AT8=$BE$24,"O",IF(AT8=$BF$24,"O",IF(AT8=$BG$24,"O",IF(AT8=$BH$24,"O",IF(AT8=$BI$24,"O",IF(AT8=$BJ$24,"O",IF(AT8=$BK$24,"O",IF(AT8=$BL$24,"O",IF(AT8=$BM$24,"O",IF(AT8=$BN$24,"O",IF(AT8=$BO$24,"O",IF(AT8=$BP$24,"O",IF(AT8=$BQ$24,"O",IF(AT8=#REF!,"O",IF(AT8=$BS$24,"O",IF(AT8=$BT$24,"O",IF(AT8=$BU$24,"O",IF(AT8=$BV$24,"O",IF(AT8=$BW$24,"O",IF(AT8=$BX$24,"O",IF(AT8=$BY$24,"O",IF(AT8=$BZ$24,"O",IF(AT8=$CA$24,"O",IF(AT8=$CB$24,"O","X"))))))))))))))))))))))))))</f>
        <v>#REF!</v>
      </c>
      <c r="AU131" s="307" t="e">
        <f>IF(AU8=$BC$24,"O",IF(AU8=$BD$24,"O",IF(AU8=$BE$24,"O",IF(AU8=$BF$24,"O",IF(AU8=$BG$24,"O",IF(AU8=$BH$24,"O",IF(AU8=$BI$24,"O",IF(AU8=$BJ$24,"O",IF(AU8=$BK$24,"O",IF(AU8=$BL$24,"O",IF(AU8=$BM$24,"O",IF(AU8=$BN$24,"O",IF(AU8=$BO$24,"O",IF(AU8=$BP$24,"O",IF(AU8=$BQ$24,"O",IF(AU8=#REF!,"O",IF(AU8=$BS$24,"O",IF(AU8=$BT$24,"O",IF(AU8=$BU$24,"O",IF(AU8=$BV$24,"O",IF(AU8=$BW$24,"O",IF(AU8=$BX$24,"O",IF(AU8=$BY$24,"O",IF(AU8=$BZ$24,"O",IF(AU8=$CA$24,"O",IF(AU8=$CB$24,"O","X"))))))))))))))))))))))))))</f>
        <v>#REF!</v>
      </c>
      <c r="AV131" s="296"/>
      <c r="AW131" s="296"/>
      <c r="AX131" s="206"/>
      <c r="BC131" s="151"/>
      <c r="BD131" s="151"/>
      <c r="BE131" s="151"/>
      <c r="BF131" s="151"/>
      <c r="BG131" s="163"/>
      <c r="BH131" s="2"/>
      <c r="BI131" s="2"/>
      <c r="BJ131" s="235"/>
      <c r="BK131" s="2"/>
      <c r="BL131" s="2"/>
      <c r="BM131" s="2"/>
      <c r="BN131" s="2"/>
      <c r="BO131" s="2"/>
      <c r="BP131" s="2"/>
    </row>
    <row r="132" spans="1:68">
      <c r="A132" s="180"/>
      <c r="B132" s="216" t="s">
        <v>567</v>
      </c>
      <c r="C132" s="354" t="str">
        <f t="shared" ref="C132:Q132" ca="1" si="187">IF(C9=$BC$24,"O",IF(C9=$BD$24,"O",IF(C9=$BE$24,"O",IF(C9=$BF$24,"O",IF(C9=$BG$24,"O",IF(C9=$BH$24,"O",IF(C9=$BI$24,"O",IF(C9=$BJ$24,"O",IF(C9=$BK$24,"O",IF(C9=$BL$24,"O",IF(C9=$BM$24,"O",IF(C9=$BN$24,"O",IF(C9=$BO$24,"O",IF(C9=$BP$24,"O",IF(C9=$BQ$24,"O",IF(C9=$BR$24,"O",IF(C9=$BS$24,"O",IF(C9=$BT$24,"O",IF(C9=$BU$24,"O",IF(C9=$BV$24,"O",IF(C9=$BW$24,"O",IF(C9=$BX$24,"O",IF(C9=$BY$24,"O",IF(C9=$BZ$24,"O",IF(C9=$CA$24,"O",IF(C9=$CB$24,"O",IF(C9=$CC$24,"O",IF(C9=$CD$24,"O",IF(C9=$CE$24,"O",IF(C9=$CF$24,"O",IF(C9=$CG$24,"O",IF(C9=$CH$24,"O",IF(C9=$CI$24,"O",IF(C9=$CJ$24,"O",IF(C9=$CK$24,"O",IF(C9=$CL$24,"O",IF(C9=$CM$24,"O",IF(C9=$CN$24,"O",IF(C9=$CO$24,"O",IF(C9=$CP$24,"O","X"))))))))))))))))))))))))))))))))))))))))</f>
        <v>X</v>
      </c>
      <c r="D132" s="354" t="str">
        <f t="shared" ca="1" si="187"/>
        <v>O</v>
      </c>
      <c r="E132" s="354" t="str">
        <f t="shared" ca="1" si="187"/>
        <v>O</v>
      </c>
      <c r="F132" s="354" t="str">
        <f t="shared" ca="1" si="187"/>
        <v>O</v>
      </c>
      <c r="G132" s="354" t="str">
        <f t="shared" ca="1" si="187"/>
        <v>O</v>
      </c>
      <c r="H132" s="354" t="str">
        <f t="shared" ca="1" si="187"/>
        <v>O</v>
      </c>
      <c r="I132" s="354" t="str">
        <f t="shared" ca="1" si="187"/>
        <v>O</v>
      </c>
      <c r="J132" s="354" t="str">
        <f t="shared" ca="1" si="187"/>
        <v>O</v>
      </c>
      <c r="K132" s="354" t="str">
        <f t="shared" ca="1" si="187"/>
        <v>X</v>
      </c>
      <c r="L132" s="354" t="str">
        <f t="shared" ca="1" si="187"/>
        <v>X</v>
      </c>
      <c r="M132" s="354" t="str">
        <f t="shared" ca="1" si="187"/>
        <v>O</v>
      </c>
      <c r="N132" s="354" t="str">
        <f t="shared" ca="1" si="187"/>
        <v>X</v>
      </c>
      <c r="O132" s="354" t="str">
        <f t="shared" ca="1" si="187"/>
        <v>O</v>
      </c>
      <c r="P132" s="354" t="str">
        <f t="shared" ca="1" si="187"/>
        <v>X</v>
      </c>
      <c r="Q132" s="354" t="str">
        <f t="shared" ca="1" si="187"/>
        <v>O</v>
      </c>
      <c r="R132" s="272" t="e">
        <f>IF(R9=$BC$24,"O",IF(R9=$BD$24,"O",IF(R9=$BE$24,"O",IF(R9=$BF$24,"O",IF(R9=$BG$24,"O",IF(R9=$BH$24,"O",IF(R9=$BI$24,"O",IF(R9=$BJ$24,"O",IF(R9=$BK$24,"O",IF(R9=$BL$24,"O",IF(R9=$BM$24,"O",IF(R9=$BN$24,"O",IF(R9=$BO$24,"O",IF(R9=$BP$24,"O",IF(R9=$BQ$24,"O",IF(R9=#REF!,"O",IF(R9=$BS$24,"O",IF(R9=$BT$24,"O",IF(R9=$BU$24,"O",IF(R9=$BV$24,"O",IF(R9=$BW$24,"O",IF(R9=$BX$24,"O",IF(R9=$BY$24,"O",IF(R9=$BZ$24,"O",IF(R9=$CA$24,"O",IF(R9=$CB$24,"O","X"))))))))))))))))))))))))))</f>
        <v>#REF!</v>
      </c>
      <c r="S132" s="272" t="e">
        <f>IF(S9=$BC$24,"O",IF(S9=$BD$24,"O",IF(S9=$BE$24,"O",IF(S9=$BF$24,"O",IF(S9=$BG$24,"O",IF(S9=$BH$24,"O",IF(S9=$BI$24,"O",IF(S9=$BJ$24,"O",IF(S9=$BK$24,"O",IF(S9=$BL$24,"O",IF(S9=$BM$24,"O",IF(S9=$BN$24,"O",IF(S9=$BO$24,"O",IF(S9=$BP$24,"O",IF(S9=$BQ$24,"O",IF(S9=#REF!,"O",IF(S9=$BS$24,"O",IF(S9=$BT$24,"O",IF(S9=$BU$24,"O",IF(S9=$BV$24,"O",IF(S9=$BW$24,"O",IF(S9=$BX$24,"O",IF(S9=$BY$24,"O",IF(S9=$BZ$24,"O",IF(S9=$CA$24,"O",IF(S9=$CB$24,"O","X"))))))))))))))))))))))))))</f>
        <v>#REF!</v>
      </c>
      <c r="T132" s="272" t="e">
        <f>IF(T9=$BC$24,"O",IF(T9=$BD$24,"O",IF(T9=$BE$24,"O",IF(T9=$BF$24,"O",IF(T9=$BG$24,"O",IF(T9=$BH$24,"O",IF(T9=$BI$24,"O",IF(T9=$BJ$24,"O",IF(T9=$BK$24,"O",IF(T9=$BL$24,"O",IF(T9=$BM$24,"O",IF(T9=$BN$24,"O",IF(T9=$BO$24,"O",IF(T9=$BP$24,"O",IF(T9=$BQ$24,"O",IF(T9=#REF!,"O",IF(T9=$BS$24,"O",IF(T9=$BT$24,"O",IF(T9=$BU$24,"O",IF(T9=$BV$24,"O",IF(T9=$BW$24,"O",IF(T9=$BX$24,"O",IF(T9=$BY$24,"O",IF(T9=$BZ$24,"O",IF(T9=$CA$24,"O",IF(T9=$CB$24,"O","X"))))))))))))))))))))))))))</f>
        <v>#REF!</v>
      </c>
      <c r="U132" s="272" t="e">
        <f>IF(U9=$BC$24,"O",IF(U9=$BD$24,"O",IF(U9=$BE$24,"O",IF(U9=$BF$24,"O",IF(U9=$BG$24,"O",IF(U9=$BH$24,"O",IF(U9=$BI$24,"O",IF(U9=$BJ$24,"O",IF(U9=$BK$24,"O",IF(U9=$BL$24,"O",IF(U9=$BM$24,"O",IF(U9=$BN$24,"O",IF(U9=$BO$24,"O",IF(U9=$BP$24,"O",IF(U9=$BQ$24,"O",IF(U9=#REF!,"O",IF(U9=$BS$24,"O",IF(U9=$BT$24,"O",IF(U9=$BU$24,"O",IF(U9=$BV$24,"O",IF(U9=$BW$24,"O",IF(U9=$BX$24,"O",IF(U9=$BY$24,"O",IF(U9=$BZ$24,"O",IF(U9=$CA$24,"O",IF(U9=$CB$24,"O","X"))))))))))))))))))))))))))</f>
        <v>#REF!</v>
      </c>
      <c r="V132" s="272" t="e">
        <f>IF(V9=$BC$24,"O",IF(V9=$BD$24,"O",IF(V9=$BE$24,"O",IF(V9=$BF$24,"O",IF(V9=$BG$24,"O",IF(V9=$BH$24,"O",IF(V9=$BI$24,"O",IF(V9=$BJ$24,"O",IF(V9=$BK$24,"O",IF(V9=$BL$24,"O",IF(V9=$BM$24,"O",IF(V9=$BN$24,"O",IF(V9=$BO$24,"O",IF(V9=$BP$24,"O",IF(V9=$BQ$24,"O",IF(V9=#REF!,"O",IF(V9=$BS$24,"O",IF(V9=$BT$24,"O",IF(V9=$BU$24,"O",IF(V9=$BV$24,"O",IF(V9=$BW$24,"O",IF(V9=$BX$24,"O",IF(V9=$BY$24,"O",IF(V9=$BZ$24,"O",IF(V9=$CA$24,"O",IF(V9=$CB$24,"O","X"))))))))))))))))))))))))))</f>
        <v>#REF!</v>
      </c>
      <c r="W132" s="272" t="e">
        <f>IF(W9=$BC$24,"O",IF(W9=$BD$24,"O",IF(W9=$BE$24,"O",IF(W9=$BF$24,"O",IF(W9=$BG$24,"O",IF(W9=$BH$24,"O",IF(W9=$BI$24,"O",IF(W9=$BJ$24,"O",IF(W9=$BK$24,"O",IF(W9=$BL$24,"O",IF(W9=$BM$24,"O",IF(W9=$BN$24,"O",IF(W9=$BO$24,"O",IF(W9=$BP$24,"O",IF(W9=$BQ$24,"O",IF(W9=#REF!,"O",IF(W9=$BS$24,"O",IF(W9=$BT$24,"O",IF(W9=$BU$24,"O",IF(W9=$BV$24,"O",IF(W9=$BW$24,"O",IF(W9=$BX$24,"O",IF(W9=$BY$24,"O",IF(W9=$BZ$24,"O",IF(W9=$CA$24,"O",IF(W9=$CB$24,"O","X"))))))))))))))))))))))))))</f>
        <v>#REF!</v>
      </c>
      <c r="X132" s="272" t="e">
        <f>IF(X9=$BC$24,"O",IF(X9=$BD$24,"O",IF(X9=$BE$24,"O",IF(X9=$BF$24,"O",IF(X9=$BG$24,"O",IF(X9=$BH$24,"O",IF(X9=$BI$24,"O",IF(X9=$BJ$24,"O",IF(X9=$BK$24,"O",IF(X9=$BL$24,"O",IF(X9=$BM$24,"O",IF(X9=$BN$24,"O",IF(X9=$BO$24,"O",IF(X9=$BP$24,"O",IF(X9=$BQ$24,"O",IF(X9=#REF!,"O",IF(X9=$BS$24,"O",IF(X9=$BT$24,"O",IF(X9=$BU$24,"O",IF(X9=$BV$24,"O",IF(X9=$BW$24,"O",IF(X9=$BX$24,"O",IF(X9=$BY$24,"O",IF(X9=$BZ$24,"O",IF(X9=$CA$24,"O",IF(X9=$CB$24,"O","X"))))))))))))))))))))))))))</f>
        <v>#REF!</v>
      </c>
      <c r="Y132" s="272" t="e">
        <f>IF(Y9=$BC$24,"O",IF(Y9=$BD$24,"O",IF(Y9=$BE$24,"O",IF(Y9=$BF$24,"O",IF(Y9=$BG$24,"O",IF(Y9=$BH$24,"O",IF(Y9=$BI$24,"O",IF(Y9=$BJ$24,"O",IF(Y9=$BK$24,"O",IF(Y9=$BL$24,"O",IF(Y9=$BM$24,"O",IF(Y9=$BN$24,"O",IF(Y9=$BO$24,"O",IF(Y9=$BP$24,"O",IF(Y9=$BQ$24,"O",IF(Y9=#REF!,"O",IF(Y9=$BS$24,"O",IF(Y9=$BT$24,"O",IF(Y9=$BU$24,"O",IF(Y9=$BV$24,"O",IF(Y9=$BW$24,"O",IF(Y9=$BX$24,"O",IF(Y9=$BY$24,"O",IF(Y9=$BZ$24,"O",IF(Y9=$CA$24,"O",IF(Y9=$CB$24,"O","X"))))))))))))))))))))))))))</f>
        <v>#REF!</v>
      </c>
      <c r="Z132" s="272" t="e">
        <f>IF(Z9=$BC$24,"O",IF(Z9=$BD$24,"O",IF(Z9=$BE$24,"O",IF(Z9=$BF$24,"O",IF(Z9=$BG$24,"O",IF(Z9=$BH$24,"O",IF(Z9=$BI$24,"O",IF(Z9=$BJ$24,"O",IF(Z9=$BK$24,"O",IF(Z9=$BL$24,"O",IF(Z9=$BM$24,"O",IF(Z9=$BN$24,"O",IF(Z9=$BO$24,"O",IF(Z9=$BP$24,"O",IF(Z9=$BQ$24,"O",IF(Z9=#REF!,"O",IF(Z9=$BS$24,"O",IF(Z9=$BT$24,"O",IF(Z9=$BU$24,"O",IF(Z9=$BV$24,"O",IF(Z9=$BW$24,"O",IF(Z9=$BX$24,"O",IF(Z9=$BY$24,"O",IF(Z9=$BZ$24,"O",IF(Z9=$CA$24,"O",IF(Z9=$CB$24,"O","X"))))))))))))))))))))))))))</f>
        <v>#REF!</v>
      </c>
      <c r="AA132" s="272" t="e">
        <f>IF(AA9=$BC$24,"O",IF(AA9=$BD$24,"O",IF(AA9=$BE$24,"O",IF(AA9=$BF$24,"O",IF(AA9=$BG$24,"O",IF(AA9=$BH$24,"O",IF(AA9=$BI$24,"O",IF(AA9=$BJ$24,"O",IF(AA9=$BK$24,"O",IF(AA9=$BL$24,"O",IF(AA9=$BM$24,"O",IF(AA9=$BN$24,"O",IF(AA9=$BO$24,"O",IF(AA9=$BP$24,"O",IF(AA9=$BQ$24,"O",IF(AA9=#REF!,"O",IF(AA9=$BS$24,"O",IF(AA9=$BT$24,"O",IF(AA9=$BU$24,"O",IF(AA9=$BV$24,"O",IF(AA9=$BW$24,"O",IF(AA9=$BX$24,"O",IF(AA9=$BY$24,"O",IF(AA9=$BZ$24,"O",IF(AA9=$CA$24,"O",IF(AA9=$CB$24,"O","X"))))))))))))))))))))))))))</f>
        <v>#REF!</v>
      </c>
      <c r="AB132" s="272" t="e">
        <f>IF(AB9=$BC$24,"O",IF(AB9=$BD$24,"O",IF(AB9=$BE$24,"O",IF(AB9=$BF$24,"O",IF(AB9=$BG$24,"O",IF(AB9=$BH$24,"O",IF(AB9=$BI$24,"O",IF(AB9=$BJ$24,"O",IF(AB9=$BK$24,"O",IF(AB9=$BL$24,"O",IF(AB9=$BM$24,"O",IF(AB9=$BN$24,"O",IF(AB9=$BO$24,"O",IF(AB9=$BP$24,"O",IF(AB9=$BQ$24,"O",IF(AB9=#REF!,"O",IF(AB9=$BS$24,"O",IF(AB9=$BT$24,"O",IF(AB9=$BU$24,"O",IF(AB9=$BV$24,"O",IF(AB9=$BW$24,"O",IF(AB9=$BX$24,"O",IF(AB9=$BY$24,"O",IF(AB9=$BZ$24,"O",IF(AB9=$CA$24,"O",IF(AB9=$CB$24,"O","X"))))))))))))))))))))))))))</f>
        <v>#REF!</v>
      </c>
      <c r="AC132" s="272" t="e">
        <f>IF(AC9=$BC$24,"O",IF(AC9=$BD$24,"O",IF(AC9=$BE$24,"O",IF(AC9=$BF$24,"O",IF(AC9=$BG$24,"O",IF(AC9=$BH$24,"O",IF(AC9=$BI$24,"O",IF(AC9=$BJ$24,"O",IF(AC9=$BK$24,"O",IF(AC9=$BL$24,"O",IF(AC9=$BM$24,"O",IF(AC9=$BN$24,"O",IF(AC9=$BO$24,"O",IF(AC9=$BP$24,"O",IF(AC9=$BQ$24,"O",IF(AC9=#REF!,"O",IF(AC9=$BS$24,"O",IF(AC9=$BT$24,"O",IF(AC9=$BU$24,"O",IF(AC9=$BV$24,"O",IF(AC9=$BW$24,"O",IF(AC9=$BX$24,"O",IF(AC9=$BY$24,"O",IF(AC9=$BZ$24,"O",IF(AC9=$CA$24,"O",IF(AC9=$CB$24,"O","X"))))))))))))))))))))))))))</f>
        <v>#REF!</v>
      </c>
      <c r="AD132" s="272" t="e">
        <f>IF(AD9=$BC$24,"O",IF(AD9=$BD$24,"O",IF(AD9=$BE$24,"O",IF(AD9=$BF$24,"O",IF(AD9=$BG$24,"O",IF(AD9=$BH$24,"O",IF(AD9=$BI$24,"O",IF(AD9=$BJ$24,"O",IF(AD9=$BK$24,"O",IF(AD9=$BL$24,"O",IF(AD9=$BM$24,"O",IF(AD9=$BN$24,"O",IF(AD9=$BO$24,"O",IF(AD9=$BP$24,"O",IF(AD9=$BQ$24,"O",IF(AD9=#REF!,"O",IF(AD9=$BS$24,"O",IF(AD9=$BT$24,"O",IF(AD9=$BU$24,"O",IF(AD9=$BV$24,"O",IF(AD9=$BW$24,"O",IF(AD9=$BX$24,"O",IF(AD9=$BY$24,"O",IF(AD9=$BZ$24,"O",IF(AD9=$CA$24,"O",IF(AD9=$CB$24,"O","X"))))))))))))))))))))))))))</f>
        <v>#REF!</v>
      </c>
      <c r="AE132" s="272" t="e">
        <f>IF(AE9=$BC$24,"O",IF(AE9=$BD$24,"O",IF(AE9=$BE$24,"O",IF(AE9=$BF$24,"O",IF(AE9=$BG$24,"O",IF(AE9=$BH$24,"O",IF(AE9=$BI$24,"O",IF(AE9=$BJ$24,"O",IF(AE9=$BK$24,"O",IF(AE9=$BL$24,"O",IF(AE9=$BM$24,"O",IF(AE9=$BN$24,"O",IF(AE9=$BO$24,"O",IF(AE9=$BP$24,"O",IF(AE9=$BQ$24,"O",IF(AE9=#REF!,"O",IF(AE9=$BS$24,"O",IF(AE9=$BT$24,"O",IF(AE9=$BU$24,"O",IF(AE9=$BV$24,"O",IF(AE9=$BW$24,"O",IF(AE9=$BX$24,"O",IF(AE9=$BY$24,"O",IF(AE9=$BZ$24,"O",IF(AE9=$CA$24,"O",IF(AE9=$CB$24,"O","X"))))))))))))))))))))))))))</f>
        <v>#REF!</v>
      </c>
      <c r="AF132" s="272" t="e">
        <f>IF(AF9=$BC$24,"O",IF(AF9=$BD$24,"O",IF(AF9=$BE$24,"O",IF(AF9=$BF$24,"O",IF(AF9=$BG$24,"O",IF(AF9=$BH$24,"O",IF(AF9=$BI$24,"O",IF(AF9=$BJ$24,"O",IF(AF9=$BK$24,"O",IF(AF9=$BL$24,"O",IF(AF9=$BM$24,"O",IF(AF9=$BN$24,"O",IF(AF9=$BO$24,"O",IF(AF9=$BP$24,"O",IF(AF9=$BQ$24,"O",IF(AF9=#REF!,"O",IF(AF9=$BS$24,"O",IF(AF9=$BT$24,"O",IF(AF9=$BU$24,"O",IF(AF9=$BV$24,"O",IF(AF9=$BW$24,"O",IF(AF9=$BX$24,"O",IF(AF9=$BY$24,"O",IF(AF9=$BZ$24,"O",IF(AF9=$CA$24,"O",IF(AF9=$CB$24,"O","X"))))))))))))))))))))))))))</f>
        <v>#REF!</v>
      </c>
      <c r="AG132" s="272" t="e">
        <f>IF(AG9=$BC$24,"O",IF(AG9=$BD$24,"O",IF(AG9=$BE$24,"O",IF(AG9=$BF$24,"O",IF(AG9=$BG$24,"O",IF(AG9=$BH$24,"O",IF(AG9=$BI$24,"O",IF(AG9=$BJ$24,"O",IF(AG9=$BK$24,"O",IF(AG9=$BL$24,"O",IF(AG9=$BM$24,"O",IF(AG9=$BN$24,"O",IF(AG9=$BO$24,"O",IF(AG9=$BP$24,"O",IF(AG9=$BQ$24,"O",IF(AG9=#REF!,"O",IF(AG9=$BS$24,"O",IF(AG9=$BT$24,"O",IF(AG9=$BU$24,"O",IF(AG9=$BV$24,"O",IF(AG9=$BW$24,"O",IF(AG9=$BX$24,"O",IF(AG9=$BY$24,"O",IF(AG9=$BZ$24,"O",IF(AG9=$CA$24,"O",IF(AG9=$CB$24,"O","X"))))))))))))))))))))))))))</f>
        <v>#REF!</v>
      </c>
      <c r="AH132" s="272" t="e">
        <f>IF(AH9=$BC$24,"O",IF(AH9=$BD$24,"O",IF(AH9=$BE$24,"O",IF(AH9=$BF$24,"O",IF(AH9=$BG$24,"O",IF(AH9=$BH$24,"O",IF(AH9=$BI$24,"O",IF(AH9=$BJ$24,"O",IF(AH9=$BK$24,"O",IF(AH9=$BL$24,"O",IF(AH9=$BM$24,"O",IF(AH9=$BN$24,"O",IF(AH9=$BO$24,"O",IF(AH9=$BP$24,"O",IF(AH9=$BQ$24,"O",IF(AH9=#REF!,"O",IF(AH9=$BS$24,"O",IF(AH9=$BT$24,"O",IF(AH9=$BU$24,"O",IF(AH9=$BV$24,"O",IF(AH9=$BW$24,"O",IF(AH9=$BX$24,"O",IF(AH9=$BY$24,"O",IF(AH9=$BZ$24,"O",IF(AH9=$CA$24,"O",IF(AH9=$CB$24,"O","X"))))))))))))))))))))))))))</f>
        <v>#REF!</v>
      </c>
      <c r="AI132" s="272" t="e">
        <f>IF(AI9=$BC$24,"O",IF(AI9=$BD$24,"O",IF(AI9=$BE$24,"O",IF(AI9=$BF$24,"O",IF(AI9=$BG$24,"O",IF(AI9=$BH$24,"O",IF(AI9=$BI$24,"O",IF(AI9=$BJ$24,"O",IF(AI9=$BK$24,"O",IF(AI9=$BL$24,"O",IF(AI9=$BM$24,"O",IF(AI9=$BN$24,"O",IF(AI9=$BO$24,"O",IF(AI9=$BP$24,"O",IF(AI9=$BQ$24,"O",IF(AI9=#REF!,"O",IF(AI9=$BS$24,"O",IF(AI9=$BT$24,"O",IF(AI9=$BU$24,"O",IF(AI9=$BV$24,"O",IF(AI9=$BW$24,"O",IF(AI9=$BX$24,"O",IF(AI9=$BY$24,"O",IF(AI9=$BZ$24,"O",IF(AI9=$CA$24,"O",IF(AI9=$CB$24,"O","X"))))))))))))))))))))))))))</f>
        <v>#REF!</v>
      </c>
      <c r="AJ132" s="272" t="e">
        <f>IF(AJ9=$BC$24,"O",IF(AJ9=$BD$24,"O",IF(AJ9=$BE$24,"O",IF(AJ9=$BF$24,"O",IF(AJ9=$BG$24,"O",IF(AJ9=$BH$24,"O",IF(AJ9=$BI$24,"O",IF(AJ9=$BJ$24,"O",IF(AJ9=$BK$24,"O",IF(AJ9=$BL$24,"O",IF(AJ9=$BM$24,"O",IF(AJ9=$BN$24,"O",IF(AJ9=$BO$24,"O",IF(AJ9=$BP$24,"O",IF(AJ9=$BQ$24,"O",IF(AJ9=#REF!,"O",IF(AJ9=$BS$24,"O",IF(AJ9=$BT$24,"O",IF(AJ9=$BU$24,"O",IF(AJ9=$BV$24,"O",IF(AJ9=$BW$24,"O",IF(AJ9=$BX$24,"O",IF(AJ9=$BY$24,"O",IF(AJ9=$BZ$24,"O",IF(AJ9=$CA$24,"O",IF(AJ9=$CB$24,"O","X"))))))))))))))))))))))))))</f>
        <v>#REF!</v>
      </c>
      <c r="AK132" s="272" t="e">
        <f>IF(AK9=$BC$24,"O",IF(AK9=$BD$24,"O",IF(AK9=$BE$24,"O",IF(AK9=$BF$24,"O",IF(AK9=$BG$24,"O",IF(AK9=$BH$24,"O",IF(AK9=$BI$24,"O",IF(AK9=$BJ$24,"O",IF(AK9=$BK$24,"O",IF(AK9=$BL$24,"O",IF(AK9=$BM$24,"O",IF(AK9=$BN$24,"O",IF(AK9=$BO$24,"O",IF(AK9=$BP$24,"O",IF(AK9=$BQ$24,"O",IF(AK9=#REF!,"O",IF(AK9=$BS$24,"O",IF(AK9=$BT$24,"O",IF(AK9=$BU$24,"O",IF(AK9=$BV$24,"O",IF(AK9=$BW$24,"O",IF(AK9=$BX$24,"O",IF(AK9=$BY$24,"O",IF(AK9=$BZ$24,"O",IF(AK9=$CA$24,"O",IF(AK9=$CB$24,"O","X"))))))))))))))))))))))))))</f>
        <v>#REF!</v>
      </c>
      <c r="AL132" s="307" t="e">
        <f>IF(AL9=$BC$24,"O",IF(AL9=$BD$24,"O",IF(AL9=$BE$24,"O",IF(AL9=$BF$24,"O",IF(AL9=$BG$24,"O",IF(AL9=$BH$24,"O",IF(AL9=$BI$24,"O",IF(AL9=$BJ$24,"O",IF(AL9=$BK$24,"O",IF(AL9=$BL$24,"O",IF(AL9=$BM$24,"O",IF(AL9=$BN$24,"O",IF(AL9=$BO$24,"O",IF(AL9=$BP$24,"O",IF(AL9=$BQ$24,"O",IF(AL9=#REF!,"O",IF(AL9=$BS$24,"O",IF(AL9=$BT$24,"O",IF(AL9=$BU$24,"O",IF(AL9=$BV$24,"O",IF(AL9=$BW$24,"O",IF(AL9=$BX$24,"O",IF(AL9=$BY$24,"O",IF(AL9=$BZ$24,"O",IF(AL9=$CA$24,"O",IF(AL9=$CB$24,"O","X"))))))))))))))))))))))))))</f>
        <v>#REF!</v>
      </c>
      <c r="AM132" s="307" t="e">
        <f>IF(AM9=$BC$24,"O",IF(AM9=$BD$24,"O",IF(AM9=$BE$24,"O",IF(AM9=$BF$24,"O",IF(AM9=$BG$24,"O",IF(AM9=$BH$24,"O",IF(AM9=$BI$24,"O",IF(AM9=$BJ$24,"O",IF(AM9=$BK$24,"O",IF(AM9=$BL$24,"O",IF(AM9=$BM$24,"O",IF(AM9=$BN$24,"O",IF(AM9=$BO$24,"O",IF(AM9=$BP$24,"O",IF(AM9=$BQ$24,"O",IF(AM9=#REF!,"O",IF(AM9=$BS$24,"O",IF(AM9=$BT$24,"O",IF(AM9=$BU$24,"O",IF(AM9=$BV$24,"O",IF(AM9=$BW$24,"O",IF(AM9=$BX$24,"O",IF(AM9=$BY$24,"O",IF(AM9=$BZ$24,"O",IF(AM9=$CA$24,"O",IF(AM9=$CB$24,"O","X"))))))))))))))))))))))))))</f>
        <v>#REF!</v>
      </c>
      <c r="AN132" s="307" t="e">
        <f>IF(AN9=$BC$24,"O",IF(AN9=$BD$24,"O",IF(AN9=$BE$24,"O",IF(AN9=$BF$24,"O",IF(AN9=$BG$24,"O",IF(AN9=$BH$24,"O",IF(AN9=$BI$24,"O",IF(AN9=$BJ$24,"O",IF(AN9=$BK$24,"O",IF(AN9=$BL$24,"O",IF(AN9=$BM$24,"O",IF(AN9=$BN$24,"O",IF(AN9=$BO$24,"O",IF(AN9=$BP$24,"O",IF(AN9=$BQ$24,"O",IF(AN9=#REF!,"O",IF(AN9=$BS$24,"O",IF(AN9=$BT$24,"O",IF(AN9=$BU$24,"O",IF(AN9=$BV$24,"O",IF(AN9=$BW$24,"O",IF(AN9=$BX$24,"O",IF(AN9=$BY$24,"O",IF(AN9=$BZ$24,"O",IF(AN9=$CA$24,"O",IF(AN9=$CB$24,"O","X"))))))))))))))))))))))))))</f>
        <v>#REF!</v>
      </c>
      <c r="AO132" s="307" t="e">
        <f>IF(AO9=$BC$24,"O",IF(AO9=$BD$24,"O",IF(AO9=$BE$24,"O",IF(AO9=$BF$24,"O",IF(AO9=$BG$24,"O",IF(AO9=$BH$24,"O",IF(AO9=$BI$24,"O",IF(AO9=$BJ$24,"O",IF(AO9=$BK$24,"O",IF(AO9=$BL$24,"O",IF(AO9=$BM$24,"O",IF(AO9=$BN$24,"O",IF(AO9=$BO$24,"O",IF(AO9=$BP$24,"O",IF(AO9=$BQ$24,"O",IF(AO9=#REF!,"O",IF(AO9=$BS$24,"O",IF(AO9=$BT$24,"O",IF(AO9=$BU$24,"O",IF(AO9=$BV$24,"O",IF(AO9=$BW$24,"O",IF(AO9=$BX$24,"O",IF(AO9=$BY$24,"O",IF(AO9=$BZ$24,"O",IF(AO9=$CA$24,"O",IF(AO9=$CB$24,"O","X"))))))))))))))))))))))))))</f>
        <v>#REF!</v>
      </c>
      <c r="AP132" s="307" t="e">
        <f>IF(AP9=$BC$24,"O",IF(AP9=$BD$24,"O",IF(AP9=$BE$24,"O",IF(AP9=$BF$24,"O",IF(AP9=$BG$24,"O",IF(AP9=$BH$24,"O",IF(AP9=$BI$24,"O",IF(AP9=$BJ$24,"O",IF(AP9=$BK$24,"O",IF(AP9=$BL$24,"O",IF(AP9=$BM$24,"O",IF(AP9=$BN$24,"O",IF(AP9=$BO$24,"O",IF(AP9=$BP$24,"O",IF(AP9=$BQ$24,"O",IF(AP9=#REF!,"O",IF(AP9=$BS$24,"O",IF(AP9=$BT$24,"O",IF(AP9=$BU$24,"O",IF(AP9=$BV$24,"O",IF(AP9=$BW$24,"O",IF(AP9=$BX$24,"O",IF(AP9=$BY$24,"O",IF(AP9=$BZ$24,"O",IF(AP9=$CA$24,"O",IF(AP9=$CB$24,"O","X"))))))))))))))))))))))))))</f>
        <v>#REF!</v>
      </c>
      <c r="AQ132" s="307" t="e">
        <f>IF(AQ9=$BC$24,"O",IF(AQ9=$BD$24,"O",IF(AQ9=$BE$24,"O",IF(AQ9=$BF$24,"O",IF(AQ9=$BG$24,"O",IF(AQ9=$BH$24,"O",IF(AQ9=$BI$24,"O",IF(AQ9=$BJ$24,"O",IF(AQ9=$BK$24,"O",IF(AQ9=$BL$24,"O",IF(AQ9=$BM$24,"O",IF(AQ9=$BN$24,"O",IF(AQ9=$BO$24,"O",IF(AQ9=$BP$24,"O",IF(AQ9=$BQ$24,"O",IF(AQ9=#REF!,"O",IF(AQ9=$BS$24,"O",IF(AQ9=$BT$24,"O",IF(AQ9=$BU$24,"O",IF(AQ9=$BV$24,"O",IF(AQ9=$BW$24,"O",IF(AQ9=$BX$24,"O",IF(AQ9=$BY$24,"O",IF(AQ9=$BZ$24,"O",IF(AQ9=$CA$24,"O",IF(AQ9=$CB$24,"O","X"))))))))))))))))))))))))))</f>
        <v>#REF!</v>
      </c>
      <c r="AR132" s="307" t="e">
        <f>IF(AR9=$BC$24,"O",IF(AR9=$BD$24,"O",IF(AR9=$BE$24,"O",IF(AR9=$BF$24,"O",IF(AR9=$BG$24,"O",IF(AR9=$BH$24,"O",IF(AR9=$BI$24,"O",IF(AR9=$BJ$24,"O",IF(AR9=$BK$24,"O",IF(AR9=$BL$24,"O",IF(AR9=$BM$24,"O",IF(AR9=$BN$24,"O",IF(AR9=$BO$24,"O",IF(AR9=$BP$24,"O",IF(AR9=$BQ$24,"O",IF(AR9=#REF!,"O",IF(AR9=$BS$24,"O",IF(AR9=$BT$24,"O",IF(AR9=$BU$24,"O",IF(AR9=$BV$24,"O",IF(AR9=$BW$24,"O",IF(AR9=$BX$24,"O",IF(AR9=$BY$24,"O",IF(AR9=$BZ$24,"O",IF(AR9=$CA$24,"O",IF(AR9=$CB$24,"O","X"))))))))))))))))))))))))))</f>
        <v>#REF!</v>
      </c>
      <c r="AS132" s="307" t="e">
        <f>IF(AS9=$BC$24,"O",IF(AS9=$BD$24,"O",IF(AS9=$BE$24,"O",IF(AS9=$BF$24,"O",IF(AS9=$BG$24,"O",IF(AS9=$BH$24,"O",IF(AS9=$BI$24,"O",IF(AS9=$BJ$24,"O",IF(AS9=$BK$24,"O",IF(AS9=$BL$24,"O",IF(AS9=$BM$24,"O",IF(AS9=$BN$24,"O",IF(AS9=$BO$24,"O",IF(AS9=$BP$24,"O",IF(AS9=$BQ$24,"O",IF(AS9=#REF!,"O",IF(AS9=$BS$24,"O",IF(AS9=$BT$24,"O",IF(AS9=$BU$24,"O",IF(AS9=$BV$24,"O",IF(AS9=$BW$24,"O",IF(AS9=$BX$24,"O",IF(AS9=$BY$24,"O",IF(AS9=$BZ$24,"O",IF(AS9=$CA$24,"O",IF(AS9=$CB$24,"O","X"))))))))))))))))))))))))))</f>
        <v>#REF!</v>
      </c>
      <c r="AT132" s="307" t="e">
        <f>IF(AT9=$BC$24,"O",IF(AT9=$BD$24,"O",IF(AT9=$BE$24,"O",IF(AT9=$BF$24,"O",IF(AT9=$BG$24,"O",IF(AT9=$BH$24,"O",IF(AT9=$BI$24,"O",IF(AT9=$BJ$24,"O",IF(AT9=$BK$24,"O",IF(AT9=$BL$24,"O",IF(AT9=$BM$24,"O",IF(AT9=$BN$24,"O",IF(AT9=$BO$24,"O",IF(AT9=$BP$24,"O",IF(AT9=$BQ$24,"O",IF(AT9=#REF!,"O",IF(AT9=$BS$24,"O",IF(AT9=$BT$24,"O",IF(AT9=$BU$24,"O",IF(AT9=$BV$24,"O",IF(AT9=$BW$24,"O",IF(AT9=$BX$24,"O",IF(AT9=$BY$24,"O",IF(AT9=$BZ$24,"O",IF(AT9=$CA$24,"O",IF(AT9=$CB$24,"O","X"))))))))))))))))))))))))))</f>
        <v>#REF!</v>
      </c>
      <c r="AU132" s="307" t="e">
        <f>IF(AU9=$BC$24,"O",IF(AU9=$BD$24,"O",IF(AU9=$BE$24,"O",IF(AU9=$BF$24,"O",IF(AU9=$BG$24,"O",IF(AU9=$BH$24,"O",IF(AU9=$BI$24,"O",IF(AU9=$BJ$24,"O",IF(AU9=$BK$24,"O",IF(AU9=$BL$24,"O",IF(AU9=$BM$24,"O",IF(AU9=$BN$24,"O",IF(AU9=$BO$24,"O",IF(AU9=$BP$24,"O",IF(AU9=$BQ$24,"O",IF(AU9=#REF!,"O",IF(AU9=$BS$24,"O",IF(AU9=$BT$24,"O",IF(AU9=$BU$24,"O",IF(AU9=$BV$24,"O",IF(AU9=$BW$24,"O",IF(AU9=$BX$24,"O",IF(AU9=$BY$24,"O",IF(AU9=$BZ$24,"O",IF(AU9=$CA$24,"O",IF(AU9=$CB$24,"O","X"))))))))))))))))))))))))))</f>
        <v>#REF!</v>
      </c>
      <c r="AV132" s="296"/>
      <c r="AW132" s="296"/>
      <c r="AX132" s="206"/>
      <c r="BC132" s="151"/>
      <c r="BD132" s="151"/>
      <c r="BE132" s="151"/>
      <c r="BF132" s="151"/>
      <c r="BG132" s="163"/>
      <c r="BH132" s="2"/>
      <c r="BI132" s="2"/>
      <c r="BJ132" s="151"/>
      <c r="BK132" s="2"/>
      <c r="BL132" s="2"/>
      <c r="BM132" s="2"/>
      <c r="BN132" s="2"/>
      <c r="BO132" s="2"/>
      <c r="BP132" s="2"/>
    </row>
    <row r="133" spans="1:68">
      <c r="A133" s="180"/>
      <c r="B133" s="216" t="s">
        <v>568</v>
      </c>
      <c r="C133" s="354" t="str">
        <f t="shared" ref="C133:Q133" ca="1" si="188">IF(C10=$BC$24,"O",IF(C10=$BD$24,"O",IF(C10=$BE$24,"O",IF(C10=$BF$24,"O",IF(C10=$BG$24,"O",IF(C10=$BH$24,"O",IF(C10=$BI$24,"O",IF(C10=$BJ$24,"O",IF(C10=$BK$24,"O",IF(C10=$BL$24,"O",IF(C10=$BM$24,"O",IF(C10=$BN$24,"O",IF(C10=$BO$24,"O",IF(C10=$BP$24,"O",IF(C10=$BQ$24,"O",IF(C10=$BR$24,"O",IF(C10=$BS$24,"O",IF(C10=$BT$24,"O",IF(C10=$BU$24,"O",IF(C10=$BV$24,"O",IF(C10=$BW$24,"O",IF(C10=$BX$24,"O",IF(C10=$BY$24,"O",IF(C10=$BZ$24,"O",IF(C10=$CA$24,"O",IF(C10=$CB$24,"O",IF(C10=$CC$24,"O",IF(C10=$CD$24,"O",IF(C10=$CE$24,"O",IF(C10=$CF$24,"O",IF(C10=$CG$24,"O",IF(C10=$CH$24,"O",IF(C10=$CI$24,"O",IF(C10=$CJ$24,"O",IF(C10=$CK$24,"O",IF(C10=$CL$24,"O",IF(C10=$CM$24,"O",IF(C10=$CN$24,"O",IF(C10=$CO$24,"O",IF(C10=$CP$24,"O","X"))))))))))))))))))))))))))))))))))))))))</f>
        <v>X</v>
      </c>
      <c r="D133" s="354" t="str">
        <f t="shared" ca="1" si="188"/>
        <v>X</v>
      </c>
      <c r="E133" s="354" t="str">
        <f t="shared" ca="1" si="188"/>
        <v>X</v>
      </c>
      <c r="F133" s="354" t="str">
        <f t="shared" ca="1" si="188"/>
        <v>O</v>
      </c>
      <c r="G133" s="354" t="str">
        <f t="shared" ca="1" si="188"/>
        <v>X</v>
      </c>
      <c r="H133" s="354" t="str">
        <f t="shared" ca="1" si="188"/>
        <v>X</v>
      </c>
      <c r="I133" s="354" t="str">
        <f t="shared" ca="1" si="188"/>
        <v>O</v>
      </c>
      <c r="J133" s="354" t="str">
        <f t="shared" ca="1" si="188"/>
        <v>O</v>
      </c>
      <c r="K133" s="354" t="str">
        <f t="shared" ca="1" si="188"/>
        <v>X</v>
      </c>
      <c r="L133" s="354" t="str">
        <f t="shared" ca="1" si="188"/>
        <v>O</v>
      </c>
      <c r="M133" s="354" t="str">
        <f t="shared" ca="1" si="188"/>
        <v>O</v>
      </c>
      <c r="N133" s="354" t="str">
        <f t="shared" ca="1" si="188"/>
        <v>O</v>
      </c>
      <c r="O133" s="354" t="str">
        <f t="shared" ca="1" si="188"/>
        <v>X</v>
      </c>
      <c r="P133" s="354" t="str">
        <f t="shared" ca="1" si="188"/>
        <v>O</v>
      </c>
      <c r="Q133" s="354" t="str">
        <f t="shared" ca="1" si="188"/>
        <v>X</v>
      </c>
      <c r="R133" s="272" t="e">
        <f>IF(R10=$BC$24,"O",IF(R10=$BD$24,"O",IF(R10=$BE$24,"O",IF(R10=$BF$24,"O",IF(R10=$BG$24,"O",IF(R10=$BH$24,"O",IF(R10=$BI$24,"O",IF(R10=$BJ$24,"O",IF(R10=$BK$24,"O",IF(R10=$BL$24,"O",IF(R10=$BM$24,"O",IF(R10=$BN$24,"O",IF(R10=$BO$24,"O",IF(R10=$BP$24,"O",IF(R10=$BQ$24,"O",IF(R10=#REF!,"O",IF(R10=$BS$24,"O",IF(R10=$BT$24,"O",IF(R10=$BU$24,"O",IF(R10=$BV$24,"O",IF(R10=$BW$24,"O",IF(R10=$BX$24,"O",IF(R10=$BY$24,"O",IF(R10=$BZ$24,"O",IF(R10=$CA$24,"O",IF(R10=$CB$24,"O","X"))))))))))))))))))))))))))</f>
        <v>#REF!</v>
      </c>
      <c r="S133" s="272" t="e">
        <f>IF(S10=$BC$24,"O",IF(S10=$BD$24,"O",IF(S10=$BE$24,"O",IF(S10=$BF$24,"O",IF(S10=$BG$24,"O",IF(S10=$BH$24,"O",IF(S10=$BI$24,"O",IF(S10=$BJ$24,"O",IF(S10=$BK$24,"O",IF(S10=$BL$24,"O",IF(S10=$BM$24,"O",IF(S10=$BN$24,"O",IF(S10=$BO$24,"O",IF(S10=$BP$24,"O",IF(S10=$BQ$24,"O",IF(S10=#REF!,"O",IF(S10=$BS$24,"O",IF(S10=$BT$24,"O",IF(S10=$BU$24,"O",IF(S10=$BV$24,"O",IF(S10=$BW$24,"O",IF(S10=$BX$24,"O",IF(S10=$BY$24,"O",IF(S10=$BZ$24,"O",IF(S10=$CA$24,"O",IF(S10=$CB$24,"O","X"))))))))))))))))))))))))))</f>
        <v>#REF!</v>
      </c>
      <c r="T133" s="272" t="e">
        <f>IF(T10=$BC$24,"O",IF(T10=$BD$24,"O",IF(T10=$BE$24,"O",IF(T10=$BF$24,"O",IF(T10=$BG$24,"O",IF(T10=$BH$24,"O",IF(T10=$BI$24,"O",IF(T10=$BJ$24,"O",IF(T10=$BK$24,"O",IF(T10=$BL$24,"O",IF(T10=$BM$24,"O",IF(T10=$BN$24,"O",IF(T10=$BO$24,"O",IF(T10=$BP$24,"O",IF(T10=$BQ$24,"O",IF(T10=#REF!,"O",IF(T10=$BS$24,"O",IF(T10=$BT$24,"O",IF(T10=$BU$24,"O",IF(T10=$BV$24,"O",IF(T10=$BW$24,"O",IF(T10=$BX$24,"O",IF(T10=$BY$24,"O",IF(T10=$BZ$24,"O",IF(T10=$CA$24,"O",IF(T10=$CB$24,"O","X"))))))))))))))))))))))))))</f>
        <v>#REF!</v>
      </c>
      <c r="U133" s="272" t="e">
        <f>IF(U10=$BC$24,"O",IF(U10=$BD$24,"O",IF(U10=$BE$24,"O",IF(U10=$BF$24,"O",IF(U10=$BG$24,"O",IF(U10=$BH$24,"O",IF(U10=$BI$24,"O",IF(U10=$BJ$24,"O",IF(U10=$BK$24,"O",IF(U10=$BL$24,"O",IF(U10=$BM$24,"O",IF(U10=$BN$24,"O",IF(U10=$BO$24,"O",IF(U10=$BP$24,"O",IF(U10=$BQ$24,"O",IF(U10=#REF!,"O",IF(U10=$BS$24,"O",IF(U10=$BT$24,"O",IF(U10=$BU$24,"O",IF(U10=$BV$24,"O",IF(U10=$BW$24,"O",IF(U10=$BX$24,"O",IF(U10=$BY$24,"O",IF(U10=$BZ$24,"O",IF(U10=$CA$24,"O",IF(U10=$CB$24,"O","X"))))))))))))))))))))))))))</f>
        <v>#REF!</v>
      </c>
      <c r="V133" s="272" t="e">
        <f>IF(V10=$BC$24,"O",IF(V10=$BD$24,"O",IF(V10=$BE$24,"O",IF(V10=$BF$24,"O",IF(V10=$BG$24,"O",IF(V10=$BH$24,"O",IF(V10=$BI$24,"O",IF(V10=$BJ$24,"O",IF(V10=$BK$24,"O",IF(V10=$BL$24,"O",IF(V10=$BM$24,"O",IF(V10=$BN$24,"O",IF(V10=$BO$24,"O",IF(V10=$BP$24,"O",IF(V10=$BQ$24,"O",IF(V10=#REF!,"O",IF(V10=$BS$24,"O",IF(V10=$BT$24,"O",IF(V10=$BU$24,"O",IF(V10=$BV$24,"O",IF(V10=$BW$24,"O",IF(V10=$BX$24,"O",IF(V10=$BY$24,"O",IF(V10=$BZ$24,"O",IF(V10=$CA$24,"O",IF(V10=$CB$24,"O","X"))))))))))))))))))))))))))</f>
        <v>#REF!</v>
      </c>
      <c r="W133" s="272" t="e">
        <f>IF(W10=$BC$24,"O",IF(W10=$BD$24,"O",IF(W10=$BE$24,"O",IF(W10=$BF$24,"O",IF(W10=$BG$24,"O",IF(W10=$BH$24,"O",IF(W10=$BI$24,"O",IF(W10=$BJ$24,"O",IF(W10=$BK$24,"O",IF(W10=$BL$24,"O",IF(W10=$BM$24,"O",IF(W10=$BN$24,"O",IF(W10=$BO$24,"O",IF(W10=$BP$24,"O",IF(W10=$BQ$24,"O",IF(W10=#REF!,"O",IF(W10=$BS$24,"O",IF(W10=$BT$24,"O",IF(W10=$BU$24,"O",IF(W10=$BV$24,"O",IF(W10=$BW$24,"O",IF(W10=$BX$24,"O",IF(W10=$BY$24,"O",IF(W10=$BZ$24,"O",IF(W10=$CA$24,"O",IF(W10=$CB$24,"O","X"))))))))))))))))))))))))))</f>
        <v>#REF!</v>
      </c>
      <c r="X133" s="272" t="e">
        <f>IF(X10=$BC$24,"O",IF(X10=$BD$24,"O",IF(X10=$BE$24,"O",IF(X10=$BF$24,"O",IF(X10=$BG$24,"O",IF(X10=$BH$24,"O",IF(X10=$BI$24,"O",IF(X10=$BJ$24,"O",IF(X10=$BK$24,"O",IF(X10=$BL$24,"O",IF(X10=$BM$24,"O",IF(X10=$BN$24,"O",IF(X10=$BO$24,"O",IF(X10=$BP$24,"O",IF(X10=$BQ$24,"O",IF(X10=#REF!,"O",IF(X10=$BS$24,"O",IF(X10=$BT$24,"O",IF(X10=$BU$24,"O",IF(X10=$BV$24,"O",IF(X10=$BW$24,"O",IF(X10=$BX$24,"O",IF(X10=$BY$24,"O",IF(X10=$BZ$24,"O",IF(X10=$CA$24,"O",IF(X10=$CB$24,"O","X"))))))))))))))))))))))))))</f>
        <v>#REF!</v>
      </c>
      <c r="Y133" s="272" t="e">
        <f>IF(Y10=$BC$24,"O",IF(Y10=$BD$24,"O",IF(Y10=$BE$24,"O",IF(Y10=$BF$24,"O",IF(Y10=$BG$24,"O",IF(Y10=$BH$24,"O",IF(Y10=$BI$24,"O",IF(Y10=$BJ$24,"O",IF(Y10=$BK$24,"O",IF(Y10=$BL$24,"O",IF(Y10=$BM$24,"O",IF(Y10=$BN$24,"O",IF(Y10=$BO$24,"O",IF(Y10=$BP$24,"O",IF(Y10=$BQ$24,"O",IF(Y10=#REF!,"O",IF(Y10=$BS$24,"O",IF(Y10=$BT$24,"O",IF(Y10=$BU$24,"O",IF(Y10=$BV$24,"O",IF(Y10=$BW$24,"O",IF(Y10=$BX$24,"O",IF(Y10=$BY$24,"O",IF(Y10=$BZ$24,"O",IF(Y10=$CA$24,"O",IF(Y10=$CB$24,"O","X"))))))))))))))))))))))))))</f>
        <v>#REF!</v>
      </c>
      <c r="Z133" s="272" t="e">
        <f>IF(Z10=$BC$24,"O",IF(Z10=$BD$24,"O",IF(Z10=$BE$24,"O",IF(Z10=$BF$24,"O",IF(Z10=$BG$24,"O",IF(Z10=$BH$24,"O",IF(Z10=$BI$24,"O",IF(Z10=$BJ$24,"O",IF(Z10=$BK$24,"O",IF(Z10=$BL$24,"O",IF(Z10=$BM$24,"O",IF(Z10=$BN$24,"O",IF(Z10=$BO$24,"O",IF(Z10=$BP$24,"O",IF(Z10=$BQ$24,"O",IF(Z10=#REF!,"O",IF(Z10=$BS$24,"O",IF(Z10=$BT$24,"O",IF(Z10=$BU$24,"O",IF(Z10=$BV$24,"O",IF(Z10=$BW$24,"O",IF(Z10=$BX$24,"O",IF(Z10=$BY$24,"O",IF(Z10=$BZ$24,"O",IF(Z10=$CA$24,"O",IF(Z10=$CB$24,"O","X"))))))))))))))))))))))))))</f>
        <v>#REF!</v>
      </c>
      <c r="AA133" s="272" t="e">
        <f>IF(AA10=$BC$24,"O",IF(AA10=$BD$24,"O",IF(AA10=$BE$24,"O",IF(AA10=$BF$24,"O",IF(AA10=$BG$24,"O",IF(AA10=$BH$24,"O",IF(AA10=$BI$24,"O",IF(AA10=$BJ$24,"O",IF(AA10=$BK$24,"O",IF(AA10=$BL$24,"O",IF(AA10=$BM$24,"O",IF(AA10=$BN$24,"O",IF(AA10=$BO$24,"O",IF(AA10=$BP$24,"O",IF(AA10=$BQ$24,"O",IF(AA10=#REF!,"O",IF(AA10=$BS$24,"O",IF(AA10=$BT$24,"O",IF(AA10=$BU$24,"O",IF(AA10=$BV$24,"O",IF(AA10=$BW$24,"O",IF(AA10=$BX$24,"O",IF(AA10=$BY$24,"O",IF(AA10=$BZ$24,"O",IF(AA10=$CA$24,"O",IF(AA10=$CB$24,"O","X"))))))))))))))))))))))))))</f>
        <v>#REF!</v>
      </c>
      <c r="AB133" s="272" t="e">
        <f>IF(AB10=$BC$24,"O",IF(AB10=$BD$24,"O",IF(AB10=$BE$24,"O",IF(AB10=$BF$24,"O",IF(AB10=$BG$24,"O",IF(AB10=$BH$24,"O",IF(AB10=$BI$24,"O",IF(AB10=$BJ$24,"O",IF(AB10=$BK$24,"O",IF(AB10=$BL$24,"O",IF(AB10=$BM$24,"O",IF(AB10=$BN$24,"O",IF(AB10=$BO$24,"O",IF(AB10=$BP$24,"O",IF(AB10=$BQ$24,"O",IF(AB10=#REF!,"O",IF(AB10=$BS$24,"O",IF(AB10=$BT$24,"O",IF(AB10=$BU$24,"O",IF(AB10=$BV$24,"O",IF(AB10=$BW$24,"O",IF(AB10=$BX$24,"O",IF(AB10=$BY$24,"O",IF(AB10=$BZ$24,"O",IF(AB10=$CA$24,"O",IF(AB10=$CB$24,"O","X"))))))))))))))))))))))))))</f>
        <v>#REF!</v>
      </c>
      <c r="AC133" s="272" t="e">
        <f>IF(AC10=$BC$24,"O",IF(AC10=$BD$24,"O",IF(AC10=$BE$24,"O",IF(AC10=$BF$24,"O",IF(AC10=$BG$24,"O",IF(AC10=$BH$24,"O",IF(AC10=$BI$24,"O",IF(AC10=$BJ$24,"O",IF(AC10=$BK$24,"O",IF(AC10=$BL$24,"O",IF(AC10=$BM$24,"O",IF(AC10=$BN$24,"O",IF(AC10=$BO$24,"O",IF(AC10=$BP$24,"O",IF(AC10=$BQ$24,"O",IF(AC10=#REF!,"O",IF(AC10=$BS$24,"O",IF(AC10=$BT$24,"O",IF(AC10=$BU$24,"O",IF(AC10=$BV$24,"O",IF(AC10=$BW$24,"O",IF(AC10=$BX$24,"O",IF(AC10=$BY$24,"O",IF(AC10=$BZ$24,"O",IF(AC10=$CA$24,"O",IF(AC10=$CB$24,"O","X"))))))))))))))))))))))))))</f>
        <v>#REF!</v>
      </c>
      <c r="AD133" s="272" t="e">
        <f>IF(AD10=$BC$24,"O",IF(AD10=$BD$24,"O",IF(AD10=$BE$24,"O",IF(AD10=$BF$24,"O",IF(AD10=$BG$24,"O",IF(AD10=$BH$24,"O",IF(AD10=$BI$24,"O",IF(AD10=$BJ$24,"O",IF(AD10=$BK$24,"O",IF(AD10=$BL$24,"O",IF(AD10=$BM$24,"O",IF(AD10=$BN$24,"O",IF(AD10=$BO$24,"O",IF(AD10=$BP$24,"O",IF(AD10=$BQ$24,"O",IF(AD10=#REF!,"O",IF(AD10=$BS$24,"O",IF(AD10=$BT$24,"O",IF(AD10=$BU$24,"O",IF(AD10=$BV$24,"O",IF(AD10=$BW$24,"O",IF(AD10=$BX$24,"O",IF(AD10=$BY$24,"O",IF(AD10=$BZ$24,"O",IF(AD10=$CA$24,"O",IF(AD10=$CB$24,"O","X"))))))))))))))))))))))))))</f>
        <v>#REF!</v>
      </c>
      <c r="AE133" s="272" t="e">
        <f>IF(AE10=$BC$24,"O",IF(AE10=$BD$24,"O",IF(AE10=$BE$24,"O",IF(AE10=$BF$24,"O",IF(AE10=$BG$24,"O",IF(AE10=$BH$24,"O",IF(AE10=$BI$24,"O",IF(AE10=$BJ$24,"O",IF(AE10=$BK$24,"O",IF(AE10=$BL$24,"O",IF(AE10=$BM$24,"O",IF(AE10=$BN$24,"O",IF(AE10=$BO$24,"O",IF(AE10=$BP$24,"O",IF(AE10=$BQ$24,"O",IF(AE10=#REF!,"O",IF(AE10=$BS$24,"O",IF(AE10=$BT$24,"O",IF(AE10=$BU$24,"O",IF(AE10=$BV$24,"O",IF(AE10=$BW$24,"O",IF(AE10=$BX$24,"O",IF(AE10=$BY$24,"O",IF(AE10=$BZ$24,"O",IF(AE10=$CA$24,"O",IF(AE10=$CB$24,"O","X"))))))))))))))))))))))))))</f>
        <v>#REF!</v>
      </c>
      <c r="AF133" s="272" t="e">
        <f>IF(AF10=$BC$24,"O",IF(AF10=$BD$24,"O",IF(AF10=$BE$24,"O",IF(AF10=$BF$24,"O",IF(AF10=$BG$24,"O",IF(AF10=$BH$24,"O",IF(AF10=$BI$24,"O",IF(AF10=$BJ$24,"O",IF(AF10=$BK$24,"O",IF(AF10=$BL$24,"O",IF(AF10=$BM$24,"O",IF(AF10=$BN$24,"O",IF(AF10=$BO$24,"O",IF(AF10=$BP$24,"O",IF(AF10=$BQ$24,"O",IF(AF10=#REF!,"O",IF(AF10=$BS$24,"O",IF(AF10=$BT$24,"O",IF(AF10=$BU$24,"O",IF(AF10=$BV$24,"O",IF(AF10=$BW$24,"O",IF(AF10=$BX$24,"O",IF(AF10=$BY$24,"O",IF(AF10=$BZ$24,"O",IF(AF10=$CA$24,"O",IF(AF10=$CB$24,"O","X"))))))))))))))))))))))))))</f>
        <v>#REF!</v>
      </c>
      <c r="AG133" s="272" t="e">
        <f>IF(AG10=$BC$24,"O",IF(AG10=$BD$24,"O",IF(AG10=$BE$24,"O",IF(AG10=$BF$24,"O",IF(AG10=$BG$24,"O",IF(AG10=$BH$24,"O",IF(AG10=$BI$24,"O",IF(AG10=$BJ$24,"O",IF(AG10=$BK$24,"O",IF(AG10=$BL$24,"O",IF(AG10=$BM$24,"O",IF(AG10=$BN$24,"O",IF(AG10=$BO$24,"O",IF(AG10=$BP$24,"O",IF(AG10=$BQ$24,"O",IF(AG10=#REF!,"O",IF(AG10=$BS$24,"O",IF(AG10=$BT$24,"O",IF(AG10=$BU$24,"O",IF(AG10=$BV$24,"O",IF(AG10=$BW$24,"O",IF(AG10=$BX$24,"O",IF(AG10=$BY$24,"O",IF(AG10=$BZ$24,"O",IF(AG10=$CA$24,"O",IF(AG10=$CB$24,"O","X"))))))))))))))))))))))))))</f>
        <v>#REF!</v>
      </c>
      <c r="AH133" s="272" t="e">
        <f>IF(AH10=$BC$24,"O",IF(AH10=$BD$24,"O",IF(AH10=$BE$24,"O",IF(AH10=$BF$24,"O",IF(AH10=$BG$24,"O",IF(AH10=$BH$24,"O",IF(AH10=$BI$24,"O",IF(AH10=$BJ$24,"O",IF(AH10=$BK$24,"O",IF(AH10=$BL$24,"O",IF(AH10=$BM$24,"O",IF(AH10=$BN$24,"O",IF(AH10=$BO$24,"O",IF(AH10=$BP$24,"O",IF(AH10=$BQ$24,"O",IF(AH10=#REF!,"O",IF(AH10=$BS$24,"O",IF(AH10=$BT$24,"O",IF(AH10=$BU$24,"O",IF(AH10=$BV$24,"O",IF(AH10=$BW$24,"O",IF(AH10=$BX$24,"O",IF(AH10=$BY$24,"O",IF(AH10=$BZ$24,"O",IF(AH10=$CA$24,"O",IF(AH10=$CB$24,"O","X"))))))))))))))))))))))))))</f>
        <v>#REF!</v>
      </c>
      <c r="AI133" s="272" t="e">
        <f>IF(AI10=$BC$24,"O",IF(AI10=$BD$24,"O",IF(AI10=$BE$24,"O",IF(AI10=$BF$24,"O",IF(AI10=$BG$24,"O",IF(AI10=$BH$24,"O",IF(AI10=$BI$24,"O",IF(AI10=$BJ$24,"O",IF(AI10=$BK$24,"O",IF(AI10=$BL$24,"O",IF(AI10=$BM$24,"O",IF(AI10=$BN$24,"O",IF(AI10=$BO$24,"O",IF(AI10=$BP$24,"O",IF(AI10=$BQ$24,"O",IF(AI10=#REF!,"O",IF(AI10=$BS$24,"O",IF(AI10=$BT$24,"O",IF(AI10=$BU$24,"O",IF(AI10=$BV$24,"O",IF(AI10=$BW$24,"O",IF(AI10=$BX$24,"O",IF(AI10=$BY$24,"O",IF(AI10=$BZ$24,"O",IF(AI10=$CA$24,"O",IF(AI10=$CB$24,"O","X"))))))))))))))))))))))))))</f>
        <v>#REF!</v>
      </c>
      <c r="AJ133" s="272" t="e">
        <f>IF(AJ10=$BC$24,"O",IF(AJ10=$BD$24,"O",IF(AJ10=$BE$24,"O",IF(AJ10=$BF$24,"O",IF(AJ10=$BG$24,"O",IF(AJ10=$BH$24,"O",IF(AJ10=$BI$24,"O",IF(AJ10=$BJ$24,"O",IF(AJ10=$BK$24,"O",IF(AJ10=$BL$24,"O",IF(AJ10=$BM$24,"O",IF(AJ10=$BN$24,"O",IF(AJ10=$BO$24,"O",IF(AJ10=$BP$24,"O",IF(AJ10=$BQ$24,"O",IF(AJ10=#REF!,"O",IF(AJ10=$BS$24,"O",IF(AJ10=$BT$24,"O",IF(AJ10=$BU$24,"O",IF(AJ10=$BV$24,"O",IF(AJ10=$BW$24,"O",IF(AJ10=$BX$24,"O",IF(AJ10=$BY$24,"O",IF(AJ10=$BZ$24,"O",IF(AJ10=$CA$24,"O",IF(AJ10=$CB$24,"O","X"))))))))))))))))))))))))))</f>
        <v>#REF!</v>
      </c>
      <c r="AK133" s="272" t="e">
        <f>IF(AK10=$BC$24,"O",IF(AK10=$BD$24,"O",IF(AK10=$BE$24,"O",IF(AK10=$BF$24,"O",IF(AK10=$BG$24,"O",IF(AK10=$BH$24,"O",IF(AK10=$BI$24,"O",IF(AK10=$BJ$24,"O",IF(AK10=$BK$24,"O",IF(AK10=$BL$24,"O",IF(AK10=$BM$24,"O",IF(AK10=$BN$24,"O",IF(AK10=$BO$24,"O",IF(AK10=$BP$24,"O",IF(AK10=$BQ$24,"O",IF(AK10=#REF!,"O",IF(AK10=$BS$24,"O",IF(AK10=$BT$24,"O",IF(AK10=$BU$24,"O",IF(AK10=$BV$24,"O",IF(AK10=$BW$24,"O",IF(AK10=$BX$24,"O",IF(AK10=$BY$24,"O",IF(AK10=$BZ$24,"O",IF(AK10=$CA$24,"O",IF(AK10=$CB$24,"O","X"))))))))))))))))))))))))))</f>
        <v>#REF!</v>
      </c>
      <c r="AL133" s="307" t="e">
        <f>IF(AL10=$BC$24,"O",IF(AL10=$BD$24,"O",IF(AL10=$BE$24,"O",IF(AL10=$BF$24,"O",IF(AL10=$BG$24,"O",IF(AL10=$BH$24,"O",IF(AL10=$BI$24,"O",IF(AL10=$BJ$24,"O",IF(AL10=$BK$24,"O",IF(AL10=$BL$24,"O",IF(AL10=$BM$24,"O",IF(AL10=$BN$24,"O",IF(AL10=$BO$24,"O",IF(AL10=$BP$24,"O",IF(AL10=$BQ$24,"O",IF(AL10=#REF!,"O",IF(AL10=$BS$24,"O",IF(AL10=$BT$24,"O",IF(AL10=$BU$24,"O",IF(AL10=$BV$24,"O",IF(AL10=$BW$24,"O",IF(AL10=$BX$24,"O",IF(AL10=$BY$24,"O",IF(AL10=$BZ$24,"O",IF(AL10=$CA$24,"O",IF(AL10=$CB$24,"O","X"))))))))))))))))))))))))))</f>
        <v>#REF!</v>
      </c>
      <c r="AM133" s="307" t="e">
        <f>IF(AM10=$BC$24,"O",IF(AM10=$BD$24,"O",IF(AM10=$BE$24,"O",IF(AM10=$BF$24,"O",IF(AM10=$BG$24,"O",IF(AM10=$BH$24,"O",IF(AM10=$BI$24,"O",IF(AM10=$BJ$24,"O",IF(AM10=$BK$24,"O",IF(AM10=$BL$24,"O",IF(AM10=$BM$24,"O",IF(AM10=$BN$24,"O",IF(AM10=$BO$24,"O",IF(AM10=$BP$24,"O",IF(AM10=$BQ$24,"O",IF(AM10=#REF!,"O",IF(AM10=$BS$24,"O",IF(AM10=$BT$24,"O",IF(AM10=$BU$24,"O",IF(AM10=$BV$24,"O",IF(AM10=$BW$24,"O",IF(AM10=$BX$24,"O",IF(AM10=$BY$24,"O",IF(AM10=$BZ$24,"O",IF(AM10=$CA$24,"O",IF(AM10=$CB$24,"O","X"))))))))))))))))))))))))))</f>
        <v>#REF!</v>
      </c>
      <c r="AN133" s="307" t="e">
        <f>IF(AN10=$BC$24,"O",IF(AN10=$BD$24,"O",IF(AN10=$BE$24,"O",IF(AN10=$BF$24,"O",IF(AN10=$BG$24,"O",IF(AN10=$BH$24,"O",IF(AN10=$BI$24,"O",IF(AN10=$BJ$24,"O",IF(AN10=$BK$24,"O",IF(AN10=$BL$24,"O",IF(AN10=$BM$24,"O",IF(AN10=$BN$24,"O",IF(AN10=$BO$24,"O",IF(AN10=$BP$24,"O",IF(AN10=$BQ$24,"O",IF(AN10=#REF!,"O",IF(AN10=$BS$24,"O",IF(AN10=$BT$24,"O",IF(AN10=$BU$24,"O",IF(AN10=$BV$24,"O",IF(AN10=$BW$24,"O",IF(AN10=$BX$24,"O",IF(AN10=$BY$24,"O",IF(AN10=$BZ$24,"O",IF(AN10=$CA$24,"O",IF(AN10=$CB$24,"O","X"))))))))))))))))))))))))))</f>
        <v>#REF!</v>
      </c>
      <c r="AO133" s="307" t="e">
        <f>IF(AO10=$BC$24,"O",IF(AO10=$BD$24,"O",IF(AO10=$BE$24,"O",IF(AO10=$BF$24,"O",IF(AO10=$BG$24,"O",IF(AO10=$BH$24,"O",IF(AO10=$BI$24,"O",IF(AO10=$BJ$24,"O",IF(AO10=$BK$24,"O",IF(AO10=$BL$24,"O",IF(AO10=$BM$24,"O",IF(AO10=$BN$24,"O",IF(AO10=$BO$24,"O",IF(AO10=$BP$24,"O",IF(AO10=$BQ$24,"O",IF(AO10=#REF!,"O",IF(AO10=$BS$24,"O",IF(AO10=$BT$24,"O",IF(AO10=$BU$24,"O",IF(AO10=$BV$24,"O",IF(AO10=$BW$24,"O",IF(AO10=$BX$24,"O",IF(AO10=$BY$24,"O",IF(AO10=$BZ$24,"O",IF(AO10=$CA$24,"O",IF(AO10=$CB$24,"O","X"))))))))))))))))))))))))))</f>
        <v>#REF!</v>
      </c>
      <c r="AP133" s="307" t="e">
        <f>IF(AP10=$BC$24,"O",IF(AP10=$BD$24,"O",IF(AP10=$BE$24,"O",IF(AP10=$BF$24,"O",IF(AP10=$BG$24,"O",IF(AP10=$BH$24,"O",IF(AP10=$BI$24,"O",IF(AP10=$BJ$24,"O",IF(AP10=$BK$24,"O",IF(AP10=$BL$24,"O",IF(AP10=$BM$24,"O",IF(AP10=$BN$24,"O",IF(AP10=$BO$24,"O",IF(AP10=$BP$24,"O",IF(AP10=$BQ$24,"O",IF(AP10=#REF!,"O",IF(AP10=$BS$24,"O",IF(AP10=$BT$24,"O",IF(AP10=$BU$24,"O",IF(AP10=$BV$24,"O",IF(AP10=$BW$24,"O",IF(AP10=$BX$24,"O",IF(AP10=$BY$24,"O",IF(AP10=$BZ$24,"O",IF(AP10=$CA$24,"O",IF(AP10=$CB$24,"O","X"))))))))))))))))))))))))))</f>
        <v>#REF!</v>
      </c>
      <c r="AQ133" s="307" t="e">
        <f>IF(AQ10=$BC$24,"O",IF(AQ10=$BD$24,"O",IF(AQ10=$BE$24,"O",IF(AQ10=$BF$24,"O",IF(AQ10=$BG$24,"O",IF(AQ10=$BH$24,"O",IF(AQ10=$BI$24,"O",IF(AQ10=$BJ$24,"O",IF(AQ10=$BK$24,"O",IF(AQ10=$BL$24,"O",IF(AQ10=$BM$24,"O",IF(AQ10=$BN$24,"O",IF(AQ10=$BO$24,"O",IF(AQ10=$BP$24,"O",IF(AQ10=$BQ$24,"O",IF(AQ10=#REF!,"O",IF(AQ10=$BS$24,"O",IF(AQ10=$BT$24,"O",IF(AQ10=$BU$24,"O",IF(AQ10=$BV$24,"O",IF(AQ10=$BW$24,"O",IF(AQ10=$BX$24,"O",IF(AQ10=$BY$24,"O",IF(AQ10=$BZ$24,"O",IF(AQ10=$CA$24,"O",IF(AQ10=$CB$24,"O","X"))))))))))))))))))))))))))</f>
        <v>#REF!</v>
      </c>
      <c r="AR133" s="307" t="e">
        <f>IF(AR10=$BC$24,"O",IF(AR10=$BD$24,"O",IF(AR10=$BE$24,"O",IF(AR10=$BF$24,"O",IF(AR10=$BG$24,"O",IF(AR10=$BH$24,"O",IF(AR10=$BI$24,"O",IF(AR10=$BJ$24,"O",IF(AR10=$BK$24,"O",IF(AR10=$BL$24,"O",IF(AR10=$BM$24,"O",IF(AR10=$BN$24,"O",IF(AR10=$BO$24,"O",IF(AR10=$BP$24,"O",IF(AR10=$BQ$24,"O",IF(AR10=#REF!,"O",IF(AR10=$BS$24,"O",IF(AR10=$BT$24,"O",IF(AR10=$BU$24,"O",IF(AR10=$BV$24,"O",IF(AR10=$BW$24,"O",IF(AR10=$BX$24,"O",IF(AR10=$BY$24,"O",IF(AR10=$BZ$24,"O",IF(AR10=$CA$24,"O",IF(AR10=$CB$24,"O","X"))))))))))))))))))))))))))</f>
        <v>#REF!</v>
      </c>
      <c r="AS133" s="307" t="e">
        <f>IF(AS10=$BC$24,"O",IF(AS10=$BD$24,"O",IF(AS10=$BE$24,"O",IF(AS10=$BF$24,"O",IF(AS10=$BG$24,"O",IF(AS10=$BH$24,"O",IF(AS10=$BI$24,"O",IF(AS10=$BJ$24,"O",IF(AS10=$BK$24,"O",IF(AS10=$BL$24,"O",IF(AS10=$BM$24,"O",IF(AS10=$BN$24,"O",IF(AS10=$BO$24,"O",IF(AS10=$BP$24,"O",IF(AS10=$BQ$24,"O",IF(AS10=#REF!,"O",IF(AS10=$BS$24,"O",IF(AS10=$BT$24,"O",IF(AS10=$BU$24,"O",IF(AS10=$BV$24,"O",IF(AS10=$BW$24,"O",IF(AS10=$BX$24,"O",IF(AS10=$BY$24,"O",IF(AS10=$BZ$24,"O",IF(AS10=$CA$24,"O",IF(AS10=$CB$24,"O","X"))))))))))))))))))))))))))</f>
        <v>#REF!</v>
      </c>
      <c r="AT133" s="307" t="e">
        <f>IF(AT10=$BC$24,"O",IF(AT10=$BD$24,"O",IF(AT10=$BE$24,"O",IF(AT10=$BF$24,"O",IF(AT10=$BG$24,"O",IF(AT10=$BH$24,"O",IF(AT10=$BI$24,"O",IF(AT10=$BJ$24,"O",IF(AT10=$BK$24,"O",IF(AT10=$BL$24,"O",IF(AT10=$BM$24,"O",IF(AT10=$BN$24,"O",IF(AT10=$BO$24,"O",IF(AT10=$BP$24,"O",IF(AT10=$BQ$24,"O",IF(AT10=#REF!,"O",IF(AT10=$BS$24,"O",IF(AT10=$BT$24,"O",IF(AT10=$BU$24,"O",IF(AT10=$BV$24,"O",IF(AT10=$BW$24,"O",IF(AT10=$BX$24,"O",IF(AT10=$BY$24,"O",IF(AT10=$BZ$24,"O",IF(AT10=$CA$24,"O",IF(AT10=$CB$24,"O","X"))))))))))))))))))))))))))</f>
        <v>#REF!</v>
      </c>
      <c r="AU133" s="307" t="e">
        <f>IF(AU10=$BC$24,"O",IF(AU10=$BD$24,"O",IF(AU10=$BE$24,"O",IF(AU10=$BF$24,"O",IF(AU10=$BG$24,"O",IF(AU10=$BH$24,"O",IF(AU10=$BI$24,"O",IF(AU10=$BJ$24,"O",IF(AU10=$BK$24,"O",IF(AU10=$BL$24,"O",IF(AU10=$BM$24,"O",IF(AU10=$BN$24,"O",IF(AU10=$BO$24,"O",IF(AU10=$BP$24,"O",IF(AU10=$BQ$24,"O",IF(AU10=#REF!,"O",IF(AU10=$BS$24,"O",IF(AU10=$BT$24,"O",IF(AU10=$BU$24,"O",IF(AU10=$BV$24,"O",IF(AU10=$BW$24,"O",IF(AU10=$BX$24,"O",IF(AU10=$BY$24,"O",IF(AU10=$BZ$24,"O",IF(AU10=$CA$24,"O",IF(AU10=$CB$24,"O","X"))))))))))))))))))))))))))</f>
        <v>#REF!</v>
      </c>
      <c r="AV133" s="296"/>
      <c r="AW133" s="296"/>
      <c r="AX133" s="206"/>
      <c r="BC133" s="151"/>
      <c r="BD133" s="151"/>
      <c r="BE133" s="151"/>
      <c r="BF133" s="151"/>
      <c r="BG133" s="163"/>
      <c r="BH133" s="2"/>
      <c r="BI133" s="2"/>
      <c r="BJ133" s="151"/>
      <c r="BK133" s="2"/>
      <c r="BL133" s="2"/>
      <c r="BM133" s="2"/>
      <c r="BN133" s="2"/>
      <c r="BO133" s="2"/>
      <c r="BP133" s="2"/>
    </row>
    <row r="134" spans="1:68">
      <c r="A134" s="180"/>
      <c r="B134" s="216" t="s">
        <v>569</v>
      </c>
      <c r="C134" s="354" t="str">
        <f t="shared" ref="C134:Q134" ca="1" si="189">IF(C11=$BC$24,"O",IF(C11=$BD$24,"O",IF(C11=$BE$24,"O",IF(C11=$BF$24,"O",IF(C11=$BG$24,"O",IF(C11=$BH$24,"O",IF(C11=$BI$24,"O",IF(C11=$BJ$24,"O",IF(C11=$BK$24,"O",IF(C11=$BL$24,"O",IF(C11=$BM$24,"O",IF(C11=$BN$24,"O",IF(C11=$BO$24,"O",IF(C11=$BP$24,"O",IF(C11=$BQ$24,"O",IF(C11=$BR$24,"O",IF(C11=$BS$24,"O",IF(C11=$BT$24,"O",IF(C11=$BU$24,"O",IF(C11=$BV$24,"O",IF(C11=$BW$24,"O",IF(C11=$BX$24,"O",IF(C11=$BY$24,"O",IF(C11=$BZ$24,"O",IF(C11=$CA$24,"O",IF(C11=$CB$24,"O",IF(C11=$CC$24,"O",IF(C11=$CD$24,"O",IF(C11=$CE$24,"O",IF(C11=$CF$24,"O",IF(C11=$CG$24,"O",IF(C11=$CH$24,"O",IF(C11=$CI$24,"O",IF(C11=$CJ$24,"O",IF(C11=$CK$24,"O",IF(C11=$CL$24,"O",IF(C11=$CM$24,"O",IF(C11=$CN$24,"O",IF(C11=$CO$24,"O",IF(C11=$CP$24,"O","X"))))))))))))))))))))))))))))))))))))))))</f>
        <v>O</v>
      </c>
      <c r="D134" s="354" t="str">
        <f t="shared" ca="1" si="189"/>
        <v>O</v>
      </c>
      <c r="E134" s="354" t="str">
        <f t="shared" ca="1" si="189"/>
        <v>O</v>
      </c>
      <c r="F134" s="354" t="str">
        <f t="shared" ca="1" si="189"/>
        <v>X</v>
      </c>
      <c r="G134" s="354" t="str">
        <f t="shared" ca="1" si="189"/>
        <v>O</v>
      </c>
      <c r="H134" s="354" t="str">
        <f t="shared" ca="1" si="189"/>
        <v>O</v>
      </c>
      <c r="I134" s="354" t="str">
        <f t="shared" ca="1" si="189"/>
        <v>O</v>
      </c>
      <c r="J134" s="354" t="str">
        <f t="shared" ca="1" si="189"/>
        <v>O</v>
      </c>
      <c r="K134" s="354" t="str">
        <f t="shared" ca="1" si="189"/>
        <v>O</v>
      </c>
      <c r="L134" s="354" t="str">
        <f t="shared" ca="1" si="189"/>
        <v>O</v>
      </c>
      <c r="M134" s="354" t="str">
        <f t="shared" ca="1" si="189"/>
        <v>X</v>
      </c>
      <c r="N134" s="354" t="str">
        <f t="shared" ca="1" si="189"/>
        <v>X</v>
      </c>
      <c r="O134" s="354" t="str">
        <f t="shared" ca="1" si="189"/>
        <v>X</v>
      </c>
      <c r="P134" s="354" t="str">
        <f t="shared" ca="1" si="189"/>
        <v>O</v>
      </c>
      <c r="Q134" s="354" t="str">
        <f t="shared" ca="1" si="189"/>
        <v>O</v>
      </c>
      <c r="R134" s="272" t="e">
        <f>IF(R11=$BC$24,"O",IF(R11=$BD$24,"O",IF(R11=$BE$24,"O",IF(R11=$BF$24,"O",IF(R11=$BG$24,"O",IF(R11=$BH$24,"O",IF(R11=$BI$24,"O",IF(R11=$BJ$24,"O",IF(R11=$BK$24,"O",IF(R11=$BL$24,"O",IF(R11=$BM$24,"O",IF(R11=$BN$24,"O",IF(R11=$BO$24,"O",IF(R11=$BP$24,"O",IF(R11=$BQ$24,"O",IF(R11=#REF!,"O",IF(R11=$BS$24,"O",IF(R11=$BT$24,"O",IF(R11=$BU$24,"O",IF(R11=$BV$24,"O",IF(R11=$BW$24,"O",IF(R11=$BX$24,"O",IF(R11=$BY$24,"O",IF(R11=$BZ$24,"O",IF(R11=$CA$24,"O",IF(R11=$CB$24,"O","X"))))))))))))))))))))))))))</f>
        <v>#REF!</v>
      </c>
      <c r="S134" s="272" t="e">
        <f>IF(S11=$BC$24,"O",IF(S11=$BD$24,"O",IF(S11=$BE$24,"O",IF(S11=$BF$24,"O",IF(S11=$BG$24,"O",IF(S11=$BH$24,"O",IF(S11=$BI$24,"O",IF(S11=$BJ$24,"O",IF(S11=$BK$24,"O",IF(S11=$BL$24,"O",IF(S11=$BM$24,"O",IF(S11=$BN$24,"O",IF(S11=$BO$24,"O",IF(S11=$BP$24,"O",IF(S11=$BQ$24,"O",IF(S11=#REF!,"O",IF(S11=$BS$24,"O",IF(S11=$BT$24,"O",IF(S11=$BU$24,"O",IF(S11=$BV$24,"O",IF(S11=$BW$24,"O",IF(S11=$BX$24,"O",IF(S11=$BY$24,"O",IF(S11=$BZ$24,"O",IF(S11=$CA$24,"O",IF(S11=$CB$24,"O","X"))))))))))))))))))))))))))</f>
        <v>#REF!</v>
      </c>
      <c r="T134" s="272" t="e">
        <f>IF(T11=$BC$24,"O",IF(T11=$BD$24,"O",IF(T11=$BE$24,"O",IF(T11=$BF$24,"O",IF(T11=$BG$24,"O",IF(T11=$BH$24,"O",IF(T11=$BI$24,"O",IF(T11=$BJ$24,"O",IF(T11=$BK$24,"O",IF(T11=$BL$24,"O",IF(T11=$BM$24,"O",IF(T11=$BN$24,"O",IF(T11=$BO$24,"O",IF(T11=$BP$24,"O",IF(T11=$BQ$24,"O",IF(T11=#REF!,"O",IF(T11=$BS$24,"O",IF(T11=$BT$24,"O",IF(T11=$BU$24,"O",IF(T11=$BV$24,"O",IF(T11=$BW$24,"O",IF(T11=$BX$24,"O",IF(T11=$BY$24,"O",IF(T11=$BZ$24,"O",IF(T11=$CA$24,"O",IF(T11=$CB$24,"O","X"))))))))))))))))))))))))))</f>
        <v>#REF!</v>
      </c>
      <c r="U134" s="272" t="e">
        <f>IF(U11=$BC$24,"O",IF(U11=$BD$24,"O",IF(U11=$BE$24,"O",IF(U11=$BF$24,"O",IF(U11=$BG$24,"O",IF(U11=$BH$24,"O",IF(U11=$BI$24,"O",IF(U11=$BJ$24,"O",IF(U11=$BK$24,"O",IF(U11=$BL$24,"O",IF(U11=$BM$24,"O",IF(U11=$BN$24,"O",IF(U11=$BO$24,"O",IF(U11=$BP$24,"O",IF(U11=$BQ$24,"O",IF(U11=#REF!,"O",IF(U11=$BS$24,"O",IF(U11=$BT$24,"O",IF(U11=$BU$24,"O",IF(U11=$BV$24,"O",IF(U11=$BW$24,"O",IF(U11=$BX$24,"O",IF(U11=$BY$24,"O",IF(U11=$BZ$24,"O",IF(U11=$CA$24,"O",IF(U11=$CB$24,"O","X"))))))))))))))))))))))))))</f>
        <v>#REF!</v>
      </c>
      <c r="V134" s="272" t="e">
        <f>IF(V11=$BC$24,"O",IF(V11=$BD$24,"O",IF(V11=$BE$24,"O",IF(V11=$BF$24,"O",IF(V11=$BG$24,"O",IF(V11=$BH$24,"O",IF(V11=$BI$24,"O",IF(V11=$BJ$24,"O",IF(V11=$BK$24,"O",IF(V11=$BL$24,"O",IF(V11=$BM$24,"O",IF(V11=$BN$24,"O",IF(V11=$BO$24,"O",IF(V11=$BP$24,"O",IF(V11=$BQ$24,"O",IF(V11=#REF!,"O",IF(V11=$BS$24,"O",IF(V11=$BT$24,"O",IF(V11=$BU$24,"O",IF(V11=$BV$24,"O",IF(V11=$BW$24,"O",IF(V11=$BX$24,"O",IF(V11=$BY$24,"O",IF(V11=$BZ$24,"O",IF(V11=$CA$24,"O",IF(V11=$CB$24,"O","X"))))))))))))))))))))))))))</f>
        <v>#REF!</v>
      </c>
      <c r="W134" s="272" t="e">
        <f>IF(W11=$BC$24,"O",IF(W11=$BD$24,"O",IF(W11=$BE$24,"O",IF(W11=$BF$24,"O",IF(W11=$BG$24,"O",IF(W11=$BH$24,"O",IF(W11=$BI$24,"O",IF(W11=$BJ$24,"O",IF(W11=$BK$24,"O",IF(W11=$BL$24,"O",IF(W11=$BM$24,"O",IF(W11=$BN$24,"O",IF(W11=$BO$24,"O",IF(W11=$BP$24,"O",IF(W11=$BQ$24,"O",IF(W11=#REF!,"O",IF(W11=$BS$24,"O",IF(W11=$BT$24,"O",IF(W11=$BU$24,"O",IF(W11=$BV$24,"O",IF(W11=$BW$24,"O",IF(W11=$BX$24,"O",IF(W11=$BY$24,"O",IF(W11=$BZ$24,"O",IF(W11=$CA$24,"O",IF(W11=$CB$24,"O","X"))))))))))))))))))))))))))</f>
        <v>#REF!</v>
      </c>
      <c r="X134" s="272" t="e">
        <f>IF(X11=$BC$24,"O",IF(X11=$BD$24,"O",IF(X11=$BE$24,"O",IF(X11=$BF$24,"O",IF(X11=$BG$24,"O",IF(X11=$BH$24,"O",IF(X11=$BI$24,"O",IF(X11=$BJ$24,"O",IF(X11=$BK$24,"O",IF(X11=$BL$24,"O",IF(X11=$BM$24,"O",IF(X11=$BN$24,"O",IF(X11=$BO$24,"O",IF(X11=$BP$24,"O",IF(X11=$BQ$24,"O",IF(X11=#REF!,"O",IF(X11=$BS$24,"O",IF(X11=$BT$24,"O",IF(X11=$BU$24,"O",IF(X11=$BV$24,"O",IF(X11=$BW$24,"O",IF(X11=$BX$24,"O",IF(X11=$BY$24,"O",IF(X11=$BZ$24,"O",IF(X11=$CA$24,"O",IF(X11=$CB$24,"O","X"))))))))))))))))))))))))))</f>
        <v>#REF!</v>
      </c>
      <c r="Y134" s="272" t="e">
        <f>IF(Y11=$BC$24,"O",IF(Y11=$BD$24,"O",IF(Y11=$BE$24,"O",IF(Y11=$BF$24,"O",IF(Y11=$BG$24,"O",IF(Y11=$BH$24,"O",IF(Y11=$BI$24,"O",IF(Y11=$BJ$24,"O",IF(Y11=$BK$24,"O",IF(Y11=$BL$24,"O",IF(Y11=$BM$24,"O",IF(Y11=$BN$24,"O",IF(Y11=$BO$24,"O",IF(Y11=$BP$24,"O",IF(Y11=$BQ$24,"O",IF(Y11=#REF!,"O",IF(Y11=$BS$24,"O",IF(Y11=$BT$24,"O",IF(Y11=$BU$24,"O",IF(Y11=$BV$24,"O",IF(Y11=$BW$24,"O",IF(Y11=$BX$24,"O",IF(Y11=$BY$24,"O",IF(Y11=$BZ$24,"O",IF(Y11=$CA$24,"O",IF(Y11=$CB$24,"O","X"))))))))))))))))))))))))))</f>
        <v>#REF!</v>
      </c>
      <c r="Z134" s="272" t="e">
        <f>IF(Z11=$BC$24,"O",IF(Z11=$BD$24,"O",IF(Z11=$BE$24,"O",IF(Z11=$BF$24,"O",IF(Z11=$BG$24,"O",IF(Z11=$BH$24,"O",IF(Z11=$BI$24,"O",IF(Z11=$BJ$24,"O",IF(Z11=$BK$24,"O",IF(Z11=$BL$24,"O",IF(Z11=$BM$24,"O",IF(Z11=$BN$24,"O",IF(Z11=$BO$24,"O",IF(Z11=$BP$24,"O",IF(Z11=$BQ$24,"O",IF(Z11=#REF!,"O",IF(Z11=$BS$24,"O",IF(Z11=$BT$24,"O",IF(Z11=$BU$24,"O",IF(Z11=$BV$24,"O",IF(Z11=$BW$24,"O",IF(Z11=$BX$24,"O",IF(Z11=$BY$24,"O",IF(Z11=$BZ$24,"O",IF(Z11=$CA$24,"O",IF(Z11=$CB$24,"O","X"))))))))))))))))))))))))))</f>
        <v>#REF!</v>
      </c>
      <c r="AA134" s="272" t="e">
        <f>IF(AA11=$BC$24,"O",IF(AA11=$BD$24,"O",IF(AA11=$BE$24,"O",IF(AA11=$BF$24,"O",IF(AA11=$BG$24,"O",IF(AA11=$BH$24,"O",IF(AA11=$BI$24,"O",IF(AA11=$BJ$24,"O",IF(AA11=$BK$24,"O",IF(AA11=$BL$24,"O",IF(AA11=$BM$24,"O",IF(AA11=$BN$24,"O",IF(AA11=$BO$24,"O",IF(AA11=$BP$24,"O",IF(AA11=$BQ$24,"O",IF(AA11=#REF!,"O",IF(AA11=$BS$24,"O",IF(AA11=$BT$24,"O",IF(AA11=$BU$24,"O",IF(AA11=$BV$24,"O",IF(AA11=$BW$24,"O",IF(AA11=$BX$24,"O",IF(AA11=$BY$24,"O",IF(AA11=$BZ$24,"O",IF(AA11=$CA$24,"O",IF(AA11=$CB$24,"O","X"))))))))))))))))))))))))))</f>
        <v>#REF!</v>
      </c>
      <c r="AB134" s="272" t="e">
        <f>IF(AB11=$BC$24,"O",IF(AB11=$BD$24,"O",IF(AB11=$BE$24,"O",IF(AB11=$BF$24,"O",IF(AB11=$BG$24,"O",IF(AB11=$BH$24,"O",IF(AB11=$BI$24,"O",IF(AB11=$BJ$24,"O",IF(AB11=$BK$24,"O",IF(AB11=$BL$24,"O",IF(AB11=$BM$24,"O",IF(AB11=$BN$24,"O",IF(AB11=$BO$24,"O",IF(AB11=$BP$24,"O",IF(AB11=$BQ$24,"O",IF(AB11=#REF!,"O",IF(AB11=$BS$24,"O",IF(AB11=$BT$24,"O",IF(AB11=$BU$24,"O",IF(AB11=$BV$24,"O",IF(AB11=$BW$24,"O",IF(AB11=$BX$24,"O",IF(AB11=$BY$24,"O",IF(AB11=$BZ$24,"O",IF(AB11=$CA$24,"O",IF(AB11=$CB$24,"O","X"))))))))))))))))))))))))))</f>
        <v>#REF!</v>
      </c>
      <c r="AC134" s="272" t="e">
        <f>IF(AC11=$BC$24,"O",IF(AC11=$BD$24,"O",IF(AC11=$BE$24,"O",IF(AC11=$BF$24,"O",IF(AC11=$BG$24,"O",IF(AC11=$BH$24,"O",IF(AC11=$BI$24,"O",IF(AC11=$BJ$24,"O",IF(AC11=$BK$24,"O",IF(AC11=$BL$24,"O",IF(AC11=$BM$24,"O",IF(AC11=$BN$24,"O",IF(AC11=$BO$24,"O",IF(AC11=$BP$24,"O",IF(AC11=$BQ$24,"O",IF(AC11=#REF!,"O",IF(AC11=$BS$24,"O",IF(AC11=$BT$24,"O",IF(AC11=$BU$24,"O",IF(AC11=$BV$24,"O",IF(AC11=$BW$24,"O",IF(AC11=$BX$24,"O",IF(AC11=$BY$24,"O",IF(AC11=$BZ$24,"O",IF(AC11=$CA$24,"O",IF(AC11=$CB$24,"O","X"))))))))))))))))))))))))))</f>
        <v>#REF!</v>
      </c>
      <c r="AD134" s="272" t="e">
        <f>IF(AD11=$BC$24,"O",IF(AD11=$BD$24,"O",IF(AD11=$BE$24,"O",IF(AD11=$BF$24,"O",IF(AD11=$BG$24,"O",IF(AD11=$BH$24,"O",IF(AD11=$BI$24,"O",IF(AD11=$BJ$24,"O",IF(AD11=$BK$24,"O",IF(AD11=$BL$24,"O",IF(AD11=$BM$24,"O",IF(AD11=$BN$24,"O",IF(AD11=$BO$24,"O",IF(AD11=$BP$24,"O",IF(AD11=$BQ$24,"O",IF(AD11=#REF!,"O",IF(AD11=$BS$24,"O",IF(AD11=$BT$24,"O",IF(AD11=$BU$24,"O",IF(AD11=$BV$24,"O",IF(AD11=$BW$24,"O",IF(AD11=$BX$24,"O",IF(AD11=$BY$24,"O",IF(AD11=$BZ$24,"O",IF(AD11=$CA$24,"O",IF(AD11=$CB$24,"O","X"))))))))))))))))))))))))))</f>
        <v>#REF!</v>
      </c>
      <c r="AE134" s="272" t="e">
        <f>IF(AE11=$BC$24,"O",IF(AE11=$BD$24,"O",IF(AE11=$BE$24,"O",IF(AE11=$BF$24,"O",IF(AE11=$BG$24,"O",IF(AE11=$BH$24,"O",IF(AE11=$BI$24,"O",IF(AE11=$BJ$24,"O",IF(AE11=$BK$24,"O",IF(AE11=$BL$24,"O",IF(AE11=$BM$24,"O",IF(AE11=$BN$24,"O",IF(AE11=$BO$24,"O",IF(AE11=$BP$24,"O",IF(AE11=$BQ$24,"O",IF(AE11=#REF!,"O",IF(AE11=$BS$24,"O",IF(AE11=$BT$24,"O",IF(AE11=$BU$24,"O",IF(AE11=$BV$24,"O",IF(AE11=$BW$24,"O",IF(AE11=$BX$24,"O",IF(AE11=$BY$24,"O",IF(AE11=$BZ$24,"O",IF(AE11=$CA$24,"O",IF(AE11=$CB$24,"O","X"))))))))))))))))))))))))))</f>
        <v>#REF!</v>
      </c>
      <c r="AF134" s="272" t="e">
        <f>IF(AF11=$BC$24,"O",IF(AF11=$BD$24,"O",IF(AF11=$BE$24,"O",IF(AF11=$BF$24,"O",IF(AF11=$BG$24,"O",IF(AF11=$BH$24,"O",IF(AF11=$BI$24,"O",IF(AF11=$BJ$24,"O",IF(AF11=$BK$24,"O",IF(AF11=$BL$24,"O",IF(AF11=$BM$24,"O",IF(AF11=$BN$24,"O",IF(AF11=$BO$24,"O",IF(AF11=$BP$24,"O",IF(AF11=$BQ$24,"O",IF(AF11=#REF!,"O",IF(AF11=$BS$24,"O",IF(AF11=$BT$24,"O",IF(AF11=$BU$24,"O",IF(AF11=$BV$24,"O",IF(AF11=$BW$24,"O",IF(AF11=$BX$24,"O",IF(AF11=$BY$24,"O",IF(AF11=$BZ$24,"O",IF(AF11=$CA$24,"O",IF(AF11=$CB$24,"O","X"))))))))))))))))))))))))))</f>
        <v>#REF!</v>
      </c>
      <c r="AG134" s="272" t="e">
        <f>IF(AG11=$BC$24,"O",IF(AG11=$BD$24,"O",IF(AG11=$BE$24,"O",IF(AG11=$BF$24,"O",IF(AG11=$BG$24,"O",IF(AG11=$BH$24,"O",IF(AG11=$BI$24,"O",IF(AG11=$BJ$24,"O",IF(AG11=$BK$24,"O",IF(AG11=$BL$24,"O",IF(AG11=$BM$24,"O",IF(AG11=$BN$24,"O",IF(AG11=$BO$24,"O",IF(AG11=$BP$24,"O",IF(AG11=$BQ$24,"O",IF(AG11=#REF!,"O",IF(AG11=$BS$24,"O",IF(AG11=$BT$24,"O",IF(AG11=$BU$24,"O",IF(AG11=$BV$24,"O",IF(AG11=$BW$24,"O",IF(AG11=$BX$24,"O",IF(AG11=$BY$24,"O",IF(AG11=$BZ$24,"O",IF(AG11=$CA$24,"O",IF(AG11=$CB$24,"O","X"))))))))))))))))))))))))))</f>
        <v>#REF!</v>
      </c>
      <c r="AH134" s="272" t="e">
        <f>IF(AH11=$BC$24,"O",IF(AH11=$BD$24,"O",IF(AH11=$BE$24,"O",IF(AH11=$BF$24,"O",IF(AH11=$BG$24,"O",IF(AH11=$BH$24,"O",IF(AH11=$BI$24,"O",IF(AH11=$BJ$24,"O",IF(AH11=$BK$24,"O",IF(AH11=$BL$24,"O",IF(AH11=$BM$24,"O",IF(AH11=$BN$24,"O",IF(AH11=$BO$24,"O",IF(AH11=$BP$24,"O",IF(AH11=$BQ$24,"O",IF(AH11=#REF!,"O",IF(AH11=$BS$24,"O",IF(AH11=$BT$24,"O",IF(AH11=$BU$24,"O",IF(AH11=$BV$24,"O",IF(AH11=$BW$24,"O",IF(AH11=$BX$24,"O",IF(AH11=$BY$24,"O",IF(AH11=$BZ$24,"O",IF(AH11=$CA$24,"O",IF(AH11=$CB$24,"O","X"))))))))))))))))))))))))))</f>
        <v>#REF!</v>
      </c>
      <c r="AI134" s="272" t="e">
        <f>IF(AI11=$BC$24,"O",IF(AI11=$BD$24,"O",IF(AI11=$BE$24,"O",IF(AI11=$BF$24,"O",IF(AI11=$BG$24,"O",IF(AI11=$BH$24,"O",IF(AI11=$BI$24,"O",IF(AI11=$BJ$24,"O",IF(AI11=$BK$24,"O",IF(AI11=$BL$24,"O",IF(AI11=$BM$24,"O",IF(AI11=$BN$24,"O",IF(AI11=$BO$24,"O",IF(AI11=$BP$24,"O",IF(AI11=$BQ$24,"O",IF(AI11=#REF!,"O",IF(AI11=$BS$24,"O",IF(AI11=$BT$24,"O",IF(AI11=$BU$24,"O",IF(AI11=$BV$24,"O",IF(AI11=$BW$24,"O",IF(AI11=$BX$24,"O",IF(AI11=$BY$24,"O",IF(AI11=$BZ$24,"O",IF(AI11=$CA$24,"O",IF(AI11=$CB$24,"O","X"))))))))))))))))))))))))))</f>
        <v>#REF!</v>
      </c>
      <c r="AJ134" s="272" t="e">
        <f>IF(AJ11=$BC$24,"O",IF(AJ11=$BD$24,"O",IF(AJ11=$BE$24,"O",IF(AJ11=$BF$24,"O",IF(AJ11=$BG$24,"O",IF(AJ11=$BH$24,"O",IF(AJ11=$BI$24,"O",IF(AJ11=$BJ$24,"O",IF(AJ11=$BK$24,"O",IF(AJ11=$BL$24,"O",IF(AJ11=$BM$24,"O",IF(AJ11=$BN$24,"O",IF(AJ11=$BO$24,"O",IF(AJ11=$BP$24,"O",IF(AJ11=$BQ$24,"O",IF(AJ11=#REF!,"O",IF(AJ11=$BS$24,"O",IF(AJ11=$BT$24,"O",IF(AJ11=$BU$24,"O",IF(AJ11=$BV$24,"O",IF(AJ11=$BW$24,"O",IF(AJ11=$BX$24,"O",IF(AJ11=$BY$24,"O",IF(AJ11=$BZ$24,"O",IF(AJ11=$CA$24,"O",IF(AJ11=$CB$24,"O","X"))))))))))))))))))))))))))</f>
        <v>#REF!</v>
      </c>
      <c r="AK134" s="272" t="e">
        <f>IF(AK11=$BC$24,"O",IF(AK11=$BD$24,"O",IF(AK11=$BE$24,"O",IF(AK11=$BF$24,"O",IF(AK11=$BG$24,"O",IF(AK11=$BH$24,"O",IF(AK11=$BI$24,"O",IF(AK11=$BJ$24,"O",IF(AK11=$BK$24,"O",IF(AK11=$BL$24,"O",IF(AK11=$BM$24,"O",IF(AK11=$BN$24,"O",IF(AK11=$BO$24,"O",IF(AK11=$BP$24,"O",IF(AK11=$BQ$24,"O",IF(AK11=#REF!,"O",IF(AK11=$BS$24,"O",IF(AK11=$BT$24,"O",IF(AK11=$BU$24,"O",IF(AK11=$BV$24,"O",IF(AK11=$BW$24,"O",IF(AK11=$BX$24,"O",IF(AK11=$BY$24,"O",IF(AK11=$BZ$24,"O",IF(AK11=$CA$24,"O",IF(AK11=$CB$24,"O","X"))))))))))))))))))))))))))</f>
        <v>#REF!</v>
      </c>
      <c r="AL134" s="307" t="e">
        <f>IF(AL11=$BC$24,"O",IF(AL11=$BD$24,"O",IF(AL11=$BE$24,"O",IF(AL11=$BF$24,"O",IF(AL11=$BG$24,"O",IF(AL11=$BH$24,"O",IF(AL11=$BI$24,"O",IF(AL11=$BJ$24,"O",IF(AL11=$BK$24,"O",IF(AL11=$BL$24,"O",IF(AL11=$BM$24,"O",IF(AL11=$BN$24,"O",IF(AL11=$BO$24,"O",IF(AL11=$BP$24,"O",IF(AL11=$BQ$24,"O",IF(AL11=#REF!,"O",IF(AL11=$BS$24,"O",IF(AL11=$BT$24,"O",IF(AL11=$BU$24,"O",IF(AL11=$BV$24,"O",IF(AL11=$BW$24,"O",IF(AL11=$BX$24,"O",IF(AL11=$BY$24,"O",IF(AL11=$BZ$24,"O",IF(AL11=$CA$24,"O",IF(AL11=$CB$24,"O","X"))))))))))))))))))))))))))</f>
        <v>#REF!</v>
      </c>
      <c r="AM134" s="307" t="e">
        <f>IF(AM11=$BC$24,"O",IF(AM11=$BD$24,"O",IF(AM11=$BE$24,"O",IF(AM11=$BF$24,"O",IF(AM11=$BG$24,"O",IF(AM11=$BH$24,"O",IF(AM11=$BI$24,"O",IF(AM11=$BJ$24,"O",IF(AM11=$BK$24,"O",IF(AM11=$BL$24,"O",IF(AM11=$BM$24,"O",IF(AM11=$BN$24,"O",IF(AM11=$BO$24,"O",IF(AM11=$BP$24,"O",IF(AM11=$BQ$24,"O",IF(AM11=#REF!,"O",IF(AM11=$BS$24,"O",IF(AM11=$BT$24,"O",IF(AM11=$BU$24,"O",IF(AM11=$BV$24,"O",IF(AM11=$BW$24,"O",IF(AM11=$BX$24,"O",IF(AM11=$BY$24,"O",IF(AM11=$BZ$24,"O",IF(AM11=$CA$24,"O",IF(AM11=$CB$24,"O","X"))))))))))))))))))))))))))</f>
        <v>#REF!</v>
      </c>
      <c r="AN134" s="307" t="e">
        <f>IF(AN11=$BC$24,"O",IF(AN11=$BD$24,"O",IF(AN11=$BE$24,"O",IF(AN11=$BF$24,"O",IF(AN11=$BG$24,"O",IF(AN11=$BH$24,"O",IF(AN11=$BI$24,"O",IF(AN11=$BJ$24,"O",IF(AN11=$BK$24,"O",IF(AN11=$BL$24,"O",IF(AN11=$BM$24,"O",IF(AN11=$BN$24,"O",IF(AN11=$BO$24,"O",IF(AN11=$BP$24,"O",IF(AN11=$BQ$24,"O",IF(AN11=#REF!,"O",IF(AN11=$BS$24,"O",IF(AN11=$BT$24,"O",IF(AN11=$BU$24,"O",IF(AN11=$BV$24,"O",IF(AN11=$BW$24,"O",IF(AN11=$BX$24,"O",IF(AN11=$BY$24,"O",IF(AN11=$BZ$24,"O",IF(AN11=$CA$24,"O",IF(AN11=$CB$24,"O","X"))))))))))))))))))))))))))</f>
        <v>#REF!</v>
      </c>
      <c r="AO134" s="307" t="e">
        <f>IF(AO11=$BC$24,"O",IF(AO11=$BD$24,"O",IF(AO11=$BE$24,"O",IF(AO11=$BF$24,"O",IF(AO11=$BG$24,"O",IF(AO11=$BH$24,"O",IF(AO11=$BI$24,"O",IF(AO11=$BJ$24,"O",IF(AO11=$BK$24,"O",IF(AO11=$BL$24,"O",IF(AO11=$BM$24,"O",IF(AO11=$BN$24,"O",IF(AO11=$BO$24,"O",IF(AO11=$BP$24,"O",IF(AO11=$BQ$24,"O",IF(AO11=#REF!,"O",IF(AO11=$BS$24,"O",IF(AO11=$BT$24,"O",IF(AO11=$BU$24,"O",IF(AO11=$BV$24,"O",IF(AO11=$BW$24,"O",IF(AO11=$BX$24,"O",IF(AO11=$BY$24,"O",IF(AO11=$BZ$24,"O",IF(AO11=$CA$24,"O",IF(AO11=$CB$24,"O","X"))))))))))))))))))))))))))</f>
        <v>#REF!</v>
      </c>
      <c r="AP134" s="307" t="e">
        <f>IF(AP11=$BC$24,"O",IF(AP11=$BD$24,"O",IF(AP11=$BE$24,"O",IF(AP11=$BF$24,"O",IF(AP11=$BG$24,"O",IF(AP11=$BH$24,"O",IF(AP11=$BI$24,"O",IF(AP11=$BJ$24,"O",IF(AP11=$BK$24,"O",IF(AP11=$BL$24,"O",IF(AP11=$BM$24,"O",IF(AP11=$BN$24,"O",IF(AP11=$BO$24,"O",IF(AP11=$BP$24,"O",IF(AP11=$BQ$24,"O",IF(AP11=#REF!,"O",IF(AP11=$BS$24,"O",IF(AP11=$BT$24,"O",IF(AP11=$BU$24,"O",IF(AP11=$BV$24,"O",IF(AP11=$BW$24,"O",IF(AP11=$BX$24,"O",IF(AP11=$BY$24,"O",IF(AP11=$BZ$24,"O",IF(AP11=$CA$24,"O",IF(AP11=$CB$24,"O","X"))))))))))))))))))))))))))</f>
        <v>#REF!</v>
      </c>
      <c r="AQ134" s="307" t="e">
        <f>IF(AQ11=$BC$24,"O",IF(AQ11=$BD$24,"O",IF(AQ11=$BE$24,"O",IF(AQ11=$BF$24,"O",IF(AQ11=$BG$24,"O",IF(AQ11=$BH$24,"O",IF(AQ11=$BI$24,"O",IF(AQ11=$BJ$24,"O",IF(AQ11=$BK$24,"O",IF(AQ11=$BL$24,"O",IF(AQ11=$BM$24,"O",IF(AQ11=$BN$24,"O",IF(AQ11=$BO$24,"O",IF(AQ11=$BP$24,"O",IF(AQ11=$BQ$24,"O",IF(AQ11=#REF!,"O",IF(AQ11=$BS$24,"O",IF(AQ11=$BT$24,"O",IF(AQ11=$BU$24,"O",IF(AQ11=$BV$24,"O",IF(AQ11=$BW$24,"O",IF(AQ11=$BX$24,"O",IF(AQ11=$BY$24,"O",IF(AQ11=$BZ$24,"O",IF(AQ11=$CA$24,"O",IF(AQ11=$CB$24,"O","X"))))))))))))))))))))))))))</f>
        <v>#REF!</v>
      </c>
      <c r="AR134" s="307" t="e">
        <f>IF(AR11=$BC$24,"O",IF(AR11=$BD$24,"O",IF(AR11=$BE$24,"O",IF(AR11=$BF$24,"O",IF(AR11=$BG$24,"O",IF(AR11=$BH$24,"O",IF(AR11=$BI$24,"O",IF(AR11=$BJ$24,"O",IF(AR11=$BK$24,"O",IF(AR11=$BL$24,"O",IF(AR11=$BM$24,"O",IF(AR11=$BN$24,"O",IF(AR11=$BO$24,"O",IF(AR11=$BP$24,"O",IF(AR11=$BQ$24,"O",IF(AR11=#REF!,"O",IF(AR11=$BS$24,"O",IF(AR11=$BT$24,"O",IF(AR11=$BU$24,"O",IF(AR11=$BV$24,"O",IF(AR11=$BW$24,"O",IF(AR11=$BX$24,"O",IF(AR11=$BY$24,"O",IF(AR11=$BZ$24,"O",IF(AR11=$CA$24,"O",IF(AR11=$CB$24,"O","X"))))))))))))))))))))))))))</f>
        <v>#REF!</v>
      </c>
      <c r="AS134" s="307" t="e">
        <f>IF(AS11=$BC$24,"O",IF(AS11=$BD$24,"O",IF(AS11=$BE$24,"O",IF(AS11=$BF$24,"O",IF(AS11=$BG$24,"O",IF(AS11=$BH$24,"O",IF(AS11=$BI$24,"O",IF(AS11=$BJ$24,"O",IF(AS11=$BK$24,"O",IF(AS11=$BL$24,"O",IF(AS11=$BM$24,"O",IF(AS11=$BN$24,"O",IF(AS11=$BO$24,"O",IF(AS11=$BP$24,"O",IF(AS11=$BQ$24,"O",IF(AS11=#REF!,"O",IF(AS11=$BS$24,"O",IF(AS11=$BT$24,"O",IF(AS11=$BU$24,"O",IF(AS11=$BV$24,"O",IF(AS11=$BW$24,"O",IF(AS11=$BX$24,"O",IF(AS11=$BY$24,"O",IF(AS11=$BZ$24,"O",IF(AS11=$CA$24,"O",IF(AS11=$CB$24,"O","X"))))))))))))))))))))))))))</f>
        <v>#REF!</v>
      </c>
      <c r="AT134" s="307" t="e">
        <f>IF(AT11=$BC$24,"O",IF(AT11=$BD$24,"O",IF(AT11=$BE$24,"O",IF(AT11=$BF$24,"O",IF(AT11=$BG$24,"O",IF(AT11=$BH$24,"O",IF(AT11=$BI$24,"O",IF(AT11=$BJ$24,"O",IF(AT11=$BK$24,"O",IF(AT11=$BL$24,"O",IF(AT11=$BM$24,"O",IF(AT11=$BN$24,"O",IF(AT11=$BO$24,"O",IF(AT11=$BP$24,"O",IF(AT11=$BQ$24,"O",IF(AT11=#REF!,"O",IF(AT11=$BS$24,"O",IF(AT11=$BT$24,"O",IF(AT11=$BU$24,"O",IF(AT11=$BV$24,"O",IF(AT11=$BW$24,"O",IF(AT11=$BX$24,"O",IF(AT11=$BY$24,"O",IF(AT11=$BZ$24,"O",IF(AT11=$CA$24,"O",IF(AT11=$CB$24,"O","X"))))))))))))))))))))))))))</f>
        <v>#REF!</v>
      </c>
      <c r="AU134" s="307" t="e">
        <f>IF(AU11=$BC$24,"O",IF(AU11=$BD$24,"O",IF(AU11=$BE$24,"O",IF(AU11=$BF$24,"O",IF(AU11=$BG$24,"O",IF(AU11=$BH$24,"O",IF(AU11=$BI$24,"O",IF(AU11=$BJ$24,"O",IF(AU11=$BK$24,"O",IF(AU11=$BL$24,"O",IF(AU11=$BM$24,"O",IF(AU11=$BN$24,"O",IF(AU11=$BO$24,"O",IF(AU11=$BP$24,"O",IF(AU11=$BQ$24,"O",IF(AU11=#REF!,"O",IF(AU11=$BS$24,"O",IF(AU11=$BT$24,"O",IF(AU11=$BU$24,"O",IF(AU11=$BV$24,"O",IF(AU11=$BW$24,"O",IF(AU11=$BX$24,"O",IF(AU11=$BY$24,"O",IF(AU11=$BZ$24,"O",IF(AU11=$CA$24,"O",IF(AU11=$CB$24,"O","X"))))))))))))))))))))))))))</f>
        <v>#REF!</v>
      </c>
      <c r="AV134" s="296"/>
      <c r="AW134" s="296"/>
      <c r="AX134" s="206"/>
      <c r="BC134" s="151"/>
      <c r="BD134" s="151"/>
      <c r="BE134" s="151"/>
      <c r="BF134" s="151"/>
      <c r="BG134" s="163"/>
      <c r="BH134" s="2"/>
      <c r="BI134" s="2"/>
      <c r="BJ134" s="151"/>
      <c r="BK134" s="2"/>
      <c r="BL134" s="2"/>
      <c r="BM134" s="2"/>
      <c r="BN134" s="2"/>
      <c r="BO134" s="2"/>
      <c r="BP134" s="2"/>
    </row>
    <row r="135" spans="1:68">
      <c r="A135" s="180"/>
      <c r="B135" s="214" t="s">
        <v>540</v>
      </c>
      <c r="C135" s="354" t="str">
        <f t="shared" ref="C135:P135" ca="1" si="190">IF(C12=$BC$24,"O",IF(C12=$BD$24,"O",IF(C12=$BE$24,"O",IF(C12=$BF$24,"O",IF(C12=$BG$24,"O",IF(C12=$BH$24,"O",IF(C12=$BI$24,"O",IF(C12=$BJ$24,"O",IF(C12=$BK$24,"O",IF(C12=$BL$24,"O",IF(C12=$BM$24,"O",IF(C12=$BN$24,"O",IF(C12=$BO$24,"O",IF(C12=$BP$24,"O",IF(C12=$BQ$24,"O",IF(C12=$BR$24,"O",IF(C12=$BS$24,"O",IF(C12=$BT$24,"O",IF(C12=$BU$24,"O",IF(C12=$BV$24,"O",IF(C12=$BW$24,"O",IF(C12=$BX$24,"O",IF(C12=$BY$24,"O",IF(C12=$BZ$24,"O",IF(C12=$CA$24,"O",IF(C12=$CB$24,"O",IF(C12=$CC$24,"O",IF(C12=$CD$24,"O",IF(C12=$CE$24,"O",IF(C12=$CF$24,"O",IF(C12=$CG$24,"O",IF(C12=$CH$24,"O",IF(C12=$CI$24,"O",IF(C12=$CJ$24,"O",IF(C12=$CK$24,"O",IF(C12=$CL$24,"O",IF(C12=$CM$24,"O",IF(C12=$CN$24,"O",IF(C12=$CO$24,"O",IF(C12=$CP$24,"O","X"))))))))))))))))))))))))))))))))))))))))</f>
        <v>X</v>
      </c>
      <c r="D135" s="354" t="str">
        <f t="shared" ca="1" si="190"/>
        <v>X</v>
      </c>
      <c r="E135" s="354" t="str">
        <f t="shared" ca="1" si="190"/>
        <v>O</v>
      </c>
      <c r="F135" s="354" t="str">
        <f t="shared" ca="1" si="190"/>
        <v>X</v>
      </c>
      <c r="G135" s="354" t="str">
        <f t="shared" ca="1" si="190"/>
        <v>O</v>
      </c>
      <c r="H135" s="354" t="str">
        <f t="shared" ca="1" si="190"/>
        <v>X</v>
      </c>
      <c r="I135" s="354" t="str">
        <f t="shared" ca="1" si="190"/>
        <v>O</v>
      </c>
      <c r="J135" s="354" t="str">
        <f t="shared" ca="1" si="190"/>
        <v>X</v>
      </c>
      <c r="K135" s="354" t="str">
        <f t="shared" ca="1" si="190"/>
        <v>X</v>
      </c>
      <c r="L135" s="354" t="str">
        <f t="shared" ca="1" si="190"/>
        <v>O</v>
      </c>
      <c r="M135" s="354" t="str">
        <f t="shared" ca="1" si="190"/>
        <v>O</v>
      </c>
      <c r="N135" s="354" t="str">
        <f t="shared" ca="1" si="190"/>
        <v>O</v>
      </c>
      <c r="O135" s="354" t="str">
        <f t="shared" ca="1" si="190"/>
        <v>O</v>
      </c>
      <c r="P135" s="354" t="str">
        <f t="shared" ca="1" si="190"/>
        <v>O</v>
      </c>
      <c r="Q135" s="354" t="str">
        <f ca="1">IF(Q12=$BC$24,"O",IF(Q12=$BD$24,"O",IF(Q12=$BE$24,"O",IF(Q12=$BF$24,"O",IF(Q12=$BG$24,"O",IF(Q12=$BH$24,"O",IF(Q12=$BI$24,"O",IF(Q12=$BJ$24,"O",IF(Q12=$BK$24,"O",IF(Q12=$BL$24,"O",IF(Q12=$BM$24,"O",IF(Q12=$BN$24,"O",IF(Q12=$BO$24,"O",IF(Q12=$BP$24,"O",IF(Q12=$BQ$24,"O",IF(Q12=$BR$24,"O",IF(Q12=$BS$24,"O",IF(Q12=$BT$24,"O",IF(Q12=$BU$24,"O",IF(Q12=$BV$24,"O",IF(Q12=$BW$24,"O",IF(Q12=$BX$24,"O",IF(Q12=$BY$24,"O",IF(Q12=$BZ$24,"O",IF(Q12=$CA$24,"O",IF(Q12=$CB$24,"O",IF(Q12=$CC$24,"O",IF(Q12=$CD$24,"O",IF(Q12=$CE$24,"O",IF(Q12=$CF$24,"O",IF(Q12=$CG$24,"O",IF(Q12=$CH$24,"O",IF(Q12=$CI$24,"O",IF(Q12=$CJ$24,"O",IF(Q12=$CK$24,"O",IF(Q12=$CL$24,"O",IF(Q12=$CM$24,"O",IF(Q12=$CN$24,"O",IF(Q12=$CO$24,"O",IF(Q12=$CP$24,"O","X"))))))))))))))))))))))))))))))))))))))))</f>
        <v>O</v>
      </c>
      <c r="R135" s="272" t="e">
        <f>IF(R12=$BC$24,"O",IF(R12=$BD$24,"O",IF(R12=$BE$24,"O",IF(R12=$BF$24,"O",IF(R12=$BG$24,"O",IF(R12=$BH$24,"O",IF(R12=$BI$24,"O",IF(R12=$BJ$24,"O",IF(R12=$BK$24,"O",IF(R12=$BL$24,"O",IF(R12=$BM$24,"O",IF(R12=$BN$24,"O",IF(R12=$BO$24,"O",IF(R12=$BP$24,"O",IF(R12=$BQ$24,"O",IF(R12=#REF!,"O",IF(R12=$BS$24,"O",IF(R12=$BT$24,"O",IF(R12=$BU$24,"O",IF(R12=$BV$24,"O",IF(R12=$BW$24,"O",IF(R12=$BX$24,"O",IF(R12=$BY$24,"O",IF(R12=$BZ$24,"O",IF(R12=$CA$24,"O",IF(R12=$CB$24,"O","X"))))))))))))))))))))))))))</f>
        <v>#REF!</v>
      </c>
      <c r="S135" s="272" t="e">
        <f>IF(S12=$BC$24,"O",IF(S12=$BD$24,"O",IF(S12=$BE$24,"O",IF(S12=$BF$24,"O",IF(S12=$BG$24,"O",IF(S12=$BH$24,"O",IF(S12=$BI$24,"O",IF(S12=$BJ$24,"O",IF(S12=$BK$24,"O",IF(S12=$BL$24,"O",IF(S12=$BM$24,"O",IF(S12=$BN$24,"O",IF(S12=$BO$24,"O",IF(S12=$BP$24,"O",IF(S12=$BQ$24,"O",IF(S12=#REF!,"O",IF(S12=$BS$24,"O",IF(S12=$BT$24,"O",IF(S12=$BU$24,"O",IF(S12=$BV$24,"O",IF(S12=$BW$24,"O",IF(S12=$BX$24,"O",IF(S12=$BY$24,"O",IF(S12=$BZ$24,"O",IF(S12=$CA$24,"O",IF(S12=$CB$24,"O","X"))))))))))))))))))))))))))</f>
        <v>#REF!</v>
      </c>
      <c r="T135" s="272" t="e">
        <f>IF(T12=$BC$24,"O",IF(T12=$BD$24,"O",IF(T12=$BE$24,"O",IF(T12=$BF$24,"O",IF(T12=$BG$24,"O",IF(T12=$BH$24,"O",IF(T12=$BI$24,"O",IF(T12=$BJ$24,"O",IF(T12=$BK$24,"O",IF(T12=$BL$24,"O",IF(T12=$BM$24,"O",IF(T12=$BN$24,"O",IF(T12=$BO$24,"O",IF(T12=$BP$24,"O",IF(T12=$BQ$24,"O",IF(T12=#REF!,"O",IF(T12=$BS$24,"O",IF(T12=$BT$24,"O",IF(T12=$BU$24,"O",IF(T12=$BV$24,"O",IF(T12=$BW$24,"O",IF(T12=$BX$24,"O",IF(T12=$BY$24,"O",IF(T12=$BZ$24,"O",IF(T12=$CA$24,"O",IF(T12=$CB$24,"O","X"))))))))))))))))))))))))))</f>
        <v>#REF!</v>
      </c>
      <c r="U135" s="272" t="e">
        <f>IF(U12=$BC$24,"O",IF(U12=$BD$24,"O",IF(U12=$BE$24,"O",IF(U12=$BF$24,"O",IF(U12=$BG$24,"O",IF(U12=$BH$24,"O",IF(U12=$BI$24,"O",IF(U12=$BJ$24,"O",IF(U12=$BK$24,"O",IF(U12=$BL$24,"O",IF(U12=$BM$24,"O",IF(U12=$BN$24,"O",IF(U12=$BO$24,"O",IF(U12=$BP$24,"O",IF(U12=$BQ$24,"O",IF(U12=#REF!,"O",IF(U12=$BS$24,"O",IF(U12=$BT$24,"O",IF(U12=$BU$24,"O",IF(U12=$BV$24,"O",IF(U12=$BW$24,"O",IF(U12=$BX$24,"O",IF(U12=$BY$24,"O",IF(U12=$BZ$24,"O",IF(U12=$CA$24,"O",IF(U12=$CB$24,"O","X"))))))))))))))))))))))))))</f>
        <v>#REF!</v>
      </c>
      <c r="V135" s="272" t="e">
        <f>IF(V12=$BC$24,"O",IF(V12=$BD$24,"O",IF(V12=$BE$24,"O",IF(V12=$BF$24,"O",IF(V12=$BG$24,"O",IF(V12=$BH$24,"O",IF(V12=$BI$24,"O",IF(V12=$BJ$24,"O",IF(V12=$BK$24,"O",IF(V12=$BL$24,"O",IF(V12=$BM$24,"O",IF(V12=$BN$24,"O",IF(V12=$BO$24,"O",IF(V12=$BP$24,"O",IF(V12=$BQ$24,"O",IF(V12=#REF!,"O",IF(V12=$BS$24,"O",IF(V12=$BT$24,"O",IF(V12=$BU$24,"O",IF(V12=$BV$24,"O",IF(V12=$BW$24,"O",IF(V12=$BX$24,"O",IF(V12=$BY$24,"O",IF(V12=$BZ$24,"O",IF(V12=$CA$24,"O",IF(V12=$CB$24,"O","X"))))))))))))))))))))))))))</f>
        <v>#REF!</v>
      </c>
      <c r="W135" s="272" t="e">
        <f>IF(W12=$BC$24,"O",IF(W12=$BD$24,"O",IF(W12=$BE$24,"O",IF(W12=$BF$24,"O",IF(W12=$BG$24,"O",IF(W12=$BH$24,"O",IF(W12=$BI$24,"O",IF(W12=$BJ$24,"O",IF(W12=$BK$24,"O",IF(W12=$BL$24,"O",IF(W12=$BM$24,"O",IF(W12=$BN$24,"O",IF(W12=$BO$24,"O",IF(W12=$BP$24,"O",IF(W12=$BQ$24,"O",IF(W12=#REF!,"O",IF(W12=$BS$24,"O",IF(W12=$BT$24,"O",IF(W12=$BU$24,"O",IF(W12=$BV$24,"O",IF(W12=$BW$24,"O",IF(W12=$BX$24,"O",IF(W12=$BY$24,"O",IF(W12=$BZ$24,"O",IF(W12=$CA$24,"O",IF(W12=$CB$24,"O","X"))))))))))))))))))))))))))</f>
        <v>#REF!</v>
      </c>
      <c r="X135" s="272" t="e">
        <f>IF(X12=$BC$24,"O",IF(X12=$BD$24,"O",IF(X12=$BE$24,"O",IF(X12=$BF$24,"O",IF(X12=$BG$24,"O",IF(X12=$BH$24,"O",IF(X12=$BI$24,"O",IF(X12=$BJ$24,"O",IF(X12=$BK$24,"O",IF(X12=$BL$24,"O",IF(X12=$BM$24,"O",IF(X12=$BN$24,"O",IF(X12=$BO$24,"O",IF(X12=$BP$24,"O",IF(X12=$BQ$24,"O",IF(X12=#REF!,"O",IF(X12=$BS$24,"O",IF(X12=$BT$24,"O",IF(X12=$BU$24,"O",IF(X12=$BV$24,"O",IF(X12=$BW$24,"O",IF(X12=$BX$24,"O",IF(X12=$BY$24,"O",IF(X12=$BZ$24,"O",IF(X12=$CA$24,"O",IF(X12=$CB$24,"O","X"))))))))))))))))))))))))))</f>
        <v>#REF!</v>
      </c>
      <c r="Y135" s="272" t="e">
        <f>IF(Y12=$BC$24,"O",IF(Y12=$BD$24,"O",IF(Y12=$BE$24,"O",IF(Y12=$BF$24,"O",IF(Y12=$BG$24,"O",IF(Y12=$BH$24,"O",IF(Y12=$BI$24,"O",IF(Y12=$BJ$24,"O",IF(Y12=$BK$24,"O",IF(Y12=$BL$24,"O",IF(Y12=$BM$24,"O",IF(Y12=$BN$24,"O",IF(Y12=$BO$24,"O",IF(Y12=$BP$24,"O",IF(Y12=$BQ$24,"O",IF(Y12=#REF!,"O",IF(Y12=$BS$24,"O",IF(Y12=$BT$24,"O",IF(Y12=$BU$24,"O",IF(Y12=$BV$24,"O",IF(Y12=$BW$24,"O",IF(Y12=$BX$24,"O",IF(Y12=$BY$24,"O",IF(Y12=$BZ$24,"O",IF(Y12=$CA$24,"O",IF(Y12=$CB$24,"O","X"))))))))))))))))))))))))))</f>
        <v>#REF!</v>
      </c>
      <c r="Z135" s="272" t="e">
        <f>IF(Z12=$BC$24,"O",IF(Z12=$BD$24,"O",IF(Z12=$BE$24,"O",IF(Z12=$BF$24,"O",IF(Z12=$BG$24,"O",IF(Z12=$BH$24,"O",IF(Z12=$BI$24,"O",IF(Z12=$BJ$24,"O",IF(Z12=$BK$24,"O",IF(Z12=$BL$24,"O",IF(Z12=$BM$24,"O",IF(Z12=$BN$24,"O",IF(Z12=$BO$24,"O",IF(Z12=$BP$24,"O",IF(Z12=$BQ$24,"O",IF(Z12=#REF!,"O",IF(Z12=$BS$24,"O",IF(Z12=$BT$24,"O",IF(Z12=$BU$24,"O",IF(Z12=$BV$24,"O",IF(Z12=$BW$24,"O",IF(Z12=$BX$24,"O",IF(Z12=$BY$24,"O",IF(Z12=$BZ$24,"O",IF(Z12=$CA$24,"O",IF(Z12=$CB$24,"O","X"))))))))))))))))))))))))))</f>
        <v>#REF!</v>
      </c>
      <c r="AA135" s="272" t="e">
        <f>IF(AA12=$BC$24,"O",IF(AA12=$BD$24,"O",IF(AA12=$BE$24,"O",IF(AA12=$BF$24,"O",IF(AA12=$BG$24,"O",IF(AA12=$BH$24,"O",IF(AA12=$BI$24,"O",IF(AA12=$BJ$24,"O",IF(AA12=$BK$24,"O",IF(AA12=$BL$24,"O",IF(AA12=$BM$24,"O",IF(AA12=$BN$24,"O",IF(AA12=$BO$24,"O",IF(AA12=$BP$24,"O",IF(AA12=$BQ$24,"O",IF(AA12=#REF!,"O",IF(AA12=$BS$24,"O",IF(AA12=$BT$24,"O",IF(AA12=$BU$24,"O",IF(AA12=$BV$24,"O",IF(AA12=$BW$24,"O",IF(AA12=$BX$24,"O",IF(AA12=$BY$24,"O",IF(AA12=$BZ$24,"O",IF(AA12=$CA$24,"O",IF(AA12=$CB$24,"O","X"))))))))))))))))))))))))))</f>
        <v>#REF!</v>
      </c>
      <c r="AB135" s="272" t="e">
        <f>IF(AB12=$BC$24,"O",IF(AB12=$BD$24,"O",IF(AB12=$BE$24,"O",IF(AB12=$BF$24,"O",IF(AB12=$BG$24,"O",IF(AB12=$BH$24,"O",IF(AB12=$BI$24,"O",IF(AB12=$BJ$24,"O",IF(AB12=$BK$24,"O",IF(AB12=$BL$24,"O",IF(AB12=$BM$24,"O",IF(AB12=$BN$24,"O",IF(AB12=$BO$24,"O",IF(AB12=$BP$24,"O",IF(AB12=$BQ$24,"O",IF(AB12=#REF!,"O",IF(AB12=$BS$24,"O",IF(AB12=$BT$24,"O",IF(AB12=$BU$24,"O",IF(AB12=$BV$24,"O",IF(AB12=$BW$24,"O",IF(AB12=$BX$24,"O",IF(AB12=$BY$24,"O",IF(AB12=$BZ$24,"O",IF(AB12=$CA$24,"O",IF(AB12=$CB$24,"O","X"))))))))))))))))))))))))))</f>
        <v>#REF!</v>
      </c>
      <c r="AC135" s="272" t="e">
        <f>IF(AC12=$BC$24,"O",IF(AC12=$BD$24,"O",IF(AC12=$BE$24,"O",IF(AC12=$BF$24,"O",IF(AC12=$BG$24,"O",IF(AC12=$BH$24,"O",IF(AC12=$BI$24,"O",IF(AC12=$BJ$24,"O",IF(AC12=$BK$24,"O",IF(AC12=$BL$24,"O",IF(AC12=$BM$24,"O",IF(AC12=$BN$24,"O",IF(AC12=$BO$24,"O",IF(AC12=$BP$24,"O",IF(AC12=$BQ$24,"O",IF(AC12=#REF!,"O",IF(AC12=$BS$24,"O",IF(AC12=$BT$24,"O",IF(AC12=$BU$24,"O",IF(AC12=$BV$24,"O",IF(AC12=$BW$24,"O",IF(AC12=$BX$24,"O",IF(AC12=$BY$24,"O",IF(AC12=$BZ$24,"O",IF(AC12=$CA$24,"O",IF(AC12=$CB$24,"O","X"))))))))))))))))))))))))))</f>
        <v>#REF!</v>
      </c>
      <c r="AD135" s="272" t="e">
        <f>IF(AD12=$BC$24,"O",IF(AD12=$BD$24,"O",IF(AD12=$BE$24,"O",IF(AD12=$BF$24,"O",IF(AD12=$BG$24,"O",IF(AD12=$BH$24,"O",IF(AD12=$BI$24,"O",IF(AD12=$BJ$24,"O",IF(AD12=$BK$24,"O",IF(AD12=$BL$24,"O",IF(AD12=$BM$24,"O",IF(AD12=$BN$24,"O",IF(AD12=$BO$24,"O",IF(AD12=$BP$24,"O",IF(AD12=$BQ$24,"O",IF(AD12=#REF!,"O",IF(AD12=$BS$24,"O",IF(AD12=$BT$24,"O",IF(AD12=$BU$24,"O",IF(AD12=$BV$24,"O",IF(AD12=$BW$24,"O",IF(AD12=$BX$24,"O",IF(AD12=$BY$24,"O",IF(AD12=$BZ$24,"O",IF(AD12=$CA$24,"O",IF(AD12=$CB$24,"O","X"))))))))))))))))))))))))))</f>
        <v>#REF!</v>
      </c>
      <c r="AE135" s="272" t="e">
        <f>IF(AE12=$BC$24,"O",IF(AE12=$BD$24,"O",IF(AE12=$BE$24,"O",IF(AE12=$BF$24,"O",IF(AE12=$BG$24,"O",IF(AE12=$BH$24,"O",IF(AE12=$BI$24,"O",IF(AE12=$BJ$24,"O",IF(AE12=$BK$24,"O",IF(AE12=$BL$24,"O",IF(AE12=$BM$24,"O",IF(AE12=$BN$24,"O",IF(AE12=$BO$24,"O",IF(AE12=$BP$24,"O",IF(AE12=$BQ$24,"O",IF(AE12=#REF!,"O",IF(AE12=$BS$24,"O",IF(AE12=$BT$24,"O",IF(AE12=$BU$24,"O",IF(AE12=$BV$24,"O",IF(AE12=$BW$24,"O",IF(AE12=$BX$24,"O",IF(AE12=$BY$24,"O",IF(AE12=$BZ$24,"O",IF(AE12=$CA$24,"O",IF(AE12=$CB$24,"O","X"))))))))))))))))))))))))))</f>
        <v>#REF!</v>
      </c>
      <c r="AF135" s="272" t="e">
        <f>IF(AF12=$BC$24,"O",IF(AF12=$BD$24,"O",IF(AF12=$BE$24,"O",IF(AF12=$BF$24,"O",IF(AF12=$BG$24,"O",IF(AF12=$BH$24,"O",IF(AF12=$BI$24,"O",IF(AF12=$BJ$24,"O",IF(AF12=$BK$24,"O",IF(AF12=$BL$24,"O",IF(AF12=$BM$24,"O",IF(AF12=$BN$24,"O",IF(AF12=$BO$24,"O",IF(AF12=$BP$24,"O",IF(AF12=$BQ$24,"O",IF(AF12=#REF!,"O",IF(AF12=$BS$24,"O",IF(AF12=$BT$24,"O",IF(AF12=$BU$24,"O",IF(AF12=$BV$24,"O",IF(AF12=$BW$24,"O",IF(AF12=$BX$24,"O",IF(AF12=$BY$24,"O",IF(AF12=$BZ$24,"O",IF(AF12=$CA$24,"O",IF(AF12=$CB$24,"O","X"))))))))))))))))))))))))))</f>
        <v>#REF!</v>
      </c>
      <c r="AG135" s="272" t="e">
        <f>IF(AG12=$BC$24,"O",IF(AG12=$BD$24,"O",IF(AG12=$BE$24,"O",IF(AG12=$BF$24,"O",IF(AG12=$BG$24,"O",IF(AG12=$BH$24,"O",IF(AG12=$BI$24,"O",IF(AG12=$BJ$24,"O",IF(AG12=$BK$24,"O",IF(AG12=$BL$24,"O",IF(AG12=$BM$24,"O",IF(AG12=$BN$24,"O",IF(AG12=$BO$24,"O",IF(AG12=$BP$24,"O",IF(AG12=$BQ$24,"O",IF(AG12=#REF!,"O",IF(AG12=$BS$24,"O",IF(AG12=$BT$24,"O",IF(AG12=$BU$24,"O",IF(AG12=$BV$24,"O",IF(AG12=$BW$24,"O",IF(AG12=$BX$24,"O",IF(AG12=$BY$24,"O",IF(AG12=$BZ$24,"O",IF(AG12=$CA$24,"O",IF(AG12=$CB$24,"O","X"))))))))))))))))))))))))))</f>
        <v>#REF!</v>
      </c>
      <c r="AH135" s="272" t="e">
        <f>IF(AH12=$BC$24,"O",IF(AH12=$BD$24,"O",IF(AH12=$BE$24,"O",IF(AH12=$BF$24,"O",IF(AH12=$BG$24,"O",IF(AH12=$BH$24,"O",IF(AH12=$BI$24,"O",IF(AH12=$BJ$24,"O",IF(AH12=$BK$24,"O",IF(AH12=$BL$24,"O",IF(AH12=$BM$24,"O",IF(AH12=$BN$24,"O",IF(AH12=$BO$24,"O",IF(AH12=$BP$24,"O",IF(AH12=$BQ$24,"O",IF(AH12=#REF!,"O",IF(AH12=$BS$24,"O",IF(AH12=$BT$24,"O",IF(AH12=$BU$24,"O",IF(AH12=$BV$24,"O",IF(AH12=$BW$24,"O",IF(AH12=$BX$24,"O",IF(AH12=$BY$24,"O",IF(AH12=$BZ$24,"O",IF(AH12=$CA$24,"O",IF(AH12=$CB$24,"O","X"))))))))))))))))))))))))))</f>
        <v>#REF!</v>
      </c>
      <c r="AI135" s="272" t="e">
        <f>IF(AI12=$BC$24,"O",IF(AI12=$BD$24,"O",IF(AI12=$BE$24,"O",IF(AI12=$BF$24,"O",IF(AI12=$BG$24,"O",IF(AI12=$BH$24,"O",IF(AI12=$BI$24,"O",IF(AI12=$BJ$24,"O",IF(AI12=$BK$24,"O",IF(AI12=$BL$24,"O",IF(AI12=$BM$24,"O",IF(AI12=$BN$24,"O",IF(AI12=$BO$24,"O",IF(AI12=$BP$24,"O",IF(AI12=$BQ$24,"O",IF(AI12=#REF!,"O",IF(AI12=$BS$24,"O",IF(AI12=$BT$24,"O",IF(AI12=$BU$24,"O",IF(AI12=$BV$24,"O",IF(AI12=$BW$24,"O",IF(AI12=$BX$24,"O",IF(AI12=$BY$24,"O",IF(AI12=$BZ$24,"O",IF(AI12=$CA$24,"O",IF(AI12=$CB$24,"O","X"))))))))))))))))))))))))))</f>
        <v>#REF!</v>
      </c>
      <c r="AJ135" s="272" t="e">
        <f>IF(AJ12=$BC$24,"O",IF(AJ12=$BD$24,"O",IF(AJ12=$BE$24,"O",IF(AJ12=$BF$24,"O",IF(AJ12=$BG$24,"O",IF(AJ12=$BH$24,"O",IF(AJ12=$BI$24,"O",IF(AJ12=$BJ$24,"O",IF(AJ12=$BK$24,"O",IF(AJ12=$BL$24,"O",IF(AJ12=$BM$24,"O",IF(AJ12=$BN$24,"O",IF(AJ12=$BO$24,"O",IF(AJ12=$BP$24,"O",IF(AJ12=$BQ$24,"O",IF(AJ12=#REF!,"O",IF(AJ12=$BS$24,"O",IF(AJ12=$BT$24,"O",IF(AJ12=$BU$24,"O",IF(AJ12=$BV$24,"O",IF(AJ12=$BW$24,"O",IF(AJ12=$BX$24,"O",IF(AJ12=$BY$24,"O",IF(AJ12=$BZ$24,"O",IF(AJ12=$CA$24,"O",IF(AJ12=$CB$24,"O","X"))))))))))))))))))))))))))</f>
        <v>#REF!</v>
      </c>
      <c r="AK135" s="272" t="e">
        <f>IF(AK12=$BC$24,"O",IF(AK12=$BD$24,"O",IF(AK12=$BE$24,"O",IF(AK12=$BF$24,"O",IF(AK12=$BG$24,"O",IF(AK12=$BH$24,"O",IF(AK12=$BI$24,"O",IF(AK12=$BJ$24,"O",IF(AK12=$BK$24,"O",IF(AK12=$BL$24,"O",IF(AK12=$BM$24,"O",IF(AK12=$BN$24,"O",IF(AK12=$BO$24,"O",IF(AK12=$BP$24,"O",IF(AK12=$BQ$24,"O",IF(AK12=#REF!,"O",IF(AK12=$BS$24,"O",IF(AK12=$BT$24,"O",IF(AK12=$BU$24,"O",IF(AK12=$BV$24,"O",IF(AK12=$BW$24,"O",IF(AK12=$BX$24,"O",IF(AK12=$BY$24,"O",IF(AK12=$BZ$24,"O",IF(AK12=$CA$24,"O",IF(AK12=$CB$24,"O","X"))))))))))))))))))))))))))</f>
        <v>#REF!</v>
      </c>
      <c r="AL135" s="307" t="e">
        <f>IF(AL12=$BC$24,"O",IF(AL12=$BD$24,"O",IF(AL12=$BE$24,"O",IF(AL12=$BF$24,"O",IF(AL12=$BG$24,"O",IF(AL12=$BH$24,"O",IF(AL12=$BI$24,"O",IF(AL12=$BJ$24,"O",IF(AL12=$BK$24,"O",IF(AL12=$BL$24,"O",IF(AL12=$BM$24,"O",IF(AL12=$BN$24,"O",IF(AL12=$BO$24,"O",IF(AL12=$BP$24,"O",IF(AL12=$BQ$24,"O",IF(AL12=#REF!,"O",IF(AL12=$BS$24,"O",IF(AL12=$BT$24,"O",IF(AL12=$BU$24,"O",IF(AL12=$BV$24,"O",IF(AL12=$BW$24,"O",IF(AL12=$BX$24,"O",IF(AL12=$BY$24,"O",IF(AL12=$BZ$24,"O",IF(AL12=$CA$24,"O",IF(AL12=$CB$24,"O","X"))))))))))))))))))))))))))</f>
        <v>#REF!</v>
      </c>
      <c r="AM135" s="307" t="e">
        <f>IF(AM12=$BC$24,"O",IF(AM12=$BD$24,"O",IF(AM12=$BE$24,"O",IF(AM12=$BF$24,"O",IF(AM12=$BG$24,"O",IF(AM12=$BH$24,"O",IF(AM12=$BI$24,"O",IF(AM12=$BJ$24,"O",IF(AM12=$BK$24,"O",IF(AM12=$BL$24,"O",IF(AM12=$BM$24,"O",IF(AM12=$BN$24,"O",IF(AM12=$BO$24,"O",IF(AM12=$BP$24,"O",IF(AM12=$BQ$24,"O",IF(AM12=#REF!,"O",IF(AM12=$BS$24,"O",IF(AM12=$BT$24,"O",IF(AM12=$BU$24,"O",IF(AM12=$BV$24,"O",IF(AM12=$BW$24,"O",IF(AM12=$BX$24,"O",IF(AM12=$BY$24,"O",IF(AM12=$BZ$24,"O",IF(AM12=$CA$24,"O",IF(AM12=$CB$24,"O","X"))))))))))))))))))))))))))</f>
        <v>#REF!</v>
      </c>
      <c r="AN135" s="307" t="e">
        <f>IF(AN12=$BC$24,"O",IF(AN12=$BD$24,"O",IF(AN12=$BE$24,"O",IF(AN12=$BF$24,"O",IF(AN12=$BG$24,"O",IF(AN12=$BH$24,"O",IF(AN12=$BI$24,"O",IF(AN12=$BJ$24,"O",IF(AN12=$BK$24,"O",IF(AN12=$BL$24,"O",IF(AN12=$BM$24,"O",IF(AN12=$BN$24,"O",IF(AN12=$BO$24,"O",IF(AN12=$BP$24,"O",IF(AN12=$BQ$24,"O",IF(AN12=#REF!,"O",IF(AN12=$BS$24,"O",IF(AN12=$BT$24,"O",IF(AN12=$BU$24,"O",IF(AN12=$BV$24,"O",IF(AN12=$BW$24,"O",IF(AN12=$BX$24,"O",IF(AN12=$BY$24,"O",IF(AN12=$BZ$24,"O",IF(AN12=$CA$24,"O",IF(AN12=$CB$24,"O","X"))))))))))))))))))))))))))</f>
        <v>#REF!</v>
      </c>
      <c r="AO135" s="307" t="e">
        <f>IF(AO12=$BC$24,"O",IF(AO12=$BD$24,"O",IF(AO12=$BE$24,"O",IF(AO12=$BF$24,"O",IF(AO12=$BG$24,"O",IF(AO12=$BH$24,"O",IF(AO12=$BI$24,"O",IF(AO12=$BJ$24,"O",IF(AO12=$BK$24,"O",IF(AO12=$BL$24,"O",IF(AO12=$BM$24,"O",IF(AO12=$BN$24,"O",IF(AO12=$BO$24,"O",IF(AO12=$BP$24,"O",IF(AO12=$BQ$24,"O",IF(AO12=#REF!,"O",IF(AO12=$BS$24,"O",IF(AO12=$BT$24,"O",IF(AO12=$BU$24,"O",IF(AO12=$BV$24,"O",IF(AO12=$BW$24,"O",IF(AO12=$BX$24,"O",IF(AO12=$BY$24,"O",IF(AO12=$BZ$24,"O",IF(AO12=$CA$24,"O",IF(AO12=$CB$24,"O","X"))))))))))))))))))))))))))</f>
        <v>#REF!</v>
      </c>
      <c r="AP135" s="307" t="e">
        <f>IF(AP12=$BC$24,"O",IF(AP12=$BD$24,"O",IF(AP12=$BE$24,"O",IF(AP12=$BF$24,"O",IF(AP12=$BG$24,"O",IF(AP12=$BH$24,"O",IF(AP12=$BI$24,"O",IF(AP12=$BJ$24,"O",IF(AP12=$BK$24,"O",IF(AP12=$BL$24,"O",IF(AP12=$BM$24,"O",IF(AP12=$BN$24,"O",IF(AP12=$BO$24,"O",IF(AP12=$BP$24,"O",IF(AP12=$BQ$24,"O",IF(AP12=#REF!,"O",IF(AP12=$BS$24,"O",IF(AP12=$BT$24,"O",IF(AP12=$BU$24,"O",IF(AP12=$BV$24,"O",IF(AP12=$BW$24,"O",IF(AP12=$BX$24,"O",IF(AP12=$BY$24,"O",IF(AP12=$BZ$24,"O",IF(AP12=$CA$24,"O",IF(AP12=$CB$24,"O","X"))))))))))))))))))))))))))</f>
        <v>#REF!</v>
      </c>
      <c r="AQ135" s="307" t="e">
        <f>IF(AQ12=$BC$24,"O",IF(AQ12=$BD$24,"O",IF(AQ12=$BE$24,"O",IF(AQ12=$BF$24,"O",IF(AQ12=$BG$24,"O",IF(AQ12=$BH$24,"O",IF(AQ12=$BI$24,"O",IF(AQ12=$BJ$24,"O",IF(AQ12=$BK$24,"O",IF(AQ12=$BL$24,"O",IF(AQ12=$BM$24,"O",IF(AQ12=$BN$24,"O",IF(AQ12=$BO$24,"O",IF(AQ12=$BP$24,"O",IF(AQ12=$BQ$24,"O",IF(AQ12=#REF!,"O",IF(AQ12=$BS$24,"O",IF(AQ12=$BT$24,"O",IF(AQ12=$BU$24,"O",IF(AQ12=$BV$24,"O",IF(AQ12=$BW$24,"O",IF(AQ12=$BX$24,"O",IF(AQ12=$BY$24,"O",IF(AQ12=$BZ$24,"O",IF(AQ12=$CA$24,"O",IF(AQ12=$CB$24,"O","X"))))))))))))))))))))))))))</f>
        <v>#REF!</v>
      </c>
      <c r="AR135" s="307" t="e">
        <f>IF(AR12=$BC$24,"O",IF(AR12=$BD$24,"O",IF(AR12=$BE$24,"O",IF(AR12=$BF$24,"O",IF(AR12=$BG$24,"O",IF(AR12=$BH$24,"O",IF(AR12=$BI$24,"O",IF(AR12=$BJ$24,"O",IF(AR12=$BK$24,"O",IF(AR12=$BL$24,"O",IF(AR12=$BM$24,"O",IF(AR12=$BN$24,"O",IF(AR12=$BO$24,"O",IF(AR12=$BP$24,"O",IF(AR12=$BQ$24,"O",IF(AR12=#REF!,"O",IF(AR12=$BS$24,"O",IF(AR12=$BT$24,"O",IF(AR12=$BU$24,"O",IF(AR12=$BV$24,"O",IF(AR12=$BW$24,"O",IF(AR12=$BX$24,"O",IF(AR12=$BY$24,"O",IF(AR12=$BZ$24,"O",IF(AR12=$CA$24,"O",IF(AR12=$CB$24,"O","X"))))))))))))))))))))))))))</f>
        <v>#REF!</v>
      </c>
      <c r="AS135" s="307" t="e">
        <f>IF(AS12=$BC$24,"O",IF(AS12=$BD$24,"O",IF(AS12=$BE$24,"O",IF(AS12=$BF$24,"O",IF(AS12=$BG$24,"O",IF(AS12=$BH$24,"O",IF(AS12=$BI$24,"O",IF(AS12=$BJ$24,"O",IF(AS12=$BK$24,"O",IF(AS12=$BL$24,"O",IF(AS12=$BM$24,"O",IF(AS12=$BN$24,"O",IF(AS12=$BO$24,"O",IF(AS12=$BP$24,"O",IF(AS12=$BQ$24,"O",IF(AS12=#REF!,"O",IF(AS12=$BS$24,"O",IF(AS12=$BT$24,"O",IF(AS12=$BU$24,"O",IF(AS12=$BV$24,"O",IF(AS12=$BW$24,"O",IF(AS12=$BX$24,"O",IF(AS12=$BY$24,"O",IF(AS12=$BZ$24,"O",IF(AS12=$CA$24,"O",IF(AS12=$CB$24,"O","X"))))))))))))))))))))))))))</f>
        <v>#REF!</v>
      </c>
      <c r="AT135" s="307" t="e">
        <f>IF(AT12=$BC$24,"O",IF(AT12=$BD$24,"O",IF(AT12=$BE$24,"O",IF(AT12=$BF$24,"O",IF(AT12=$BG$24,"O",IF(AT12=$BH$24,"O",IF(AT12=$BI$24,"O",IF(AT12=$BJ$24,"O",IF(AT12=$BK$24,"O",IF(AT12=$BL$24,"O",IF(AT12=$BM$24,"O",IF(AT12=$BN$24,"O",IF(AT12=$BO$24,"O",IF(AT12=$BP$24,"O",IF(AT12=$BQ$24,"O",IF(AT12=#REF!,"O",IF(AT12=$BS$24,"O",IF(AT12=$BT$24,"O",IF(AT12=$BU$24,"O",IF(AT12=$BV$24,"O",IF(AT12=$BW$24,"O",IF(AT12=$BX$24,"O",IF(AT12=$BY$24,"O",IF(AT12=$BZ$24,"O",IF(AT12=$CA$24,"O",IF(AT12=$CB$24,"O","X"))))))))))))))))))))))))))</f>
        <v>#REF!</v>
      </c>
      <c r="AU135" s="307" t="e">
        <f>IF(AU12=$BC$24,"O",IF(AU12=$BD$24,"O",IF(AU12=$BE$24,"O",IF(AU12=$BF$24,"O",IF(AU12=$BG$24,"O",IF(AU12=$BH$24,"O",IF(AU12=$BI$24,"O",IF(AU12=$BJ$24,"O",IF(AU12=$BK$24,"O",IF(AU12=$BL$24,"O",IF(AU12=$BM$24,"O",IF(AU12=$BN$24,"O",IF(AU12=$BO$24,"O",IF(AU12=$BP$24,"O",IF(AU12=$BQ$24,"O",IF(AU12=#REF!,"O",IF(AU12=$BS$24,"O",IF(AU12=$BT$24,"O",IF(AU12=$BU$24,"O",IF(AU12=$BV$24,"O",IF(AU12=$BW$24,"O",IF(AU12=$BX$24,"O",IF(AU12=$BY$24,"O",IF(AU12=$BZ$24,"O",IF(AU12=$CA$24,"O",IF(AU12=$CB$24,"O","X"))))))))))))))))))))))))))</f>
        <v>#REF!</v>
      </c>
      <c r="AV135" s="296"/>
      <c r="AW135" s="296"/>
      <c r="AX135" s="206"/>
      <c r="BC135" s="151"/>
      <c r="BD135" s="151"/>
      <c r="BE135" s="151"/>
      <c r="BF135" s="151"/>
      <c r="BG135" s="163"/>
      <c r="BH135" s="2"/>
      <c r="BI135" s="2"/>
      <c r="BJ135" s="235"/>
      <c r="BK135" s="2"/>
      <c r="BL135" s="2"/>
      <c r="BM135" s="2"/>
      <c r="BN135" s="2"/>
      <c r="BO135" s="2"/>
      <c r="BP135" s="2"/>
    </row>
    <row r="136" spans="1:68">
      <c r="A136" s="181"/>
      <c r="B136" s="111" t="s">
        <v>663</v>
      </c>
      <c r="C136" s="172">
        <f ca="1">COUNTIF(C130:C135,"O")</f>
        <v>2</v>
      </c>
      <c r="D136" s="172">
        <f t="shared" ref="D136:Q136" ca="1" si="191">COUNTIF(D130:D135,"O")</f>
        <v>3</v>
      </c>
      <c r="E136" s="172">
        <f t="shared" ca="1" si="191"/>
        <v>4</v>
      </c>
      <c r="F136" s="172">
        <f t="shared" ca="1" si="191"/>
        <v>4</v>
      </c>
      <c r="G136" s="172">
        <f t="shared" ca="1" si="191"/>
        <v>4</v>
      </c>
      <c r="H136" s="172">
        <f t="shared" ca="1" si="191"/>
        <v>2</v>
      </c>
      <c r="I136" s="172">
        <f t="shared" ca="1" si="191"/>
        <v>4</v>
      </c>
      <c r="J136" s="172">
        <f t="shared" ca="1" si="191"/>
        <v>5</v>
      </c>
      <c r="K136" s="172">
        <f t="shared" ca="1" si="191"/>
        <v>3</v>
      </c>
      <c r="L136" s="172">
        <f t="shared" ca="1" si="191"/>
        <v>5</v>
      </c>
      <c r="M136" s="172">
        <f t="shared" ca="1" si="191"/>
        <v>5</v>
      </c>
      <c r="N136" s="172">
        <f t="shared" ca="1" si="191"/>
        <v>3</v>
      </c>
      <c r="O136" s="172">
        <f t="shared" ca="1" si="191"/>
        <v>3</v>
      </c>
      <c r="P136" s="172">
        <f t="shared" ca="1" si="191"/>
        <v>4</v>
      </c>
      <c r="Q136" s="172">
        <f t="shared" ca="1" si="191"/>
        <v>4</v>
      </c>
      <c r="R136" s="172">
        <f t="shared" ref="R136:AK136" si="192">COUNTIF(R130:R135,"O")</f>
        <v>0</v>
      </c>
      <c r="S136" s="172">
        <f t="shared" si="192"/>
        <v>0</v>
      </c>
      <c r="T136" s="172">
        <f t="shared" si="192"/>
        <v>0</v>
      </c>
      <c r="U136" s="172">
        <f t="shared" si="192"/>
        <v>0</v>
      </c>
      <c r="V136" s="172">
        <f t="shared" si="192"/>
        <v>0</v>
      </c>
      <c r="W136" s="172">
        <f t="shared" si="192"/>
        <v>0</v>
      </c>
      <c r="X136" s="172">
        <f t="shared" si="192"/>
        <v>0</v>
      </c>
      <c r="Y136" s="172">
        <f t="shared" si="192"/>
        <v>0</v>
      </c>
      <c r="Z136" s="172">
        <f t="shared" si="192"/>
        <v>0</v>
      </c>
      <c r="AA136" s="172">
        <f t="shared" si="192"/>
        <v>0</v>
      </c>
      <c r="AB136" s="172">
        <f t="shared" si="192"/>
        <v>0</v>
      </c>
      <c r="AC136" s="172">
        <f t="shared" si="192"/>
        <v>0</v>
      </c>
      <c r="AD136" s="172">
        <f t="shared" si="192"/>
        <v>0</v>
      </c>
      <c r="AE136" s="172">
        <f t="shared" si="192"/>
        <v>0</v>
      </c>
      <c r="AF136" s="172">
        <f t="shared" si="192"/>
        <v>0</v>
      </c>
      <c r="AG136" s="172">
        <f t="shared" si="192"/>
        <v>0</v>
      </c>
      <c r="AH136" s="172">
        <f t="shared" si="192"/>
        <v>0</v>
      </c>
      <c r="AI136" s="172">
        <f t="shared" si="192"/>
        <v>0</v>
      </c>
      <c r="AJ136" s="172">
        <f t="shared" si="192"/>
        <v>0</v>
      </c>
      <c r="AK136" s="172">
        <f t="shared" si="192"/>
        <v>0</v>
      </c>
      <c r="AL136" s="172">
        <f t="shared" ref="AL136:AU136" si="193">COUNTIF(AL130:AL135,"O")</f>
        <v>0</v>
      </c>
      <c r="AM136" s="172">
        <f t="shared" si="193"/>
        <v>0</v>
      </c>
      <c r="AN136" s="172">
        <f t="shared" si="193"/>
        <v>0</v>
      </c>
      <c r="AO136" s="172">
        <f t="shared" si="193"/>
        <v>0</v>
      </c>
      <c r="AP136" s="172">
        <f t="shared" si="193"/>
        <v>0</v>
      </c>
      <c r="AQ136" s="172">
        <f t="shared" si="193"/>
        <v>0</v>
      </c>
      <c r="AR136" s="172">
        <f t="shared" si="193"/>
        <v>0</v>
      </c>
      <c r="AS136" s="172">
        <f t="shared" si="193"/>
        <v>0</v>
      </c>
      <c r="AT136" s="172">
        <f t="shared" si="193"/>
        <v>0</v>
      </c>
      <c r="AU136" s="172">
        <f t="shared" si="193"/>
        <v>0</v>
      </c>
      <c r="AV136" s="255"/>
      <c r="AW136" s="255"/>
      <c r="AX136" s="255"/>
      <c r="BC136" s="151"/>
      <c r="BD136" s="151"/>
      <c r="BE136" s="151"/>
      <c r="BF136" s="151"/>
      <c r="BG136" s="163"/>
      <c r="BH136" s="2"/>
      <c r="BI136" s="2"/>
      <c r="BJ136" s="235"/>
      <c r="BK136" s="164"/>
      <c r="BL136" s="164"/>
      <c r="BM136" s="168"/>
      <c r="BN136" s="168"/>
      <c r="BO136" s="2"/>
      <c r="BP136" s="2"/>
    </row>
    <row r="137" spans="1:68">
      <c r="A137" s="179" t="s">
        <v>841</v>
      </c>
      <c r="B137" s="216" t="s">
        <v>560</v>
      </c>
      <c r="C137" s="214" t="str">
        <f ca="1">IF(C7=$BC$25,"O",IF(C7=$BD$25,"O",IF(C7=$BE$25,"O",IF(C7=$BF$25,"O",IF(C7=$BG$25,"O",IF(C7=$BH$25,"O",IF(C7=$BI$25,"O",IF(C7=$BJ$25,"O",IF(C7=$BK$25,"O",IF(C7=$BL$25,"O",IF(C7=$BM$25,"O",IF(C7=$BN$25,"O",IF(C7=$BO$25,"O",IF(C7=$BP$25,"O",IF(C7=$BQ$25,"O",IF(C7=$BR$25,"O",IF(C7=$BS$25,"O",IF(C7=$BT$25,"O",IF(C7=$BU$25,"O",IF(C7=$BV$25,"O",IF(C7=$BW$25,"O",IF(C7=$BX$25,"O",IF(C7=$BY$25,"O",IF(C7=$BZ$25,"O",IF(C7=$CA$25,"O",IF(C7=$CB$25,"O",IF(C7=$CC$25,"O",IF(C7=$CD$25,"O",IF(C7=$CE$25,"O",IF(C7=$CF$25,"O",IF(C7=$CG$25,"O",IF(C7=$CH$25,"O",IF(C7=$CI$25,"O",IF(C7=$CJ$25,"O",IF(C7=$CK$25,"O",IF(C7=$CL$25,"O",IF(C7=$CM$25,"O",IF(C7=$CN$25,"O",IF(C7=$CO$25,"O",IF(C7=$CP$25,"O","X"))))))))))))))))))))))))))))))))))))))))</f>
        <v>O</v>
      </c>
      <c r="D137" s="354" t="str">
        <f t="shared" ref="D137:Q137" ca="1" si="194">IF(D7=$BC$25,"O",IF(D7=$BD$25,"O",IF(D7=$BE$25,"O",IF(D7=$BF$25,"O",IF(D7=$BG$25,"O",IF(D7=$BH$25,"O",IF(D7=$BI$25,"O",IF(D7=$BJ$25,"O",IF(D7=$BK$25,"O",IF(D7=$BL$25,"O",IF(D7=$BM$25,"O",IF(D7=$BN$25,"O",IF(D7=$BO$25,"O",IF(D7=$BP$25,"O",IF(D7=$BQ$25,"O",IF(D7=$BR$25,"O",IF(D7=$BS$25,"O",IF(D7=$BT$25,"O",IF(D7=$BU$25,"O",IF(D7=$BV$25,"O",IF(D7=$BW$25,"O",IF(D7=$BX$25,"O",IF(D7=$BY$25,"O",IF(D7=$BZ$25,"O",IF(D7=$CA$25,"O",IF(D7=$CB$25,"O",IF(D7=$CC$25,"O",IF(D7=$CD$25,"O",IF(D7=$CE$25,"O",IF(D7=$CF$25,"O",IF(D7=$CG$25,"O",IF(D7=$CH$25,"O",IF(D7=$CI$25,"O",IF(D7=$CJ$25,"O",IF(D7=$CK$25,"O",IF(D7=$CL$25,"O",IF(D7=$CM$25,"O",IF(D7=$CN$25,"O",IF(D7=$CO$25,"O",IF(D7=$CP$25,"O","X"))))))))))))))))))))))))))))))))))))))))</f>
        <v>X</v>
      </c>
      <c r="E137" s="354" t="str">
        <f t="shared" ca="1" si="194"/>
        <v>X</v>
      </c>
      <c r="F137" s="354" t="str">
        <f t="shared" ca="1" si="194"/>
        <v>O</v>
      </c>
      <c r="G137" s="354" t="str">
        <f t="shared" ca="1" si="194"/>
        <v>O</v>
      </c>
      <c r="H137" s="354" t="str">
        <f t="shared" ca="1" si="194"/>
        <v>X</v>
      </c>
      <c r="I137" s="354" t="str">
        <f t="shared" ca="1" si="194"/>
        <v>X</v>
      </c>
      <c r="J137" s="354" t="str">
        <f t="shared" ca="1" si="194"/>
        <v>O</v>
      </c>
      <c r="K137" s="354" t="str">
        <f t="shared" ca="1" si="194"/>
        <v>O</v>
      </c>
      <c r="L137" s="354" t="str">
        <f t="shared" ca="1" si="194"/>
        <v>X</v>
      </c>
      <c r="M137" s="354" t="str">
        <f t="shared" ca="1" si="194"/>
        <v>O</v>
      </c>
      <c r="N137" s="354" t="str">
        <f t="shared" ca="1" si="194"/>
        <v>O</v>
      </c>
      <c r="O137" s="354" t="str">
        <f t="shared" ca="1" si="194"/>
        <v>X</v>
      </c>
      <c r="P137" s="354" t="str">
        <f t="shared" ca="1" si="194"/>
        <v>O</v>
      </c>
      <c r="Q137" s="354" t="str">
        <f t="shared" ca="1" si="194"/>
        <v>X</v>
      </c>
      <c r="R137" s="272" t="str">
        <f t="shared" ref="R137:AU137" si="195">IF(R7=$BC$25,"O",IF(R7=$BD$25,"O",IF(R7=$BE$25,"O",IF(R7=$BF$25,"O",IF(R7=$BG$25,"O",IF(R7=$BH$25,"O",IF(R7=$BI$25,"O",IF(R7=$BJ$25,"O",IF(R7=$BK$25,"O",IF(R7=$BL$25,"O",IF(R7=$BM$25,"O",IF(R7=$BN$25,"O",IF(R7=$BO$25,"O",IF(R7=$BP$25,"O",IF(R7=$BQ$25,"O",IF(R7=$BR$25,"O",IF(R7=$BS$25,"O",IF(R7=$BT$25,"O",IF(R7=$BU$25,"O",IF(R7=$BV$25,"O",IF(R7=$BW$25,"O",IF(R7=$BX$25,"O",IF(R7=$BY$25,"O",IF(R7=$BZ$25,"O",IF(R7=$CA$25,"O",IF(R7=$CB$25,"O","X"))))))))))))))))))))))))))</f>
        <v>X</v>
      </c>
      <c r="S137" s="272" t="str">
        <f t="shared" si="195"/>
        <v>X</v>
      </c>
      <c r="T137" s="272" t="str">
        <f t="shared" si="195"/>
        <v>X</v>
      </c>
      <c r="U137" s="272" t="str">
        <f t="shared" si="195"/>
        <v>X</v>
      </c>
      <c r="V137" s="272" t="str">
        <f t="shared" si="195"/>
        <v>X</v>
      </c>
      <c r="W137" s="272" t="str">
        <f t="shared" si="195"/>
        <v>X</v>
      </c>
      <c r="X137" s="272" t="str">
        <f t="shared" si="195"/>
        <v>X</v>
      </c>
      <c r="Y137" s="272" t="str">
        <f t="shared" si="195"/>
        <v>X</v>
      </c>
      <c r="Z137" s="272" t="str">
        <f t="shared" si="195"/>
        <v>X</v>
      </c>
      <c r="AA137" s="272" t="str">
        <f t="shared" si="195"/>
        <v>X</v>
      </c>
      <c r="AB137" s="272" t="str">
        <f t="shared" si="195"/>
        <v>X</v>
      </c>
      <c r="AC137" s="272" t="str">
        <f t="shared" si="195"/>
        <v>X</v>
      </c>
      <c r="AD137" s="272" t="str">
        <f t="shared" si="195"/>
        <v>X</v>
      </c>
      <c r="AE137" s="272" t="str">
        <f t="shared" si="195"/>
        <v>X</v>
      </c>
      <c r="AF137" s="272" t="str">
        <f t="shared" si="195"/>
        <v>X</v>
      </c>
      <c r="AG137" s="272" t="str">
        <f t="shared" si="195"/>
        <v>X</v>
      </c>
      <c r="AH137" s="272" t="str">
        <f t="shared" si="195"/>
        <v>X</v>
      </c>
      <c r="AI137" s="272" t="str">
        <f t="shared" si="195"/>
        <v>X</v>
      </c>
      <c r="AJ137" s="272" t="str">
        <f t="shared" si="195"/>
        <v>X</v>
      </c>
      <c r="AK137" s="272" t="str">
        <f t="shared" si="195"/>
        <v>X</v>
      </c>
      <c r="AL137" s="307" t="str">
        <f t="shared" si="195"/>
        <v>X</v>
      </c>
      <c r="AM137" s="307" t="str">
        <f t="shared" si="195"/>
        <v>X</v>
      </c>
      <c r="AN137" s="307" t="str">
        <f t="shared" si="195"/>
        <v>X</v>
      </c>
      <c r="AO137" s="307" t="str">
        <f t="shared" si="195"/>
        <v>X</v>
      </c>
      <c r="AP137" s="307" t="str">
        <f t="shared" si="195"/>
        <v>X</v>
      </c>
      <c r="AQ137" s="307" t="str">
        <f t="shared" si="195"/>
        <v>X</v>
      </c>
      <c r="AR137" s="307" t="str">
        <f t="shared" si="195"/>
        <v>X</v>
      </c>
      <c r="AS137" s="307" t="str">
        <f t="shared" si="195"/>
        <v>X</v>
      </c>
      <c r="AT137" s="307" t="str">
        <f t="shared" si="195"/>
        <v>X</v>
      </c>
      <c r="AU137" s="307" t="str">
        <f t="shared" si="195"/>
        <v>X</v>
      </c>
      <c r="AV137" s="296"/>
      <c r="AW137" s="296"/>
      <c r="AX137" s="206"/>
      <c r="BC137" s="151"/>
      <c r="BD137" s="151"/>
      <c r="BE137" s="151"/>
      <c r="BF137" s="151"/>
      <c r="BG137" s="163"/>
      <c r="BH137" s="178"/>
      <c r="BI137" s="165"/>
      <c r="BJ137" s="164"/>
      <c r="BK137" s="2"/>
      <c r="BL137" s="2"/>
      <c r="BM137" s="2"/>
      <c r="BN137" s="2"/>
      <c r="BO137" s="2"/>
      <c r="BP137" s="2"/>
    </row>
    <row r="138" spans="1:68">
      <c r="A138" s="180"/>
      <c r="B138" s="216" t="s">
        <v>566</v>
      </c>
      <c r="C138" s="354" t="str">
        <f t="shared" ref="C138:Q138" ca="1" si="196">IF(C8=$BC$25,"O",IF(C8=$BD$25,"O",IF(C8=$BE$25,"O",IF(C8=$BF$25,"O",IF(C8=$BG$25,"O",IF(C8=$BH$25,"O",IF(C8=$BI$25,"O",IF(C8=$BJ$25,"O",IF(C8=$BK$25,"O",IF(C8=$BL$25,"O",IF(C8=$BM$25,"O",IF(C8=$BN$25,"O",IF(C8=$BO$25,"O",IF(C8=$BP$25,"O",IF(C8=$BQ$25,"O",IF(C8=$BR$25,"O",IF(C8=$BS$25,"O",IF(C8=$BT$25,"O",IF(C8=$BU$25,"O",IF(C8=$BV$25,"O",IF(C8=$BW$25,"O",IF(C8=$BX$25,"O",IF(C8=$BY$25,"O",IF(C8=$BZ$25,"O",IF(C8=$CA$25,"O",IF(C8=$CB$25,"O",IF(C8=$CC$25,"O",IF(C8=$CD$25,"O",IF(C8=$CE$25,"O",IF(C8=$CF$25,"O",IF(C8=$CG$25,"O",IF(C8=$CH$25,"O",IF(C8=$CI$25,"O",IF(C8=$CJ$25,"O",IF(C8=$CK$25,"O",IF(C8=$CL$25,"O",IF(C8=$CM$25,"O",IF(C8=$CN$25,"O",IF(C8=$CO$25,"O",IF(C8=$CP$25,"O","X"))))))))))))))))))))))))))))))))))))))))</f>
        <v>O</v>
      </c>
      <c r="D138" s="354" t="str">
        <f t="shared" ca="1" si="196"/>
        <v>O</v>
      </c>
      <c r="E138" s="354" t="str">
        <f t="shared" ca="1" si="196"/>
        <v>O</v>
      </c>
      <c r="F138" s="354" t="str">
        <f t="shared" ca="1" si="196"/>
        <v>O</v>
      </c>
      <c r="G138" s="354" t="str">
        <f t="shared" ca="1" si="196"/>
        <v>O</v>
      </c>
      <c r="H138" s="354" t="str">
        <f t="shared" ca="1" si="196"/>
        <v>X</v>
      </c>
      <c r="I138" s="354" t="str">
        <f t="shared" ca="1" si="196"/>
        <v>O</v>
      </c>
      <c r="J138" s="354" t="str">
        <f t="shared" ca="1" si="196"/>
        <v>O</v>
      </c>
      <c r="K138" s="354" t="str">
        <f t="shared" ca="1" si="196"/>
        <v>O</v>
      </c>
      <c r="L138" s="354" t="str">
        <f t="shared" ca="1" si="196"/>
        <v>X</v>
      </c>
      <c r="M138" s="354" t="str">
        <f t="shared" ca="1" si="196"/>
        <v>O</v>
      </c>
      <c r="N138" s="354" t="str">
        <f t="shared" ca="1" si="196"/>
        <v>O</v>
      </c>
      <c r="O138" s="354" t="str">
        <f t="shared" ca="1" si="196"/>
        <v>O</v>
      </c>
      <c r="P138" s="354" t="str">
        <f t="shared" ca="1" si="196"/>
        <v>X</v>
      </c>
      <c r="Q138" s="354" t="str">
        <f t="shared" ca="1" si="196"/>
        <v>X</v>
      </c>
      <c r="R138" s="272" t="str">
        <f t="shared" ref="R138:AU138" si="197">IF(R8=$BC$25,"O",IF(R8=$BD$25,"O",IF(R8=$BE$25,"O",IF(R8=$BF$25,"O",IF(R8=$BG$25,"O",IF(R8=$BH$25,"O",IF(R8=$BI$25,"O",IF(R8=$BJ$25,"O",IF(R8=$BK$25,"O",IF(R8=$BL$25,"O",IF(R8=$BM$25,"O",IF(R8=$BN$25,"O",IF(R8=$BO$25,"O",IF(R8=$BP$25,"O",IF(R8=$BQ$25,"O",IF(R8=$BR$25,"O",IF(R8=$BS$25,"O",IF(R8=$BT$25,"O",IF(R8=$BU$25,"O",IF(R8=$BV$25,"O",IF(R8=$BW$25,"O",IF(R8=$BX$25,"O",IF(R8=$BY$25,"O",IF(R8=$BZ$25,"O",IF(R8=$CA$25,"O",IF(R8=$CB$25,"O","X"))))))))))))))))))))))))))</f>
        <v>X</v>
      </c>
      <c r="S138" s="272" t="str">
        <f t="shared" si="197"/>
        <v>X</v>
      </c>
      <c r="T138" s="272" t="str">
        <f t="shared" si="197"/>
        <v>X</v>
      </c>
      <c r="U138" s="272" t="str">
        <f t="shared" si="197"/>
        <v>X</v>
      </c>
      <c r="V138" s="272" t="str">
        <f t="shared" si="197"/>
        <v>X</v>
      </c>
      <c r="W138" s="272" t="str">
        <f t="shared" si="197"/>
        <v>X</v>
      </c>
      <c r="X138" s="272" t="str">
        <f t="shared" si="197"/>
        <v>X</v>
      </c>
      <c r="Y138" s="272" t="str">
        <f t="shared" si="197"/>
        <v>X</v>
      </c>
      <c r="Z138" s="272" t="str">
        <f t="shared" si="197"/>
        <v>X</v>
      </c>
      <c r="AA138" s="272" t="str">
        <f t="shared" si="197"/>
        <v>X</v>
      </c>
      <c r="AB138" s="272" t="str">
        <f t="shared" si="197"/>
        <v>X</v>
      </c>
      <c r="AC138" s="272" t="str">
        <f t="shared" si="197"/>
        <v>X</v>
      </c>
      <c r="AD138" s="272" t="str">
        <f t="shared" si="197"/>
        <v>X</v>
      </c>
      <c r="AE138" s="272" t="str">
        <f t="shared" si="197"/>
        <v>X</v>
      </c>
      <c r="AF138" s="272" t="str">
        <f t="shared" si="197"/>
        <v>X</v>
      </c>
      <c r="AG138" s="272" t="str">
        <f t="shared" si="197"/>
        <v>X</v>
      </c>
      <c r="AH138" s="272" t="str">
        <f t="shared" si="197"/>
        <v>X</v>
      </c>
      <c r="AI138" s="272" t="str">
        <f t="shared" si="197"/>
        <v>X</v>
      </c>
      <c r="AJ138" s="272" t="str">
        <f t="shared" si="197"/>
        <v>X</v>
      </c>
      <c r="AK138" s="272" t="str">
        <f t="shared" si="197"/>
        <v>X</v>
      </c>
      <c r="AL138" s="307" t="str">
        <f t="shared" si="197"/>
        <v>X</v>
      </c>
      <c r="AM138" s="307" t="str">
        <f t="shared" si="197"/>
        <v>X</v>
      </c>
      <c r="AN138" s="307" t="str">
        <f t="shared" si="197"/>
        <v>X</v>
      </c>
      <c r="AO138" s="307" t="str">
        <f t="shared" si="197"/>
        <v>X</v>
      </c>
      <c r="AP138" s="307" t="str">
        <f t="shared" si="197"/>
        <v>X</v>
      </c>
      <c r="AQ138" s="307" t="str">
        <f t="shared" si="197"/>
        <v>X</v>
      </c>
      <c r="AR138" s="307" t="str">
        <f t="shared" si="197"/>
        <v>X</v>
      </c>
      <c r="AS138" s="307" t="str">
        <f t="shared" si="197"/>
        <v>X</v>
      </c>
      <c r="AT138" s="307" t="str">
        <f t="shared" si="197"/>
        <v>X</v>
      </c>
      <c r="AU138" s="307" t="str">
        <f t="shared" si="197"/>
        <v>X</v>
      </c>
      <c r="AV138" s="296"/>
      <c r="AW138" s="296"/>
      <c r="AX138" s="206"/>
      <c r="BC138" s="151"/>
      <c r="BD138" s="151"/>
      <c r="BE138" s="151"/>
      <c r="BF138" s="151"/>
      <c r="BG138" s="163"/>
      <c r="BH138" s="2"/>
      <c r="BI138" s="2"/>
      <c r="BJ138" s="235"/>
      <c r="BK138" s="2"/>
      <c r="BL138" s="2"/>
      <c r="BM138" s="2"/>
      <c r="BN138" s="2"/>
      <c r="BO138" s="2"/>
      <c r="BP138" s="2"/>
    </row>
    <row r="139" spans="1:68">
      <c r="A139" s="180"/>
      <c r="B139" s="216" t="s">
        <v>567</v>
      </c>
      <c r="C139" s="354" t="str">
        <f t="shared" ref="C139:Q139" ca="1" si="198">IF(C9=$BC$25,"O",IF(C9=$BD$25,"O",IF(C9=$BE$25,"O",IF(C9=$BF$25,"O",IF(C9=$BG$25,"O",IF(C9=$BH$25,"O",IF(C9=$BI$25,"O",IF(C9=$BJ$25,"O",IF(C9=$BK$25,"O",IF(C9=$BL$25,"O",IF(C9=$BM$25,"O",IF(C9=$BN$25,"O",IF(C9=$BO$25,"O",IF(C9=$BP$25,"O",IF(C9=$BQ$25,"O",IF(C9=$BR$25,"O",IF(C9=$BS$25,"O",IF(C9=$BT$25,"O",IF(C9=$BU$25,"O",IF(C9=$BV$25,"O",IF(C9=$BW$25,"O",IF(C9=$BX$25,"O",IF(C9=$BY$25,"O",IF(C9=$BZ$25,"O",IF(C9=$CA$25,"O",IF(C9=$CB$25,"O",IF(C9=$CC$25,"O",IF(C9=$CD$25,"O",IF(C9=$CE$25,"O",IF(C9=$CF$25,"O",IF(C9=$CG$25,"O",IF(C9=$CH$25,"O",IF(C9=$CI$25,"O",IF(C9=$CJ$25,"O",IF(C9=$CK$25,"O",IF(C9=$CL$25,"O",IF(C9=$CM$25,"O",IF(C9=$CN$25,"O",IF(C9=$CO$25,"O",IF(C9=$CP$25,"O","X"))))))))))))))))))))))))))))))))))))))))</f>
        <v>X</v>
      </c>
      <c r="D139" s="354" t="str">
        <f t="shared" ca="1" si="198"/>
        <v>O</v>
      </c>
      <c r="E139" s="354" t="str">
        <f t="shared" ca="1" si="198"/>
        <v>O</v>
      </c>
      <c r="F139" s="354" t="str">
        <f t="shared" ca="1" si="198"/>
        <v>O</v>
      </c>
      <c r="G139" s="354" t="str">
        <f t="shared" ca="1" si="198"/>
        <v>X</v>
      </c>
      <c r="H139" s="354" t="str">
        <f t="shared" ca="1" si="198"/>
        <v>O</v>
      </c>
      <c r="I139" s="354" t="str">
        <f t="shared" ca="1" si="198"/>
        <v>O</v>
      </c>
      <c r="J139" s="354" t="str">
        <f t="shared" ca="1" si="198"/>
        <v>O</v>
      </c>
      <c r="K139" s="354" t="str">
        <f t="shared" ca="1" si="198"/>
        <v>X</v>
      </c>
      <c r="L139" s="354" t="str">
        <f t="shared" ca="1" si="198"/>
        <v>X</v>
      </c>
      <c r="M139" s="354" t="str">
        <f t="shared" ca="1" si="198"/>
        <v>O</v>
      </c>
      <c r="N139" s="354" t="str">
        <f t="shared" ca="1" si="198"/>
        <v>X</v>
      </c>
      <c r="O139" s="354" t="str">
        <f t="shared" ca="1" si="198"/>
        <v>O</v>
      </c>
      <c r="P139" s="354" t="str">
        <f t="shared" ca="1" si="198"/>
        <v>X</v>
      </c>
      <c r="Q139" s="354" t="str">
        <f t="shared" ca="1" si="198"/>
        <v>O</v>
      </c>
      <c r="R139" s="272" t="str">
        <f t="shared" ref="R139:AU139" si="199">IF(R9=$BC$25,"O",IF(R9=$BD$25,"O",IF(R9=$BE$25,"O",IF(R9=$BF$25,"O",IF(R9=$BG$25,"O",IF(R9=$BH$25,"O",IF(R9=$BI$25,"O",IF(R9=$BJ$25,"O",IF(R9=$BK$25,"O",IF(R9=$BL$25,"O",IF(R9=$BM$25,"O",IF(R9=$BN$25,"O",IF(R9=$BO$25,"O",IF(R9=$BP$25,"O",IF(R9=$BQ$25,"O",IF(R9=$BR$25,"O",IF(R9=$BS$25,"O",IF(R9=$BT$25,"O",IF(R9=$BU$25,"O",IF(R9=$BV$25,"O",IF(R9=$BW$25,"O",IF(R9=$BX$25,"O",IF(R9=$BY$25,"O",IF(R9=$BZ$25,"O",IF(R9=$CA$25,"O",IF(R9=$CB$25,"O","X"))))))))))))))))))))))))))</f>
        <v>X</v>
      </c>
      <c r="S139" s="272" t="str">
        <f t="shared" si="199"/>
        <v>X</v>
      </c>
      <c r="T139" s="272" t="str">
        <f t="shared" si="199"/>
        <v>X</v>
      </c>
      <c r="U139" s="272" t="str">
        <f t="shared" si="199"/>
        <v>X</v>
      </c>
      <c r="V139" s="272" t="str">
        <f t="shared" si="199"/>
        <v>X</v>
      </c>
      <c r="W139" s="272" t="str">
        <f t="shared" si="199"/>
        <v>X</v>
      </c>
      <c r="X139" s="272" t="str">
        <f t="shared" si="199"/>
        <v>X</v>
      </c>
      <c r="Y139" s="272" t="str">
        <f t="shared" si="199"/>
        <v>X</v>
      </c>
      <c r="Z139" s="272" t="str">
        <f t="shared" si="199"/>
        <v>X</v>
      </c>
      <c r="AA139" s="272" t="str">
        <f t="shared" si="199"/>
        <v>X</v>
      </c>
      <c r="AB139" s="272" t="str">
        <f t="shared" si="199"/>
        <v>X</v>
      </c>
      <c r="AC139" s="272" t="str">
        <f t="shared" si="199"/>
        <v>X</v>
      </c>
      <c r="AD139" s="272" t="str">
        <f t="shared" si="199"/>
        <v>X</v>
      </c>
      <c r="AE139" s="272" t="str">
        <f t="shared" si="199"/>
        <v>X</v>
      </c>
      <c r="AF139" s="272" t="str">
        <f t="shared" si="199"/>
        <v>X</v>
      </c>
      <c r="AG139" s="272" t="str">
        <f t="shared" si="199"/>
        <v>X</v>
      </c>
      <c r="AH139" s="272" t="str">
        <f t="shared" si="199"/>
        <v>X</v>
      </c>
      <c r="AI139" s="272" t="str">
        <f t="shared" si="199"/>
        <v>X</v>
      </c>
      <c r="AJ139" s="272" t="str">
        <f t="shared" si="199"/>
        <v>X</v>
      </c>
      <c r="AK139" s="272" t="str">
        <f t="shared" si="199"/>
        <v>X</v>
      </c>
      <c r="AL139" s="307" t="str">
        <f t="shared" si="199"/>
        <v>X</v>
      </c>
      <c r="AM139" s="307" t="str">
        <f t="shared" si="199"/>
        <v>X</v>
      </c>
      <c r="AN139" s="307" t="str">
        <f t="shared" si="199"/>
        <v>X</v>
      </c>
      <c r="AO139" s="307" t="str">
        <f t="shared" si="199"/>
        <v>X</v>
      </c>
      <c r="AP139" s="307" t="str">
        <f t="shared" si="199"/>
        <v>X</v>
      </c>
      <c r="AQ139" s="307" t="str">
        <f t="shared" si="199"/>
        <v>X</v>
      </c>
      <c r="AR139" s="307" t="str">
        <f t="shared" si="199"/>
        <v>X</v>
      </c>
      <c r="AS139" s="307" t="str">
        <f t="shared" si="199"/>
        <v>X</v>
      </c>
      <c r="AT139" s="307" t="str">
        <f t="shared" si="199"/>
        <v>X</v>
      </c>
      <c r="AU139" s="307" t="str">
        <f t="shared" si="199"/>
        <v>X</v>
      </c>
      <c r="AV139" s="296"/>
      <c r="AW139" s="296"/>
      <c r="AX139" s="206"/>
      <c r="BC139" s="151"/>
      <c r="BD139" s="151"/>
      <c r="BE139" s="151"/>
      <c r="BF139" s="151"/>
      <c r="BG139" s="163"/>
      <c r="BH139" s="2"/>
      <c r="BI139" s="2"/>
      <c r="BJ139" s="151"/>
      <c r="BK139" s="2"/>
      <c r="BL139" s="2"/>
      <c r="BM139" s="2"/>
      <c r="BN139" s="2"/>
      <c r="BO139" s="2"/>
      <c r="BP139" s="2"/>
    </row>
    <row r="140" spans="1:68">
      <c r="A140" s="180"/>
      <c r="B140" s="216" t="s">
        <v>568</v>
      </c>
      <c r="C140" s="354" t="str">
        <f t="shared" ref="C140:Q140" ca="1" si="200">IF(C10=$BC$25,"O",IF(C10=$BD$25,"O",IF(C10=$BE$25,"O",IF(C10=$BF$25,"O",IF(C10=$BG$25,"O",IF(C10=$BH$25,"O",IF(C10=$BI$25,"O",IF(C10=$BJ$25,"O",IF(C10=$BK$25,"O",IF(C10=$BL$25,"O",IF(C10=$BM$25,"O",IF(C10=$BN$25,"O",IF(C10=$BO$25,"O",IF(C10=$BP$25,"O",IF(C10=$BQ$25,"O",IF(C10=$BR$25,"O",IF(C10=$BS$25,"O",IF(C10=$BT$25,"O",IF(C10=$BU$25,"O",IF(C10=$BV$25,"O",IF(C10=$BW$25,"O",IF(C10=$BX$25,"O",IF(C10=$BY$25,"O",IF(C10=$BZ$25,"O",IF(C10=$CA$25,"O",IF(C10=$CB$25,"O",IF(C10=$CC$25,"O",IF(C10=$CD$25,"O",IF(C10=$CE$25,"O",IF(C10=$CF$25,"O",IF(C10=$CG$25,"O",IF(C10=$CH$25,"O",IF(C10=$CI$25,"O",IF(C10=$CJ$25,"O",IF(C10=$CK$25,"O",IF(C10=$CL$25,"O",IF(C10=$CM$25,"O",IF(C10=$CN$25,"O",IF(C10=$CO$25,"O",IF(C10=$CP$25,"O","X"))))))))))))))))))))))))))))))))))))))))</f>
        <v>X</v>
      </c>
      <c r="D140" s="354" t="str">
        <f t="shared" ca="1" si="200"/>
        <v>O</v>
      </c>
      <c r="E140" s="354" t="str">
        <f t="shared" ca="1" si="200"/>
        <v>X</v>
      </c>
      <c r="F140" s="354" t="str">
        <f t="shared" ca="1" si="200"/>
        <v>O</v>
      </c>
      <c r="G140" s="354" t="str">
        <f t="shared" ca="1" si="200"/>
        <v>X</v>
      </c>
      <c r="H140" s="354" t="str">
        <f t="shared" ca="1" si="200"/>
        <v>X</v>
      </c>
      <c r="I140" s="354" t="str">
        <f t="shared" ca="1" si="200"/>
        <v>O</v>
      </c>
      <c r="J140" s="354" t="str">
        <f t="shared" ca="1" si="200"/>
        <v>O</v>
      </c>
      <c r="K140" s="354" t="str">
        <f t="shared" ca="1" si="200"/>
        <v>X</v>
      </c>
      <c r="L140" s="354" t="str">
        <f t="shared" ca="1" si="200"/>
        <v>X</v>
      </c>
      <c r="M140" s="354" t="str">
        <f t="shared" ca="1" si="200"/>
        <v>O</v>
      </c>
      <c r="N140" s="354" t="str">
        <f t="shared" ca="1" si="200"/>
        <v>O</v>
      </c>
      <c r="O140" s="354" t="str">
        <f t="shared" ca="1" si="200"/>
        <v>X</v>
      </c>
      <c r="P140" s="354" t="str">
        <f t="shared" ca="1" si="200"/>
        <v>O</v>
      </c>
      <c r="Q140" s="354" t="str">
        <f t="shared" ca="1" si="200"/>
        <v>X</v>
      </c>
      <c r="R140" s="272" t="str">
        <f t="shared" ref="R140:AU140" si="201">IF(R10=$BC$25,"O",IF(R10=$BD$25,"O",IF(R10=$BE$25,"O",IF(R10=$BF$25,"O",IF(R10=$BG$25,"O",IF(R10=$BH$25,"O",IF(R10=$BI$25,"O",IF(R10=$BJ$25,"O",IF(R10=$BK$25,"O",IF(R10=$BL$25,"O",IF(R10=$BM$25,"O",IF(R10=$BN$25,"O",IF(R10=$BO$25,"O",IF(R10=$BP$25,"O",IF(R10=$BQ$25,"O",IF(R10=$BR$25,"O",IF(R10=$BS$25,"O",IF(R10=$BT$25,"O",IF(R10=$BU$25,"O",IF(R10=$BV$25,"O",IF(R10=$BW$25,"O",IF(R10=$BX$25,"O",IF(R10=$BY$25,"O",IF(R10=$BZ$25,"O",IF(R10=$CA$25,"O",IF(R10=$CB$25,"O","X"))))))))))))))))))))))))))</f>
        <v>X</v>
      </c>
      <c r="S140" s="272" t="str">
        <f t="shared" si="201"/>
        <v>X</v>
      </c>
      <c r="T140" s="272" t="str">
        <f t="shared" si="201"/>
        <v>X</v>
      </c>
      <c r="U140" s="272" t="str">
        <f t="shared" si="201"/>
        <v>X</v>
      </c>
      <c r="V140" s="272" t="str">
        <f t="shared" si="201"/>
        <v>X</v>
      </c>
      <c r="W140" s="272" t="str">
        <f t="shared" si="201"/>
        <v>X</v>
      </c>
      <c r="X140" s="272" t="str">
        <f t="shared" si="201"/>
        <v>X</v>
      </c>
      <c r="Y140" s="272" t="str">
        <f t="shared" si="201"/>
        <v>X</v>
      </c>
      <c r="Z140" s="272" t="str">
        <f t="shared" si="201"/>
        <v>X</v>
      </c>
      <c r="AA140" s="272" t="str">
        <f t="shared" si="201"/>
        <v>X</v>
      </c>
      <c r="AB140" s="272" t="str">
        <f t="shared" si="201"/>
        <v>X</v>
      </c>
      <c r="AC140" s="272" t="str">
        <f t="shared" si="201"/>
        <v>X</v>
      </c>
      <c r="AD140" s="272" t="str">
        <f t="shared" si="201"/>
        <v>X</v>
      </c>
      <c r="AE140" s="272" t="str">
        <f t="shared" si="201"/>
        <v>X</v>
      </c>
      <c r="AF140" s="272" t="str">
        <f t="shared" si="201"/>
        <v>X</v>
      </c>
      <c r="AG140" s="272" t="str">
        <f t="shared" si="201"/>
        <v>X</v>
      </c>
      <c r="AH140" s="272" t="str">
        <f t="shared" si="201"/>
        <v>X</v>
      </c>
      <c r="AI140" s="272" t="str">
        <f t="shared" si="201"/>
        <v>X</v>
      </c>
      <c r="AJ140" s="272" t="str">
        <f t="shared" si="201"/>
        <v>X</v>
      </c>
      <c r="AK140" s="272" t="str">
        <f t="shared" si="201"/>
        <v>X</v>
      </c>
      <c r="AL140" s="307" t="str">
        <f t="shared" si="201"/>
        <v>X</v>
      </c>
      <c r="AM140" s="307" t="str">
        <f t="shared" si="201"/>
        <v>X</v>
      </c>
      <c r="AN140" s="307" t="str">
        <f t="shared" si="201"/>
        <v>X</v>
      </c>
      <c r="AO140" s="307" t="str">
        <f t="shared" si="201"/>
        <v>X</v>
      </c>
      <c r="AP140" s="307" t="str">
        <f t="shared" si="201"/>
        <v>X</v>
      </c>
      <c r="AQ140" s="307" t="str">
        <f t="shared" si="201"/>
        <v>X</v>
      </c>
      <c r="AR140" s="307" t="str">
        <f t="shared" si="201"/>
        <v>X</v>
      </c>
      <c r="AS140" s="307" t="str">
        <f t="shared" si="201"/>
        <v>X</v>
      </c>
      <c r="AT140" s="307" t="str">
        <f t="shared" si="201"/>
        <v>X</v>
      </c>
      <c r="AU140" s="307" t="str">
        <f t="shared" si="201"/>
        <v>X</v>
      </c>
      <c r="AV140" s="296"/>
      <c r="AW140" s="296"/>
      <c r="AX140" s="206"/>
      <c r="BC140" s="151"/>
      <c r="BD140" s="151"/>
      <c r="BE140" s="151"/>
      <c r="BF140" s="151"/>
      <c r="BG140" s="163"/>
      <c r="BH140" s="2"/>
      <c r="BI140" s="2"/>
      <c r="BJ140" s="151"/>
      <c r="BK140" s="2"/>
      <c r="BL140" s="2"/>
      <c r="BM140" s="2"/>
      <c r="BN140" s="2"/>
      <c r="BO140" s="2"/>
      <c r="BP140" s="2"/>
    </row>
    <row r="141" spans="1:68">
      <c r="A141" s="180"/>
      <c r="B141" s="216" t="s">
        <v>569</v>
      </c>
      <c r="C141" s="354" t="str">
        <f t="shared" ref="C141:Q141" ca="1" si="202">IF(C11=$BC$25,"O",IF(C11=$BD$25,"O",IF(C11=$BE$25,"O",IF(C11=$BF$25,"O",IF(C11=$BG$25,"O",IF(C11=$BH$25,"O",IF(C11=$BI$25,"O",IF(C11=$BJ$25,"O",IF(C11=$BK$25,"O",IF(C11=$BL$25,"O",IF(C11=$BM$25,"O",IF(C11=$BN$25,"O",IF(C11=$BO$25,"O",IF(C11=$BP$25,"O",IF(C11=$BQ$25,"O",IF(C11=$BR$25,"O",IF(C11=$BS$25,"O",IF(C11=$BT$25,"O",IF(C11=$BU$25,"O",IF(C11=$BV$25,"O",IF(C11=$BW$25,"O",IF(C11=$BX$25,"O",IF(C11=$BY$25,"O",IF(C11=$BZ$25,"O",IF(C11=$CA$25,"O",IF(C11=$CB$25,"O",IF(C11=$CC$25,"O",IF(C11=$CD$25,"O",IF(C11=$CE$25,"O",IF(C11=$CF$25,"O",IF(C11=$CG$25,"O",IF(C11=$CH$25,"O",IF(C11=$CI$25,"O",IF(C11=$CJ$25,"O",IF(C11=$CK$25,"O",IF(C11=$CL$25,"O",IF(C11=$CM$25,"O",IF(C11=$CN$25,"O",IF(C11=$CO$25,"O",IF(C11=$CP$25,"O","X"))))))))))))))))))))))))))))))))))))))))</f>
        <v>O</v>
      </c>
      <c r="D141" s="354" t="str">
        <f t="shared" ca="1" si="202"/>
        <v>O</v>
      </c>
      <c r="E141" s="354" t="str">
        <f t="shared" ca="1" si="202"/>
        <v>X</v>
      </c>
      <c r="F141" s="354" t="str">
        <f t="shared" ca="1" si="202"/>
        <v>X</v>
      </c>
      <c r="G141" s="354" t="str">
        <f t="shared" ca="1" si="202"/>
        <v>X</v>
      </c>
      <c r="H141" s="354" t="str">
        <f t="shared" ca="1" si="202"/>
        <v>X</v>
      </c>
      <c r="I141" s="354" t="str">
        <f t="shared" ca="1" si="202"/>
        <v>O</v>
      </c>
      <c r="J141" s="354" t="str">
        <f t="shared" ca="1" si="202"/>
        <v>X</v>
      </c>
      <c r="K141" s="354" t="str">
        <f t="shared" ca="1" si="202"/>
        <v>O</v>
      </c>
      <c r="L141" s="354" t="str">
        <f t="shared" ca="1" si="202"/>
        <v>O</v>
      </c>
      <c r="M141" s="354" t="str">
        <f t="shared" ca="1" si="202"/>
        <v>X</v>
      </c>
      <c r="N141" s="354" t="str">
        <f t="shared" ca="1" si="202"/>
        <v>X</v>
      </c>
      <c r="O141" s="354" t="str">
        <f t="shared" ca="1" si="202"/>
        <v>X</v>
      </c>
      <c r="P141" s="354" t="str">
        <f t="shared" ca="1" si="202"/>
        <v>O</v>
      </c>
      <c r="Q141" s="354" t="str">
        <f t="shared" ca="1" si="202"/>
        <v>O</v>
      </c>
      <c r="R141" s="272" t="str">
        <f t="shared" ref="R141:AU141" si="203">IF(R11=$BC$25,"O",IF(R11=$BD$25,"O",IF(R11=$BE$25,"O",IF(R11=$BF$25,"O",IF(R11=$BG$25,"O",IF(R11=$BH$25,"O",IF(R11=$BI$25,"O",IF(R11=$BJ$25,"O",IF(R11=$BK$25,"O",IF(R11=$BL$25,"O",IF(R11=$BM$25,"O",IF(R11=$BN$25,"O",IF(R11=$BO$25,"O",IF(R11=$BP$25,"O",IF(R11=$BQ$25,"O",IF(R11=$BR$25,"O",IF(R11=$BS$25,"O",IF(R11=$BT$25,"O",IF(R11=$BU$25,"O",IF(R11=$BV$25,"O",IF(R11=$BW$25,"O",IF(R11=$BX$25,"O",IF(R11=$BY$25,"O",IF(R11=$BZ$25,"O",IF(R11=$CA$25,"O",IF(R11=$CB$25,"O","X"))))))))))))))))))))))))))</f>
        <v>X</v>
      </c>
      <c r="S141" s="272" t="str">
        <f t="shared" si="203"/>
        <v>X</v>
      </c>
      <c r="T141" s="272" t="str">
        <f t="shared" si="203"/>
        <v>X</v>
      </c>
      <c r="U141" s="272" t="str">
        <f t="shared" si="203"/>
        <v>X</v>
      </c>
      <c r="V141" s="272" t="str">
        <f t="shared" si="203"/>
        <v>X</v>
      </c>
      <c r="W141" s="272" t="str">
        <f t="shared" si="203"/>
        <v>X</v>
      </c>
      <c r="X141" s="272" t="str">
        <f t="shared" si="203"/>
        <v>X</v>
      </c>
      <c r="Y141" s="272" t="str">
        <f t="shared" si="203"/>
        <v>X</v>
      </c>
      <c r="Z141" s="272" t="str">
        <f t="shared" si="203"/>
        <v>X</v>
      </c>
      <c r="AA141" s="272" t="str">
        <f t="shared" si="203"/>
        <v>X</v>
      </c>
      <c r="AB141" s="272" t="str">
        <f t="shared" si="203"/>
        <v>X</v>
      </c>
      <c r="AC141" s="272" t="str">
        <f t="shared" si="203"/>
        <v>X</v>
      </c>
      <c r="AD141" s="272" t="str">
        <f t="shared" si="203"/>
        <v>X</v>
      </c>
      <c r="AE141" s="272" t="str">
        <f t="shared" si="203"/>
        <v>X</v>
      </c>
      <c r="AF141" s="272" t="str">
        <f t="shared" si="203"/>
        <v>X</v>
      </c>
      <c r="AG141" s="272" t="str">
        <f t="shared" si="203"/>
        <v>X</v>
      </c>
      <c r="AH141" s="272" t="str">
        <f t="shared" si="203"/>
        <v>X</v>
      </c>
      <c r="AI141" s="272" t="str">
        <f t="shared" si="203"/>
        <v>X</v>
      </c>
      <c r="AJ141" s="272" t="str">
        <f t="shared" si="203"/>
        <v>X</v>
      </c>
      <c r="AK141" s="272" t="str">
        <f t="shared" si="203"/>
        <v>X</v>
      </c>
      <c r="AL141" s="307" t="str">
        <f t="shared" si="203"/>
        <v>X</v>
      </c>
      <c r="AM141" s="307" t="str">
        <f t="shared" si="203"/>
        <v>X</v>
      </c>
      <c r="AN141" s="307" t="str">
        <f t="shared" si="203"/>
        <v>X</v>
      </c>
      <c r="AO141" s="307" t="str">
        <f t="shared" si="203"/>
        <v>X</v>
      </c>
      <c r="AP141" s="307" t="str">
        <f t="shared" si="203"/>
        <v>X</v>
      </c>
      <c r="AQ141" s="307" t="str">
        <f t="shared" si="203"/>
        <v>X</v>
      </c>
      <c r="AR141" s="307" t="str">
        <f t="shared" si="203"/>
        <v>X</v>
      </c>
      <c r="AS141" s="307" t="str">
        <f t="shared" si="203"/>
        <v>X</v>
      </c>
      <c r="AT141" s="307" t="str">
        <f t="shared" si="203"/>
        <v>X</v>
      </c>
      <c r="AU141" s="307" t="str">
        <f t="shared" si="203"/>
        <v>X</v>
      </c>
      <c r="AV141" s="296"/>
      <c r="AW141" s="296"/>
      <c r="AX141" s="206"/>
      <c r="BC141" s="151"/>
      <c r="BD141" s="151"/>
      <c r="BE141" s="151"/>
      <c r="BF141" s="151"/>
      <c r="BG141" s="163"/>
      <c r="BH141" s="2"/>
      <c r="BI141" s="2"/>
      <c r="BJ141" s="151"/>
      <c r="BK141" s="2"/>
      <c r="BL141" s="2"/>
      <c r="BM141" s="2"/>
      <c r="BN141" s="2"/>
      <c r="BO141" s="2"/>
      <c r="BP141" s="2"/>
    </row>
    <row r="142" spans="1:68">
      <c r="A142" s="180"/>
      <c r="B142" s="214" t="s">
        <v>540</v>
      </c>
      <c r="C142" s="354" t="str">
        <f t="shared" ref="C142:P142" ca="1" si="204">IF(C12=$BC$25,"O",IF(C12=$BD$25,"O",IF(C12=$BE$25,"O",IF(C12=$BF$25,"O",IF(C12=$BG$25,"O",IF(C12=$BH$25,"O",IF(C12=$BI$25,"O",IF(C12=$BJ$25,"O",IF(C12=$BK$25,"O",IF(C12=$BL$25,"O",IF(C12=$BM$25,"O",IF(C12=$BN$25,"O",IF(C12=$BO$25,"O",IF(C12=$BP$25,"O",IF(C12=$BQ$25,"O",IF(C12=$BR$25,"O",IF(C12=$BS$25,"O",IF(C12=$BT$25,"O",IF(C12=$BU$25,"O",IF(C12=$BV$25,"O",IF(C12=$BW$25,"O",IF(C12=$BX$25,"O",IF(C12=$BY$25,"O",IF(C12=$BZ$25,"O",IF(C12=$CA$25,"O",IF(C12=$CB$25,"O",IF(C12=$CC$25,"O",IF(C12=$CD$25,"O",IF(C12=$CE$25,"O",IF(C12=$CF$25,"O",IF(C12=$CG$25,"O",IF(C12=$CH$25,"O",IF(C12=$CI$25,"O",IF(C12=$CJ$25,"O",IF(C12=$CK$25,"O",IF(C12=$CL$25,"O",IF(C12=$CM$25,"O",IF(C12=$CN$25,"O",IF(C12=$CO$25,"O",IF(C12=$CP$25,"O","X"))))))))))))))))))))))))))))))))))))))))</f>
        <v>X</v>
      </c>
      <c r="D142" s="354" t="str">
        <f t="shared" ca="1" si="204"/>
        <v>X</v>
      </c>
      <c r="E142" s="354" t="str">
        <f t="shared" ca="1" si="204"/>
        <v>O</v>
      </c>
      <c r="F142" s="354" t="str">
        <f t="shared" ca="1" si="204"/>
        <v>X</v>
      </c>
      <c r="G142" s="354" t="str">
        <f t="shared" ca="1" si="204"/>
        <v>O</v>
      </c>
      <c r="H142" s="354" t="str">
        <f t="shared" ca="1" si="204"/>
        <v>O</v>
      </c>
      <c r="I142" s="354" t="str">
        <f t="shared" ca="1" si="204"/>
        <v>O</v>
      </c>
      <c r="J142" s="354" t="str">
        <f t="shared" ca="1" si="204"/>
        <v>X</v>
      </c>
      <c r="K142" s="354" t="str">
        <f t="shared" ca="1" si="204"/>
        <v>X</v>
      </c>
      <c r="L142" s="354" t="str">
        <f t="shared" ca="1" si="204"/>
        <v>X</v>
      </c>
      <c r="M142" s="354" t="str">
        <f t="shared" ca="1" si="204"/>
        <v>O</v>
      </c>
      <c r="N142" s="354" t="str">
        <f t="shared" ca="1" si="204"/>
        <v>O</v>
      </c>
      <c r="O142" s="354" t="str">
        <f t="shared" ca="1" si="204"/>
        <v>O</v>
      </c>
      <c r="P142" s="354" t="str">
        <f t="shared" ca="1" si="204"/>
        <v>O</v>
      </c>
      <c r="Q142" s="354" t="str">
        <f ca="1">IF(Q12=$BC$25,"O",IF(Q12=$BD$25,"O",IF(Q12=$BE$25,"O",IF(Q12=$BF$25,"O",IF(Q12=$BG$25,"O",IF(Q12=$BH$25,"O",IF(Q12=$BI$25,"O",IF(Q12=$BJ$25,"O",IF(Q12=$BK$25,"O",IF(Q12=$BL$25,"O",IF(Q12=$BM$25,"O",IF(Q12=$BN$25,"O",IF(Q12=$BO$25,"O",IF(Q12=$BP$25,"O",IF(Q12=$BQ$25,"O",IF(Q12=$BR$25,"O",IF(Q12=$BS$25,"O",IF(Q12=$BT$25,"O",IF(Q12=$BU$25,"O",IF(Q12=$BV$25,"O",IF(Q12=$BW$25,"O",IF(Q12=$BX$25,"O",IF(Q12=$BY$25,"O",IF(Q12=$BZ$25,"O",IF(Q12=$CA$25,"O",IF(Q12=$CB$25,"O",IF(Q12=$CC$25,"O",IF(Q12=$CD$25,"O",IF(Q12=$CE$25,"O",IF(Q12=$CF$25,"O",IF(Q12=$CG$25,"O",IF(Q12=$CH$25,"O",IF(Q12=$CI$25,"O",IF(Q12=$CJ$25,"O",IF(Q12=$CK$25,"O",IF(Q12=$CL$25,"O",IF(Q12=$CM$25,"O",IF(Q12=$CN$25,"O",IF(Q12=$CO$25,"O",IF(Q12=$CP$25,"O","X"))))))))))))))))))))))))))))))))))))))))</f>
        <v>O</v>
      </c>
      <c r="R142" s="272" t="str">
        <f t="shared" ref="R142:AU142" si="205">IF(R12=$BC$25,"O",IF(R12=$BD$25,"O",IF(R12=$BE$25,"O",IF(R12=$BF$25,"O",IF(R12=$BG$25,"O",IF(R12=$BH$25,"O",IF(R12=$BI$25,"O",IF(R12=$BJ$25,"O",IF(R12=$BK$25,"O",IF(R12=$BL$25,"O",IF(R12=$BM$25,"O",IF(R12=$BN$25,"O",IF(R12=$BO$25,"O",IF(R12=$BP$25,"O",IF(R12=$BQ$25,"O",IF(R12=$BR$25,"O",IF(R12=$BS$25,"O",IF(R12=$BT$25,"O",IF(R12=$BU$25,"O",IF(R12=$BV$25,"O",IF(R12=$BW$25,"O",IF(R12=$BX$25,"O",IF(R12=$BY$25,"O",IF(R12=$BZ$25,"O",IF(R12=$CA$25,"O",IF(R12=$CB$25,"O","X"))))))))))))))))))))))))))</f>
        <v>X</v>
      </c>
      <c r="S142" s="272" t="str">
        <f t="shared" si="205"/>
        <v>X</v>
      </c>
      <c r="T142" s="272" t="str">
        <f t="shared" si="205"/>
        <v>X</v>
      </c>
      <c r="U142" s="272" t="str">
        <f t="shared" si="205"/>
        <v>X</v>
      </c>
      <c r="V142" s="272" t="str">
        <f t="shared" si="205"/>
        <v>X</v>
      </c>
      <c r="W142" s="272" t="str">
        <f t="shared" si="205"/>
        <v>X</v>
      </c>
      <c r="X142" s="272" t="str">
        <f t="shared" si="205"/>
        <v>X</v>
      </c>
      <c r="Y142" s="272" t="str">
        <f t="shared" si="205"/>
        <v>X</v>
      </c>
      <c r="Z142" s="272" t="str">
        <f t="shared" si="205"/>
        <v>X</v>
      </c>
      <c r="AA142" s="272" t="str">
        <f t="shared" si="205"/>
        <v>X</v>
      </c>
      <c r="AB142" s="272" t="str">
        <f t="shared" si="205"/>
        <v>X</v>
      </c>
      <c r="AC142" s="272" t="str">
        <f t="shared" si="205"/>
        <v>X</v>
      </c>
      <c r="AD142" s="272" t="str">
        <f t="shared" si="205"/>
        <v>X</v>
      </c>
      <c r="AE142" s="272" t="str">
        <f t="shared" si="205"/>
        <v>X</v>
      </c>
      <c r="AF142" s="272" t="str">
        <f t="shared" si="205"/>
        <v>X</v>
      </c>
      <c r="AG142" s="272" t="str">
        <f t="shared" si="205"/>
        <v>X</v>
      </c>
      <c r="AH142" s="272" t="str">
        <f t="shared" si="205"/>
        <v>X</v>
      </c>
      <c r="AI142" s="272" t="str">
        <f t="shared" si="205"/>
        <v>X</v>
      </c>
      <c r="AJ142" s="272" t="str">
        <f t="shared" si="205"/>
        <v>X</v>
      </c>
      <c r="AK142" s="272" t="str">
        <f t="shared" si="205"/>
        <v>X</v>
      </c>
      <c r="AL142" s="307" t="str">
        <f t="shared" si="205"/>
        <v>X</v>
      </c>
      <c r="AM142" s="307" t="str">
        <f t="shared" si="205"/>
        <v>X</v>
      </c>
      <c r="AN142" s="307" t="str">
        <f t="shared" si="205"/>
        <v>X</v>
      </c>
      <c r="AO142" s="307" t="str">
        <f t="shared" si="205"/>
        <v>X</v>
      </c>
      <c r="AP142" s="307" t="str">
        <f t="shared" si="205"/>
        <v>X</v>
      </c>
      <c r="AQ142" s="307" t="str">
        <f t="shared" si="205"/>
        <v>X</v>
      </c>
      <c r="AR142" s="307" t="str">
        <f t="shared" si="205"/>
        <v>X</v>
      </c>
      <c r="AS142" s="307" t="str">
        <f t="shared" si="205"/>
        <v>X</v>
      </c>
      <c r="AT142" s="307" t="str">
        <f t="shared" si="205"/>
        <v>X</v>
      </c>
      <c r="AU142" s="307" t="str">
        <f t="shared" si="205"/>
        <v>X</v>
      </c>
      <c r="AV142" s="296"/>
      <c r="AW142" s="296"/>
      <c r="AX142" s="206"/>
      <c r="BC142" s="230"/>
      <c r="BD142" s="230"/>
      <c r="BE142" s="230"/>
      <c r="BF142" s="230"/>
      <c r="BG142" s="230"/>
      <c r="BH142" s="230"/>
      <c r="BI142" s="230"/>
      <c r="BJ142" s="230"/>
      <c r="BK142" s="2"/>
      <c r="BL142" s="2"/>
      <c r="BM142" s="2"/>
      <c r="BN142" s="2"/>
      <c r="BO142" s="2"/>
      <c r="BP142" s="2"/>
    </row>
    <row r="143" spans="1:68">
      <c r="A143" s="181"/>
      <c r="B143" s="111" t="s">
        <v>663</v>
      </c>
      <c r="C143" s="172">
        <f ca="1">COUNTIF(C137:C142,"O")</f>
        <v>3</v>
      </c>
      <c r="D143" s="172">
        <f t="shared" ref="D143:Q143" ca="1" si="206">COUNTIF(D137:D142,"O")</f>
        <v>4</v>
      </c>
      <c r="E143" s="172">
        <f t="shared" ca="1" si="206"/>
        <v>3</v>
      </c>
      <c r="F143" s="172">
        <f t="shared" ca="1" si="206"/>
        <v>4</v>
      </c>
      <c r="G143" s="172">
        <f t="shared" ca="1" si="206"/>
        <v>3</v>
      </c>
      <c r="H143" s="172">
        <f t="shared" ca="1" si="206"/>
        <v>2</v>
      </c>
      <c r="I143" s="172">
        <f t="shared" ca="1" si="206"/>
        <v>5</v>
      </c>
      <c r="J143" s="172">
        <f t="shared" ca="1" si="206"/>
        <v>4</v>
      </c>
      <c r="K143" s="172">
        <f t="shared" ca="1" si="206"/>
        <v>3</v>
      </c>
      <c r="L143" s="172">
        <f t="shared" ca="1" si="206"/>
        <v>1</v>
      </c>
      <c r="M143" s="172">
        <f t="shared" ca="1" si="206"/>
        <v>5</v>
      </c>
      <c r="N143" s="172">
        <f t="shared" ca="1" si="206"/>
        <v>4</v>
      </c>
      <c r="O143" s="172">
        <f t="shared" ca="1" si="206"/>
        <v>3</v>
      </c>
      <c r="P143" s="172">
        <f t="shared" ca="1" si="206"/>
        <v>4</v>
      </c>
      <c r="Q143" s="172">
        <f t="shared" ca="1" si="206"/>
        <v>3</v>
      </c>
      <c r="R143" s="172">
        <f t="shared" ref="R143:AK143" si="207">COUNTIF(R137:R142,"O")</f>
        <v>0</v>
      </c>
      <c r="S143" s="172">
        <f t="shared" si="207"/>
        <v>0</v>
      </c>
      <c r="T143" s="172">
        <f t="shared" si="207"/>
        <v>0</v>
      </c>
      <c r="U143" s="172">
        <f t="shared" si="207"/>
        <v>0</v>
      </c>
      <c r="V143" s="172">
        <f t="shared" si="207"/>
        <v>0</v>
      </c>
      <c r="W143" s="172">
        <f t="shared" si="207"/>
        <v>0</v>
      </c>
      <c r="X143" s="172">
        <f t="shared" si="207"/>
        <v>0</v>
      </c>
      <c r="Y143" s="172">
        <f t="shared" si="207"/>
        <v>0</v>
      </c>
      <c r="Z143" s="172">
        <f t="shared" si="207"/>
        <v>0</v>
      </c>
      <c r="AA143" s="172">
        <f t="shared" si="207"/>
        <v>0</v>
      </c>
      <c r="AB143" s="172">
        <f t="shared" si="207"/>
        <v>0</v>
      </c>
      <c r="AC143" s="172">
        <f t="shared" si="207"/>
        <v>0</v>
      </c>
      <c r="AD143" s="172">
        <f t="shared" si="207"/>
        <v>0</v>
      </c>
      <c r="AE143" s="172">
        <f t="shared" si="207"/>
        <v>0</v>
      </c>
      <c r="AF143" s="172">
        <f t="shared" si="207"/>
        <v>0</v>
      </c>
      <c r="AG143" s="172">
        <f t="shared" si="207"/>
        <v>0</v>
      </c>
      <c r="AH143" s="172">
        <f t="shared" si="207"/>
        <v>0</v>
      </c>
      <c r="AI143" s="172">
        <f t="shared" si="207"/>
        <v>0</v>
      </c>
      <c r="AJ143" s="172">
        <f t="shared" si="207"/>
        <v>0</v>
      </c>
      <c r="AK143" s="172">
        <f t="shared" si="207"/>
        <v>0</v>
      </c>
      <c r="AL143" s="172">
        <f t="shared" ref="AL143:AU143" si="208">COUNTIF(AL137:AL142,"O")</f>
        <v>0</v>
      </c>
      <c r="AM143" s="172">
        <f t="shared" si="208"/>
        <v>0</v>
      </c>
      <c r="AN143" s="172">
        <f t="shared" si="208"/>
        <v>0</v>
      </c>
      <c r="AO143" s="172">
        <f t="shared" si="208"/>
        <v>0</v>
      </c>
      <c r="AP143" s="172">
        <f t="shared" si="208"/>
        <v>0</v>
      </c>
      <c r="AQ143" s="172">
        <f t="shared" si="208"/>
        <v>0</v>
      </c>
      <c r="AR143" s="172">
        <f t="shared" si="208"/>
        <v>0</v>
      </c>
      <c r="AS143" s="172">
        <f t="shared" si="208"/>
        <v>0</v>
      </c>
      <c r="AT143" s="172">
        <f t="shared" si="208"/>
        <v>0</v>
      </c>
      <c r="AU143" s="172">
        <f t="shared" si="208"/>
        <v>0</v>
      </c>
      <c r="AV143" s="255"/>
      <c r="AW143" s="255"/>
      <c r="AX143" s="255"/>
      <c r="BC143" s="261"/>
      <c r="BD143" s="261"/>
      <c r="BE143" s="261"/>
      <c r="BF143" s="261"/>
      <c r="BG143" s="185"/>
      <c r="BH143" s="261"/>
      <c r="BI143" s="261"/>
      <c r="BJ143" s="168"/>
      <c r="BK143" s="164"/>
      <c r="BL143" s="164"/>
      <c r="BM143" s="168"/>
      <c r="BN143" s="168"/>
      <c r="BO143" s="2"/>
      <c r="BP143" s="2"/>
    </row>
    <row r="144" spans="1:68">
      <c r="A144" s="179" t="s">
        <v>842</v>
      </c>
      <c r="B144" s="228" t="s">
        <v>560</v>
      </c>
      <c r="C144" s="227" t="str">
        <f t="shared" ref="C144:AU144" ca="1" si="209">IF(C7=$BC$26,"O",IF(C7=$BD$26,"O",IF(C7=$BE$26,"O",IF(C7=$BF$26,"O",IF(C7=$BG$26,"O",IF(C7=$BH$26,"O",IF(C7=$BI$26,"O",IF(C7=$BJ$26,"O",IF(C7=$BK$26,"O",IF(C7=$BL$26,"O",IF(C7=$BM$26,"O",IF(C7=$BN$26,"O",IF(C7=$BO$26,"O",IF(C7=$BP$26,"O",IF(C7=$BQ$26,"O",IF(C7=$BR$26,"O",IF(C7=$BS$26,"O",IF(C7=$BT$26,"O",IF(C7=$BU$26,"O",IF(C7=$BV$26,"O",IF(C7=$BW$26,"O",IF(C7=$BX$26,"O",IF(C7=$BY$26,"O",IF(C7=$BZ$26,"O",IF(C7=$CA$26,"O",IF(C7=$CB$26,"O","X"))))))))))))))))))))))))))</f>
        <v>X</v>
      </c>
      <c r="D144" s="227" t="str">
        <f t="shared" ca="1" si="209"/>
        <v>X</v>
      </c>
      <c r="E144" s="227" t="str">
        <f t="shared" ca="1" si="209"/>
        <v>X</v>
      </c>
      <c r="F144" s="227" t="str">
        <f t="shared" ca="1" si="209"/>
        <v>O</v>
      </c>
      <c r="G144" s="227" t="str">
        <f t="shared" ca="1" si="209"/>
        <v>X</v>
      </c>
      <c r="H144" s="227" t="str">
        <f t="shared" ca="1" si="209"/>
        <v>X</v>
      </c>
      <c r="I144" s="227" t="str">
        <f t="shared" ca="1" si="209"/>
        <v>X</v>
      </c>
      <c r="J144" s="227" t="str">
        <f t="shared" ca="1" si="209"/>
        <v>X</v>
      </c>
      <c r="K144" s="227" t="str">
        <f t="shared" ca="1" si="209"/>
        <v>O</v>
      </c>
      <c r="L144" s="227" t="str">
        <f t="shared" ca="1" si="209"/>
        <v>X</v>
      </c>
      <c r="M144" s="227" t="str">
        <f t="shared" ca="1" si="209"/>
        <v>O</v>
      </c>
      <c r="N144" s="227" t="str">
        <f t="shared" ca="1" si="209"/>
        <v>X</v>
      </c>
      <c r="O144" s="227" t="str">
        <f t="shared" ca="1" si="209"/>
        <v>X</v>
      </c>
      <c r="P144" s="227" t="str">
        <f t="shared" ca="1" si="209"/>
        <v>X</v>
      </c>
      <c r="Q144" s="227" t="str">
        <f t="shared" ca="1" si="209"/>
        <v>O</v>
      </c>
      <c r="R144" s="272" t="str">
        <f t="shared" si="209"/>
        <v>X</v>
      </c>
      <c r="S144" s="272" t="str">
        <f t="shared" si="209"/>
        <v>X</v>
      </c>
      <c r="T144" s="272" t="str">
        <f t="shared" si="209"/>
        <v>X</v>
      </c>
      <c r="U144" s="272" t="str">
        <f t="shared" si="209"/>
        <v>X</v>
      </c>
      <c r="V144" s="272" t="str">
        <f t="shared" si="209"/>
        <v>X</v>
      </c>
      <c r="W144" s="272" t="str">
        <f t="shared" si="209"/>
        <v>X</v>
      </c>
      <c r="X144" s="272" t="str">
        <f t="shared" si="209"/>
        <v>X</v>
      </c>
      <c r="Y144" s="272" t="str">
        <f t="shared" si="209"/>
        <v>X</v>
      </c>
      <c r="Z144" s="272" t="str">
        <f t="shared" si="209"/>
        <v>X</v>
      </c>
      <c r="AA144" s="272" t="str">
        <f t="shared" si="209"/>
        <v>X</v>
      </c>
      <c r="AB144" s="272" t="str">
        <f t="shared" si="209"/>
        <v>X</v>
      </c>
      <c r="AC144" s="272" t="str">
        <f t="shared" si="209"/>
        <v>X</v>
      </c>
      <c r="AD144" s="272" t="str">
        <f t="shared" si="209"/>
        <v>X</v>
      </c>
      <c r="AE144" s="272" t="str">
        <f t="shared" si="209"/>
        <v>X</v>
      </c>
      <c r="AF144" s="272" t="str">
        <f t="shared" si="209"/>
        <v>X</v>
      </c>
      <c r="AG144" s="272" t="str">
        <f t="shared" si="209"/>
        <v>X</v>
      </c>
      <c r="AH144" s="272" t="str">
        <f t="shared" si="209"/>
        <v>X</v>
      </c>
      <c r="AI144" s="272" t="str">
        <f t="shared" si="209"/>
        <v>X</v>
      </c>
      <c r="AJ144" s="272" t="str">
        <f t="shared" si="209"/>
        <v>X</v>
      </c>
      <c r="AK144" s="272" t="str">
        <f t="shared" si="209"/>
        <v>X</v>
      </c>
      <c r="AL144" s="307" t="str">
        <f t="shared" si="209"/>
        <v>X</v>
      </c>
      <c r="AM144" s="307" t="str">
        <f t="shared" si="209"/>
        <v>X</v>
      </c>
      <c r="AN144" s="307" t="str">
        <f t="shared" si="209"/>
        <v>X</v>
      </c>
      <c r="AO144" s="307" t="str">
        <f t="shared" si="209"/>
        <v>X</v>
      </c>
      <c r="AP144" s="307" t="str">
        <f t="shared" si="209"/>
        <v>X</v>
      </c>
      <c r="AQ144" s="307" t="str">
        <f t="shared" si="209"/>
        <v>X</v>
      </c>
      <c r="AR144" s="307" t="str">
        <f t="shared" si="209"/>
        <v>X</v>
      </c>
      <c r="AS144" s="307" t="str">
        <f t="shared" si="209"/>
        <v>X</v>
      </c>
      <c r="AT144" s="307" t="str">
        <f t="shared" si="209"/>
        <v>X</v>
      </c>
      <c r="AU144" s="307" t="str">
        <f t="shared" si="209"/>
        <v>X</v>
      </c>
      <c r="AV144" s="296"/>
      <c r="AW144" s="296"/>
      <c r="AX144" s="206"/>
      <c r="BC144" s="261"/>
      <c r="BD144" s="185"/>
      <c r="BE144" s="185"/>
      <c r="BF144" s="261"/>
      <c r="BG144" s="261"/>
      <c r="BH144" s="261"/>
      <c r="BI144" s="261"/>
      <c r="BJ144" s="168"/>
      <c r="BK144" s="2"/>
      <c r="BL144" s="2"/>
      <c r="BM144" s="2"/>
      <c r="BN144" s="2"/>
      <c r="BO144" s="2"/>
      <c r="BP144" s="2"/>
    </row>
    <row r="145" spans="1:68">
      <c r="A145" s="180"/>
      <c r="B145" s="228" t="s">
        <v>566</v>
      </c>
      <c r="C145" s="227" t="str">
        <f t="shared" ref="C145:AU145" ca="1" si="210">IF(C8=$BC$26,"O",IF(C8=$BD$26,"O",IF(C8=$BE$26,"O",IF(C8=$BF$26,"O",IF(C8=$BG$26,"O",IF(C8=$BH$26,"O",IF(C8=$BI$26,"O",IF(C8=$BJ$26,"O",IF(C8=$BK$26,"O",IF(C8=$BL$26,"O",IF(C8=$BM$26,"O",IF(C8=$BN$26,"O",IF(C8=$BO$26,"O",IF(C8=$BP$26,"O",IF(C8=$BQ$26,"O",IF(C8=$BR$26,"O",IF(C8=$BS$26,"O",IF(C8=$BT$26,"O",IF(C8=$BU$26,"O",IF(C8=$BV$26,"O",IF(C8=$BW$26,"O",IF(C8=$BX$26,"O",IF(C8=$BY$26,"O",IF(C8=$BZ$26,"O",IF(C8=$CA$26,"O",IF(C8=$CB$26,"O","X"))))))))))))))))))))))))))</f>
        <v>O</v>
      </c>
      <c r="D145" s="227" t="str">
        <f t="shared" ca="1" si="210"/>
        <v>O</v>
      </c>
      <c r="E145" s="227" t="str">
        <f t="shared" ca="1" si="210"/>
        <v>O</v>
      </c>
      <c r="F145" s="227" t="str">
        <f t="shared" ca="1" si="210"/>
        <v>O</v>
      </c>
      <c r="G145" s="227" t="str">
        <f t="shared" ca="1" si="210"/>
        <v>X</v>
      </c>
      <c r="H145" s="227" t="str">
        <f t="shared" ca="1" si="210"/>
        <v>X</v>
      </c>
      <c r="I145" s="227" t="str">
        <f t="shared" ca="1" si="210"/>
        <v>X</v>
      </c>
      <c r="J145" s="227" t="str">
        <f t="shared" ca="1" si="210"/>
        <v>O</v>
      </c>
      <c r="K145" s="227" t="str">
        <f t="shared" ca="1" si="210"/>
        <v>X</v>
      </c>
      <c r="L145" s="227" t="str">
        <f t="shared" ca="1" si="210"/>
        <v>X</v>
      </c>
      <c r="M145" s="227" t="str">
        <f t="shared" ca="1" si="210"/>
        <v>X</v>
      </c>
      <c r="N145" s="227" t="str">
        <f t="shared" ca="1" si="210"/>
        <v>X</v>
      </c>
      <c r="O145" s="227" t="str">
        <f t="shared" ca="1" si="210"/>
        <v>O</v>
      </c>
      <c r="P145" s="227" t="str">
        <f t="shared" ca="1" si="210"/>
        <v>X</v>
      </c>
      <c r="Q145" s="227" t="str">
        <f t="shared" ca="1" si="210"/>
        <v>X</v>
      </c>
      <c r="R145" s="272" t="str">
        <f t="shared" si="210"/>
        <v>X</v>
      </c>
      <c r="S145" s="272" t="str">
        <f t="shared" si="210"/>
        <v>X</v>
      </c>
      <c r="T145" s="272" t="str">
        <f t="shared" si="210"/>
        <v>X</v>
      </c>
      <c r="U145" s="272" t="str">
        <f t="shared" si="210"/>
        <v>X</v>
      </c>
      <c r="V145" s="272" t="str">
        <f t="shared" si="210"/>
        <v>X</v>
      </c>
      <c r="W145" s="272" t="str">
        <f t="shared" si="210"/>
        <v>X</v>
      </c>
      <c r="X145" s="272" t="str">
        <f t="shared" si="210"/>
        <v>X</v>
      </c>
      <c r="Y145" s="272" t="str">
        <f t="shared" si="210"/>
        <v>X</v>
      </c>
      <c r="Z145" s="272" t="str">
        <f t="shared" si="210"/>
        <v>X</v>
      </c>
      <c r="AA145" s="272" t="str">
        <f t="shared" si="210"/>
        <v>X</v>
      </c>
      <c r="AB145" s="272" t="str">
        <f t="shared" si="210"/>
        <v>X</v>
      </c>
      <c r="AC145" s="272" t="str">
        <f t="shared" si="210"/>
        <v>X</v>
      </c>
      <c r="AD145" s="272" t="str">
        <f t="shared" si="210"/>
        <v>X</v>
      </c>
      <c r="AE145" s="272" t="str">
        <f t="shared" si="210"/>
        <v>X</v>
      </c>
      <c r="AF145" s="272" t="str">
        <f t="shared" si="210"/>
        <v>X</v>
      </c>
      <c r="AG145" s="272" t="str">
        <f t="shared" si="210"/>
        <v>X</v>
      </c>
      <c r="AH145" s="272" t="str">
        <f t="shared" si="210"/>
        <v>X</v>
      </c>
      <c r="AI145" s="272" t="str">
        <f t="shared" si="210"/>
        <v>X</v>
      </c>
      <c r="AJ145" s="272" t="str">
        <f t="shared" si="210"/>
        <v>X</v>
      </c>
      <c r="AK145" s="272" t="str">
        <f t="shared" si="210"/>
        <v>X</v>
      </c>
      <c r="AL145" s="307" t="str">
        <f t="shared" si="210"/>
        <v>X</v>
      </c>
      <c r="AM145" s="307" t="str">
        <f t="shared" si="210"/>
        <v>X</v>
      </c>
      <c r="AN145" s="307" t="str">
        <f t="shared" si="210"/>
        <v>X</v>
      </c>
      <c r="AO145" s="307" t="str">
        <f t="shared" si="210"/>
        <v>X</v>
      </c>
      <c r="AP145" s="307" t="str">
        <f t="shared" si="210"/>
        <v>X</v>
      </c>
      <c r="AQ145" s="307" t="str">
        <f t="shared" si="210"/>
        <v>X</v>
      </c>
      <c r="AR145" s="307" t="str">
        <f t="shared" si="210"/>
        <v>X</v>
      </c>
      <c r="AS145" s="307" t="str">
        <f t="shared" si="210"/>
        <v>X</v>
      </c>
      <c r="AT145" s="307" t="str">
        <f t="shared" si="210"/>
        <v>X</v>
      </c>
      <c r="AU145" s="307" t="str">
        <f t="shared" si="210"/>
        <v>X</v>
      </c>
      <c r="AV145" s="296"/>
      <c r="AW145" s="296"/>
      <c r="AX145" s="206"/>
      <c r="BC145" s="261"/>
      <c r="BD145" s="261"/>
      <c r="BE145" s="239"/>
      <c r="BF145" s="185"/>
      <c r="BG145" s="261"/>
      <c r="BH145" s="185"/>
      <c r="BI145" s="185"/>
      <c r="BJ145" s="168"/>
      <c r="BK145" s="2"/>
      <c r="BL145" s="2"/>
      <c r="BM145" s="2"/>
      <c r="BN145" s="2"/>
      <c r="BO145" s="2"/>
      <c r="BP145" s="2"/>
    </row>
    <row r="146" spans="1:68">
      <c r="A146" s="180"/>
      <c r="B146" s="228" t="s">
        <v>567</v>
      </c>
      <c r="C146" s="227" t="str">
        <f t="shared" ref="C146:AU146" ca="1" si="211">IF(C9=$BC$26,"O",IF(C9=$BD$26,"O",IF(C9=$BE$26,"O",IF(C9=$BF$26,"O",IF(C9=$BG$26,"O",IF(C9=$BH$26,"O",IF(C9=$BI$26,"O",IF(C9=$BJ$26,"O",IF(C9=$BK$26,"O",IF(C9=$BL$26,"O",IF(C9=$BM$26,"O",IF(C9=$BN$26,"O",IF(C9=$BO$26,"O",IF(C9=$BP$26,"O",IF(C9=$BQ$26,"O",IF(C9=$BR$26,"O",IF(C9=$BS$26,"O",IF(C9=$BT$26,"O",IF(C9=$BU$26,"O",IF(C9=$BV$26,"O",IF(C9=$BW$26,"O",IF(C9=$BX$26,"O",IF(C9=$BY$26,"O",IF(C9=$BZ$26,"O",IF(C9=$CA$26,"O",IF(C9=$CB$26,"O","X"))))))))))))))))))))))))))</f>
        <v>X</v>
      </c>
      <c r="D146" s="227" t="str">
        <f t="shared" ca="1" si="211"/>
        <v>X</v>
      </c>
      <c r="E146" s="227" t="str">
        <f t="shared" ca="1" si="211"/>
        <v>O</v>
      </c>
      <c r="F146" s="227" t="str">
        <f t="shared" ca="1" si="211"/>
        <v>O</v>
      </c>
      <c r="G146" s="227" t="str">
        <f t="shared" ca="1" si="211"/>
        <v>O</v>
      </c>
      <c r="H146" s="227" t="str">
        <f t="shared" ca="1" si="211"/>
        <v>O</v>
      </c>
      <c r="I146" s="227" t="str">
        <f t="shared" ca="1" si="211"/>
        <v>O</v>
      </c>
      <c r="J146" s="227" t="str">
        <f t="shared" ca="1" si="211"/>
        <v>X</v>
      </c>
      <c r="K146" s="227" t="str">
        <f t="shared" ca="1" si="211"/>
        <v>X</v>
      </c>
      <c r="L146" s="227" t="str">
        <f t="shared" ca="1" si="211"/>
        <v>X</v>
      </c>
      <c r="M146" s="227" t="str">
        <f t="shared" ca="1" si="211"/>
        <v>X</v>
      </c>
      <c r="N146" s="227" t="str">
        <f t="shared" ca="1" si="211"/>
        <v>X</v>
      </c>
      <c r="O146" s="227" t="str">
        <f t="shared" ca="1" si="211"/>
        <v>O</v>
      </c>
      <c r="P146" s="227" t="str">
        <f t="shared" ca="1" si="211"/>
        <v>X</v>
      </c>
      <c r="Q146" s="227" t="str">
        <f t="shared" ca="1" si="211"/>
        <v>O</v>
      </c>
      <c r="R146" s="272" t="str">
        <f t="shared" si="211"/>
        <v>X</v>
      </c>
      <c r="S146" s="272" t="str">
        <f t="shared" si="211"/>
        <v>X</v>
      </c>
      <c r="T146" s="272" t="str">
        <f t="shared" si="211"/>
        <v>X</v>
      </c>
      <c r="U146" s="272" t="str">
        <f t="shared" si="211"/>
        <v>X</v>
      </c>
      <c r="V146" s="272" t="str">
        <f t="shared" si="211"/>
        <v>X</v>
      </c>
      <c r="W146" s="272" t="str">
        <f t="shared" si="211"/>
        <v>X</v>
      </c>
      <c r="X146" s="272" t="str">
        <f t="shared" si="211"/>
        <v>X</v>
      </c>
      <c r="Y146" s="272" t="str">
        <f t="shared" si="211"/>
        <v>X</v>
      </c>
      <c r="Z146" s="272" t="str">
        <f t="shared" si="211"/>
        <v>X</v>
      </c>
      <c r="AA146" s="272" t="str">
        <f t="shared" si="211"/>
        <v>X</v>
      </c>
      <c r="AB146" s="272" t="str">
        <f t="shared" si="211"/>
        <v>X</v>
      </c>
      <c r="AC146" s="272" t="str">
        <f t="shared" si="211"/>
        <v>X</v>
      </c>
      <c r="AD146" s="272" t="str">
        <f t="shared" si="211"/>
        <v>X</v>
      </c>
      <c r="AE146" s="272" t="str">
        <f t="shared" si="211"/>
        <v>X</v>
      </c>
      <c r="AF146" s="272" t="str">
        <f t="shared" si="211"/>
        <v>X</v>
      </c>
      <c r="AG146" s="272" t="str">
        <f t="shared" si="211"/>
        <v>X</v>
      </c>
      <c r="AH146" s="272" t="str">
        <f t="shared" si="211"/>
        <v>X</v>
      </c>
      <c r="AI146" s="272" t="str">
        <f t="shared" si="211"/>
        <v>X</v>
      </c>
      <c r="AJ146" s="272" t="str">
        <f t="shared" si="211"/>
        <v>X</v>
      </c>
      <c r="AK146" s="272" t="str">
        <f t="shared" si="211"/>
        <v>X</v>
      </c>
      <c r="AL146" s="307" t="str">
        <f t="shared" si="211"/>
        <v>X</v>
      </c>
      <c r="AM146" s="307" t="str">
        <f t="shared" si="211"/>
        <v>X</v>
      </c>
      <c r="AN146" s="307" t="str">
        <f t="shared" si="211"/>
        <v>X</v>
      </c>
      <c r="AO146" s="307" t="str">
        <f t="shared" si="211"/>
        <v>X</v>
      </c>
      <c r="AP146" s="307" t="str">
        <f t="shared" si="211"/>
        <v>X</v>
      </c>
      <c r="AQ146" s="307" t="str">
        <f t="shared" si="211"/>
        <v>X</v>
      </c>
      <c r="AR146" s="307" t="str">
        <f t="shared" si="211"/>
        <v>X</v>
      </c>
      <c r="AS146" s="307" t="str">
        <f t="shared" si="211"/>
        <v>X</v>
      </c>
      <c r="AT146" s="307" t="str">
        <f t="shared" si="211"/>
        <v>X</v>
      </c>
      <c r="AU146" s="307" t="str">
        <f t="shared" si="211"/>
        <v>X</v>
      </c>
      <c r="AV146" s="296"/>
      <c r="AW146" s="296"/>
      <c r="AX146" s="206"/>
      <c r="BC146" s="261"/>
      <c r="BD146" s="261"/>
      <c r="BE146" s="261"/>
      <c r="BF146" s="261"/>
      <c r="BG146" s="185"/>
      <c r="BH146" s="239"/>
      <c r="BI146" s="185"/>
      <c r="BJ146" s="168"/>
      <c r="BK146" s="2"/>
      <c r="BL146" s="2"/>
      <c r="BM146" s="2"/>
      <c r="BN146" s="2"/>
      <c r="BO146" s="2"/>
      <c r="BP146" s="2"/>
    </row>
    <row r="147" spans="1:68">
      <c r="A147" s="180"/>
      <c r="B147" s="228" t="s">
        <v>568</v>
      </c>
      <c r="C147" s="227" t="str">
        <f t="shared" ref="C147:AU147" ca="1" si="212">IF(C10=$BC$26,"O",IF(C10=$BD$26,"O",IF(C10=$BE$26,"O",IF(C10=$BF$26,"O",IF(C10=$BG$26,"O",IF(C10=$BH$26,"O",IF(C10=$BI$26,"O",IF(C10=$BJ$26,"O",IF(C10=$BK$26,"O",IF(C10=$BL$26,"O",IF(C10=$BM$26,"O",IF(C10=$BN$26,"O",IF(C10=$BO$26,"O",IF(C10=$BP$26,"O",IF(C10=$BQ$26,"O",IF(C10=$BR$26,"O",IF(C10=$BS$26,"O",IF(C10=$BT$26,"O",IF(C10=$BU$26,"O",IF(C10=$BV$26,"O",IF(C10=$BW$26,"O",IF(C10=$BX$26,"O",IF(C10=$BY$26,"O",IF(C10=$BZ$26,"O",IF(C10=$CA$26,"O",IF(C10=$CB$26,"O","X"))))))))))))))))))))))))))</f>
        <v>X</v>
      </c>
      <c r="D147" s="227" t="str">
        <f t="shared" ca="1" si="212"/>
        <v>X</v>
      </c>
      <c r="E147" s="227" t="str">
        <f t="shared" ca="1" si="212"/>
        <v>X</v>
      </c>
      <c r="F147" s="227" t="str">
        <f t="shared" ca="1" si="212"/>
        <v>O</v>
      </c>
      <c r="G147" s="227" t="str">
        <f t="shared" ca="1" si="212"/>
        <v>X</v>
      </c>
      <c r="H147" s="227" t="str">
        <f t="shared" ca="1" si="212"/>
        <v>O</v>
      </c>
      <c r="I147" s="227" t="str">
        <f t="shared" ca="1" si="212"/>
        <v>X</v>
      </c>
      <c r="J147" s="227" t="str">
        <f t="shared" ca="1" si="212"/>
        <v>O</v>
      </c>
      <c r="K147" s="227" t="str">
        <f t="shared" ca="1" si="212"/>
        <v>O</v>
      </c>
      <c r="L147" s="227" t="str">
        <f t="shared" ca="1" si="212"/>
        <v>X</v>
      </c>
      <c r="M147" s="227" t="str">
        <f t="shared" ca="1" si="212"/>
        <v>O</v>
      </c>
      <c r="N147" s="227" t="str">
        <f t="shared" ca="1" si="212"/>
        <v>O</v>
      </c>
      <c r="O147" s="227" t="str">
        <f t="shared" ca="1" si="212"/>
        <v>X</v>
      </c>
      <c r="P147" s="227" t="str">
        <f t="shared" ca="1" si="212"/>
        <v>X</v>
      </c>
      <c r="Q147" s="227" t="str">
        <f t="shared" ca="1" si="212"/>
        <v>X</v>
      </c>
      <c r="R147" s="272" t="str">
        <f t="shared" si="212"/>
        <v>X</v>
      </c>
      <c r="S147" s="272" t="str">
        <f t="shared" si="212"/>
        <v>X</v>
      </c>
      <c r="T147" s="272" t="str">
        <f t="shared" si="212"/>
        <v>X</v>
      </c>
      <c r="U147" s="272" t="str">
        <f t="shared" si="212"/>
        <v>X</v>
      </c>
      <c r="V147" s="272" t="str">
        <f t="shared" si="212"/>
        <v>X</v>
      </c>
      <c r="W147" s="272" t="str">
        <f t="shared" si="212"/>
        <v>X</v>
      </c>
      <c r="X147" s="272" t="str">
        <f t="shared" si="212"/>
        <v>X</v>
      </c>
      <c r="Y147" s="272" t="str">
        <f t="shared" si="212"/>
        <v>X</v>
      </c>
      <c r="Z147" s="272" t="str">
        <f t="shared" si="212"/>
        <v>X</v>
      </c>
      <c r="AA147" s="272" t="str">
        <f t="shared" si="212"/>
        <v>X</v>
      </c>
      <c r="AB147" s="272" t="str">
        <f t="shared" si="212"/>
        <v>X</v>
      </c>
      <c r="AC147" s="272" t="str">
        <f t="shared" si="212"/>
        <v>X</v>
      </c>
      <c r="AD147" s="272" t="str">
        <f t="shared" si="212"/>
        <v>X</v>
      </c>
      <c r="AE147" s="272" t="str">
        <f t="shared" si="212"/>
        <v>X</v>
      </c>
      <c r="AF147" s="272" t="str">
        <f t="shared" si="212"/>
        <v>X</v>
      </c>
      <c r="AG147" s="272" t="str">
        <f t="shared" si="212"/>
        <v>X</v>
      </c>
      <c r="AH147" s="272" t="str">
        <f t="shared" si="212"/>
        <v>X</v>
      </c>
      <c r="AI147" s="272" t="str">
        <f t="shared" si="212"/>
        <v>X</v>
      </c>
      <c r="AJ147" s="272" t="str">
        <f t="shared" si="212"/>
        <v>X</v>
      </c>
      <c r="AK147" s="272" t="str">
        <f t="shared" si="212"/>
        <v>X</v>
      </c>
      <c r="AL147" s="307" t="str">
        <f t="shared" si="212"/>
        <v>X</v>
      </c>
      <c r="AM147" s="307" t="str">
        <f t="shared" si="212"/>
        <v>X</v>
      </c>
      <c r="AN147" s="307" t="str">
        <f t="shared" si="212"/>
        <v>X</v>
      </c>
      <c r="AO147" s="307" t="str">
        <f t="shared" si="212"/>
        <v>X</v>
      </c>
      <c r="AP147" s="307" t="str">
        <f t="shared" si="212"/>
        <v>X</v>
      </c>
      <c r="AQ147" s="307" t="str">
        <f t="shared" si="212"/>
        <v>X</v>
      </c>
      <c r="AR147" s="307" t="str">
        <f t="shared" si="212"/>
        <v>X</v>
      </c>
      <c r="AS147" s="307" t="str">
        <f t="shared" si="212"/>
        <v>X</v>
      </c>
      <c r="AT147" s="307" t="str">
        <f t="shared" si="212"/>
        <v>X</v>
      </c>
      <c r="AU147" s="307" t="str">
        <f t="shared" si="212"/>
        <v>X</v>
      </c>
      <c r="AV147" s="296"/>
      <c r="AW147" s="296"/>
      <c r="AX147" s="206"/>
      <c r="BC147" s="241"/>
      <c r="BD147" s="263"/>
      <c r="BE147" s="241"/>
      <c r="BF147" s="241"/>
      <c r="BG147" s="264"/>
      <c r="BH147" s="241"/>
      <c r="BI147" s="241"/>
      <c r="BJ147" s="262"/>
      <c r="BK147" s="2"/>
      <c r="BL147" s="2"/>
      <c r="BM147" s="2"/>
      <c r="BN147" s="2"/>
      <c r="BO147" s="2"/>
      <c r="BP147" s="2"/>
    </row>
    <row r="148" spans="1:68">
      <c r="A148" s="180"/>
      <c r="B148" s="228" t="s">
        <v>569</v>
      </c>
      <c r="C148" s="227" t="str">
        <f t="shared" ref="C148:AU148" ca="1" si="213">IF(C11=$BC$26,"O",IF(C11=$BD$26,"O",IF(C11=$BE$26,"O",IF(C11=$BF$26,"O",IF(C11=$BG$26,"O",IF(C11=$BH$26,"O",IF(C11=$BI$26,"O",IF(C11=$BJ$26,"O",IF(C11=$BK$26,"O",IF(C11=$BL$26,"O",IF(C11=$BM$26,"O",IF(C11=$BN$26,"O",IF(C11=$BO$26,"O",IF(C11=$BP$26,"O",IF(C11=$BQ$26,"O",IF(C11=$BR$26,"O",IF(C11=$BS$26,"O",IF(C11=$BT$26,"O",IF(C11=$BU$26,"O",IF(C11=$BV$26,"O",IF(C11=$BW$26,"O",IF(C11=$BX$26,"O",IF(C11=$BY$26,"O",IF(C11=$BZ$26,"O",IF(C11=$CA$26,"O",IF(C11=$CB$26,"O","X"))))))))))))))))))))))))))</f>
        <v>X</v>
      </c>
      <c r="D148" s="227" t="str">
        <f t="shared" ca="1" si="213"/>
        <v>X</v>
      </c>
      <c r="E148" s="227" t="str">
        <f t="shared" ca="1" si="213"/>
        <v>X</v>
      </c>
      <c r="F148" s="227" t="str">
        <f t="shared" ca="1" si="213"/>
        <v>X</v>
      </c>
      <c r="G148" s="227" t="str">
        <f t="shared" ca="1" si="213"/>
        <v>O</v>
      </c>
      <c r="H148" s="227" t="str">
        <f t="shared" ca="1" si="213"/>
        <v>X</v>
      </c>
      <c r="I148" s="227" t="str">
        <f t="shared" ca="1" si="213"/>
        <v>O</v>
      </c>
      <c r="J148" s="227" t="str">
        <f t="shared" ca="1" si="213"/>
        <v>O</v>
      </c>
      <c r="K148" s="227" t="str">
        <f t="shared" ca="1" si="213"/>
        <v>X</v>
      </c>
      <c r="L148" s="227" t="str">
        <f t="shared" ca="1" si="213"/>
        <v>O</v>
      </c>
      <c r="M148" s="227" t="str">
        <f t="shared" ca="1" si="213"/>
        <v>O</v>
      </c>
      <c r="N148" s="227" t="str">
        <f t="shared" ca="1" si="213"/>
        <v>X</v>
      </c>
      <c r="O148" s="227" t="str">
        <f t="shared" ca="1" si="213"/>
        <v>X</v>
      </c>
      <c r="P148" s="227" t="str">
        <f t="shared" ca="1" si="213"/>
        <v>X</v>
      </c>
      <c r="Q148" s="227" t="str">
        <f t="shared" ca="1" si="213"/>
        <v>O</v>
      </c>
      <c r="R148" s="272" t="str">
        <f t="shared" si="213"/>
        <v>X</v>
      </c>
      <c r="S148" s="272" t="str">
        <f t="shared" si="213"/>
        <v>X</v>
      </c>
      <c r="T148" s="272" t="str">
        <f t="shared" si="213"/>
        <v>X</v>
      </c>
      <c r="U148" s="272" t="str">
        <f t="shared" si="213"/>
        <v>X</v>
      </c>
      <c r="V148" s="272" t="str">
        <f t="shared" si="213"/>
        <v>X</v>
      </c>
      <c r="W148" s="272" t="str">
        <f t="shared" si="213"/>
        <v>X</v>
      </c>
      <c r="X148" s="272" t="str">
        <f t="shared" si="213"/>
        <v>X</v>
      </c>
      <c r="Y148" s="272" t="str">
        <f t="shared" si="213"/>
        <v>X</v>
      </c>
      <c r="Z148" s="272" t="str">
        <f t="shared" si="213"/>
        <v>X</v>
      </c>
      <c r="AA148" s="272" t="str">
        <f t="shared" si="213"/>
        <v>X</v>
      </c>
      <c r="AB148" s="272" t="str">
        <f t="shared" si="213"/>
        <v>X</v>
      </c>
      <c r="AC148" s="272" t="str">
        <f t="shared" si="213"/>
        <v>X</v>
      </c>
      <c r="AD148" s="272" t="str">
        <f t="shared" si="213"/>
        <v>X</v>
      </c>
      <c r="AE148" s="272" t="str">
        <f t="shared" si="213"/>
        <v>X</v>
      </c>
      <c r="AF148" s="272" t="str">
        <f t="shared" si="213"/>
        <v>X</v>
      </c>
      <c r="AG148" s="272" t="str">
        <f t="shared" si="213"/>
        <v>X</v>
      </c>
      <c r="AH148" s="272" t="str">
        <f t="shared" si="213"/>
        <v>X</v>
      </c>
      <c r="AI148" s="272" t="str">
        <f t="shared" si="213"/>
        <v>X</v>
      </c>
      <c r="AJ148" s="272" t="str">
        <f t="shared" si="213"/>
        <v>X</v>
      </c>
      <c r="AK148" s="272" t="str">
        <f t="shared" si="213"/>
        <v>X</v>
      </c>
      <c r="AL148" s="307" t="str">
        <f t="shared" si="213"/>
        <v>X</v>
      </c>
      <c r="AM148" s="307" t="str">
        <f t="shared" si="213"/>
        <v>X</v>
      </c>
      <c r="AN148" s="307" t="str">
        <f t="shared" si="213"/>
        <v>X</v>
      </c>
      <c r="AO148" s="307" t="str">
        <f t="shared" si="213"/>
        <v>X</v>
      </c>
      <c r="AP148" s="307" t="str">
        <f t="shared" si="213"/>
        <v>X</v>
      </c>
      <c r="AQ148" s="307" t="str">
        <f t="shared" si="213"/>
        <v>X</v>
      </c>
      <c r="AR148" s="307" t="str">
        <f t="shared" si="213"/>
        <v>X</v>
      </c>
      <c r="AS148" s="307" t="str">
        <f t="shared" si="213"/>
        <v>X</v>
      </c>
      <c r="AT148" s="307" t="str">
        <f t="shared" si="213"/>
        <v>X</v>
      </c>
      <c r="AU148" s="307" t="str">
        <f t="shared" si="213"/>
        <v>X</v>
      </c>
      <c r="AV148" s="296"/>
      <c r="AW148" s="296"/>
      <c r="AX148" s="206"/>
      <c r="BC148" s="261"/>
      <c r="BD148" s="239"/>
      <c r="BE148" s="261"/>
      <c r="BF148" s="185"/>
      <c r="BG148" s="239"/>
      <c r="BH148" s="239"/>
      <c r="BI148" s="239"/>
      <c r="BJ148" s="168"/>
      <c r="BK148" s="2"/>
      <c r="BL148" s="2"/>
      <c r="BM148" s="2"/>
      <c r="BN148" s="2"/>
      <c r="BO148" s="2"/>
      <c r="BP148" s="2"/>
    </row>
    <row r="149" spans="1:68">
      <c r="A149" s="180"/>
      <c r="B149" s="227" t="s">
        <v>540</v>
      </c>
      <c r="C149" s="227" t="str">
        <f t="shared" ref="C149:AU149" ca="1" si="214">IF(C12=$BC$26,"O",IF(C12=$BD$26,"O",IF(C12=$BE$26,"O",IF(C12=$BF$26,"O",IF(C12=$BG$26,"O",IF(C12=$BH$26,"O",IF(C12=$BI$26,"O",IF(C12=$BJ$26,"O",IF(C12=$BK$26,"O",IF(C12=$BL$26,"O",IF(C12=$BM$26,"O",IF(C12=$BN$26,"O",IF(C12=$BO$26,"O",IF(C12=$BP$26,"O",IF(C12=$BQ$26,"O",IF(C12=$BR$26,"O",IF(C12=$BS$26,"O",IF(C12=$BT$26,"O",IF(C12=$BU$26,"O",IF(C12=$BV$26,"O",IF(C12=$BW$26,"O",IF(C12=$BX$26,"O",IF(C12=$BY$26,"O",IF(C12=$BZ$26,"O",IF(C12=$CA$26,"O",IF(C12=$CB$26,"O","X"))))))))))))))))))))))))))</f>
        <v>X</v>
      </c>
      <c r="D149" s="227" t="str">
        <f t="shared" ca="1" si="214"/>
        <v>X</v>
      </c>
      <c r="E149" s="227" t="str">
        <f t="shared" ca="1" si="214"/>
        <v>O</v>
      </c>
      <c r="F149" s="227" t="str">
        <f t="shared" ca="1" si="214"/>
        <v>O</v>
      </c>
      <c r="G149" s="227" t="str">
        <f t="shared" ca="1" si="214"/>
        <v>O</v>
      </c>
      <c r="H149" s="227" t="str">
        <f t="shared" ca="1" si="214"/>
        <v>X</v>
      </c>
      <c r="I149" s="227" t="str">
        <f t="shared" ca="1" si="214"/>
        <v>X</v>
      </c>
      <c r="J149" s="227" t="str">
        <f t="shared" ca="1" si="214"/>
        <v>O</v>
      </c>
      <c r="K149" s="227" t="str">
        <f t="shared" ca="1" si="214"/>
        <v>X</v>
      </c>
      <c r="L149" s="227" t="str">
        <f t="shared" ca="1" si="214"/>
        <v>O</v>
      </c>
      <c r="M149" s="227" t="str">
        <f t="shared" ca="1" si="214"/>
        <v>O</v>
      </c>
      <c r="N149" s="227" t="str">
        <f t="shared" ca="1" si="214"/>
        <v>O</v>
      </c>
      <c r="O149" s="227" t="str">
        <f t="shared" ca="1" si="214"/>
        <v>X</v>
      </c>
      <c r="P149" s="227" t="str">
        <f t="shared" ca="1" si="214"/>
        <v>X</v>
      </c>
      <c r="Q149" s="227" t="str">
        <f t="shared" ca="1" si="214"/>
        <v>X</v>
      </c>
      <c r="R149" s="272" t="str">
        <f t="shared" si="214"/>
        <v>X</v>
      </c>
      <c r="S149" s="272" t="str">
        <f t="shared" si="214"/>
        <v>X</v>
      </c>
      <c r="T149" s="272" t="str">
        <f t="shared" si="214"/>
        <v>X</v>
      </c>
      <c r="U149" s="272" t="str">
        <f t="shared" si="214"/>
        <v>X</v>
      </c>
      <c r="V149" s="272" t="str">
        <f t="shared" si="214"/>
        <v>X</v>
      </c>
      <c r="W149" s="272" t="str">
        <f t="shared" si="214"/>
        <v>X</v>
      </c>
      <c r="X149" s="272" t="str">
        <f t="shared" si="214"/>
        <v>X</v>
      </c>
      <c r="Y149" s="272" t="str">
        <f t="shared" si="214"/>
        <v>X</v>
      </c>
      <c r="Z149" s="272" t="str">
        <f t="shared" si="214"/>
        <v>X</v>
      </c>
      <c r="AA149" s="272" t="str">
        <f t="shared" si="214"/>
        <v>X</v>
      </c>
      <c r="AB149" s="272" t="str">
        <f t="shared" si="214"/>
        <v>X</v>
      </c>
      <c r="AC149" s="272" t="str">
        <f t="shared" si="214"/>
        <v>X</v>
      </c>
      <c r="AD149" s="272" t="str">
        <f t="shared" si="214"/>
        <v>X</v>
      </c>
      <c r="AE149" s="272" t="str">
        <f t="shared" si="214"/>
        <v>X</v>
      </c>
      <c r="AF149" s="272" t="str">
        <f t="shared" si="214"/>
        <v>X</v>
      </c>
      <c r="AG149" s="272" t="str">
        <f t="shared" si="214"/>
        <v>X</v>
      </c>
      <c r="AH149" s="272" t="str">
        <f t="shared" si="214"/>
        <v>X</v>
      </c>
      <c r="AI149" s="272" t="str">
        <f t="shared" si="214"/>
        <v>X</v>
      </c>
      <c r="AJ149" s="272" t="str">
        <f t="shared" si="214"/>
        <v>X</v>
      </c>
      <c r="AK149" s="272" t="str">
        <f t="shared" si="214"/>
        <v>X</v>
      </c>
      <c r="AL149" s="307" t="str">
        <f t="shared" si="214"/>
        <v>X</v>
      </c>
      <c r="AM149" s="307" t="str">
        <f t="shared" si="214"/>
        <v>X</v>
      </c>
      <c r="AN149" s="307" t="str">
        <f t="shared" si="214"/>
        <v>X</v>
      </c>
      <c r="AO149" s="307" t="str">
        <f t="shared" si="214"/>
        <v>X</v>
      </c>
      <c r="AP149" s="307" t="str">
        <f t="shared" si="214"/>
        <v>X</v>
      </c>
      <c r="AQ149" s="307" t="str">
        <f t="shared" si="214"/>
        <v>X</v>
      </c>
      <c r="AR149" s="307" t="str">
        <f t="shared" si="214"/>
        <v>X</v>
      </c>
      <c r="AS149" s="307" t="str">
        <f t="shared" si="214"/>
        <v>X</v>
      </c>
      <c r="AT149" s="307" t="str">
        <f t="shared" si="214"/>
        <v>X</v>
      </c>
      <c r="AU149" s="307" t="str">
        <f t="shared" si="214"/>
        <v>X</v>
      </c>
      <c r="AV149" s="296"/>
      <c r="AW149" s="296"/>
      <c r="AX149" s="206"/>
      <c r="BC149" s="261"/>
      <c r="BD149" s="239"/>
      <c r="BE149" s="261"/>
      <c r="BF149" s="239"/>
      <c r="BG149" s="239"/>
      <c r="BH149" s="239"/>
      <c r="BI149" s="185"/>
      <c r="BJ149" s="168"/>
      <c r="BK149" s="2"/>
      <c r="BL149" s="2"/>
      <c r="BM149" s="2"/>
      <c r="BN149" s="2"/>
      <c r="BO149" s="2"/>
      <c r="BP149" s="2"/>
    </row>
    <row r="150" spans="1:68">
      <c r="A150" s="181"/>
      <c r="B150" s="111" t="s">
        <v>663</v>
      </c>
      <c r="C150" s="172">
        <f ca="1">COUNTIF(C144:C149,"O")</f>
        <v>1</v>
      </c>
      <c r="D150" s="172">
        <f t="shared" ref="D150:Q150" ca="1" si="215">COUNTIF(D144:D149,"O")</f>
        <v>1</v>
      </c>
      <c r="E150" s="172">
        <f t="shared" ca="1" si="215"/>
        <v>3</v>
      </c>
      <c r="F150" s="172">
        <f t="shared" ca="1" si="215"/>
        <v>5</v>
      </c>
      <c r="G150" s="172">
        <f t="shared" ca="1" si="215"/>
        <v>3</v>
      </c>
      <c r="H150" s="172">
        <f t="shared" ca="1" si="215"/>
        <v>2</v>
      </c>
      <c r="I150" s="172">
        <f t="shared" ca="1" si="215"/>
        <v>2</v>
      </c>
      <c r="J150" s="172">
        <f t="shared" ca="1" si="215"/>
        <v>4</v>
      </c>
      <c r="K150" s="172">
        <f t="shared" ca="1" si="215"/>
        <v>2</v>
      </c>
      <c r="L150" s="172">
        <f t="shared" ca="1" si="215"/>
        <v>2</v>
      </c>
      <c r="M150" s="172">
        <f t="shared" ca="1" si="215"/>
        <v>4</v>
      </c>
      <c r="N150" s="172">
        <f t="shared" ca="1" si="215"/>
        <v>2</v>
      </c>
      <c r="O150" s="172">
        <f t="shared" ca="1" si="215"/>
        <v>2</v>
      </c>
      <c r="P150" s="172">
        <f t="shared" ca="1" si="215"/>
        <v>0</v>
      </c>
      <c r="Q150" s="172">
        <f t="shared" ca="1" si="215"/>
        <v>3</v>
      </c>
      <c r="R150" s="172">
        <f t="shared" ref="R150:AK150" si="216">COUNTIF(R144:R149,"O")</f>
        <v>0</v>
      </c>
      <c r="S150" s="172">
        <f t="shared" si="216"/>
        <v>0</v>
      </c>
      <c r="T150" s="172">
        <f t="shared" si="216"/>
        <v>0</v>
      </c>
      <c r="U150" s="172">
        <f t="shared" si="216"/>
        <v>0</v>
      </c>
      <c r="V150" s="172">
        <f t="shared" si="216"/>
        <v>0</v>
      </c>
      <c r="W150" s="172">
        <f t="shared" si="216"/>
        <v>0</v>
      </c>
      <c r="X150" s="172">
        <f t="shared" si="216"/>
        <v>0</v>
      </c>
      <c r="Y150" s="172">
        <f t="shared" si="216"/>
        <v>0</v>
      </c>
      <c r="Z150" s="172">
        <f t="shared" si="216"/>
        <v>0</v>
      </c>
      <c r="AA150" s="172">
        <f t="shared" si="216"/>
        <v>0</v>
      </c>
      <c r="AB150" s="172">
        <f t="shared" si="216"/>
        <v>0</v>
      </c>
      <c r="AC150" s="172">
        <f t="shared" si="216"/>
        <v>0</v>
      </c>
      <c r="AD150" s="172">
        <f t="shared" si="216"/>
        <v>0</v>
      </c>
      <c r="AE150" s="172">
        <f t="shared" si="216"/>
        <v>0</v>
      </c>
      <c r="AF150" s="172">
        <f t="shared" si="216"/>
        <v>0</v>
      </c>
      <c r="AG150" s="172">
        <f t="shared" si="216"/>
        <v>0</v>
      </c>
      <c r="AH150" s="172">
        <f t="shared" si="216"/>
        <v>0</v>
      </c>
      <c r="AI150" s="172">
        <f t="shared" si="216"/>
        <v>0</v>
      </c>
      <c r="AJ150" s="172">
        <f t="shared" si="216"/>
        <v>0</v>
      </c>
      <c r="AK150" s="172">
        <f t="shared" si="216"/>
        <v>0</v>
      </c>
      <c r="AL150" s="172">
        <f t="shared" ref="AL150:AU150" si="217">COUNTIF(AL144:AL149,"O")</f>
        <v>0</v>
      </c>
      <c r="AM150" s="172">
        <f t="shared" si="217"/>
        <v>0</v>
      </c>
      <c r="AN150" s="172">
        <f t="shared" si="217"/>
        <v>0</v>
      </c>
      <c r="AO150" s="172">
        <f t="shared" si="217"/>
        <v>0</v>
      </c>
      <c r="AP150" s="172">
        <f t="shared" si="217"/>
        <v>0</v>
      </c>
      <c r="AQ150" s="172">
        <f t="shared" si="217"/>
        <v>0</v>
      </c>
      <c r="AR150" s="172">
        <f t="shared" si="217"/>
        <v>0</v>
      </c>
      <c r="AS150" s="172">
        <f t="shared" si="217"/>
        <v>0</v>
      </c>
      <c r="AT150" s="172">
        <f t="shared" si="217"/>
        <v>0</v>
      </c>
      <c r="AU150" s="172">
        <f t="shared" si="217"/>
        <v>0</v>
      </c>
      <c r="AV150" s="255"/>
      <c r="AW150" s="255"/>
      <c r="AX150" s="255"/>
      <c r="BC150" s="261"/>
      <c r="BD150" s="261"/>
      <c r="BE150" s="261"/>
      <c r="BF150" s="239"/>
      <c r="BG150" s="239"/>
      <c r="BH150" s="239"/>
      <c r="BI150" s="239"/>
      <c r="BJ150" s="168"/>
      <c r="BK150" s="164"/>
      <c r="BL150" s="164"/>
      <c r="BM150" s="168"/>
      <c r="BN150" s="168"/>
      <c r="BO150" s="2"/>
      <c r="BP150" s="2"/>
    </row>
    <row r="151" spans="1:68">
      <c r="A151" s="179" t="s">
        <v>845</v>
      </c>
      <c r="B151" s="232" t="s">
        <v>560</v>
      </c>
      <c r="C151" s="231" t="str">
        <f t="shared" ref="C151:AU151" ca="1" si="218">IF(C7=$BC$27,"O",IF(C7=$BD$27,"O",IF(C7=$BE$27,"O",IF(C7=$BF$27,"O",IF(C7=$BG$27,"O",IF(C7=$BH$27,"O",IF(C7=$BI$27,"O",IF(C7=$BJ$27,"O",IF(C7=$BK$27,"O",IF(C7=$BL$27,"O",IF(C7=$BM$27,"O",IF(C7=$BN$27,"O",IF(C7=$BO$27,"O",IF(C7=$BP$27,"O",IF(C7=$BQ$27,"O",IF(C7=$BR$27,"O",IF(C7=$BS$27,"O",IF(C7=$BT$27,"O",IF(C7=$BU$27,"O",IF(C7=$BV$27,"O",IF(C7=$BW$27,"O",IF(C7=$BX$27,"O",IF(C7=$BY$27,"O",IF(C7=$BZ$27,"O",IF(C7=$CA$27,"O",IF(C7=$CB$27,"O","X"))))))))))))))))))))))))))</f>
        <v>X</v>
      </c>
      <c r="D151" s="231" t="str">
        <f t="shared" ca="1" si="218"/>
        <v>X</v>
      </c>
      <c r="E151" s="231" t="str">
        <f t="shared" ca="1" si="218"/>
        <v>X</v>
      </c>
      <c r="F151" s="231" t="str">
        <f t="shared" ca="1" si="218"/>
        <v>O</v>
      </c>
      <c r="G151" s="231" t="str">
        <f t="shared" ca="1" si="218"/>
        <v>X</v>
      </c>
      <c r="H151" s="231" t="str">
        <f t="shared" ca="1" si="218"/>
        <v>X</v>
      </c>
      <c r="I151" s="231" t="str">
        <f t="shared" ca="1" si="218"/>
        <v>X</v>
      </c>
      <c r="J151" s="231" t="str">
        <f t="shared" ca="1" si="218"/>
        <v>X</v>
      </c>
      <c r="K151" s="231" t="str">
        <f t="shared" ca="1" si="218"/>
        <v>X</v>
      </c>
      <c r="L151" s="231" t="str">
        <f t="shared" ca="1" si="218"/>
        <v>X</v>
      </c>
      <c r="M151" s="231" t="str">
        <f t="shared" ca="1" si="218"/>
        <v>O</v>
      </c>
      <c r="N151" s="231" t="str">
        <f t="shared" ca="1" si="218"/>
        <v>X</v>
      </c>
      <c r="O151" s="231" t="str">
        <f t="shared" ca="1" si="218"/>
        <v>X</v>
      </c>
      <c r="P151" s="231" t="str">
        <f t="shared" ca="1" si="218"/>
        <v>X</v>
      </c>
      <c r="Q151" s="231" t="str">
        <f t="shared" ca="1" si="218"/>
        <v>X</v>
      </c>
      <c r="R151" s="272" t="str">
        <f t="shared" si="218"/>
        <v>X</v>
      </c>
      <c r="S151" s="272" t="str">
        <f t="shared" si="218"/>
        <v>X</v>
      </c>
      <c r="T151" s="272" t="str">
        <f t="shared" si="218"/>
        <v>X</v>
      </c>
      <c r="U151" s="272" t="str">
        <f t="shared" si="218"/>
        <v>X</v>
      </c>
      <c r="V151" s="272" t="str">
        <f t="shared" si="218"/>
        <v>X</v>
      </c>
      <c r="W151" s="272" t="str">
        <f t="shared" si="218"/>
        <v>X</v>
      </c>
      <c r="X151" s="272" t="str">
        <f t="shared" si="218"/>
        <v>X</v>
      </c>
      <c r="Y151" s="272" t="str">
        <f t="shared" si="218"/>
        <v>X</v>
      </c>
      <c r="Z151" s="272" t="str">
        <f t="shared" si="218"/>
        <v>X</v>
      </c>
      <c r="AA151" s="272" t="str">
        <f t="shared" si="218"/>
        <v>X</v>
      </c>
      <c r="AB151" s="272" t="str">
        <f t="shared" si="218"/>
        <v>X</v>
      </c>
      <c r="AC151" s="272" t="str">
        <f t="shared" si="218"/>
        <v>X</v>
      </c>
      <c r="AD151" s="272" t="str">
        <f t="shared" si="218"/>
        <v>X</v>
      </c>
      <c r="AE151" s="272" t="str">
        <f t="shared" si="218"/>
        <v>X</v>
      </c>
      <c r="AF151" s="272" t="str">
        <f t="shared" si="218"/>
        <v>X</v>
      </c>
      <c r="AG151" s="272" t="str">
        <f t="shared" si="218"/>
        <v>X</v>
      </c>
      <c r="AH151" s="272" t="str">
        <f t="shared" si="218"/>
        <v>X</v>
      </c>
      <c r="AI151" s="272" t="str">
        <f t="shared" si="218"/>
        <v>X</v>
      </c>
      <c r="AJ151" s="272" t="str">
        <f t="shared" si="218"/>
        <v>X</v>
      </c>
      <c r="AK151" s="272" t="str">
        <f t="shared" si="218"/>
        <v>X</v>
      </c>
      <c r="AL151" s="307" t="str">
        <f t="shared" si="218"/>
        <v>X</v>
      </c>
      <c r="AM151" s="307" t="str">
        <f t="shared" si="218"/>
        <v>X</v>
      </c>
      <c r="AN151" s="307" t="str">
        <f t="shared" si="218"/>
        <v>X</v>
      </c>
      <c r="AO151" s="307" t="str">
        <f t="shared" si="218"/>
        <v>X</v>
      </c>
      <c r="AP151" s="307" t="str">
        <f t="shared" si="218"/>
        <v>X</v>
      </c>
      <c r="AQ151" s="307" t="str">
        <f t="shared" si="218"/>
        <v>X</v>
      </c>
      <c r="AR151" s="307" t="str">
        <f t="shared" si="218"/>
        <v>X</v>
      </c>
      <c r="AS151" s="307" t="str">
        <f t="shared" si="218"/>
        <v>X</v>
      </c>
      <c r="AT151" s="307" t="str">
        <f t="shared" si="218"/>
        <v>X</v>
      </c>
      <c r="AU151" s="307" t="str">
        <f t="shared" si="218"/>
        <v>X</v>
      </c>
      <c r="AV151" s="296"/>
      <c r="AW151" s="296"/>
      <c r="AX151" s="206"/>
      <c r="BC151" s="261"/>
      <c r="BD151" s="261"/>
      <c r="BE151" s="261"/>
      <c r="BF151" s="239"/>
      <c r="BG151" s="239"/>
      <c r="BH151" s="239"/>
      <c r="BI151" s="239"/>
      <c r="BJ151" s="168"/>
      <c r="BK151" s="2"/>
      <c r="BL151" s="2"/>
      <c r="BM151" s="2"/>
      <c r="BN151" s="2"/>
      <c r="BO151" s="2"/>
      <c r="BP151" s="2"/>
    </row>
    <row r="152" spans="1:68">
      <c r="A152" s="180"/>
      <c r="B152" s="232" t="s">
        <v>566</v>
      </c>
      <c r="C152" s="231" t="str">
        <f t="shared" ref="C152:AU152" ca="1" si="219">IF(C8=$BC$27,"O",IF(C8=$BD$27,"O",IF(C8=$BE$27,"O",IF(C8=$BF$27,"O",IF(C8=$BG$27,"O",IF(C8=$BH$27,"O",IF(C8=$BI$27,"O",IF(C8=$BJ$27,"O",IF(C8=$BK$27,"O",IF(C8=$BL$27,"O",IF(C8=$BM$27,"O",IF(C8=$BN$27,"O",IF(C8=$BO$27,"O",IF(C8=$BP$27,"O",IF(C8=$BQ$27,"O",IF(C8=$BR$27,"O",IF(C8=$BS$27,"O",IF(C8=$BT$27,"O",IF(C8=$BU$27,"O",IF(C8=$BV$27,"O",IF(C8=$BW$27,"O",IF(C8=$BX$27,"O",IF(C8=$BY$27,"O",IF(C8=$BZ$27,"O",IF(C8=$CA$27,"O",IF(C8=$CB$27,"O","X"))))))))))))))))))))))))))</f>
        <v>X</v>
      </c>
      <c r="D152" s="231" t="str">
        <f t="shared" ca="1" si="219"/>
        <v>X</v>
      </c>
      <c r="E152" s="231" t="str">
        <f t="shared" ca="1" si="219"/>
        <v>X</v>
      </c>
      <c r="F152" s="231" t="str">
        <f t="shared" ca="1" si="219"/>
        <v>O</v>
      </c>
      <c r="G152" s="231" t="str">
        <f t="shared" ca="1" si="219"/>
        <v>X</v>
      </c>
      <c r="H152" s="231" t="str">
        <f t="shared" ca="1" si="219"/>
        <v>X</v>
      </c>
      <c r="I152" s="231" t="str">
        <f t="shared" ca="1" si="219"/>
        <v>X</v>
      </c>
      <c r="J152" s="231" t="str">
        <f t="shared" ca="1" si="219"/>
        <v>O</v>
      </c>
      <c r="K152" s="231" t="str">
        <f t="shared" ca="1" si="219"/>
        <v>X</v>
      </c>
      <c r="L152" s="231" t="str">
        <f t="shared" ca="1" si="219"/>
        <v>X</v>
      </c>
      <c r="M152" s="231" t="str">
        <f t="shared" ca="1" si="219"/>
        <v>X</v>
      </c>
      <c r="N152" s="231" t="str">
        <f t="shared" ca="1" si="219"/>
        <v>X</v>
      </c>
      <c r="O152" s="231" t="str">
        <f t="shared" ca="1" si="219"/>
        <v>X</v>
      </c>
      <c r="P152" s="231" t="str">
        <f t="shared" ca="1" si="219"/>
        <v>X</v>
      </c>
      <c r="Q152" s="231" t="str">
        <f t="shared" ca="1" si="219"/>
        <v>X</v>
      </c>
      <c r="R152" s="272" t="str">
        <f t="shared" si="219"/>
        <v>X</v>
      </c>
      <c r="S152" s="272" t="str">
        <f t="shared" si="219"/>
        <v>X</v>
      </c>
      <c r="T152" s="272" t="str">
        <f t="shared" si="219"/>
        <v>X</v>
      </c>
      <c r="U152" s="272" t="str">
        <f t="shared" si="219"/>
        <v>X</v>
      </c>
      <c r="V152" s="272" t="str">
        <f t="shared" si="219"/>
        <v>X</v>
      </c>
      <c r="W152" s="272" t="str">
        <f t="shared" si="219"/>
        <v>X</v>
      </c>
      <c r="X152" s="272" t="str">
        <f t="shared" si="219"/>
        <v>X</v>
      </c>
      <c r="Y152" s="272" t="str">
        <f t="shared" si="219"/>
        <v>X</v>
      </c>
      <c r="Z152" s="272" t="str">
        <f t="shared" si="219"/>
        <v>X</v>
      </c>
      <c r="AA152" s="272" t="str">
        <f t="shared" si="219"/>
        <v>X</v>
      </c>
      <c r="AB152" s="272" t="str">
        <f t="shared" si="219"/>
        <v>X</v>
      </c>
      <c r="AC152" s="272" t="str">
        <f t="shared" si="219"/>
        <v>X</v>
      </c>
      <c r="AD152" s="272" t="str">
        <f t="shared" si="219"/>
        <v>X</v>
      </c>
      <c r="AE152" s="272" t="str">
        <f t="shared" si="219"/>
        <v>X</v>
      </c>
      <c r="AF152" s="272" t="str">
        <f t="shared" si="219"/>
        <v>X</v>
      </c>
      <c r="AG152" s="272" t="str">
        <f t="shared" si="219"/>
        <v>X</v>
      </c>
      <c r="AH152" s="272" t="str">
        <f t="shared" si="219"/>
        <v>X</v>
      </c>
      <c r="AI152" s="272" t="str">
        <f t="shared" si="219"/>
        <v>X</v>
      </c>
      <c r="AJ152" s="272" t="str">
        <f t="shared" si="219"/>
        <v>X</v>
      </c>
      <c r="AK152" s="272" t="str">
        <f t="shared" si="219"/>
        <v>X</v>
      </c>
      <c r="AL152" s="307" t="str">
        <f t="shared" si="219"/>
        <v>X</v>
      </c>
      <c r="AM152" s="307" t="str">
        <f t="shared" si="219"/>
        <v>X</v>
      </c>
      <c r="AN152" s="307" t="str">
        <f t="shared" si="219"/>
        <v>X</v>
      </c>
      <c r="AO152" s="307" t="str">
        <f t="shared" si="219"/>
        <v>X</v>
      </c>
      <c r="AP152" s="307" t="str">
        <f t="shared" si="219"/>
        <v>X</v>
      </c>
      <c r="AQ152" s="307" t="str">
        <f t="shared" si="219"/>
        <v>X</v>
      </c>
      <c r="AR152" s="307" t="str">
        <f t="shared" si="219"/>
        <v>X</v>
      </c>
      <c r="AS152" s="307" t="str">
        <f t="shared" si="219"/>
        <v>X</v>
      </c>
      <c r="AT152" s="307" t="str">
        <f t="shared" si="219"/>
        <v>X</v>
      </c>
      <c r="AU152" s="307" t="str">
        <f t="shared" si="219"/>
        <v>X</v>
      </c>
      <c r="AV152" s="296"/>
      <c r="AW152" s="296"/>
      <c r="AX152" s="206"/>
      <c r="BC152" s="241"/>
      <c r="BD152" s="241"/>
      <c r="BE152" s="241"/>
      <c r="BF152" s="241"/>
      <c r="BG152" s="241"/>
      <c r="BH152" s="241"/>
      <c r="BI152" s="264"/>
      <c r="BJ152" s="241"/>
      <c r="BK152" s="2"/>
      <c r="BL152" s="2"/>
      <c r="BM152" s="2"/>
      <c r="BN152" s="2"/>
      <c r="BO152" s="2"/>
      <c r="BP152" s="2"/>
    </row>
    <row r="153" spans="1:68">
      <c r="A153" s="180"/>
      <c r="B153" s="232" t="s">
        <v>567</v>
      </c>
      <c r="C153" s="231" t="str">
        <f t="shared" ref="C153:AU153" ca="1" si="220">IF(C9=$BC$27,"O",IF(C9=$BD$27,"O",IF(C9=$BE$27,"O",IF(C9=$BF$27,"O",IF(C9=$BG$27,"O",IF(C9=$BH$27,"O",IF(C9=$BI$27,"O",IF(C9=$BJ$27,"O",IF(C9=$BK$27,"O",IF(C9=$BL$27,"O",IF(C9=$BM$27,"O",IF(C9=$BN$27,"O",IF(C9=$BO$27,"O",IF(C9=$BP$27,"O",IF(C9=$BQ$27,"O",IF(C9=$BR$27,"O",IF(C9=$BS$27,"O",IF(C9=$BT$27,"O",IF(C9=$BU$27,"O",IF(C9=$BV$27,"O",IF(C9=$BW$27,"O",IF(C9=$BX$27,"O",IF(C9=$BY$27,"O",IF(C9=$BZ$27,"O",IF(C9=$CA$27,"O",IF(C9=$CB$27,"O","X"))))))))))))))))))))))))))</f>
        <v>X</v>
      </c>
      <c r="D153" s="231" t="str">
        <f t="shared" ca="1" si="220"/>
        <v>X</v>
      </c>
      <c r="E153" s="231" t="str">
        <f t="shared" ca="1" si="220"/>
        <v>X</v>
      </c>
      <c r="F153" s="231" t="str">
        <f t="shared" ca="1" si="220"/>
        <v>O</v>
      </c>
      <c r="G153" s="231" t="str">
        <f t="shared" ca="1" si="220"/>
        <v>X</v>
      </c>
      <c r="H153" s="231" t="str">
        <f t="shared" ca="1" si="220"/>
        <v>X</v>
      </c>
      <c r="I153" s="231" t="str">
        <f t="shared" ca="1" si="220"/>
        <v>O</v>
      </c>
      <c r="J153" s="231" t="str">
        <f t="shared" ca="1" si="220"/>
        <v>X</v>
      </c>
      <c r="K153" s="231" t="str">
        <f t="shared" ca="1" si="220"/>
        <v>X</v>
      </c>
      <c r="L153" s="231" t="str">
        <f t="shared" ca="1" si="220"/>
        <v>X</v>
      </c>
      <c r="M153" s="231" t="str">
        <f t="shared" ca="1" si="220"/>
        <v>X</v>
      </c>
      <c r="N153" s="231" t="str">
        <f t="shared" ca="1" si="220"/>
        <v>X</v>
      </c>
      <c r="O153" s="231" t="str">
        <f t="shared" ca="1" si="220"/>
        <v>X</v>
      </c>
      <c r="P153" s="231" t="str">
        <f t="shared" ca="1" si="220"/>
        <v>X</v>
      </c>
      <c r="Q153" s="231" t="str">
        <f t="shared" ca="1" si="220"/>
        <v>X</v>
      </c>
      <c r="R153" s="272" t="str">
        <f t="shared" si="220"/>
        <v>X</v>
      </c>
      <c r="S153" s="272" t="str">
        <f t="shared" si="220"/>
        <v>X</v>
      </c>
      <c r="T153" s="272" t="str">
        <f t="shared" si="220"/>
        <v>X</v>
      </c>
      <c r="U153" s="272" t="str">
        <f t="shared" si="220"/>
        <v>X</v>
      </c>
      <c r="V153" s="272" t="str">
        <f t="shared" si="220"/>
        <v>X</v>
      </c>
      <c r="W153" s="272" t="str">
        <f t="shared" si="220"/>
        <v>X</v>
      </c>
      <c r="X153" s="272" t="str">
        <f t="shared" si="220"/>
        <v>X</v>
      </c>
      <c r="Y153" s="272" t="str">
        <f t="shared" si="220"/>
        <v>X</v>
      </c>
      <c r="Z153" s="272" t="str">
        <f t="shared" si="220"/>
        <v>X</v>
      </c>
      <c r="AA153" s="272" t="str">
        <f t="shared" si="220"/>
        <v>X</v>
      </c>
      <c r="AB153" s="272" t="str">
        <f t="shared" si="220"/>
        <v>X</v>
      </c>
      <c r="AC153" s="272" t="str">
        <f t="shared" si="220"/>
        <v>X</v>
      </c>
      <c r="AD153" s="272" t="str">
        <f t="shared" si="220"/>
        <v>X</v>
      </c>
      <c r="AE153" s="272" t="str">
        <f t="shared" si="220"/>
        <v>X</v>
      </c>
      <c r="AF153" s="272" t="str">
        <f t="shared" si="220"/>
        <v>X</v>
      </c>
      <c r="AG153" s="272" t="str">
        <f t="shared" si="220"/>
        <v>X</v>
      </c>
      <c r="AH153" s="272" t="str">
        <f t="shared" si="220"/>
        <v>X</v>
      </c>
      <c r="AI153" s="272" t="str">
        <f t="shared" si="220"/>
        <v>X</v>
      </c>
      <c r="AJ153" s="272" t="str">
        <f t="shared" si="220"/>
        <v>X</v>
      </c>
      <c r="AK153" s="272" t="str">
        <f t="shared" si="220"/>
        <v>X</v>
      </c>
      <c r="AL153" s="307" t="str">
        <f t="shared" si="220"/>
        <v>X</v>
      </c>
      <c r="AM153" s="307" t="str">
        <f t="shared" si="220"/>
        <v>X</v>
      </c>
      <c r="AN153" s="307" t="str">
        <f t="shared" si="220"/>
        <v>X</v>
      </c>
      <c r="AO153" s="307" t="str">
        <f t="shared" si="220"/>
        <v>X</v>
      </c>
      <c r="AP153" s="307" t="str">
        <f t="shared" si="220"/>
        <v>X</v>
      </c>
      <c r="AQ153" s="307" t="str">
        <f t="shared" si="220"/>
        <v>X</v>
      </c>
      <c r="AR153" s="307" t="str">
        <f t="shared" si="220"/>
        <v>X</v>
      </c>
      <c r="AS153" s="307" t="str">
        <f t="shared" si="220"/>
        <v>X</v>
      </c>
      <c r="AT153" s="307" t="str">
        <f t="shared" si="220"/>
        <v>X</v>
      </c>
      <c r="AU153" s="307" t="str">
        <f t="shared" si="220"/>
        <v>X</v>
      </c>
      <c r="AV153" s="296"/>
      <c r="AW153" s="296"/>
      <c r="AX153" s="206"/>
      <c r="BC153" s="261"/>
      <c r="BD153" s="261"/>
      <c r="BE153" s="261"/>
      <c r="BF153" s="261"/>
      <c r="BG153" s="261"/>
      <c r="BH153" s="261"/>
      <c r="BI153" s="239"/>
      <c r="BJ153" s="168"/>
      <c r="BK153" s="2"/>
      <c r="BL153" s="2"/>
      <c r="BM153" s="2"/>
      <c r="BN153" s="2"/>
      <c r="BO153" s="2"/>
      <c r="BP153" s="2"/>
    </row>
    <row r="154" spans="1:68">
      <c r="A154" s="180"/>
      <c r="B154" s="232" t="s">
        <v>568</v>
      </c>
      <c r="C154" s="231" t="str">
        <f t="shared" ref="C154:AU154" ca="1" si="221">IF(C10=$BC$27,"O",IF(C10=$BD$27,"O",IF(C10=$BE$27,"O",IF(C10=$BF$27,"O",IF(C10=$BG$27,"O",IF(C10=$BH$27,"O",IF(C10=$BI$27,"O",IF(C10=$BJ$27,"O",IF(C10=$BK$27,"O",IF(C10=$BL$27,"O",IF(C10=$BM$27,"O",IF(C10=$BN$27,"O",IF(C10=$BO$27,"O",IF(C10=$BP$27,"O",IF(C10=$BQ$27,"O",IF(C10=$BR$27,"O",IF(C10=$BS$27,"O",IF(C10=$BT$27,"O",IF(C10=$BU$27,"O",IF(C10=$BV$27,"O",IF(C10=$BW$27,"O",IF(C10=$BX$27,"O",IF(C10=$BY$27,"O",IF(C10=$BZ$27,"O",IF(C10=$CA$27,"O",IF(C10=$CB$27,"O","X"))))))))))))))))))))))))))</f>
        <v>X</v>
      </c>
      <c r="D154" s="231" t="str">
        <f t="shared" ca="1" si="221"/>
        <v>X</v>
      </c>
      <c r="E154" s="231" t="str">
        <f t="shared" ca="1" si="221"/>
        <v>X</v>
      </c>
      <c r="F154" s="231" t="str">
        <f t="shared" ca="1" si="221"/>
        <v>O</v>
      </c>
      <c r="G154" s="231" t="str">
        <f t="shared" ca="1" si="221"/>
        <v>X</v>
      </c>
      <c r="H154" s="231" t="str">
        <f t="shared" ca="1" si="221"/>
        <v>X</v>
      </c>
      <c r="I154" s="231" t="str">
        <f t="shared" ca="1" si="221"/>
        <v>X</v>
      </c>
      <c r="J154" s="231" t="str">
        <f t="shared" ca="1" si="221"/>
        <v>X</v>
      </c>
      <c r="K154" s="231" t="str">
        <f t="shared" ca="1" si="221"/>
        <v>X</v>
      </c>
      <c r="L154" s="231" t="str">
        <f t="shared" ca="1" si="221"/>
        <v>X</v>
      </c>
      <c r="M154" s="231" t="str">
        <f t="shared" ca="1" si="221"/>
        <v>X</v>
      </c>
      <c r="N154" s="231" t="str">
        <f t="shared" ca="1" si="221"/>
        <v>X</v>
      </c>
      <c r="O154" s="231" t="str">
        <f t="shared" ca="1" si="221"/>
        <v>X</v>
      </c>
      <c r="P154" s="231" t="str">
        <f t="shared" ca="1" si="221"/>
        <v>X</v>
      </c>
      <c r="Q154" s="231" t="str">
        <f t="shared" ca="1" si="221"/>
        <v>X</v>
      </c>
      <c r="R154" s="272" t="str">
        <f t="shared" si="221"/>
        <v>X</v>
      </c>
      <c r="S154" s="272" t="str">
        <f t="shared" si="221"/>
        <v>X</v>
      </c>
      <c r="T154" s="272" t="str">
        <f t="shared" si="221"/>
        <v>X</v>
      </c>
      <c r="U154" s="272" t="str">
        <f t="shared" si="221"/>
        <v>X</v>
      </c>
      <c r="V154" s="272" t="str">
        <f t="shared" si="221"/>
        <v>X</v>
      </c>
      <c r="W154" s="272" t="str">
        <f t="shared" si="221"/>
        <v>X</v>
      </c>
      <c r="X154" s="272" t="str">
        <f t="shared" si="221"/>
        <v>X</v>
      </c>
      <c r="Y154" s="272" t="str">
        <f t="shared" si="221"/>
        <v>X</v>
      </c>
      <c r="Z154" s="272" t="str">
        <f t="shared" si="221"/>
        <v>X</v>
      </c>
      <c r="AA154" s="272" t="str">
        <f t="shared" si="221"/>
        <v>X</v>
      </c>
      <c r="AB154" s="272" t="str">
        <f t="shared" si="221"/>
        <v>X</v>
      </c>
      <c r="AC154" s="272" t="str">
        <f t="shared" si="221"/>
        <v>X</v>
      </c>
      <c r="AD154" s="272" t="str">
        <f t="shared" si="221"/>
        <v>X</v>
      </c>
      <c r="AE154" s="272" t="str">
        <f t="shared" si="221"/>
        <v>X</v>
      </c>
      <c r="AF154" s="272" t="str">
        <f t="shared" si="221"/>
        <v>X</v>
      </c>
      <c r="AG154" s="272" t="str">
        <f t="shared" si="221"/>
        <v>X</v>
      </c>
      <c r="AH154" s="272" t="str">
        <f t="shared" si="221"/>
        <v>X</v>
      </c>
      <c r="AI154" s="272" t="str">
        <f t="shared" si="221"/>
        <v>X</v>
      </c>
      <c r="AJ154" s="272" t="str">
        <f t="shared" si="221"/>
        <v>X</v>
      </c>
      <c r="AK154" s="272" t="str">
        <f t="shared" si="221"/>
        <v>X</v>
      </c>
      <c r="AL154" s="307" t="str">
        <f t="shared" si="221"/>
        <v>X</v>
      </c>
      <c r="AM154" s="307" t="str">
        <f t="shared" si="221"/>
        <v>X</v>
      </c>
      <c r="AN154" s="307" t="str">
        <f t="shared" si="221"/>
        <v>X</v>
      </c>
      <c r="AO154" s="307" t="str">
        <f t="shared" si="221"/>
        <v>X</v>
      </c>
      <c r="AP154" s="307" t="str">
        <f t="shared" si="221"/>
        <v>X</v>
      </c>
      <c r="AQ154" s="307" t="str">
        <f t="shared" si="221"/>
        <v>X</v>
      </c>
      <c r="AR154" s="307" t="str">
        <f t="shared" si="221"/>
        <v>X</v>
      </c>
      <c r="AS154" s="307" t="str">
        <f t="shared" si="221"/>
        <v>X</v>
      </c>
      <c r="AT154" s="307" t="str">
        <f t="shared" si="221"/>
        <v>X</v>
      </c>
      <c r="AU154" s="307" t="str">
        <f t="shared" si="221"/>
        <v>X</v>
      </c>
      <c r="AV154" s="296"/>
      <c r="AW154" s="296"/>
      <c r="AX154" s="206"/>
      <c r="BC154" s="150"/>
      <c r="BD154" s="206"/>
      <c r="BE154" s="206"/>
      <c r="BF154" s="206"/>
      <c r="BG154" s="2"/>
      <c r="BH154" s="85"/>
      <c r="BI154" s="53"/>
      <c r="BJ154" s="150"/>
      <c r="BK154" s="2"/>
      <c r="BL154" s="2"/>
      <c r="BM154" s="2"/>
      <c r="BN154" s="2"/>
      <c r="BO154" s="2"/>
      <c r="BP154" s="2"/>
    </row>
    <row r="155" spans="1:68">
      <c r="A155" s="180"/>
      <c r="B155" s="232" t="s">
        <v>569</v>
      </c>
      <c r="C155" s="231" t="str">
        <f t="shared" ref="C155:AU155" ca="1" si="222">IF(C11=$BC$27,"O",IF(C11=$BD$27,"O",IF(C11=$BE$27,"O",IF(C11=$BF$27,"O",IF(C11=$BG$27,"O",IF(C11=$BH$27,"O",IF(C11=$BI$27,"O",IF(C11=$BJ$27,"O",IF(C11=$BK$27,"O",IF(C11=$BL$27,"O",IF(C11=$BM$27,"O",IF(C11=$BN$27,"O",IF(C11=$BO$27,"O",IF(C11=$BP$27,"O",IF(C11=$BQ$27,"O",IF(C11=$BR$27,"O",IF(C11=$BS$27,"O",IF(C11=$BT$27,"O",IF(C11=$BU$27,"O",IF(C11=$BV$27,"O",IF(C11=$BW$27,"O",IF(C11=$BX$27,"O",IF(C11=$BY$27,"O",IF(C11=$BZ$27,"O",IF(C11=$CA$27,"O",IF(C11=$CB$27,"O","X"))))))))))))))))))))))))))</f>
        <v>X</v>
      </c>
      <c r="D155" s="231" t="str">
        <f t="shared" ca="1" si="222"/>
        <v>X</v>
      </c>
      <c r="E155" s="231" t="str">
        <f t="shared" ca="1" si="222"/>
        <v>X</v>
      </c>
      <c r="F155" s="231" t="str">
        <f t="shared" ca="1" si="222"/>
        <v>X</v>
      </c>
      <c r="G155" s="231" t="str">
        <f t="shared" ca="1" si="222"/>
        <v>X</v>
      </c>
      <c r="H155" s="231" t="str">
        <f t="shared" ca="1" si="222"/>
        <v>X</v>
      </c>
      <c r="I155" s="231" t="str">
        <f t="shared" ca="1" si="222"/>
        <v>O</v>
      </c>
      <c r="J155" s="231" t="str">
        <f t="shared" ca="1" si="222"/>
        <v>X</v>
      </c>
      <c r="K155" s="231" t="str">
        <f t="shared" ca="1" si="222"/>
        <v>X</v>
      </c>
      <c r="L155" s="231" t="str">
        <f t="shared" ca="1" si="222"/>
        <v>X</v>
      </c>
      <c r="M155" s="231" t="str">
        <f t="shared" ca="1" si="222"/>
        <v>X</v>
      </c>
      <c r="N155" s="231" t="str">
        <f t="shared" ca="1" si="222"/>
        <v>X</v>
      </c>
      <c r="O155" s="231" t="str">
        <f t="shared" ca="1" si="222"/>
        <v>X</v>
      </c>
      <c r="P155" s="231" t="str">
        <f t="shared" ca="1" si="222"/>
        <v>X</v>
      </c>
      <c r="Q155" s="231" t="str">
        <f t="shared" ca="1" si="222"/>
        <v>O</v>
      </c>
      <c r="R155" s="272" t="str">
        <f t="shared" si="222"/>
        <v>X</v>
      </c>
      <c r="S155" s="272" t="str">
        <f t="shared" si="222"/>
        <v>X</v>
      </c>
      <c r="T155" s="272" t="str">
        <f t="shared" si="222"/>
        <v>X</v>
      </c>
      <c r="U155" s="272" t="str">
        <f t="shared" si="222"/>
        <v>X</v>
      </c>
      <c r="V155" s="272" t="str">
        <f t="shared" si="222"/>
        <v>X</v>
      </c>
      <c r="W155" s="272" t="str">
        <f t="shared" si="222"/>
        <v>X</v>
      </c>
      <c r="X155" s="272" t="str">
        <f t="shared" si="222"/>
        <v>X</v>
      </c>
      <c r="Y155" s="272" t="str">
        <f t="shared" si="222"/>
        <v>X</v>
      </c>
      <c r="Z155" s="272" t="str">
        <f t="shared" si="222"/>
        <v>X</v>
      </c>
      <c r="AA155" s="272" t="str">
        <f t="shared" si="222"/>
        <v>X</v>
      </c>
      <c r="AB155" s="272" t="str">
        <f t="shared" si="222"/>
        <v>X</v>
      </c>
      <c r="AC155" s="272" t="str">
        <f t="shared" si="222"/>
        <v>X</v>
      </c>
      <c r="AD155" s="272" t="str">
        <f t="shared" si="222"/>
        <v>X</v>
      </c>
      <c r="AE155" s="272" t="str">
        <f t="shared" si="222"/>
        <v>X</v>
      </c>
      <c r="AF155" s="272" t="str">
        <f t="shared" si="222"/>
        <v>X</v>
      </c>
      <c r="AG155" s="272" t="str">
        <f t="shared" si="222"/>
        <v>X</v>
      </c>
      <c r="AH155" s="272" t="str">
        <f t="shared" si="222"/>
        <v>X</v>
      </c>
      <c r="AI155" s="272" t="str">
        <f t="shared" si="222"/>
        <v>X</v>
      </c>
      <c r="AJ155" s="272" t="str">
        <f t="shared" si="222"/>
        <v>X</v>
      </c>
      <c r="AK155" s="272" t="str">
        <f t="shared" si="222"/>
        <v>X</v>
      </c>
      <c r="AL155" s="307" t="str">
        <f t="shared" si="222"/>
        <v>X</v>
      </c>
      <c r="AM155" s="307" t="str">
        <f t="shared" si="222"/>
        <v>X</v>
      </c>
      <c r="AN155" s="307" t="str">
        <f t="shared" si="222"/>
        <v>X</v>
      </c>
      <c r="AO155" s="307" t="str">
        <f t="shared" si="222"/>
        <v>X</v>
      </c>
      <c r="AP155" s="307" t="str">
        <f t="shared" si="222"/>
        <v>X</v>
      </c>
      <c r="AQ155" s="307" t="str">
        <f t="shared" si="222"/>
        <v>X</v>
      </c>
      <c r="AR155" s="307" t="str">
        <f t="shared" si="222"/>
        <v>X</v>
      </c>
      <c r="AS155" s="307" t="str">
        <f t="shared" si="222"/>
        <v>X</v>
      </c>
      <c r="AT155" s="307" t="str">
        <f t="shared" si="222"/>
        <v>X</v>
      </c>
      <c r="AU155" s="307" t="str">
        <f t="shared" si="222"/>
        <v>X</v>
      </c>
      <c r="AV155" s="296"/>
      <c r="AW155" s="296"/>
      <c r="AX155" s="206"/>
      <c r="BC155" s="150"/>
      <c r="BD155" s="206"/>
      <c r="BE155" s="206"/>
      <c r="BF155" s="206"/>
      <c r="BG155" s="2"/>
      <c r="BH155" s="85"/>
      <c r="BI155" s="2"/>
      <c r="BJ155" s="150"/>
      <c r="BK155" s="2"/>
      <c r="BL155" s="2"/>
      <c r="BM155" s="2"/>
      <c r="BN155" s="2"/>
      <c r="BO155" s="2"/>
      <c r="BP155" s="2"/>
    </row>
    <row r="156" spans="1:68">
      <c r="A156" s="180"/>
      <c r="B156" s="231" t="s">
        <v>540</v>
      </c>
      <c r="C156" s="231" t="str">
        <f t="shared" ref="C156:AU156" ca="1" si="223">IF(C12=$BC$27,"O",IF(C12=$BD$27,"O",IF(C12=$BE$27,"O",IF(C12=$BF$27,"O",IF(C12=$BG$27,"O",IF(C12=$BH$27,"O",IF(C12=$BI$27,"O",IF(C12=$BJ$27,"O",IF(C12=$BK$27,"O",IF(C12=$BL$27,"O",IF(C12=$BM$27,"O",IF(C12=$BN$27,"O",IF(C12=$BO$27,"O",IF(C12=$BP$27,"O",IF(C12=$BQ$27,"O",IF(C12=$BR$27,"O",IF(C12=$BS$27,"O",IF(C12=$BT$27,"O",IF(C12=$BU$27,"O",IF(C12=$BV$27,"O",IF(C12=$BW$27,"O",IF(C12=$BX$27,"O",IF(C12=$BY$27,"O",IF(C12=$BZ$27,"O",IF(C12=$CA$27,"O",IF(C12=$CB$27,"O","X"))))))))))))))))))))))))))</f>
        <v>X</v>
      </c>
      <c r="D156" s="231" t="str">
        <f t="shared" ca="1" si="223"/>
        <v>X</v>
      </c>
      <c r="E156" s="231" t="str">
        <f t="shared" ca="1" si="223"/>
        <v>X</v>
      </c>
      <c r="F156" s="231" t="str">
        <f t="shared" ca="1" si="223"/>
        <v>X</v>
      </c>
      <c r="G156" s="231" t="str">
        <f t="shared" ca="1" si="223"/>
        <v>O</v>
      </c>
      <c r="H156" s="231" t="str">
        <f t="shared" ca="1" si="223"/>
        <v>X</v>
      </c>
      <c r="I156" s="231" t="str">
        <f t="shared" ca="1" si="223"/>
        <v>X</v>
      </c>
      <c r="J156" s="231" t="str">
        <f t="shared" ca="1" si="223"/>
        <v>X</v>
      </c>
      <c r="K156" s="231" t="str">
        <f t="shared" ca="1" si="223"/>
        <v>X</v>
      </c>
      <c r="L156" s="231" t="str">
        <f t="shared" ca="1" si="223"/>
        <v>X</v>
      </c>
      <c r="M156" s="231" t="str">
        <f t="shared" ca="1" si="223"/>
        <v>X</v>
      </c>
      <c r="N156" s="231" t="str">
        <f t="shared" ca="1" si="223"/>
        <v>X</v>
      </c>
      <c r="O156" s="231" t="str">
        <f t="shared" ca="1" si="223"/>
        <v>X</v>
      </c>
      <c r="P156" s="231" t="str">
        <f t="shared" ca="1" si="223"/>
        <v>X</v>
      </c>
      <c r="Q156" s="231" t="str">
        <f t="shared" ca="1" si="223"/>
        <v>X</v>
      </c>
      <c r="R156" s="272" t="str">
        <f t="shared" si="223"/>
        <v>X</v>
      </c>
      <c r="S156" s="272" t="str">
        <f t="shared" si="223"/>
        <v>X</v>
      </c>
      <c r="T156" s="272" t="str">
        <f t="shared" si="223"/>
        <v>X</v>
      </c>
      <c r="U156" s="272" t="str">
        <f t="shared" si="223"/>
        <v>X</v>
      </c>
      <c r="V156" s="272" t="str">
        <f t="shared" si="223"/>
        <v>X</v>
      </c>
      <c r="W156" s="272" t="str">
        <f t="shared" si="223"/>
        <v>X</v>
      </c>
      <c r="X156" s="272" t="str">
        <f t="shared" si="223"/>
        <v>X</v>
      </c>
      <c r="Y156" s="272" t="str">
        <f t="shared" si="223"/>
        <v>X</v>
      </c>
      <c r="Z156" s="272" t="str">
        <f t="shared" si="223"/>
        <v>X</v>
      </c>
      <c r="AA156" s="272" t="str">
        <f t="shared" si="223"/>
        <v>X</v>
      </c>
      <c r="AB156" s="272" t="str">
        <f t="shared" si="223"/>
        <v>X</v>
      </c>
      <c r="AC156" s="272" t="str">
        <f t="shared" si="223"/>
        <v>X</v>
      </c>
      <c r="AD156" s="272" t="str">
        <f t="shared" si="223"/>
        <v>X</v>
      </c>
      <c r="AE156" s="272" t="str">
        <f t="shared" si="223"/>
        <v>X</v>
      </c>
      <c r="AF156" s="272" t="str">
        <f t="shared" si="223"/>
        <v>X</v>
      </c>
      <c r="AG156" s="272" t="str">
        <f t="shared" si="223"/>
        <v>X</v>
      </c>
      <c r="AH156" s="272" t="str">
        <f t="shared" si="223"/>
        <v>X</v>
      </c>
      <c r="AI156" s="272" t="str">
        <f t="shared" si="223"/>
        <v>X</v>
      </c>
      <c r="AJ156" s="272" t="str">
        <f t="shared" si="223"/>
        <v>X</v>
      </c>
      <c r="AK156" s="272" t="str">
        <f t="shared" si="223"/>
        <v>X</v>
      </c>
      <c r="AL156" s="307" t="str">
        <f t="shared" si="223"/>
        <v>X</v>
      </c>
      <c r="AM156" s="307" t="str">
        <f t="shared" si="223"/>
        <v>X</v>
      </c>
      <c r="AN156" s="307" t="str">
        <f t="shared" si="223"/>
        <v>X</v>
      </c>
      <c r="AO156" s="307" t="str">
        <f t="shared" si="223"/>
        <v>X</v>
      </c>
      <c r="AP156" s="307" t="str">
        <f t="shared" si="223"/>
        <v>X</v>
      </c>
      <c r="AQ156" s="307" t="str">
        <f t="shared" si="223"/>
        <v>X</v>
      </c>
      <c r="AR156" s="307" t="str">
        <f t="shared" si="223"/>
        <v>X</v>
      </c>
      <c r="AS156" s="307" t="str">
        <f t="shared" si="223"/>
        <v>X</v>
      </c>
      <c r="AT156" s="307" t="str">
        <f t="shared" si="223"/>
        <v>X</v>
      </c>
      <c r="AU156" s="307" t="str">
        <f t="shared" si="223"/>
        <v>X</v>
      </c>
      <c r="AV156" s="296"/>
      <c r="AW156" s="296"/>
      <c r="AX156" s="206"/>
      <c r="BC156" s="150"/>
      <c r="BD156" s="206"/>
      <c r="BE156" s="206"/>
      <c r="BF156" s="206"/>
      <c r="BG156" s="2"/>
      <c r="BH156" s="85"/>
      <c r="BI156" s="2"/>
      <c r="BJ156" s="150"/>
      <c r="BK156" s="2"/>
      <c r="BL156" s="2"/>
      <c r="BM156" s="2"/>
      <c r="BN156" s="2"/>
      <c r="BO156" s="2"/>
      <c r="BP156" s="2"/>
    </row>
    <row r="157" spans="1:68">
      <c r="A157" s="181"/>
      <c r="B157" s="111" t="s">
        <v>663</v>
      </c>
      <c r="C157" s="172">
        <f ca="1">COUNTIF(C151:C156,"O")</f>
        <v>0</v>
      </c>
      <c r="D157" s="172">
        <f t="shared" ref="D157:Q157" ca="1" si="224">COUNTIF(D151:D156,"O")</f>
        <v>0</v>
      </c>
      <c r="E157" s="172">
        <f t="shared" ca="1" si="224"/>
        <v>0</v>
      </c>
      <c r="F157" s="172">
        <f t="shared" ca="1" si="224"/>
        <v>4</v>
      </c>
      <c r="G157" s="172">
        <f t="shared" ca="1" si="224"/>
        <v>1</v>
      </c>
      <c r="H157" s="172">
        <f t="shared" ca="1" si="224"/>
        <v>0</v>
      </c>
      <c r="I157" s="172">
        <f t="shared" ca="1" si="224"/>
        <v>2</v>
      </c>
      <c r="J157" s="172">
        <f t="shared" ca="1" si="224"/>
        <v>1</v>
      </c>
      <c r="K157" s="172">
        <f t="shared" ca="1" si="224"/>
        <v>0</v>
      </c>
      <c r="L157" s="172">
        <f t="shared" ca="1" si="224"/>
        <v>0</v>
      </c>
      <c r="M157" s="172">
        <f t="shared" ca="1" si="224"/>
        <v>1</v>
      </c>
      <c r="N157" s="172">
        <f t="shared" ca="1" si="224"/>
        <v>0</v>
      </c>
      <c r="O157" s="172">
        <f t="shared" ca="1" si="224"/>
        <v>0</v>
      </c>
      <c r="P157" s="172">
        <f t="shared" ca="1" si="224"/>
        <v>0</v>
      </c>
      <c r="Q157" s="172">
        <f t="shared" ca="1" si="224"/>
        <v>1</v>
      </c>
      <c r="R157" s="172">
        <f t="shared" ref="R157:AK157" si="225">COUNTIF(R151:R156,"O")</f>
        <v>0</v>
      </c>
      <c r="S157" s="172">
        <f t="shared" si="225"/>
        <v>0</v>
      </c>
      <c r="T157" s="172">
        <f t="shared" si="225"/>
        <v>0</v>
      </c>
      <c r="U157" s="172">
        <f t="shared" si="225"/>
        <v>0</v>
      </c>
      <c r="V157" s="172">
        <f t="shared" si="225"/>
        <v>0</v>
      </c>
      <c r="W157" s="172">
        <f t="shared" si="225"/>
        <v>0</v>
      </c>
      <c r="X157" s="172">
        <f t="shared" si="225"/>
        <v>0</v>
      </c>
      <c r="Y157" s="172">
        <f t="shared" si="225"/>
        <v>0</v>
      </c>
      <c r="Z157" s="172">
        <f t="shared" si="225"/>
        <v>0</v>
      </c>
      <c r="AA157" s="172">
        <f t="shared" si="225"/>
        <v>0</v>
      </c>
      <c r="AB157" s="172">
        <f t="shared" si="225"/>
        <v>0</v>
      </c>
      <c r="AC157" s="172">
        <f t="shared" si="225"/>
        <v>0</v>
      </c>
      <c r="AD157" s="172">
        <f t="shared" si="225"/>
        <v>0</v>
      </c>
      <c r="AE157" s="172">
        <f t="shared" si="225"/>
        <v>0</v>
      </c>
      <c r="AF157" s="172">
        <f t="shared" si="225"/>
        <v>0</v>
      </c>
      <c r="AG157" s="172">
        <f t="shared" si="225"/>
        <v>0</v>
      </c>
      <c r="AH157" s="172">
        <f t="shared" si="225"/>
        <v>0</v>
      </c>
      <c r="AI157" s="172">
        <f t="shared" si="225"/>
        <v>0</v>
      </c>
      <c r="AJ157" s="172">
        <f t="shared" si="225"/>
        <v>0</v>
      </c>
      <c r="AK157" s="172">
        <f t="shared" si="225"/>
        <v>0</v>
      </c>
      <c r="AL157" s="172">
        <f t="shared" ref="AL157:AU157" si="226">COUNTIF(AL151:AL156,"O")</f>
        <v>0</v>
      </c>
      <c r="AM157" s="172">
        <f t="shared" si="226"/>
        <v>0</v>
      </c>
      <c r="AN157" s="172">
        <f t="shared" si="226"/>
        <v>0</v>
      </c>
      <c r="AO157" s="172">
        <f t="shared" si="226"/>
        <v>0</v>
      </c>
      <c r="AP157" s="172">
        <f t="shared" si="226"/>
        <v>0</v>
      </c>
      <c r="AQ157" s="172">
        <f t="shared" si="226"/>
        <v>0</v>
      </c>
      <c r="AR157" s="172">
        <f t="shared" si="226"/>
        <v>0</v>
      </c>
      <c r="AS157" s="172">
        <f t="shared" si="226"/>
        <v>0</v>
      </c>
      <c r="AT157" s="172">
        <f t="shared" si="226"/>
        <v>0</v>
      </c>
      <c r="AU157" s="172">
        <f t="shared" si="226"/>
        <v>0</v>
      </c>
      <c r="AV157" s="255"/>
      <c r="AW157" s="255"/>
      <c r="AX157" s="255"/>
      <c r="BC157" s="150"/>
      <c r="BD157" s="206"/>
      <c r="BE157" s="206"/>
      <c r="BF157" s="206"/>
      <c r="BG157" s="2"/>
      <c r="BI157" s="2"/>
      <c r="BJ157" s="150"/>
      <c r="BK157" s="164"/>
      <c r="BL157" s="164"/>
      <c r="BM157" s="168"/>
      <c r="BN157" s="168"/>
      <c r="BO157" s="2"/>
      <c r="BP157" s="2"/>
    </row>
    <row r="158" spans="1:68">
      <c r="A158" s="179" t="s">
        <v>882</v>
      </c>
      <c r="B158" s="273" t="s">
        <v>560</v>
      </c>
      <c r="C158" s="272" t="str">
        <f t="shared" ref="C158:Q158" ca="1" si="227">IF(C7=$BC$28,"O",IF(C7=$BD$28,"O",IF(C7=$BE$28,"O",IF(C7=$BF$28,"O",IF(C7=$BG$28,"O",IF(C7=$BH$28,"O",IF(C7=$BI$28,"O",IF(C7=$BJ$28,"O",IF(C7=$BK$28,"O",IF(C7=$BL$28,"O",IF(C7=$BM$28,"O",IF(C7=$BN$28,"O",IF(C7=$BO$28,"O",IF(C7=$BP$28,"O",IF(C7=$BQ$28,"O",IF(C7=$BR$28,"O",IF(C7=$BS$28,"O",IF(C7=$BT$28,"O",IF(C7=$BU$28,"O",IF(C7=$BV$28,"O",IF(C7=$BW$28,"O",IF(C7=$BX$28,"O",IF(C7=$BY$28,"O",IF(C7=$BZ$28,"O",IF(C7=$CA$28,"O",IF(C7=$CB$28,"O",IF(C7=$CC$28,"O",IF(C7=$CD$28,"O",IF(C7=$CE$28,"O",IF(C7=$CF$28,"O",IF(C7=$CG$28,"O","X")))))))))))))))))))))))))))))))</f>
        <v>X</v>
      </c>
      <c r="D158" s="329" t="str">
        <f t="shared" ca="1" si="227"/>
        <v>X</v>
      </c>
      <c r="E158" s="329" t="str">
        <f t="shared" ca="1" si="227"/>
        <v>X</v>
      </c>
      <c r="F158" s="329" t="str">
        <f t="shared" ca="1" si="227"/>
        <v>O</v>
      </c>
      <c r="G158" s="329" t="str">
        <f t="shared" ca="1" si="227"/>
        <v>X</v>
      </c>
      <c r="H158" s="329" t="str">
        <f t="shared" ca="1" si="227"/>
        <v>X</v>
      </c>
      <c r="I158" s="329" t="str">
        <f t="shared" ca="1" si="227"/>
        <v>X</v>
      </c>
      <c r="J158" s="329" t="str">
        <f t="shared" ca="1" si="227"/>
        <v>X</v>
      </c>
      <c r="K158" s="329" t="str">
        <f t="shared" ca="1" si="227"/>
        <v>O</v>
      </c>
      <c r="L158" s="329" t="str">
        <f t="shared" ca="1" si="227"/>
        <v>X</v>
      </c>
      <c r="M158" s="329" t="str">
        <f t="shared" ca="1" si="227"/>
        <v>O</v>
      </c>
      <c r="N158" s="329" t="str">
        <f t="shared" ca="1" si="227"/>
        <v>X</v>
      </c>
      <c r="O158" s="329" t="str">
        <f t="shared" ca="1" si="227"/>
        <v>X</v>
      </c>
      <c r="P158" s="329" t="str">
        <f t="shared" ca="1" si="227"/>
        <v>X</v>
      </c>
      <c r="Q158" s="329" t="str">
        <f t="shared" ca="1" si="227"/>
        <v>X</v>
      </c>
      <c r="R158" s="272" t="str">
        <f t="shared" ref="R158:AU158" si="228">IF(R7=$BC$28,"O",IF(R7=$BD$28,"O",IF(R7=$BE$28,"O",IF(R7=$BF$28,"O",IF(R7=$BG$28,"O",IF(R7=$BH$28,"O",IF(R7=$BI$28,"O",IF(R7=$BJ$28,"O",IF(R7=$BK$28,"O",IF(R7=$BL$28,"O",IF(R7=$BM$28,"O",IF(R7=$BN$28,"O",IF(R7=$BO$28,"O",IF(R7=$BP$28,"O",IF(R7=$BQ$28,"O",IF(R7=$BR$28,"O",IF(R7=$BS$28,"O",IF(R7=$BT$28,"O",IF(R7=$BU$28,"O",IF(R7=$BV$28,"O",IF(R7=$BW$28,"O",IF(R7=$BX$28,"O",IF(R7=$BY$28,"O",IF(R7=$BZ$28,"O",IF(R7=$CA$28,"O",IF(R7=$CB$28,"O","X"))))))))))))))))))))))))))</f>
        <v>X</v>
      </c>
      <c r="S158" s="272" t="str">
        <f t="shared" si="228"/>
        <v>X</v>
      </c>
      <c r="T158" s="272" t="str">
        <f t="shared" si="228"/>
        <v>X</v>
      </c>
      <c r="U158" s="272" t="str">
        <f t="shared" si="228"/>
        <v>X</v>
      </c>
      <c r="V158" s="272" t="str">
        <f t="shared" si="228"/>
        <v>X</v>
      </c>
      <c r="W158" s="272" t="str">
        <f t="shared" si="228"/>
        <v>X</v>
      </c>
      <c r="X158" s="272" t="str">
        <f t="shared" si="228"/>
        <v>X</v>
      </c>
      <c r="Y158" s="272" t="str">
        <f t="shared" si="228"/>
        <v>X</v>
      </c>
      <c r="Z158" s="272" t="str">
        <f t="shared" si="228"/>
        <v>X</v>
      </c>
      <c r="AA158" s="272" t="str">
        <f t="shared" si="228"/>
        <v>X</v>
      </c>
      <c r="AB158" s="272" t="str">
        <f t="shared" si="228"/>
        <v>X</v>
      </c>
      <c r="AC158" s="272" t="str">
        <f t="shared" si="228"/>
        <v>X</v>
      </c>
      <c r="AD158" s="272" t="str">
        <f t="shared" si="228"/>
        <v>X</v>
      </c>
      <c r="AE158" s="272" t="str">
        <f t="shared" si="228"/>
        <v>X</v>
      </c>
      <c r="AF158" s="272" t="str">
        <f t="shared" si="228"/>
        <v>X</v>
      </c>
      <c r="AG158" s="272" t="str">
        <f t="shared" si="228"/>
        <v>X</v>
      </c>
      <c r="AH158" s="272" t="str">
        <f t="shared" si="228"/>
        <v>X</v>
      </c>
      <c r="AI158" s="272" t="str">
        <f t="shared" si="228"/>
        <v>X</v>
      </c>
      <c r="AJ158" s="272" t="str">
        <f t="shared" si="228"/>
        <v>X</v>
      </c>
      <c r="AK158" s="272" t="str">
        <f t="shared" si="228"/>
        <v>X</v>
      </c>
      <c r="AL158" s="307" t="str">
        <f t="shared" si="228"/>
        <v>X</v>
      </c>
      <c r="AM158" s="307" t="str">
        <f t="shared" si="228"/>
        <v>X</v>
      </c>
      <c r="AN158" s="307" t="str">
        <f t="shared" si="228"/>
        <v>X</v>
      </c>
      <c r="AO158" s="307" t="str">
        <f t="shared" si="228"/>
        <v>X</v>
      </c>
      <c r="AP158" s="307" t="str">
        <f t="shared" si="228"/>
        <v>X</v>
      </c>
      <c r="AQ158" s="307" t="str">
        <f t="shared" si="228"/>
        <v>X</v>
      </c>
      <c r="AR158" s="307" t="str">
        <f t="shared" si="228"/>
        <v>X</v>
      </c>
      <c r="AS158" s="307" t="str">
        <f t="shared" si="228"/>
        <v>X</v>
      </c>
      <c r="AT158" s="307" t="str">
        <f t="shared" si="228"/>
        <v>X</v>
      </c>
      <c r="AU158" s="307" t="str">
        <f t="shared" si="228"/>
        <v>X</v>
      </c>
      <c r="AV158" s="296"/>
      <c r="AW158" s="296"/>
      <c r="AX158" s="206"/>
      <c r="BC158" s="270"/>
      <c r="BD158" s="270"/>
      <c r="BE158" s="270"/>
      <c r="BF158" s="239"/>
      <c r="BG158" s="239"/>
      <c r="BH158" s="239"/>
      <c r="BI158" s="239"/>
      <c r="BJ158" s="168"/>
      <c r="BK158" s="2"/>
      <c r="BL158" s="2"/>
      <c r="BM158" s="2"/>
      <c r="BN158" s="2"/>
      <c r="BO158" s="2"/>
      <c r="BP158" s="2"/>
    </row>
    <row r="159" spans="1:68">
      <c r="A159" s="180"/>
      <c r="B159" s="273" t="s">
        <v>566</v>
      </c>
      <c r="C159" s="329" t="str">
        <f t="shared" ref="C159:Q159" ca="1" si="229">IF(C8=$BC$28,"O",IF(C8=$BD$28,"O",IF(C8=$BE$28,"O",IF(C8=$BF$28,"O",IF(C8=$BG$28,"O",IF(C8=$BH$28,"O",IF(C8=$BI$28,"O",IF(C8=$BJ$28,"O",IF(C8=$BK$28,"O",IF(C8=$BL$28,"O",IF(C8=$BM$28,"O",IF(C8=$BN$28,"O",IF(C8=$BO$28,"O",IF(C8=$BP$28,"O",IF(C8=$BQ$28,"O",IF(C8=$BR$28,"O",IF(C8=$BS$28,"O",IF(C8=$BT$28,"O",IF(C8=$BU$28,"O",IF(C8=$BV$28,"O",IF(C8=$BW$28,"O",IF(C8=$BX$28,"O",IF(C8=$BY$28,"O",IF(C8=$BZ$28,"O",IF(C8=$CA$28,"O",IF(C8=$CB$28,"O",IF(C8=$CC$28,"O",IF(C8=$CD$28,"O",IF(C8=$CE$28,"O",IF(C8=$CF$28,"O",IF(C8=$CG$28,"O","X")))))))))))))))))))))))))))))))</f>
        <v>O</v>
      </c>
      <c r="D159" s="329" t="str">
        <f t="shared" ca="1" si="229"/>
        <v>X</v>
      </c>
      <c r="E159" s="329" t="str">
        <f t="shared" ca="1" si="229"/>
        <v>X</v>
      </c>
      <c r="F159" s="329" t="str">
        <f t="shared" ca="1" si="229"/>
        <v>O</v>
      </c>
      <c r="G159" s="329" t="str">
        <f t="shared" ca="1" si="229"/>
        <v>X</v>
      </c>
      <c r="H159" s="329" t="str">
        <f t="shared" ca="1" si="229"/>
        <v>X</v>
      </c>
      <c r="I159" s="329" t="str">
        <f t="shared" ca="1" si="229"/>
        <v>X</v>
      </c>
      <c r="J159" s="329" t="str">
        <f t="shared" ca="1" si="229"/>
        <v>O</v>
      </c>
      <c r="K159" s="329" t="str">
        <f t="shared" ca="1" si="229"/>
        <v>X</v>
      </c>
      <c r="L159" s="329" t="str">
        <f t="shared" ca="1" si="229"/>
        <v>X</v>
      </c>
      <c r="M159" s="329" t="str">
        <f t="shared" ca="1" si="229"/>
        <v>X</v>
      </c>
      <c r="N159" s="329" t="str">
        <f t="shared" ca="1" si="229"/>
        <v>X</v>
      </c>
      <c r="O159" s="329" t="str">
        <f t="shared" ca="1" si="229"/>
        <v>O</v>
      </c>
      <c r="P159" s="329" t="str">
        <f t="shared" ca="1" si="229"/>
        <v>X</v>
      </c>
      <c r="Q159" s="329" t="str">
        <f t="shared" ca="1" si="229"/>
        <v>X</v>
      </c>
      <c r="R159" s="272" t="str">
        <f t="shared" ref="R159:AU159" si="230">IF(R8=$BC$28,"O",IF(R8=$BD$28,"O",IF(R8=$BE$28,"O",IF(R8=$BF$28,"O",IF(R8=$BG$28,"O",IF(R8=$BH$28,"O",IF(R8=$BI$28,"O",IF(R8=$BJ$28,"O",IF(R8=$BK$28,"O",IF(R8=$BL$28,"O",IF(R8=$BM$28,"O",IF(R8=$BN$28,"O",IF(R8=$BO$28,"O",IF(R8=$BP$28,"O",IF(R8=$BQ$28,"O",IF(R8=$BR$28,"O",IF(R8=$BS$28,"O",IF(R8=$BT$28,"O",IF(R8=$BU$28,"O",IF(R8=$BV$28,"O",IF(R8=$BW$28,"O",IF(R8=$BX$28,"O",IF(R8=$BY$28,"O",IF(R8=$BZ$28,"O",IF(R8=$CA$28,"O",IF(R8=$CB$28,"O","X"))))))))))))))))))))))))))</f>
        <v>X</v>
      </c>
      <c r="S159" s="272" t="str">
        <f t="shared" si="230"/>
        <v>X</v>
      </c>
      <c r="T159" s="272" t="str">
        <f t="shared" si="230"/>
        <v>X</v>
      </c>
      <c r="U159" s="272" t="str">
        <f t="shared" si="230"/>
        <v>X</v>
      </c>
      <c r="V159" s="272" t="str">
        <f t="shared" si="230"/>
        <v>X</v>
      </c>
      <c r="W159" s="272" t="str">
        <f t="shared" si="230"/>
        <v>X</v>
      </c>
      <c r="X159" s="272" t="str">
        <f t="shared" si="230"/>
        <v>X</v>
      </c>
      <c r="Y159" s="272" t="str">
        <f t="shared" si="230"/>
        <v>X</v>
      </c>
      <c r="Z159" s="272" t="str">
        <f t="shared" si="230"/>
        <v>X</v>
      </c>
      <c r="AA159" s="272" t="str">
        <f t="shared" si="230"/>
        <v>X</v>
      </c>
      <c r="AB159" s="272" t="str">
        <f t="shared" si="230"/>
        <v>X</v>
      </c>
      <c r="AC159" s="272" t="str">
        <f t="shared" si="230"/>
        <v>X</v>
      </c>
      <c r="AD159" s="272" t="str">
        <f t="shared" si="230"/>
        <v>X</v>
      </c>
      <c r="AE159" s="272" t="str">
        <f t="shared" si="230"/>
        <v>X</v>
      </c>
      <c r="AF159" s="272" t="str">
        <f t="shared" si="230"/>
        <v>X</v>
      </c>
      <c r="AG159" s="272" t="str">
        <f t="shared" si="230"/>
        <v>X</v>
      </c>
      <c r="AH159" s="272" t="str">
        <f t="shared" si="230"/>
        <v>X</v>
      </c>
      <c r="AI159" s="272" t="str">
        <f t="shared" si="230"/>
        <v>X</v>
      </c>
      <c r="AJ159" s="272" t="str">
        <f t="shared" si="230"/>
        <v>X</v>
      </c>
      <c r="AK159" s="272" t="str">
        <f t="shared" si="230"/>
        <v>X</v>
      </c>
      <c r="AL159" s="307" t="str">
        <f t="shared" si="230"/>
        <v>X</v>
      </c>
      <c r="AM159" s="307" t="str">
        <f t="shared" si="230"/>
        <v>X</v>
      </c>
      <c r="AN159" s="307" t="str">
        <f t="shared" si="230"/>
        <v>X</v>
      </c>
      <c r="AO159" s="307" t="str">
        <f t="shared" si="230"/>
        <v>X</v>
      </c>
      <c r="AP159" s="307" t="str">
        <f t="shared" si="230"/>
        <v>X</v>
      </c>
      <c r="AQ159" s="307" t="str">
        <f t="shared" si="230"/>
        <v>X</v>
      </c>
      <c r="AR159" s="307" t="str">
        <f t="shared" si="230"/>
        <v>X</v>
      </c>
      <c r="AS159" s="307" t="str">
        <f t="shared" si="230"/>
        <v>X</v>
      </c>
      <c r="AT159" s="307" t="str">
        <f t="shared" si="230"/>
        <v>X</v>
      </c>
      <c r="AU159" s="307" t="str">
        <f t="shared" si="230"/>
        <v>X</v>
      </c>
      <c r="AV159" s="296"/>
      <c r="AW159" s="296"/>
      <c r="AX159" s="206"/>
      <c r="BC159" s="266"/>
      <c r="BD159" s="266"/>
      <c r="BE159" s="266"/>
      <c r="BF159" s="266"/>
      <c r="BG159" s="266"/>
      <c r="BH159" s="266"/>
      <c r="BI159" s="264"/>
      <c r="BJ159" s="266"/>
      <c r="BK159" s="2"/>
      <c r="BL159" s="2"/>
      <c r="BM159" s="2"/>
      <c r="BN159" s="2"/>
      <c r="BO159" s="2"/>
      <c r="BP159" s="2"/>
    </row>
    <row r="160" spans="1:68">
      <c r="A160" s="180"/>
      <c r="B160" s="273" t="s">
        <v>567</v>
      </c>
      <c r="C160" s="329" t="str">
        <f t="shared" ref="C160:Q160" ca="1" si="231">IF(C9=$BC$28,"O",IF(C9=$BD$28,"O",IF(C9=$BE$28,"O",IF(C9=$BF$28,"O",IF(C9=$BG$28,"O",IF(C9=$BH$28,"O",IF(C9=$BI$28,"O",IF(C9=$BJ$28,"O",IF(C9=$BK$28,"O",IF(C9=$BL$28,"O",IF(C9=$BM$28,"O",IF(C9=$BN$28,"O",IF(C9=$BO$28,"O",IF(C9=$BP$28,"O",IF(C9=$BQ$28,"O",IF(C9=$BR$28,"O",IF(C9=$BS$28,"O",IF(C9=$BT$28,"O",IF(C9=$BU$28,"O",IF(C9=$BV$28,"O",IF(C9=$BW$28,"O",IF(C9=$BX$28,"O",IF(C9=$BY$28,"O",IF(C9=$BZ$28,"O",IF(C9=$CA$28,"O",IF(C9=$CB$28,"O",IF(C9=$CC$28,"O",IF(C9=$CD$28,"O",IF(C9=$CE$28,"O",IF(C9=$CF$28,"O",IF(C9=$CG$28,"O","X")))))))))))))))))))))))))))))))</f>
        <v>X</v>
      </c>
      <c r="D160" s="329" t="str">
        <f t="shared" ca="1" si="231"/>
        <v>X</v>
      </c>
      <c r="E160" s="329" t="str">
        <f t="shared" ca="1" si="231"/>
        <v>X</v>
      </c>
      <c r="F160" s="329" t="str">
        <f t="shared" ca="1" si="231"/>
        <v>O</v>
      </c>
      <c r="G160" s="329" t="str">
        <f t="shared" ca="1" si="231"/>
        <v>O</v>
      </c>
      <c r="H160" s="329" t="str">
        <f t="shared" ca="1" si="231"/>
        <v>X</v>
      </c>
      <c r="I160" s="329" t="str">
        <f t="shared" ca="1" si="231"/>
        <v>O</v>
      </c>
      <c r="J160" s="329" t="str">
        <f t="shared" ca="1" si="231"/>
        <v>X</v>
      </c>
      <c r="K160" s="329" t="str">
        <f t="shared" ca="1" si="231"/>
        <v>X</v>
      </c>
      <c r="L160" s="329" t="str">
        <f t="shared" ca="1" si="231"/>
        <v>X</v>
      </c>
      <c r="M160" s="329" t="str">
        <f t="shared" ca="1" si="231"/>
        <v>X</v>
      </c>
      <c r="N160" s="329" t="str">
        <f t="shared" ca="1" si="231"/>
        <v>X</v>
      </c>
      <c r="O160" s="329" t="str">
        <f t="shared" ca="1" si="231"/>
        <v>X</v>
      </c>
      <c r="P160" s="329" t="str">
        <f t="shared" ca="1" si="231"/>
        <v>X</v>
      </c>
      <c r="Q160" s="329" t="str">
        <f t="shared" ca="1" si="231"/>
        <v>X</v>
      </c>
      <c r="R160" s="272" t="str">
        <f t="shared" ref="R160:AU160" si="232">IF(R9=$BC$28,"O",IF(R9=$BD$28,"O",IF(R9=$BE$28,"O",IF(R9=$BF$28,"O",IF(R9=$BG$28,"O",IF(R9=$BH$28,"O",IF(R9=$BI$28,"O",IF(R9=$BJ$28,"O",IF(R9=$BK$28,"O",IF(R9=$BL$28,"O",IF(R9=$BM$28,"O",IF(R9=$BN$28,"O",IF(R9=$BO$28,"O",IF(R9=$BP$28,"O",IF(R9=$BQ$28,"O",IF(R9=$BR$28,"O",IF(R9=$BS$28,"O",IF(R9=$BT$28,"O",IF(R9=$BU$28,"O",IF(R9=$BV$28,"O",IF(R9=$BW$28,"O",IF(R9=$BX$28,"O",IF(R9=$BY$28,"O",IF(R9=$BZ$28,"O",IF(R9=$CA$28,"O",IF(R9=$CB$28,"O","X"))))))))))))))))))))))))))</f>
        <v>X</v>
      </c>
      <c r="S160" s="272" t="str">
        <f t="shared" si="232"/>
        <v>X</v>
      </c>
      <c r="T160" s="272" t="str">
        <f t="shared" si="232"/>
        <v>X</v>
      </c>
      <c r="U160" s="272" t="str">
        <f t="shared" si="232"/>
        <v>X</v>
      </c>
      <c r="V160" s="272" t="str">
        <f t="shared" si="232"/>
        <v>X</v>
      </c>
      <c r="W160" s="272" t="str">
        <f t="shared" si="232"/>
        <v>X</v>
      </c>
      <c r="X160" s="272" t="str">
        <f t="shared" si="232"/>
        <v>X</v>
      </c>
      <c r="Y160" s="272" t="str">
        <f t="shared" si="232"/>
        <v>X</v>
      </c>
      <c r="Z160" s="272" t="str">
        <f t="shared" si="232"/>
        <v>X</v>
      </c>
      <c r="AA160" s="272" t="str">
        <f t="shared" si="232"/>
        <v>X</v>
      </c>
      <c r="AB160" s="272" t="str">
        <f t="shared" si="232"/>
        <v>X</v>
      </c>
      <c r="AC160" s="272" t="str">
        <f t="shared" si="232"/>
        <v>X</v>
      </c>
      <c r="AD160" s="272" t="str">
        <f t="shared" si="232"/>
        <v>X</v>
      </c>
      <c r="AE160" s="272" t="str">
        <f t="shared" si="232"/>
        <v>X</v>
      </c>
      <c r="AF160" s="272" t="str">
        <f t="shared" si="232"/>
        <v>X</v>
      </c>
      <c r="AG160" s="272" t="str">
        <f t="shared" si="232"/>
        <v>X</v>
      </c>
      <c r="AH160" s="272" t="str">
        <f t="shared" si="232"/>
        <v>X</v>
      </c>
      <c r="AI160" s="272" t="str">
        <f t="shared" si="232"/>
        <v>X</v>
      </c>
      <c r="AJ160" s="272" t="str">
        <f t="shared" si="232"/>
        <v>X</v>
      </c>
      <c r="AK160" s="272" t="str">
        <f t="shared" si="232"/>
        <v>X</v>
      </c>
      <c r="AL160" s="307" t="str">
        <f t="shared" si="232"/>
        <v>X</v>
      </c>
      <c r="AM160" s="307" t="str">
        <f t="shared" si="232"/>
        <v>X</v>
      </c>
      <c r="AN160" s="307" t="str">
        <f t="shared" si="232"/>
        <v>X</v>
      </c>
      <c r="AO160" s="307" t="str">
        <f t="shared" si="232"/>
        <v>X</v>
      </c>
      <c r="AP160" s="307" t="str">
        <f t="shared" si="232"/>
        <v>X</v>
      </c>
      <c r="AQ160" s="307" t="str">
        <f t="shared" si="232"/>
        <v>X</v>
      </c>
      <c r="AR160" s="307" t="str">
        <f t="shared" si="232"/>
        <v>X</v>
      </c>
      <c r="AS160" s="307" t="str">
        <f t="shared" si="232"/>
        <v>X</v>
      </c>
      <c r="AT160" s="307" t="str">
        <f t="shared" si="232"/>
        <v>X</v>
      </c>
      <c r="AU160" s="307" t="str">
        <f t="shared" si="232"/>
        <v>X</v>
      </c>
      <c r="AV160" s="296"/>
      <c r="AW160" s="296"/>
      <c r="AX160" s="206"/>
      <c r="BC160" s="270"/>
      <c r="BD160" s="270"/>
      <c r="BE160" s="270"/>
      <c r="BF160" s="270"/>
      <c r="BG160" s="270"/>
      <c r="BH160" s="270"/>
      <c r="BI160" s="239"/>
      <c r="BJ160" s="168"/>
      <c r="BK160" s="2"/>
      <c r="BL160" s="2"/>
      <c r="BM160" s="2"/>
      <c r="BN160" s="2"/>
      <c r="BO160" s="2"/>
      <c r="BP160" s="2"/>
    </row>
    <row r="161" spans="1:68">
      <c r="A161" s="180"/>
      <c r="B161" s="273" t="s">
        <v>568</v>
      </c>
      <c r="C161" s="329" t="str">
        <f t="shared" ref="C161:Q161" ca="1" si="233">IF(C10=$BC$28,"O",IF(C10=$BD$28,"O",IF(C10=$BE$28,"O",IF(C10=$BF$28,"O",IF(C10=$BG$28,"O",IF(C10=$BH$28,"O",IF(C10=$BI$28,"O",IF(C10=$BJ$28,"O",IF(C10=$BK$28,"O",IF(C10=$BL$28,"O",IF(C10=$BM$28,"O",IF(C10=$BN$28,"O",IF(C10=$BO$28,"O",IF(C10=$BP$28,"O",IF(C10=$BQ$28,"O",IF(C10=$BR$28,"O",IF(C10=$BS$28,"O",IF(C10=$BT$28,"O",IF(C10=$BU$28,"O",IF(C10=$BV$28,"O",IF(C10=$BW$28,"O",IF(C10=$BX$28,"O",IF(C10=$BY$28,"O",IF(C10=$BZ$28,"O",IF(C10=$CA$28,"O",IF(C10=$CB$28,"O",IF(C10=$CC$28,"O",IF(C10=$CD$28,"O",IF(C10=$CE$28,"O",IF(C10=$CF$28,"O",IF(C10=$CG$28,"O","X")))))))))))))))))))))))))))))))</f>
        <v>X</v>
      </c>
      <c r="D161" s="329" t="str">
        <f t="shared" ca="1" si="233"/>
        <v>X</v>
      </c>
      <c r="E161" s="329" t="str">
        <f t="shared" ca="1" si="233"/>
        <v>X</v>
      </c>
      <c r="F161" s="329" t="str">
        <f t="shared" ca="1" si="233"/>
        <v>O</v>
      </c>
      <c r="G161" s="329" t="str">
        <f t="shared" ca="1" si="233"/>
        <v>X</v>
      </c>
      <c r="H161" s="329" t="str">
        <f t="shared" ca="1" si="233"/>
        <v>O</v>
      </c>
      <c r="I161" s="329" t="str">
        <f t="shared" ca="1" si="233"/>
        <v>X</v>
      </c>
      <c r="J161" s="329" t="str">
        <f t="shared" ca="1" si="233"/>
        <v>O</v>
      </c>
      <c r="K161" s="329" t="str">
        <f t="shared" ca="1" si="233"/>
        <v>O</v>
      </c>
      <c r="L161" s="329" t="str">
        <f t="shared" ca="1" si="233"/>
        <v>X</v>
      </c>
      <c r="M161" s="329" t="str">
        <f t="shared" ca="1" si="233"/>
        <v>X</v>
      </c>
      <c r="N161" s="329" t="str">
        <f t="shared" ca="1" si="233"/>
        <v>X</v>
      </c>
      <c r="O161" s="329" t="str">
        <f t="shared" ca="1" si="233"/>
        <v>X</v>
      </c>
      <c r="P161" s="329" t="str">
        <f t="shared" ca="1" si="233"/>
        <v>X</v>
      </c>
      <c r="Q161" s="329" t="str">
        <f t="shared" ca="1" si="233"/>
        <v>X</v>
      </c>
      <c r="R161" s="272" t="str">
        <f t="shared" ref="R161:AU161" si="234">IF(R10=$BC$28,"O",IF(R10=$BD$28,"O",IF(R10=$BE$28,"O",IF(R10=$BF$28,"O",IF(R10=$BG$28,"O",IF(R10=$BH$28,"O",IF(R10=$BI$28,"O",IF(R10=$BJ$28,"O",IF(R10=$BK$28,"O",IF(R10=$BL$28,"O",IF(R10=$BM$28,"O",IF(R10=$BN$28,"O",IF(R10=$BO$28,"O",IF(R10=$BP$28,"O",IF(R10=$BQ$28,"O",IF(R10=$BR$28,"O",IF(R10=$BS$28,"O",IF(R10=$BT$28,"O",IF(R10=$BU$28,"O",IF(R10=$BV$28,"O",IF(R10=$BW$28,"O",IF(R10=$BX$28,"O",IF(R10=$BY$28,"O",IF(R10=$BZ$28,"O",IF(R10=$CA$28,"O",IF(R10=$CB$28,"O","X"))))))))))))))))))))))))))</f>
        <v>X</v>
      </c>
      <c r="S161" s="272" t="str">
        <f t="shared" si="234"/>
        <v>X</v>
      </c>
      <c r="T161" s="272" t="str">
        <f t="shared" si="234"/>
        <v>X</v>
      </c>
      <c r="U161" s="272" t="str">
        <f t="shared" si="234"/>
        <v>X</v>
      </c>
      <c r="V161" s="272" t="str">
        <f t="shared" si="234"/>
        <v>X</v>
      </c>
      <c r="W161" s="272" t="str">
        <f t="shared" si="234"/>
        <v>X</v>
      </c>
      <c r="X161" s="272" t="str">
        <f t="shared" si="234"/>
        <v>X</v>
      </c>
      <c r="Y161" s="272" t="str">
        <f t="shared" si="234"/>
        <v>X</v>
      </c>
      <c r="Z161" s="272" t="str">
        <f t="shared" si="234"/>
        <v>X</v>
      </c>
      <c r="AA161" s="272" t="str">
        <f t="shared" si="234"/>
        <v>X</v>
      </c>
      <c r="AB161" s="272" t="str">
        <f t="shared" si="234"/>
        <v>X</v>
      </c>
      <c r="AC161" s="272" t="str">
        <f t="shared" si="234"/>
        <v>X</v>
      </c>
      <c r="AD161" s="272" t="str">
        <f t="shared" si="234"/>
        <v>X</v>
      </c>
      <c r="AE161" s="272" t="str">
        <f t="shared" si="234"/>
        <v>X</v>
      </c>
      <c r="AF161" s="272" t="str">
        <f t="shared" si="234"/>
        <v>X</v>
      </c>
      <c r="AG161" s="272" t="str">
        <f t="shared" si="234"/>
        <v>X</v>
      </c>
      <c r="AH161" s="272" t="str">
        <f t="shared" si="234"/>
        <v>X</v>
      </c>
      <c r="AI161" s="272" t="str">
        <f t="shared" si="234"/>
        <v>X</v>
      </c>
      <c r="AJ161" s="272" t="str">
        <f t="shared" si="234"/>
        <v>X</v>
      </c>
      <c r="AK161" s="272" t="str">
        <f t="shared" si="234"/>
        <v>X</v>
      </c>
      <c r="AL161" s="307" t="str">
        <f t="shared" si="234"/>
        <v>X</v>
      </c>
      <c r="AM161" s="307" t="str">
        <f t="shared" si="234"/>
        <v>X</v>
      </c>
      <c r="AN161" s="307" t="str">
        <f t="shared" si="234"/>
        <v>X</v>
      </c>
      <c r="AO161" s="307" t="str">
        <f t="shared" si="234"/>
        <v>X</v>
      </c>
      <c r="AP161" s="307" t="str">
        <f t="shared" si="234"/>
        <v>X</v>
      </c>
      <c r="AQ161" s="307" t="str">
        <f t="shared" si="234"/>
        <v>X</v>
      </c>
      <c r="AR161" s="307" t="str">
        <f t="shared" si="234"/>
        <v>X</v>
      </c>
      <c r="AS161" s="307" t="str">
        <f t="shared" si="234"/>
        <v>X</v>
      </c>
      <c r="AT161" s="307" t="str">
        <f t="shared" si="234"/>
        <v>X</v>
      </c>
      <c r="AU161" s="307" t="str">
        <f t="shared" si="234"/>
        <v>X</v>
      </c>
      <c r="AV161" s="296"/>
      <c r="AW161" s="296"/>
      <c r="AX161" s="206"/>
      <c r="BC161" s="150"/>
      <c r="BD161" s="206"/>
      <c r="BE161" s="206"/>
      <c r="BF161" s="206"/>
      <c r="BG161" s="2"/>
      <c r="BH161" s="85"/>
      <c r="BI161" s="53"/>
      <c r="BJ161" s="150"/>
      <c r="BK161" s="2"/>
      <c r="BL161" s="2"/>
      <c r="BM161" s="2"/>
      <c r="BN161" s="2"/>
      <c r="BO161" s="2"/>
      <c r="BP161" s="2"/>
    </row>
    <row r="162" spans="1:68">
      <c r="A162" s="180"/>
      <c r="B162" s="273" t="s">
        <v>569</v>
      </c>
      <c r="C162" s="329" t="str">
        <f t="shared" ref="C162:Q162" ca="1" si="235">IF(C11=$BC$28,"O",IF(C11=$BD$28,"O",IF(C11=$BE$28,"O",IF(C11=$BF$28,"O",IF(C11=$BG$28,"O",IF(C11=$BH$28,"O",IF(C11=$BI$28,"O",IF(C11=$BJ$28,"O",IF(C11=$BK$28,"O",IF(C11=$BL$28,"O",IF(C11=$BM$28,"O",IF(C11=$BN$28,"O",IF(C11=$BO$28,"O",IF(C11=$BP$28,"O",IF(C11=$BQ$28,"O",IF(C11=$BR$28,"O",IF(C11=$BS$28,"O",IF(C11=$BT$28,"O",IF(C11=$BU$28,"O",IF(C11=$BV$28,"O",IF(C11=$BW$28,"O",IF(C11=$BX$28,"O",IF(C11=$BY$28,"O",IF(C11=$BZ$28,"O",IF(C11=$CA$28,"O",IF(C11=$CB$28,"O",IF(C11=$CC$28,"O",IF(C11=$CD$28,"O",IF(C11=$CE$28,"O",IF(C11=$CF$28,"O",IF(C11=$CG$28,"O","X")))))))))))))))))))))))))))))))</f>
        <v>X</v>
      </c>
      <c r="D162" s="329" t="str">
        <f t="shared" ca="1" si="235"/>
        <v>X</v>
      </c>
      <c r="E162" s="329" t="str">
        <f t="shared" ca="1" si="235"/>
        <v>X</v>
      </c>
      <c r="F162" s="329" t="str">
        <f t="shared" ca="1" si="235"/>
        <v>X</v>
      </c>
      <c r="G162" s="329" t="str">
        <f t="shared" ca="1" si="235"/>
        <v>X</v>
      </c>
      <c r="H162" s="329" t="str">
        <f t="shared" ca="1" si="235"/>
        <v>X</v>
      </c>
      <c r="I162" s="329" t="str">
        <f t="shared" ca="1" si="235"/>
        <v>O</v>
      </c>
      <c r="J162" s="329" t="str">
        <f t="shared" ca="1" si="235"/>
        <v>O</v>
      </c>
      <c r="K162" s="329" t="str">
        <f t="shared" ca="1" si="235"/>
        <v>X</v>
      </c>
      <c r="L162" s="329" t="str">
        <f t="shared" ca="1" si="235"/>
        <v>O</v>
      </c>
      <c r="M162" s="329" t="str">
        <f t="shared" ca="1" si="235"/>
        <v>O</v>
      </c>
      <c r="N162" s="329" t="str">
        <f t="shared" ca="1" si="235"/>
        <v>X</v>
      </c>
      <c r="O162" s="329" t="str">
        <f t="shared" ca="1" si="235"/>
        <v>X</v>
      </c>
      <c r="P162" s="329" t="str">
        <f t="shared" ca="1" si="235"/>
        <v>X</v>
      </c>
      <c r="Q162" s="329" t="str">
        <f t="shared" ca="1" si="235"/>
        <v>O</v>
      </c>
      <c r="R162" s="272" t="str">
        <f t="shared" ref="R162:AU162" si="236">IF(R11=$BC$28,"O",IF(R11=$BD$28,"O",IF(R11=$BE$28,"O",IF(R11=$BF$28,"O",IF(R11=$BG$28,"O",IF(R11=$BH$28,"O",IF(R11=$BI$28,"O",IF(R11=$BJ$28,"O",IF(R11=$BK$28,"O",IF(R11=$BL$28,"O",IF(R11=$BM$28,"O",IF(R11=$BN$28,"O",IF(R11=$BO$28,"O",IF(R11=$BP$28,"O",IF(R11=$BQ$28,"O",IF(R11=$BR$28,"O",IF(R11=$BS$28,"O",IF(R11=$BT$28,"O",IF(R11=$BU$28,"O",IF(R11=$BV$28,"O",IF(R11=$BW$28,"O",IF(R11=$BX$28,"O",IF(R11=$BY$28,"O",IF(R11=$BZ$28,"O",IF(R11=$CA$28,"O",IF(R11=$CB$28,"O","X"))))))))))))))))))))))))))</f>
        <v>X</v>
      </c>
      <c r="S162" s="272" t="str">
        <f t="shared" si="236"/>
        <v>X</v>
      </c>
      <c r="T162" s="272" t="str">
        <f t="shared" si="236"/>
        <v>X</v>
      </c>
      <c r="U162" s="272" t="str">
        <f t="shared" si="236"/>
        <v>X</v>
      </c>
      <c r="V162" s="272" t="str">
        <f t="shared" si="236"/>
        <v>X</v>
      </c>
      <c r="W162" s="272" t="str">
        <f t="shared" si="236"/>
        <v>X</v>
      </c>
      <c r="X162" s="272" t="str">
        <f t="shared" si="236"/>
        <v>X</v>
      </c>
      <c r="Y162" s="272" t="str">
        <f t="shared" si="236"/>
        <v>X</v>
      </c>
      <c r="Z162" s="272" t="str">
        <f t="shared" si="236"/>
        <v>X</v>
      </c>
      <c r="AA162" s="272" t="str">
        <f t="shared" si="236"/>
        <v>X</v>
      </c>
      <c r="AB162" s="272" t="str">
        <f t="shared" si="236"/>
        <v>X</v>
      </c>
      <c r="AC162" s="272" t="str">
        <f t="shared" si="236"/>
        <v>X</v>
      </c>
      <c r="AD162" s="272" t="str">
        <f t="shared" si="236"/>
        <v>X</v>
      </c>
      <c r="AE162" s="272" t="str">
        <f t="shared" si="236"/>
        <v>X</v>
      </c>
      <c r="AF162" s="272" t="str">
        <f t="shared" si="236"/>
        <v>X</v>
      </c>
      <c r="AG162" s="272" t="str">
        <f t="shared" si="236"/>
        <v>X</v>
      </c>
      <c r="AH162" s="272" t="str">
        <f t="shared" si="236"/>
        <v>X</v>
      </c>
      <c r="AI162" s="272" t="str">
        <f t="shared" si="236"/>
        <v>X</v>
      </c>
      <c r="AJ162" s="272" t="str">
        <f t="shared" si="236"/>
        <v>X</v>
      </c>
      <c r="AK162" s="272" t="str">
        <f t="shared" si="236"/>
        <v>X</v>
      </c>
      <c r="AL162" s="307" t="str">
        <f t="shared" si="236"/>
        <v>X</v>
      </c>
      <c r="AM162" s="307" t="str">
        <f t="shared" si="236"/>
        <v>X</v>
      </c>
      <c r="AN162" s="307" t="str">
        <f t="shared" si="236"/>
        <v>X</v>
      </c>
      <c r="AO162" s="307" t="str">
        <f t="shared" si="236"/>
        <v>X</v>
      </c>
      <c r="AP162" s="307" t="str">
        <f t="shared" si="236"/>
        <v>X</v>
      </c>
      <c r="AQ162" s="307" t="str">
        <f t="shared" si="236"/>
        <v>X</v>
      </c>
      <c r="AR162" s="307" t="str">
        <f t="shared" si="236"/>
        <v>X</v>
      </c>
      <c r="AS162" s="307" t="str">
        <f t="shared" si="236"/>
        <v>X</v>
      </c>
      <c r="AT162" s="307" t="str">
        <f t="shared" si="236"/>
        <v>X</v>
      </c>
      <c r="AU162" s="307" t="str">
        <f t="shared" si="236"/>
        <v>X</v>
      </c>
      <c r="AV162" s="296"/>
      <c r="AW162" s="296"/>
      <c r="AX162" s="206"/>
      <c r="BC162" s="150"/>
      <c r="BD162" s="206"/>
      <c r="BE162" s="206"/>
      <c r="BF162" s="206"/>
      <c r="BG162" s="2"/>
      <c r="BH162" s="85"/>
      <c r="BI162" s="2"/>
      <c r="BJ162" s="150"/>
      <c r="BK162" s="2"/>
      <c r="BL162" s="2"/>
      <c r="BM162" s="2"/>
      <c r="BN162" s="2"/>
      <c r="BO162" s="2"/>
      <c r="BP162" s="2"/>
    </row>
    <row r="163" spans="1:68">
      <c r="A163" s="180"/>
      <c r="B163" s="272" t="s">
        <v>540</v>
      </c>
      <c r="C163" s="329" t="str">
        <f t="shared" ref="C163:Q163" ca="1" si="237">IF(C12=$BC$28,"O",IF(C12=$BD$28,"O",IF(C12=$BE$28,"O",IF(C12=$BF$28,"O",IF(C12=$BG$28,"O",IF(C12=$BH$28,"O",IF(C12=$BI$28,"O",IF(C12=$BJ$28,"O",IF(C12=$BK$28,"O",IF(C12=$BL$28,"O",IF(C12=$BM$28,"O",IF(C12=$BN$28,"O",IF(C12=$BO$28,"O",IF(C12=$BP$28,"O",IF(C12=$BQ$28,"O",IF(C12=$BR$28,"O",IF(C12=$BS$28,"O",IF(C12=$BT$28,"O",IF(C12=$BU$28,"O",IF(C12=$BV$28,"O",IF(C12=$BW$28,"O",IF(C12=$BX$28,"O",IF(C12=$BY$28,"O",IF(C12=$BZ$28,"O",IF(C12=$CA$28,"O",IF(C12=$CB$28,"O",IF(C12=$CC$28,"O",IF(C12=$CD$28,"O",IF(C12=$CE$28,"O",IF(C12=$CF$28,"O",IF(C12=$CG$28,"O","X")))))))))))))))))))))))))))))))</f>
        <v>X</v>
      </c>
      <c r="D163" s="329" t="str">
        <f t="shared" ca="1" si="237"/>
        <v>X</v>
      </c>
      <c r="E163" s="329" t="str">
        <f t="shared" ca="1" si="237"/>
        <v>O</v>
      </c>
      <c r="F163" s="329" t="str">
        <f t="shared" ca="1" si="237"/>
        <v>O</v>
      </c>
      <c r="G163" s="329" t="str">
        <f t="shared" ca="1" si="237"/>
        <v>O</v>
      </c>
      <c r="H163" s="329" t="str">
        <f t="shared" ca="1" si="237"/>
        <v>X</v>
      </c>
      <c r="I163" s="329" t="str">
        <f t="shared" ca="1" si="237"/>
        <v>X</v>
      </c>
      <c r="J163" s="329" t="str">
        <f t="shared" ca="1" si="237"/>
        <v>O</v>
      </c>
      <c r="K163" s="329" t="str">
        <f t="shared" ca="1" si="237"/>
        <v>X</v>
      </c>
      <c r="L163" s="329" t="str">
        <f t="shared" ca="1" si="237"/>
        <v>X</v>
      </c>
      <c r="M163" s="329" t="str">
        <f t="shared" ca="1" si="237"/>
        <v>X</v>
      </c>
      <c r="N163" s="329" t="str">
        <f t="shared" ca="1" si="237"/>
        <v>X</v>
      </c>
      <c r="O163" s="329" t="str">
        <f t="shared" ca="1" si="237"/>
        <v>X</v>
      </c>
      <c r="P163" s="329" t="str">
        <f t="shared" ca="1" si="237"/>
        <v>X</v>
      </c>
      <c r="Q163" s="329" t="str">
        <f t="shared" ca="1" si="237"/>
        <v>X</v>
      </c>
      <c r="R163" s="272" t="str">
        <f t="shared" ref="R163:AU163" si="238">IF(R12=$BC$28,"O",IF(R12=$BD$28,"O",IF(R12=$BE$28,"O",IF(R12=$BF$28,"O",IF(R12=$BG$28,"O",IF(R12=$BH$28,"O",IF(R12=$BI$28,"O",IF(R12=$BJ$28,"O",IF(R12=$BK$28,"O",IF(R12=$BL$28,"O",IF(R12=$BM$28,"O",IF(R12=$BN$28,"O",IF(R12=$BO$28,"O",IF(R12=$BP$28,"O",IF(R12=$BQ$28,"O",IF(R12=$BR$28,"O",IF(R12=$BS$28,"O",IF(R12=$BT$28,"O",IF(R12=$BU$28,"O",IF(R12=$BV$28,"O",IF(R12=$BW$28,"O",IF(R12=$BX$28,"O",IF(R12=$BY$28,"O",IF(R12=$BZ$28,"O",IF(R12=$CA$28,"O",IF(R12=$CB$28,"O","X"))))))))))))))))))))))))))</f>
        <v>X</v>
      </c>
      <c r="S163" s="272" t="str">
        <f t="shared" si="238"/>
        <v>X</v>
      </c>
      <c r="T163" s="272" t="str">
        <f t="shared" si="238"/>
        <v>X</v>
      </c>
      <c r="U163" s="272" t="str">
        <f t="shared" si="238"/>
        <v>X</v>
      </c>
      <c r="V163" s="272" t="str">
        <f t="shared" si="238"/>
        <v>X</v>
      </c>
      <c r="W163" s="272" t="str">
        <f t="shared" si="238"/>
        <v>X</v>
      </c>
      <c r="X163" s="272" t="str">
        <f t="shared" si="238"/>
        <v>X</v>
      </c>
      <c r="Y163" s="272" t="str">
        <f t="shared" si="238"/>
        <v>X</v>
      </c>
      <c r="Z163" s="272" t="str">
        <f t="shared" si="238"/>
        <v>X</v>
      </c>
      <c r="AA163" s="272" t="str">
        <f t="shared" si="238"/>
        <v>X</v>
      </c>
      <c r="AB163" s="272" t="str">
        <f t="shared" si="238"/>
        <v>X</v>
      </c>
      <c r="AC163" s="272" t="str">
        <f t="shared" si="238"/>
        <v>X</v>
      </c>
      <c r="AD163" s="272" t="str">
        <f t="shared" si="238"/>
        <v>X</v>
      </c>
      <c r="AE163" s="272" t="str">
        <f t="shared" si="238"/>
        <v>X</v>
      </c>
      <c r="AF163" s="272" t="str">
        <f t="shared" si="238"/>
        <v>X</v>
      </c>
      <c r="AG163" s="272" t="str">
        <f t="shared" si="238"/>
        <v>X</v>
      </c>
      <c r="AH163" s="272" t="str">
        <f t="shared" si="238"/>
        <v>X</v>
      </c>
      <c r="AI163" s="272" t="str">
        <f t="shared" si="238"/>
        <v>X</v>
      </c>
      <c r="AJ163" s="272" t="str">
        <f t="shared" si="238"/>
        <v>X</v>
      </c>
      <c r="AK163" s="272" t="str">
        <f t="shared" si="238"/>
        <v>X</v>
      </c>
      <c r="AL163" s="307" t="str">
        <f t="shared" si="238"/>
        <v>X</v>
      </c>
      <c r="AM163" s="307" t="str">
        <f t="shared" si="238"/>
        <v>X</v>
      </c>
      <c r="AN163" s="307" t="str">
        <f t="shared" si="238"/>
        <v>X</v>
      </c>
      <c r="AO163" s="307" t="str">
        <f t="shared" si="238"/>
        <v>X</v>
      </c>
      <c r="AP163" s="307" t="str">
        <f t="shared" si="238"/>
        <v>X</v>
      </c>
      <c r="AQ163" s="307" t="str">
        <f t="shared" si="238"/>
        <v>X</v>
      </c>
      <c r="AR163" s="307" t="str">
        <f t="shared" si="238"/>
        <v>X</v>
      </c>
      <c r="AS163" s="307" t="str">
        <f t="shared" si="238"/>
        <v>X</v>
      </c>
      <c r="AT163" s="307" t="str">
        <f t="shared" si="238"/>
        <v>X</v>
      </c>
      <c r="AU163" s="307" t="str">
        <f t="shared" si="238"/>
        <v>X</v>
      </c>
      <c r="AV163" s="296"/>
      <c r="AW163" s="296"/>
      <c r="AX163" s="206"/>
      <c r="BC163" s="150"/>
      <c r="BD163" s="206"/>
      <c r="BE163" s="206"/>
      <c r="BF163" s="206"/>
      <c r="BG163" s="2"/>
      <c r="BH163" s="85"/>
      <c r="BI163" s="2"/>
      <c r="BJ163" s="150"/>
      <c r="BK163" s="2"/>
      <c r="BL163" s="2"/>
      <c r="BM163" s="2"/>
      <c r="BN163" s="2"/>
      <c r="BO163" s="2"/>
      <c r="BP163" s="2"/>
    </row>
    <row r="164" spans="1:68">
      <c r="A164" s="181"/>
      <c r="B164" s="111" t="s">
        <v>663</v>
      </c>
      <c r="C164" s="172">
        <f ca="1">COUNTIF(C158:C163,"O")</f>
        <v>1</v>
      </c>
      <c r="D164" s="172">
        <f t="shared" ref="D164:Q164" ca="1" si="239">COUNTIF(D158:D163,"O")</f>
        <v>0</v>
      </c>
      <c r="E164" s="172">
        <f t="shared" ca="1" si="239"/>
        <v>1</v>
      </c>
      <c r="F164" s="172">
        <f t="shared" ca="1" si="239"/>
        <v>5</v>
      </c>
      <c r="G164" s="172">
        <f t="shared" ca="1" si="239"/>
        <v>2</v>
      </c>
      <c r="H164" s="172">
        <f t="shared" ca="1" si="239"/>
        <v>1</v>
      </c>
      <c r="I164" s="172">
        <f t="shared" ca="1" si="239"/>
        <v>2</v>
      </c>
      <c r="J164" s="172">
        <f t="shared" ca="1" si="239"/>
        <v>4</v>
      </c>
      <c r="K164" s="172">
        <f t="shared" ca="1" si="239"/>
        <v>2</v>
      </c>
      <c r="L164" s="172">
        <f t="shared" ca="1" si="239"/>
        <v>1</v>
      </c>
      <c r="M164" s="172">
        <f t="shared" ca="1" si="239"/>
        <v>2</v>
      </c>
      <c r="N164" s="172">
        <f t="shared" ca="1" si="239"/>
        <v>0</v>
      </c>
      <c r="O164" s="172">
        <f t="shared" ca="1" si="239"/>
        <v>1</v>
      </c>
      <c r="P164" s="172">
        <f t="shared" ca="1" si="239"/>
        <v>0</v>
      </c>
      <c r="Q164" s="172">
        <f t="shared" ca="1" si="239"/>
        <v>1</v>
      </c>
      <c r="R164" s="172">
        <f t="shared" ref="R164:AK164" si="240">COUNTIF(R158:R163,"O")</f>
        <v>0</v>
      </c>
      <c r="S164" s="172">
        <f t="shared" si="240"/>
        <v>0</v>
      </c>
      <c r="T164" s="172">
        <f t="shared" si="240"/>
        <v>0</v>
      </c>
      <c r="U164" s="172">
        <f t="shared" si="240"/>
        <v>0</v>
      </c>
      <c r="V164" s="172">
        <f t="shared" si="240"/>
        <v>0</v>
      </c>
      <c r="W164" s="172">
        <f t="shared" si="240"/>
        <v>0</v>
      </c>
      <c r="X164" s="172">
        <f t="shared" si="240"/>
        <v>0</v>
      </c>
      <c r="Y164" s="172">
        <f t="shared" si="240"/>
        <v>0</v>
      </c>
      <c r="Z164" s="172">
        <f t="shared" si="240"/>
        <v>0</v>
      </c>
      <c r="AA164" s="172">
        <f t="shared" si="240"/>
        <v>0</v>
      </c>
      <c r="AB164" s="172">
        <f t="shared" si="240"/>
        <v>0</v>
      </c>
      <c r="AC164" s="172">
        <f t="shared" si="240"/>
        <v>0</v>
      </c>
      <c r="AD164" s="172">
        <f t="shared" si="240"/>
        <v>0</v>
      </c>
      <c r="AE164" s="172">
        <f t="shared" si="240"/>
        <v>0</v>
      </c>
      <c r="AF164" s="172">
        <f t="shared" si="240"/>
        <v>0</v>
      </c>
      <c r="AG164" s="172">
        <f t="shared" si="240"/>
        <v>0</v>
      </c>
      <c r="AH164" s="172">
        <f t="shared" si="240"/>
        <v>0</v>
      </c>
      <c r="AI164" s="172">
        <f t="shared" si="240"/>
        <v>0</v>
      </c>
      <c r="AJ164" s="172">
        <f t="shared" si="240"/>
        <v>0</v>
      </c>
      <c r="AK164" s="172">
        <f t="shared" si="240"/>
        <v>0</v>
      </c>
      <c r="AL164" s="172">
        <f t="shared" ref="AL164:AU164" si="241">COUNTIF(AL158:AL163,"O")</f>
        <v>0</v>
      </c>
      <c r="AM164" s="172">
        <f t="shared" si="241"/>
        <v>0</v>
      </c>
      <c r="AN164" s="172">
        <f t="shared" si="241"/>
        <v>0</v>
      </c>
      <c r="AO164" s="172">
        <f t="shared" si="241"/>
        <v>0</v>
      </c>
      <c r="AP164" s="172">
        <f t="shared" si="241"/>
        <v>0</v>
      </c>
      <c r="AQ164" s="172">
        <f t="shared" si="241"/>
        <v>0</v>
      </c>
      <c r="AR164" s="172">
        <f t="shared" si="241"/>
        <v>0</v>
      </c>
      <c r="AS164" s="172">
        <f t="shared" si="241"/>
        <v>0</v>
      </c>
      <c r="AT164" s="172">
        <f t="shared" si="241"/>
        <v>0</v>
      </c>
      <c r="AU164" s="172">
        <f t="shared" si="241"/>
        <v>0</v>
      </c>
      <c r="AV164" s="255"/>
      <c r="AW164" s="255"/>
      <c r="AX164" s="255"/>
      <c r="BC164" s="150"/>
      <c r="BD164" s="206"/>
      <c r="BE164" s="206"/>
      <c r="BF164" s="206"/>
      <c r="BG164" s="2"/>
      <c r="BI164" s="2"/>
      <c r="BJ164" s="150"/>
      <c r="BK164" s="164"/>
      <c r="BL164" s="164"/>
      <c r="BM164" s="168"/>
      <c r="BN164" s="168"/>
      <c r="BO164" s="2"/>
      <c r="BP164" s="2"/>
    </row>
    <row r="165" spans="1:68">
      <c r="A165" s="179" t="s">
        <v>888</v>
      </c>
      <c r="B165" s="281" t="s">
        <v>560</v>
      </c>
      <c r="C165" s="280" t="str">
        <f ca="1">IF(C7=$BC$29,"O",IF(C7=$BD$29,"O",IF(C7=$BE$29,"O",IF(C7=$BF$29,"O",IF(C7=$BG$29,"O",IF(C7=$BH$29,"O",IF(C7=$BI$29,"O",IF(C7=$BJ$29,"O",IF(C7=$BK$29,"O",IF(C7=$BL$29,"O",IF(C7=$BM$29,"O",IF(C7=$BN$29,"O",IF(C7=$BO$29,"O",IF(C7=$BP$29,"O",IF(C7=$BQ$29,"O",IF(C7=$BR$29,"O",IF(C7=$BS$29,"O",IF(C7=$BT$29,"O",IF(C7=$BU$29,"O",IF(C7=$BV$29,"O",IF(C7=$BW$29,"O",IF(C7=$BX$29,"O",IF(C7=$BY$29,"O",IF(C7=$BZ$29,"O",IF(C7=$CA$29,"O",IF(C7=$CB$29,"O",IF(C7=$CC$29,"O",IF(C7=$CD$29,"O",IF(C7=$CE$29,"O",IF(C7=$CF$29,"O",IF(C7=$CG$29,"O",IF(C7=$CH$29,"O",IF(C7=$CI$29,"O",IF(C7=$CJ$29,"O",IF(C7=$CK$29,"O",IF(C7=$CL$29,"O",IF(C7=$CL$29,"O","X")))))))))))))))))))))))))))))))))))))</f>
        <v>O</v>
      </c>
      <c r="D165" s="375" t="str">
        <f t="shared" ref="D165:Q165" ca="1" si="242">IF(D7=$BC$29,"O",IF(D7=$BD$29,"O",IF(D7=$BE$29,"O",IF(D7=$BF$29,"O",IF(D7=$BG$29,"O",IF(D7=$BH$29,"O",IF(D7=$BI$29,"O",IF(D7=$BJ$29,"O",IF(D7=$BK$29,"O",IF(D7=$BL$29,"O",IF(D7=$BM$29,"O",IF(D7=$BN$29,"O",IF(D7=$BO$29,"O",IF(D7=$BP$29,"O",IF(D7=$BQ$29,"O",IF(D7=$BR$29,"O",IF(D7=$BS$29,"O",IF(D7=$BT$29,"O",IF(D7=$BU$29,"O",IF(D7=$BV$29,"O",IF(D7=$BW$29,"O",IF(D7=$BX$29,"O",IF(D7=$BY$29,"O",IF(D7=$BZ$29,"O",IF(D7=$CA$29,"O",IF(D7=$CB$29,"O",IF(D7=$CC$29,"O",IF(D7=$CD$29,"O",IF(D7=$CE$29,"O",IF(D7=$CF$29,"O",IF(D7=$CG$29,"O",IF(D7=$CH$29,"O",IF(D7=$CI$29,"O",IF(D7=$CJ$29,"O",IF(D7=$CK$29,"O",IF(D7=$CL$29,"O",IF(D7=$CL$29,"O","X")))))))))))))))))))))))))))))))))))))</f>
        <v>O</v>
      </c>
      <c r="E165" s="375" t="str">
        <f t="shared" ca="1" si="242"/>
        <v>X</v>
      </c>
      <c r="F165" s="375" t="str">
        <f t="shared" ca="1" si="242"/>
        <v>O</v>
      </c>
      <c r="G165" s="375" t="str">
        <f t="shared" ca="1" si="242"/>
        <v>O</v>
      </c>
      <c r="H165" s="375" t="str">
        <f t="shared" ca="1" si="242"/>
        <v>O</v>
      </c>
      <c r="I165" s="375" t="str">
        <f t="shared" ca="1" si="242"/>
        <v>O</v>
      </c>
      <c r="J165" s="375" t="str">
        <f t="shared" ca="1" si="242"/>
        <v>O</v>
      </c>
      <c r="K165" s="375" t="str">
        <f t="shared" ca="1" si="242"/>
        <v>O</v>
      </c>
      <c r="L165" s="375" t="str">
        <f t="shared" ca="1" si="242"/>
        <v>X</v>
      </c>
      <c r="M165" s="375" t="str">
        <f t="shared" ca="1" si="242"/>
        <v>O</v>
      </c>
      <c r="N165" s="375" t="str">
        <f t="shared" ca="1" si="242"/>
        <v>X</v>
      </c>
      <c r="O165" s="375" t="str">
        <f t="shared" ca="1" si="242"/>
        <v>O</v>
      </c>
      <c r="P165" s="375" t="str">
        <f t="shared" ca="1" si="242"/>
        <v>X</v>
      </c>
      <c r="Q165" s="375" t="str">
        <f t="shared" ca="1" si="242"/>
        <v>O</v>
      </c>
      <c r="R165" s="280" t="str">
        <f t="shared" ref="R165:AU165" si="243">IF(R7=$BC$29,"O",IF(R7=$BD$29,"O",IF(R7=$BE$29,"O",IF(R7=$BF$29,"O",IF(R7=$BG$29,"O",IF(R7=$BH$29,"O",IF(R7=$BI$29,"O",IF(R7=$BJ$29,"O",IF(R7=$BK$29,"O",IF(R7=$BL$29,"O",IF(R7=$BM$29,"O",IF(R7=$BN$29,"O",IF(R7=$BO$29,"O",IF(R7=$BP$29,"O",IF(R7=$BQ$29,"O",IF(R7=$BR$29,"O",IF(R7=$BS$29,"O",IF(R7=$BT$29,"O",IF(R7=$BU$29,"O",IF(R7=$BV$29,"O",IF(R7=$BW$29,"O",IF(R7=$BX$29,"O",IF(R7=$BY$29,"O",IF(R7=$BZ$29,"O",IF(R7=$CA$29,"O",IF(R7=$CB$29,"O","X"))))))))))))))))))))))))))</f>
        <v>X</v>
      </c>
      <c r="S165" s="280" t="str">
        <f t="shared" si="243"/>
        <v>X</v>
      </c>
      <c r="T165" s="280" t="str">
        <f t="shared" si="243"/>
        <v>X</v>
      </c>
      <c r="U165" s="280" t="str">
        <f t="shared" si="243"/>
        <v>X</v>
      </c>
      <c r="V165" s="280" t="str">
        <f t="shared" si="243"/>
        <v>X</v>
      </c>
      <c r="W165" s="280" t="str">
        <f t="shared" si="243"/>
        <v>X</v>
      </c>
      <c r="X165" s="280" t="str">
        <f t="shared" si="243"/>
        <v>X</v>
      </c>
      <c r="Y165" s="280" t="str">
        <f t="shared" si="243"/>
        <v>X</v>
      </c>
      <c r="Z165" s="280" t="str">
        <f t="shared" si="243"/>
        <v>X</v>
      </c>
      <c r="AA165" s="280" t="str">
        <f t="shared" si="243"/>
        <v>X</v>
      </c>
      <c r="AB165" s="280" t="str">
        <f t="shared" si="243"/>
        <v>X</v>
      </c>
      <c r="AC165" s="280" t="str">
        <f t="shared" si="243"/>
        <v>X</v>
      </c>
      <c r="AD165" s="280" t="str">
        <f t="shared" si="243"/>
        <v>X</v>
      </c>
      <c r="AE165" s="280" t="str">
        <f t="shared" si="243"/>
        <v>X</v>
      </c>
      <c r="AF165" s="280" t="str">
        <f t="shared" si="243"/>
        <v>X</v>
      </c>
      <c r="AG165" s="280" t="str">
        <f t="shared" si="243"/>
        <v>X</v>
      </c>
      <c r="AH165" s="280" t="str">
        <f t="shared" si="243"/>
        <v>X</v>
      </c>
      <c r="AI165" s="280" t="str">
        <f t="shared" si="243"/>
        <v>X</v>
      </c>
      <c r="AJ165" s="280" t="str">
        <f t="shared" si="243"/>
        <v>X</v>
      </c>
      <c r="AK165" s="280" t="str">
        <f t="shared" si="243"/>
        <v>X</v>
      </c>
      <c r="AL165" s="307" t="str">
        <f t="shared" si="243"/>
        <v>X</v>
      </c>
      <c r="AM165" s="307" t="str">
        <f t="shared" si="243"/>
        <v>X</v>
      </c>
      <c r="AN165" s="307" t="str">
        <f t="shared" si="243"/>
        <v>X</v>
      </c>
      <c r="AO165" s="307" t="str">
        <f t="shared" si="243"/>
        <v>X</v>
      </c>
      <c r="AP165" s="307" t="str">
        <f t="shared" si="243"/>
        <v>X</v>
      </c>
      <c r="AQ165" s="307" t="str">
        <f t="shared" si="243"/>
        <v>X</v>
      </c>
      <c r="AR165" s="307" t="str">
        <f t="shared" si="243"/>
        <v>X</v>
      </c>
      <c r="AS165" s="307" t="str">
        <f t="shared" si="243"/>
        <v>X</v>
      </c>
      <c r="AT165" s="307" t="str">
        <f t="shared" si="243"/>
        <v>X</v>
      </c>
      <c r="AU165" s="307" t="str">
        <f t="shared" si="243"/>
        <v>X</v>
      </c>
      <c r="AV165" s="296"/>
      <c r="AW165" s="296"/>
      <c r="AX165" s="206"/>
      <c r="BC165" s="274"/>
      <c r="BD165" s="274"/>
      <c r="BE165" s="274"/>
      <c r="BF165" s="239"/>
      <c r="BG165" s="239"/>
      <c r="BH165" s="239"/>
      <c r="BI165" s="239"/>
      <c r="BJ165" s="168"/>
      <c r="BK165" s="2"/>
      <c r="BL165" s="2"/>
      <c r="BM165" s="2"/>
      <c r="BN165" s="2"/>
      <c r="BO165" s="2"/>
      <c r="BP165" s="2"/>
    </row>
    <row r="166" spans="1:68">
      <c r="A166" s="180"/>
      <c r="B166" s="281" t="s">
        <v>566</v>
      </c>
      <c r="C166" s="375" t="str">
        <f t="shared" ref="C166:Q166" ca="1" si="244">IF(C8=$BC$29,"O",IF(C8=$BD$29,"O",IF(C8=$BE$29,"O",IF(C8=$BF$29,"O",IF(C8=$BG$29,"O",IF(C8=$BH$29,"O",IF(C8=$BI$29,"O",IF(C8=$BJ$29,"O",IF(C8=$BK$29,"O",IF(C8=$BL$29,"O",IF(C8=$BM$29,"O",IF(C8=$BN$29,"O",IF(C8=$BO$29,"O",IF(C8=$BP$29,"O",IF(C8=$BQ$29,"O",IF(C8=$BR$29,"O",IF(C8=$BS$29,"O",IF(C8=$BT$29,"O",IF(C8=$BU$29,"O",IF(C8=$BV$29,"O",IF(C8=$BW$29,"O",IF(C8=$BX$29,"O",IF(C8=$BY$29,"O",IF(C8=$BZ$29,"O",IF(C8=$CA$29,"O",IF(C8=$CB$29,"O",IF(C8=$CC$29,"O",IF(C8=$CD$29,"O",IF(C8=$CE$29,"O",IF(C8=$CF$29,"O",IF(C8=$CG$29,"O",IF(C8=$CH$29,"O",IF(C8=$CI$29,"O",IF(C8=$CJ$29,"O",IF(C8=$CK$29,"O",IF(C8=$CL$29,"O",IF(C8=$CL$29,"O","X")))))))))))))))))))))))))))))))))))))</f>
        <v>O</v>
      </c>
      <c r="D166" s="375" t="str">
        <f t="shared" ca="1" si="244"/>
        <v>O</v>
      </c>
      <c r="E166" s="375" t="str">
        <f t="shared" ca="1" si="244"/>
        <v>X</v>
      </c>
      <c r="F166" s="375" t="str">
        <f t="shared" ca="1" si="244"/>
        <v>O</v>
      </c>
      <c r="G166" s="375" t="str">
        <f t="shared" ca="1" si="244"/>
        <v>O</v>
      </c>
      <c r="H166" s="375" t="str">
        <f t="shared" ca="1" si="244"/>
        <v>O</v>
      </c>
      <c r="I166" s="375" t="str">
        <f t="shared" ca="1" si="244"/>
        <v>X</v>
      </c>
      <c r="J166" s="375" t="str">
        <f t="shared" ca="1" si="244"/>
        <v>O</v>
      </c>
      <c r="K166" s="375" t="str">
        <f t="shared" ca="1" si="244"/>
        <v>O</v>
      </c>
      <c r="L166" s="375" t="str">
        <f t="shared" ca="1" si="244"/>
        <v>X</v>
      </c>
      <c r="M166" s="375" t="str">
        <f t="shared" ca="1" si="244"/>
        <v>X</v>
      </c>
      <c r="N166" s="375" t="str">
        <f t="shared" ca="1" si="244"/>
        <v>O</v>
      </c>
      <c r="O166" s="375" t="str">
        <f t="shared" ca="1" si="244"/>
        <v>O</v>
      </c>
      <c r="P166" s="375" t="str">
        <f t="shared" ca="1" si="244"/>
        <v>X</v>
      </c>
      <c r="Q166" s="375" t="str">
        <f t="shared" ca="1" si="244"/>
        <v>O</v>
      </c>
      <c r="R166" s="280" t="str">
        <f t="shared" ref="R166:AU166" si="245">IF(R8=$BC$29,"O",IF(R8=$BD$29,"O",IF(R8=$BE$29,"O",IF(R8=$BF$29,"O",IF(R8=$BG$29,"O",IF(R8=$BH$29,"O",IF(R8=$BI$29,"O",IF(R8=$BJ$29,"O",IF(R8=$BK$29,"O",IF(R8=$BL$29,"O",IF(R8=$BM$29,"O",IF(R8=$BN$29,"O",IF(R8=$BO$29,"O",IF(R8=$BP$29,"O",IF(R8=$BQ$29,"O",IF(R8=$BR$29,"O",IF(R8=$BS$29,"O",IF(R8=$BT$29,"O",IF(R8=$BU$29,"O",IF(R8=$BV$29,"O",IF(R8=$BW$29,"O",IF(R8=$BX$29,"O",IF(R8=$BY$29,"O",IF(R8=$BZ$29,"O",IF(R8=$CA$29,"O",IF(R8=$CB$29,"O","X"))))))))))))))))))))))))))</f>
        <v>X</v>
      </c>
      <c r="S166" s="280" t="str">
        <f t="shared" si="245"/>
        <v>X</v>
      </c>
      <c r="T166" s="280" t="str">
        <f t="shared" si="245"/>
        <v>X</v>
      </c>
      <c r="U166" s="280" t="str">
        <f t="shared" si="245"/>
        <v>X</v>
      </c>
      <c r="V166" s="280" t="str">
        <f t="shared" si="245"/>
        <v>X</v>
      </c>
      <c r="W166" s="280" t="str">
        <f t="shared" si="245"/>
        <v>X</v>
      </c>
      <c r="X166" s="280" t="str">
        <f t="shared" si="245"/>
        <v>X</v>
      </c>
      <c r="Y166" s="280" t="str">
        <f t="shared" si="245"/>
        <v>X</v>
      </c>
      <c r="Z166" s="280" t="str">
        <f t="shared" si="245"/>
        <v>X</v>
      </c>
      <c r="AA166" s="280" t="str">
        <f t="shared" si="245"/>
        <v>X</v>
      </c>
      <c r="AB166" s="280" t="str">
        <f t="shared" si="245"/>
        <v>X</v>
      </c>
      <c r="AC166" s="280" t="str">
        <f t="shared" si="245"/>
        <v>X</v>
      </c>
      <c r="AD166" s="280" t="str">
        <f t="shared" si="245"/>
        <v>X</v>
      </c>
      <c r="AE166" s="280" t="str">
        <f t="shared" si="245"/>
        <v>X</v>
      </c>
      <c r="AF166" s="280" t="str">
        <f t="shared" si="245"/>
        <v>X</v>
      </c>
      <c r="AG166" s="280" t="str">
        <f t="shared" si="245"/>
        <v>X</v>
      </c>
      <c r="AH166" s="280" t="str">
        <f t="shared" si="245"/>
        <v>X</v>
      </c>
      <c r="AI166" s="280" t="str">
        <f t="shared" si="245"/>
        <v>X</v>
      </c>
      <c r="AJ166" s="280" t="str">
        <f t="shared" si="245"/>
        <v>X</v>
      </c>
      <c r="AK166" s="280" t="str">
        <f t="shared" si="245"/>
        <v>X</v>
      </c>
      <c r="AL166" s="307" t="str">
        <f t="shared" si="245"/>
        <v>X</v>
      </c>
      <c r="AM166" s="307" t="str">
        <f t="shared" si="245"/>
        <v>X</v>
      </c>
      <c r="AN166" s="307" t="str">
        <f t="shared" si="245"/>
        <v>X</v>
      </c>
      <c r="AO166" s="307" t="str">
        <f t="shared" si="245"/>
        <v>X</v>
      </c>
      <c r="AP166" s="307" t="str">
        <f t="shared" si="245"/>
        <v>X</v>
      </c>
      <c r="AQ166" s="307" t="str">
        <f t="shared" si="245"/>
        <v>X</v>
      </c>
      <c r="AR166" s="307" t="str">
        <f t="shared" si="245"/>
        <v>X</v>
      </c>
      <c r="AS166" s="307" t="str">
        <f t="shared" si="245"/>
        <v>X</v>
      </c>
      <c r="AT166" s="307" t="str">
        <f t="shared" si="245"/>
        <v>X</v>
      </c>
      <c r="AU166" s="307" t="str">
        <f t="shared" si="245"/>
        <v>X</v>
      </c>
      <c r="AV166" s="296"/>
      <c r="AW166" s="296"/>
      <c r="AX166" s="206"/>
      <c r="BC166" s="266"/>
      <c r="BD166" s="266"/>
      <c r="BE166" s="266"/>
      <c r="BF166" s="266"/>
      <c r="BG166" s="266"/>
      <c r="BH166" s="266"/>
      <c r="BI166" s="264"/>
      <c r="BJ166" s="266"/>
      <c r="BK166" s="2"/>
      <c r="BL166" s="2"/>
      <c r="BM166" s="2"/>
      <c r="BN166" s="2"/>
      <c r="BO166" s="2"/>
      <c r="BP166" s="2"/>
    </row>
    <row r="167" spans="1:68">
      <c r="A167" s="180"/>
      <c r="B167" s="281" t="s">
        <v>567</v>
      </c>
      <c r="C167" s="375" t="str">
        <f t="shared" ref="C167:Q167" ca="1" si="246">IF(C9=$BC$29,"O",IF(C9=$BD$29,"O",IF(C9=$BE$29,"O",IF(C9=$BF$29,"O",IF(C9=$BG$29,"O",IF(C9=$BH$29,"O",IF(C9=$BI$29,"O",IF(C9=$BJ$29,"O",IF(C9=$BK$29,"O",IF(C9=$BL$29,"O",IF(C9=$BM$29,"O",IF(C9=$BN$29,"O",IF(C9=$BO$29,"O",IF(C9=$BP$29,"O",IF(C9=$BQ$29,"O",IF(C9=$BR$29,"O",IF(C9=$BS$29,"O",IF(C9=$BT$29,"O",IF(C9=$BU$29,"O",IF(C9=$BV$29,"O",IF(C9=$BW$29,"O",IF(C9=$BX$29,"O",IF(C9=$BY$29,"O",IF(C9=$BZ$29,"O",IF(C9=$CA$29,"O",IF(C9=$CB$29,"O",IF(C9=$CC$29,"O",IF(C9=$CD$29,"O",IF(C9=$CE$29,"O",IF(C9=$CF$29,"O",IF(C9=$CG$29,"O",IF(C9=$CH$29,"O",IF(C9=$CI$29,"O",IF(C9=$CJ$29,"O",IF(C9=$CK$29,"O",IF(C9=$CL$29,"O",IF(C9=$CL$29,"O","X")))))))))))))))))))))))))))))))))))))</f>
        <v>X</v>
      </c>
      <c r="D167" s="375" t="str">
        <f t="shared" ca="1" si="246"/>
        <v>O</v>
      </c>
      <c r="E167" s="375" t="str">
        <f t="shared" ca="1" si="246"/>
        <v>X</v>
      </c>
      <c r="F167" s="375" t="str">
        <f t="shared" ca="1" si="246"/>
        <v>O</v>
      </c>
      <c r="G167" s="375" t="str">
        <f t="shared" ca="1" si="246"/>
        <v>X</v>
      </c>
      <c r="H167" s="375" t="str">
        <f t="shared" ca="1" si="246"/>
        <v>O</v>
      </c>
      <c r="I167" s="375" t="str">
        <f t="shared" ca="1" si="246"/>
        <v>O</v>
      </c>
      <c r="J167" s="375" t="str">
        <f t="shared" ca="1" si="246"/>
        <v>O</v>
      </c>
      <c r="K167" s="375" t="str">
        <f t="shared" ca="1" si="246"/>
        <v>O</v>
      </c>
      <c r="L167" s="375" t="str">
        <f t="shared" ca="1" si="246"/>
        <v>X</v>
      </c>
      <c r="M167" s="375" t="str">
        <f t="shared" ca="1" si="246"/>
        <v>O</v>
      </c>
      <c r="N167" s="375" t="str">
        <f t="shared" ca="1" si="246"/>
        <v>O</v>
      </c>
      <c r="O167" s="375" t="str">
        <f t="shared" ca="1" si="246"/>
        <v>O</v>
      </c>
      <c r="P167" s="375" t="str">
        <f t="shared" ca="1" si="246"/>
        <v>O</v>
      </c>
      <c r="Q167" s="375" t="str">
        <f t="shared" ca="1" si="246"/>
        <v>X</v>
      </c>
      <c r="R167" s="280" t="str">
        <f t="shared" ref="R167:AU167" si="247">IF(R9=$BC$29,"O",IF(R9=$BD$29,"O",IF(R9=$BE$29,"O",IF(R9=$BF$29,"O",IF(R9=$BG$29,"O",IF(R9=$BH$29,"O",IF(R9=$BI$29,"O",IF(R9=$BJ$29,"O",IF(R9=$BK$29,"O",IF(R9=$BL$29,"O",IF(R9=$BM$29,"O",IF(R9=$BN$29,"O",IF(R9=$BO$29,"O",IF(R9=$BP$29,"O",IF(R9=$BQ$29,"O",IF(R9=$BR$29,"O",IF(R9=$BS$29,"O",IF(R9=$BT$29,"O",IF(R9=$BU$29,"O",IF(R9=$BV$29,"O",IF(R9=$BW$29,"O",IF(R9=$BX$29,"O",IF(R9=$BY$29,"O",IF(R9=$BZ$29,"O",IF(R9=$CA$29,"O",IF(R9=$CB$29,"O","X"))))))))))))))))))))))))))</f>
        <v>X</v>
      </c>
      <c r="S167" s="280" t="str">
        <f t="shared" si="247"/>
        <v>X</v>
      </c>
      <c r="T167" s="280" t="str">
        <f t="shared" si="247"/>
        <v>X</v>
      </c>
      <c r="U167" s="280" t="str">
        <f t="shared" si="247"/>
        <v>X</v>
      </c>
      <c r="V167" s="280" t="str">
        <f t="shared" si="247"/>
        <v>X</v>
      </c>
      <c r="W167" s="280" t="str">
        <f t="shared" si="247"/>
        <v>X</v>
      </c>
      <c r="X167" s="280" t="str">
        <f t="shared" si="247"/>
        <v>X</v>
      </c>
      <c r="Y167" s="280" t="str">
        <f t="shared" si="247"/>
        <v>X</v>
      </c>
      <c r="Z167" s="280" t="str">
        <f t="shared" si="247"/>
        <v>X</v>
      </c>
      <c r="AA167" s="280" t="str">
        <f t="shared" si="247"/>
        <v>X</v>
      </c>
      <c r="AB167" s="280" t="str">
        <f t="shared" si="247"/>
        <v>X</v>
      </c>
      <c r="AC167" s="280" t="str">
        <f t="shared" si="247"/>
        <v>X</v>
      </c>
      <c r="AD167" s="280" t="str">
        <f t="shared" si="247"/>
        <v>X</v>
      </c>
      <c r="AE167" s="280" t="str">
        <f t="shared" si="247"/>
        <v>X</v>
      </c>
      <c r="AF167" s="280" t="str">
        <f t="shared" si="247"/>
        <v>X</v>
      </c>
      <c r="AG167" s="280" t="str">
        <f t="shared" si="247"/>
        <v>X</v>
      </c>
      <c r="AH167" s="280" t="str">
        <f t="shared" si="247"/>
        <v>X</v>
      </c>
      <c r="AI167" s="280" t="str">
        <f t="shared" si="247"/>
        <v>X</v>
      </c>
      <c r="AJ167" s="280" t="str">
        <f t="shared" si="247"/>
        <v>X</v>
      </c>
      <c r="AK167" s="280" t="str">
        <f t="shared" si="247"/>
        <v>X</v>
      </c>
      <c r="AL167" s="307" t="str">
        <f t="shared" si="247"/>
        <v>X</v>
      </c>
      <c r="AM167" s="307" t="str">
        <f t="shared" si="247"/>
        <v>X</v>
      </c>
      <c r="AN167" s="307" t="str">
        <f t="shared" si="247"/>
        <v>X</v>
      </c>
      <c r="AO167" s="307" t="str">
        <f t="shared" si="247"/>
        <v>X</v>
      </c>
      <c r="AP167" s="307" t="str">
        <f t="shared" si="247"/>
        <v>X</v>
      </c>
      <c r="AQ167" s="307" t="str">
        <f t="shared" si="247"/>
        <v>X</v>
      </c>
      <c r="AR167" s="307" t="str">
        <f t="shared" si="247"/>
        <v>X</v>
      </c>
      <c r="AS167" s="307" t="str">
        <f t="shared" si="247"/>
        <v>X</v>
      </c>
      <c r="AT167" s="307" t="str">
        <f t="shared" si="247"/>
        <v>X</v>
      </c>
      <c r="AU167" s="307" t="str">
        <f t="shared" si="247"/>
        <v>X</v>
      </c>
      <c r="AV167" s="296"/>
      <c r="AW167" s="296"/>
      <c r="AX167" s="206"/>
      <c r="BC167" s="274"/>
      <c r="BD167" s="274"/>
      <c r="BE167" s="274"/>
      <c r="BF167" s="274"/>
      <c r="BG167" s="274"/>
      <c r="BH167" s="274"/>
      <c r="BI167" s="239"/>
      <c r="BJ167" s="168"/>
      <c r="BK167" s="2"/>
      <c r="BL167" s="2"/>
      <c r="BM167" s="2"/>
      <c r="BN167" s="2"/>
      <c r="BO167" s="2"/>
      <c r="BP167" s="2"/>
    </row>
    <row r="168" spans="1:68">
      <c r="A168" s="180"/>
      <c r="B168" s="281" t="s">
        <v>568</v>
      </c>
      <c r="C168" s="375" t="str">
        <f t="shared" ref="C168:Q168" ca="1" si="248">IF(C10=$BC$29,"O",IF(C10=$BD$29,"O",IF(C10=$BE$29,"O",IF(C10=$BF$29,"O",IF(C10=$BG$29,"O",IF(C10=$BH$29,"O",IF(C10=$BI$29,"O",IF(C10=$BJ$29,"O",IF(C10=$BK$29,"O",IF(C10=$BL$29,"O",IF(C10=$BM$29,"O",IF(C10=$BN$29,"O",IF(C10=$BO$29,"O",IF(C10=$BP$29,"O",IF(C10=$BQ$29,"O",IF(C10=$BR$29,"O",IF(C10=$BS$29,"O",IF(C10=$BT$29,"O",IF(C10=$BU$29,"O",IF(C10=$BV$29,"O",IF(C10=$BW$29,"O",IF(C10=$BX$29,"O",IF(C10=$BY$29,"O",IF(C10=$BZ$29,"O",IF(C10=$CA$29,"O",IF(C10=$CB$29,"O",IF(C10=$CC$29,"O",IF(C10=$CD$29,"O",IF(C10=$CE$29,"O",IF(C10=$CF$29,"O",IF(C10=$CG$29,"O",IF(C10=$CH$29,"O",IF(C10=$CI$29,"O",IF(C10=$CJ$29,"O",IF(C10=$CK$29,"O",IF(C10=$CL$29,"O",IF(C10=$CL$29,"O","X")))))))))))))))))))))))))))))))))))))</f>
        <v>X</v>
      </c>
      <c r="D168" s="375" t="str">
        <f t="shared" ca="1" si="248"/>
        <v>O</v>
      </c>
      <c r="E168" s="375" t="str">
        <f t="shared" ca="1" si="248"/>
        <v>O</v>
      </c>
      <c r="F168" s="375" t="str">
        <f t="shared" ca="1" si="248"/>
        <v>O</v>
      </c>
      <c r="G168" s="375" t="str">
        <f t="shared" ca="1" si="248"/>
        <v>X</v>
      </c>
      <c r="H168" s="375" t="str">
        <f t="shared" ca="1" si="248"/>
        <v>X</v>
      </c>
      <c r="I168" s="375" t="str">
        <f t="shared" ca="1" si="248"/>
        <v>O</v>
      </c>
      <c r="J168" s="375" t="str">
        <f t="shared" ca="1" si="248"/>
        <v>O</v>
      </c>
      <c r="K168" s="375" t="str">
        <f t="shared" ca="1" si="248"/>
        <v>O</v>
      </c>
      <c r="L168" s="375" t="str">
        <f t="shared" ca="1" si="248"/>
        <v>X</v>
      </c>
      <c r="M168" s="375" t="str">
        <f t="shared" ca="1" si="248"/>
        <v>X</v>
      </c>
      <c r="N168" s="375" t="str">
        <f t="shared" ca="1" si="248"/>
        <v>O</v>
      </c>
      <c r="O168" s="375" t="str">
        <f t="shared" ca="1" si="248"/>
        <v>X</v>
      </c>
      <c r="P168" s="375" t="str">
        <f t="shared" ca="1" si="248"/>
        <v>O</v>
      </c>
      <c r="Q168" s="375" t="str">
        <f t="shared" ca="1" si="248"/>
        <v>O</v>
      </c>
      <c r="R168" s="280" t="str">
        <f t="shared" ref="R168:AU168" si="249">IF(R10=$BC$29,"O",IF(R10=$BD$29,"O",IF(R10=$BE$29,"O",IF(R10=$BF$29,"O",IF(R10=$BG$29,"O",IF(R10=$BH$29,"O",IF(R10=$BI$29,"O",IF(R10=$BJ$29,"O",IF(R10=$BK$29,"O",IF(R10=$BL$29,"O",IF(R10=$BM$29,"O",IF(R10=$BN$29,"O",IF(R10=$BO$29,"O",IF(R10=$BP$29,"O",IF(R10=$BQ$29,"O",IF(R10=$BR$29,"O",IF(R10=$BS$29,"O",IF(R10=$BT$29,"O",IF(R10=$BU$29,"O",IF(R10=$BV$29,"O",IF(R10=$BW$29,"O",IF(R10=$BX$29,"O",IF(R10=$BY$29,"O",IF(R10=$BZ$29,"O",IF(R10=$CA$29,"O",IF(R10=$CB$29,"O","X"))))))))))))))))))))))))))</f>
        <v>X</v>
      </c>
      <c r="S168" s="280" t="str">
        <f t="shared" si="249"/>
        <v>X</v>
      </c>
      <c r="T168" s="280" t="str">
        <f t="shared" si="249"/>
        <v>X</v>
      </c>
      <c r="U168" s="280" t="str">
        <f t="shared" si="249"/>
        <v>X</v>
      </c>
      <c r="V168" s="280" t="str">
        <f t="shared" si="249"/>
        <v>X</v>
      </c>
      <c r="W168" s="280" t="str">
        <f t="shared" si="249"/>
        <v>X</v>
      </c>
      <c r="X168" s="280" t="str">
        <f t="shared" si="249"/>
        <v>X</v>
      </c>
      <c r="Y168" s="280" t="str">
        <f t="shared" si="249"/>
        <v>X</v>
      </c>
      <c r="Z168" s="280" t="str">
        <f t="shared" si="249"/>
        <v>X</v>
      </c>
      <c r="AA168" s="280" t="str">
        <f t="shared" si="249"/>
        <v>X</v>
      </c>
      <c r="AB168" s="280" t="str">
        <f t="shared" si="249"/>
        <v>X</v>
      </c>
      <c r="AC168" s="280" t="str">
        <f t="shared" si="249"/>
        <v>X</v>
      </c>
      <c r="AD168" s="280" t="str">
        <f t="shared" si="249"/>
        <v>X</v>
      </c>
      <c r="AE168" s="280" t="str">
        <f t="shared" si="249"/>
        <v>X</v>
      </c>
      <c r="AF168" s="280" t="str">
        <f t="shared" si="249"/>
        <v>X</v>
      </c>
      <c r="AG168" s="280" t="str">
        <f t="shared" si="249"/>
        <v>X</v>
      </c>
      <c r="AH168" s="280" t="str">
        <f t="shared" si="249"/>
        <v>X</v>
      </c>
      <c r="AI168" s="280" t="str">
        <f t="shared" si="249"/>
        <v>X</v>
      </c>
      <c r="AJ168" s="280" t="str">
        <f t="shared" si="249"/>
        <v>X</v>
      </c>
      <c r="AK168" s="280" t="str">
        <f t="shared" si="249"/>
        <v>X</v>
      </c>
      <c r="AL168" s="307" t="str">
        <f t="shared" si="249"/>
        <v>X</v>
      </c>
      <c r="AM168" s="307" t="str">
        <f t="shared" si="249"/>
        <v>X</v>
      </c>
      <c r="AN168" s="307" t="str">
        <f t="shared" si="249"/>
        <v>X</v>
      </c>
      <c r="AO168" s="307" t="str">
        <f t="shared" si="249"/>
        <v>X</v>
      </c>
      <c r="AP168" s="307" t="str">
        <f t="shared" si="249"/>
        <v>X</v>
      </c>
      <c r="AQ168" s="307" t="str">
        <f t="shared" si="249"/>
        <v>X</v>
      </c>
      <c r="AR168" s="307" t="str">
        <f t="shared" si="249"/>
        <v>X</v>
      </c>
      <c r="AS168" s="307" t="str">
        <f t="shared" si="249"/>
        <v>X</v>
      </c>
      <c r="AT168" s="307" t="str">
        <f t="shared" si="249"/>
        <v>X</v>
      </c>
      <c r="AU168" s="307" t="str">
        <f t="shared" si="249"/>
        <v>X</v>
      </c>
      <c r="AV168" s="296"/>
      <c r="AW168" s="296"/>
      <c r="AX168" s="206"/>
      <c r="BC168" s="150"/>
      <c r="BD168" s="206"/>
      <c r="BE168" s="206"/>
      <c r="BF168" s="206"/>
      <c r="BG168" s="2"/>
      <c r="BH168" s="85"/>
      <c r="BI168" s="53"/>
      <c r="BJ168" s="150"/>
      <c r="BK168" s="2"/>
      <c r="BL168" s="2"/>
      <c r="BM168" s="2"/>
      <c r="BN168" s="2"/>
      <c r="BO168" s="2"/>
      <c r="BP168" s="2"/>
    </row>
    <row r="169" spans="1:68">
      <c r="A169" s="180"/>
      <c r="B169" s="281" t="s">
        <v>569</v>
      </c>
      <c r="C169" s="375" t="str">
        <f t="shared" ref="C169:Q169" ca="1" si="250">IF(C11=$BC$29,"O",IF(C11=$BD$29,"O",IF(C11=$BE$29,"O",IF(C11=$BF$29,"O",IF(C11=$BG$29,"O",IF(C11=$BH$29,"O",IF(C11=$BI$29,"O",IF(C11=$BJ$29,"O",IF(C11=$BK$29,"O",IF(C11=$BL$29,"O",IF(C11=$BM$29,"O",IF(C11=$BN$29,"O",IF(C11=$BO$29,"O",IF(C11=$BP$29,"O",IF(C11=$BQ$29,"O",IF(C11=$BR$29,"O",IF(C11=$BS$29,"O",IF(C11=$BT$29,"O",IF(C11=$BU$29,"O",IF(C11=$BV$29,"O",IF(C11=$BW$29,"O",IF(C11=$BX$29,"O",IF(C11=$BY$29,"O",IF(C11=$BZ$29,"O",IF(C11=$CA$29,"O",IF(C11=$CB$29,"O",IF(C11=$CC$29,"O",IF(C11=$CD$29,"O",IF(C11=$CE$29,"O",IF(C11=$CF$29,"O",IF(C11=$CG$29,"O",IF(C11=$CH$29,"O",IF(C11=$CI$29,"O",IF(C11=$CJ$29,"O",IF(C11=$CK$29,"O",IF(C11=$CL$29,"O",IF(C11=$CL$29,"O","X")))))))))))))))))))))))))))))))))))))</f>
        <v>O</v>
      </c>
      <c r="D169" s="375" t="str">
        <f t="shared" ca="1" si="250"/>
        <v>O</v>
      </c>
      <c r="E169" s="375" t="str">
        <f t="shared" ca="1" si="250"/>
        <v>X</v>
      </c>
      <c r="F169" s="375" t="str">
        <f t="shared" ca="1" si="250"/>
        <v>X</v>
      </c>
      <c r="G169" s="375" t="str">
        <f t="shared" ca="1" si="250"/>
        <v>O</v>
      </c>
      <c r="H169" s="375" t="str">
        <f t="shared" ca="1" si="250"/>
        <v>O</v>
      </c>
      <c r="I169" s="375" t="str">
        <f t="shared" ca="1" si="250"/>
        <v>O</v>
      </c>
      <c r="J169" s="375" t="str">
        <f t="shared" ca="1" si="250"/>
        <v>X</v>
      </c>
      <c r="K169" s="375" t="str">
        <f t="shared" ca="1" si="250"/>
        <v>O</v>
      </c>
      <c r="L169" s="375" t="str">
        <f t="shared" ca="1" si="250"/>
        <v>O</v>
      </c>
      <c r="M169" s="375" t="str">
        <f t="shared" ca="1" si="250"/>
        <v>X</v>
      </c>
      <c r="N169" s="375" t="str">
        <f t="shared" ca="1" si="250"/>
        <v>O</v>
      </c>
      <c r="O169" s="375" t="str">
        <f t="shared" ca="1" si="250"/>
        <v>O</v>
      </c>
      <c r="P169" s="375" t="str">
        <f t="shared" ca="1" si="250"/>
        <v>X</v>
      </c>
      <c r="Q169" s="375" t="str">
        <f t="shared" ca="1" si="250"/>
        <v>O</v>
      </c>
      <c r="R169" s="280" t="str">
        <f t="shared" ref="R169:AU169" si="251">IF(R11=$BC$29,"O",IF(R11=$BD$29,"O",IF(R11=$BE$29,"O",IF(R11=$BF$29,"O",IF(R11=$BG$29,"O",IF(R11=$BH$29,"O",IF(R11=$BI$29,"O",IF(R11=$BJ$29,"O",IF(R11=$BK$29,"O",IF(R11=$BL$29,"O",IF(R11=$BM$29,"O",IF(R11=$BN$29,"O",IF(R11=$BO$29,"O",IF(R11=$BP$29,"O",IF(R11=$BQ$29,"O",IF(R11=$BR$29,"O",IF(R11=$BS$29,"O",IF(R11=$BT$29,"O",IF(R11=$BU$29,"O",IF(R11=$BV$29,"O",IF(R11=$BW$29,"O",IF(R11=$BX$29,"O",IF(R11=$BY$29,"O",IF(R11=$BZ$29,"O",IF(R11=$CA$29,"O",IF(R11=$CB$29,"O","X"))))))))))))))))))))))))))</f>
        <v>X</v>
      </c>
      <c r="S169" s="280" t="str">
        <f t="shared" si="251"/>
        <v>X</v>
      </c>
      <c r="T169" s="280" t="str">
        <f t="shared" si="251"/>
        <v>X</v>
      </c>
      <c r="U169" s="280" t="str">
        <f t="shared" si="251"/>
        <v>X</v>
      </c>
      <c r="V169" s="280" t="str">
        <f t="shared" si="251"/>
        <v>X</v>
      </c>
      <c r="W169" s="280" t="str">
        <f t="shared" si="251"/>
        <v>X</v>
      </c>
      <c r="X169" s="280" t="str">
        <f t="shared" si="251"/>
        <v>X</v>
      </c>
      <c r="Y169" s="280" t="str">
        <f t="shared" si="251"/>
        <v>X</v>
      </c>
      <c r="Z169" s="280" t="str">
        <f t="shared" si="251"/>
        <v>X</v>
      </c>
      <c r="AA169" s="280" t="str">
        <f t="shared" si="251"/>
        <v>X</v>
      </c>
      <c r="AB169" s="280" t="str">
        <f t="shared" si="251"/>
        <v>X</v>
      </c>
      <c r="AC169" s="280" t="str">
        <f t="shared" si="251"/>
        <v>X</v>
      </c>
      <c r="AD169" s="280" t="str">
        <f t="shared" si="251"/>
        <v>X</v>
      </c>
      <c r="AE169" s="280" t="str">
        <f t="shared" si="251"/>
        <v>X</v>
      </c>
      <c r="AF169" s="280" t="str">
        <f t="shared" si="251"/>
        <v>X</v>
      </c>
      <c r="AG169" s="280" t="str">
        <f t="shared" si="251"/>
        <v>X</v>
      </c>
      <c r="AH169" s="280" t="str">
        <f t="shared" si="251"/>
        <v>X</v>
      </c>
      <c r="AI169" s="280" t="str">
        <f t="shared" si="251"/>
        <v>X</v>
      </c>
      <c r="AJ169" s="280" t="str">
        <f t="shared" si="251"/>
        <v>X</v>
      </c>
      <c r="AK169" s="280" t="str">
        <f t="shared" si="251"/>
        <v>X</v>
      </c>
      <c r="AL169" s="307" t="str">
        <f t="shared" si="251"/>
        <v>X</v>
      </c>
      <c r="AM169" s="307" t="str">
        <f t="shared" si="251"/>
        <v>X</v>
      </c>
      <c r="AN169" s="307" t="str">
        <f t="shared" si="251"/>
        <v>X</v>
      </c>
      <c r="AO169" s="307" t="str">
        <f t="shared" si="251"/>
        <v>X</v>
      </c>
      <c r="AP169" s="307" t="str">
        <f t="shared" si="251"/>
        <v>X</v>
      </c>
      <c r="AQ169" s="307" t="str">
        <f t="shared" si="251"/>
        <v>X</v>
      </c>
      <c r="AR169" s="307" t="str">
        <f t="shared" si="251"/>
        <v>X</v>
      </c>
      <c r="AS169" s="307" t="str">
        <f t="shared" si="251"/>
        <v>X</v>
      </c>
      <c r="AT169" s="307" t="str">
        <f t="shared" si="251"/>
        <v>X</v>
      </c>
      <c r="AU169" s="307" t="str">
        <f t="shared" si="251"/>
        <v>X</v>
      </c>
      <c r="AV169" s="296"/>
      <c r="AW169" s="296"/>
      <c r="AX169" s="206"/>
      <c r="BC169" s="150"/>
      <c r="BD169" s="206"/>
      <c r="BE169" s="206"/>
      <c r="BF169" s="206"/>
      <c r="BG169" s="2"/>
      <c r="BH169" s="85"/>
      <c r="BI169" s="2"/>
      <c r="BJ169" s="150"/>
      <c r="BK169" s="2"/>
      <c r="BL169" s="2"/>
      <c r="BM169" s="2"/>
      <c r="BN169" s="2"/>
      <c r="BO169" s="2"/>
      <c r="BP169" s="2"/>
    </row>
    <row r="170" spans="1:68">
      <c r="A170" s="180"/>
      <c r="B170" s="280" t="s">
        <v>540</v>
      </c>
      <c r="C170" s="375" t="str">
        <f t="shared" ref="C170:P170" ca="1" si="252">IF(C12=$BC$29,"O",IF(C12=$BD$29,"O",IF(C12=$BE$29,"O",IF(C12=$BF$29,"O",IF(C12=$BG$29,"O",IF(C12=$BH$29,"O",IF(C12=$BI$29,"O",IF(C12=$BJ$29,"O",IF(C12=$BK$29,"O",IF(C12=$BL$29,"O",IF(C12=$BM$29,"O",IF(C12=$BN$29,"O",IF(C12=$BO$29,"O",IF(C12=$BP$29,"O",IF(C12=$BQ$29,"O",IF(C12=$BR$29,"O",IF(C12=$BS$29,"O",IF(C12=$BT$29,"O",IF(C12=$BU$29,"O",IF(C12=$BV$29,"O",IF(C12=$BW$29,"O",IF(C12=$BX$29,"O",IF(C12=$BY$29,"O",IF(C12=$BZ$29,"O",IF(C12=$CA$29,"O",IF(C12=$CB$29,"O",IF(C12=$CC$29,"O",IF(C12=$CD$29,"O",IF(C12=$CE$29,"O",IF(C12=$CF$29,"O",IF(C12=$CG$29,"O",IF(C12=$CH$29,"O",IF(C12=$CI$29,"O",IF(C12=$CJ$29,"O",IF(C12=$CK$29,"O",IF(C12=$CL$29,"O",IF(C12=$CL$29,"O","X")))))))))))))))))))))))))))))))))))))</f>
        <v>O</v>
      </c>
      <c r="D170" s="375" t="str">
        <f t="shared" ca="1" si="252"/>
        <v>O</v>
      </c>
      <c r="E170" s="375" t="str">
        <f t="shared" ca="1" si="252"/>
        <v>O</v>
      </c>
      <c r="F170" s="375" t="str">
        <f t="shared" ca="1" si="252"/>
        <v>X</v>
      </c>
      <c r="G170" s="375" t="str">
        <f t="shared" ca="1" si="252"/>
        <v>O</v>
      </c>
      <c r="H170" s="375" t="str">
        <f t="shared" ca="1" si="252"/>
        <v>X</v>
      </c>
      <c r="I170" s="375" t="str">
        <f t="shared" ca="1" si="252"/>
        <v>O</v>
      </c>
      <c r="J170" s="375" t="str">
        <f t="shared" ca="1" si="252"/>
        <v>O</v>
      </c>
      <c r="K170" s="375" t="str">
        <f t="shared" ca="1" si="252"/>
        <v>X</v>
      </c>
      <c r="L170" s="375" t="str">
        <f t="shared" ca="1" si="252"/>
        <v>O</v>
      </c>
      <c r="M170" s="375" t="str">
        <f t="shared" ca="1" si="252"/>
        <v>X</v>
      </c>
      <c r="N170" s="375" t="str">
        <f t="shared" ca="1" si="252"/>
        <v>O</v>
      </c>
      <c r="O170" s="375" t="str">
        <f t="shared" ca="1" si="252"/>
        <v>O</v>
      </c>
      <c r="P170" s="375" t="str">
        <f t="shared" ca="1" si="252"/>
        <v>O</v>
      </c>
      <c r="Q170" s="375" t="str">
        <f ca="1">IF(Q12=$BC$29,"O",IF(Q12=$BD$29,"O",IF(Q12=$BE$29,"O",IF(Q12=$BF$29,"O",IF(Q12=$BG$29,"O",IF(Q12=$BH$29,"O",IF(Q12=$BI$29,"O",IF(Q12=$BJ$29,"O",IF(Q12=$BK$29,"O",IF(Q12=$BL$29,"O",IF(Q12=$BM$29,"O",IF(Q12=$BN$29,"O",IF(Q12=$BO$29,"O",IF(Q12=$BP$29,"O",IF(Q12=$BQ$29,"O",IF(Q12=$BR$29,"O",IF(Q12=$BS$29,"O",IF(Q12=$BT$29,"O",IF(Q12=$BU$29,"O",IF(Q12=$BV$29,"O",IF(Q12=$BW$29,"O",IF(Q12=$BX$29,"O",IF(Q12=$BY$29,"O",IF(Q12=$BZ$29,"O",IF(Q12=$CA$29,"O",IF(Q12=$CB$29,"O",IF(Q12=$CC$29,"O",IF(Q12=$CD$29,"O",IF(Q12=$CE$29,"O",IF(Q12=$CF$29,"O",IF(Q12=$CG$29,"O",IF(Q12=$CH$29,"O",IF(Q12=$CI$29,"O",IF(Q12=$CJ$29,"O",IF(Q12=$CK$29,"O",IF(Q12=$CL$29,"O",IF(Q12=$CL$29,"O","X")))))))))))))))))))))))))))))))))))))</f>
        <v>O</v>
      </c>
      <c r="R170" s="280" t="str">
        <f t="shared" ref="R170:AU170" si="253">IF(R12=$BC$29,"O",IF(R12=$BD$29,"O",IF(R12=$BE$29,"O",IF(R12=$BF$29,"O",IF(R12=$BG$29,"O",IF(R12=$BH$29,"O",IF(R12=$BI$29,"O",IF(R12=$BJ$29,"O",IF(R12=$BK$29,"O",IF(R12=$BL$29,"O",IF(R12=$BM$29,"O",IF(R12=$BN$29,"O",IF(R12=$BO$29,"O",IF(R12=$BP$29,"O",IF(R12=$BQ$29,"O",IF(R12=$BR$29,"O",IF(R12=$BS$29,"O",IF(R12=$BT$29,"O",IF(R12=$BU$29,"O",IF(R12=$BV$29,"O",IF(R12=$BW$29,"O",IF(R12=$BX$29,"O",IF(R12=$BY$29,"O",IF(R12=$BZ$29,"O",IF(R12=$CA$29,"O",IF(R12=$CB$29,"O","X"))))))))))))))))))))))))))</f>
        <v>X</v>
      </c>
      <c r="S170" s="280" t="str">
        <f t="shared" si="253"/>
        <v>X</v>
      </c>
      <c r="T170" s="280" t="str">
        <f t="shared" si="253"/>
        <v>X</v>
      </c>
      <c r="U170" s="280" t="str">
        <f t="shared" si="253"/>
        <v>X</v>
      </c>
      <c r="V170" s="280" t="str">
        <f t="shared" si="253"/>
        <v>X</v>
      </c>
      <c r="W170" s="280" t="str">
        <f t="shared" si="253"/>
        <v>X</v>
      </c>
      <c r="X170" s="280" t="str">
        <f t="shared" si="253"/>
        <v>X</v>
      </c>
      <c r="Y170" s="280" t="str">
        <f t="shared" si="253"/>
        <v>X</v>
      </c>
      <c r="Z170" s="280" t="str">
        <f t="shared" si="253"/>
        <v>X</v>
      </c>
      <c r="AA170" s="280" t="str">
        <f t="shared" si="253"/>
        <v>X</v>
      </c>
      <c r="AB170" s="280" t="str">
        <f t="shared" si="253"/>
        <v>X</v>
      </c>
      <c r="AC170" s="280" t="str">
        <f t="shared" si="253"/>
        <v>X</v>
      </c>
      <c r="AD170" s="280" t="str">
        <f t="shared" si="253"/>
        <v>X</v>
      </c>
      <c r="AE170" s="280" t="str">
        <f t="shared" si="253"/>
        <v>X</v>
      </c>
      <c r="AF170" s="280" t="str">
        <f t="shared" si="253"/>
        <v>X</v>
      </c>
      <c r="AG170" s="280" t="str">
        <f t="shared" si="253"/>
        <v>X</v>
      </c>
      <c r="AH170" s="280" t="str">
        <f t="shared" si="253"/>
        <v>X</v>
      </c>
      <c r="AI170" s="280" t="str">
        <f t="shared" si="253"/>
        <v>X</v>
      </c>
      <c r="AJ170" s="280" t="str">
        <f t="shared" si="253"/>
        <v>X</v>
      </c>
      <c r="AK170" s="280" t="str">
        <f t="shared" si="253"/>
        <v>X</v>
      </c>
      <c r="AL170" s="307" t="str">
        <f t="shared" si="253"/>
        <v>X</v>
      </c>
      <c r="AM170" s="307" t="str">
        <f t="shared" si="253"/>
        <v>X</v>
      </c>
      <c r="AN170" s="307" t="str">
        <f t="shared" si="253"/>
        <v>X</v>
      </c>
      <c r="AO170" s="307" t="str">
        <f t="shared" si="253"/>
        <v>X</v>
      </c>
      <c r="AP170" s="307" t="str">
        <f t="shared" si="253"/>
        <v>X</v>
      </c>
      <c r="AQ170" s="307" t="str">
        <f t="shared" si="253"/>
        <v>X</v>
      </c>
      <c r="AR170" s="307" t="str">
        <f t="shared" si="253"/>
        <v>X</v>
      </c>
      <c r="AS170" s="307" t="str">
        <f t="shared" si="253"/>
        <v>X</v>
      </c>
      <c r="AT170" s="307" t="str">
        <f t="shared" si="253"/>
        <v>X</v>
      </c>
      <c r="AU170" s="307" t="str">
        <f t="shared" si="253"/>
        <v>X</v>
      </c>
      <c r="AV170" s="296"/>
      <c r="AW170" s="296"/>
      <c r="AX170" s="206"/>
      <c r="BC170" s="150"/>
      <c r="BD170" s="206"/>
      <c r="BE170" s="206"/>
      <c r="BF170" s="206"/>
      <c r="BG170" s="2"/>
      <c r="BH170" s="85"/>
      <c r="BI170" s="2"/>
      <c r="BJ170" s="150"/>
      <c r="BK170" s="2"/>
      <c r="BL170" s="2"/>
      <c r="BM170" s="2"/>
      <c r="BN170" s="2"/>
      <c r="BO170" s="2"/>
      <c r="BP170" s="2"/>
    </row>
    <row r="171" spans="1:68">
      <c r="A171" s="181"/>
      <c r="B171" s="111" t="s">
        <v>663</v>
      </c>
      <c r="C171" s="172">
        <f ca="1">COUNTIF(C165:C170,"O")</f>
        <v>4</v>
      </c>
      <c r="D171" s="172">
        <f t="shared" ref="D171:Q171" ca="1" si="254">COUNTIF(D165:D170,"O")</f>
        <v>6</v>
      </c>
      <c r="E171" s="172">
        <f t="shared" ca="1" si="254"/>
        <v>2</v>
      </c>
      <c r="F171" s="172">
        <f t="shared" ca="1" si="254"/>
        <v>4</v>
      </c>
      <c r="G171" s="172">
        <f t="shared" ca="1" si="254"/>
        <v>4</v>
      </c>
      <c r="H171" s="172">
        <f t="shared" ca="1" si="254"/>
        <v>4</v>
      </c>
      <c r="I171" s="172">
        <f t="shared" ca="1" si="254"/>
        <v>5</v>
      </c>
      <c r="J171" s="172">
        <f t="shared" ca="1" si="254"/>
        <v>5</v>
      </c>
      <c r="K171" s="172">
        <f t="shared" ca="1" si="254"/>
        <v>5</v>
      </c>
      <c r="L171" s="172">
        <f t="shared" ca="1" si="254"/>
        <v>2</v>
      </c>
      <c r="M171" s="172">
        <f t="shared" ca="1" si="254"/>
        <v>2</v>
      </c>
      <c r="N171" s="172">
        <f t="shared" ca="1" si="254"/>
        <v>5</v>
      </c>
      <c r="O171" s="172">
        <f t="shared" ca="1" si="254"/>
        <v>5</v>
      </c>
      <c r="P171" s="172">
        <f t="shared" ca="1" si="254"/>
        <v>3</v>
      </c>
      <c r="Q171" s="172">
        <f t="shared" ca="1" si="254"/>
        <v>5</v>
      </c>
      <c r="R171" s="172">
        <f t="shared" ref="R171:AK171" si="255">COUNTIF(R165:R170,"O")</f>
        <v>0</v>
      </c>
      <c r="S171" s="172">
        <f t="shared" si="255"/>
        <v>0</v>
      </c>
      <c r="T171" s="172">
        <f t="shared" si="255"/>
        <v>0</v>
      </c>
      <c r="U171" s="172">
        <f t="shared" si="255"/>
        <v>0</v>
      </c>
      <c r="V171" s="172">
        <f t="shared" si="255"/>
        <v>0</v>
      </c>
      <c r="W171" s="172">
        <f t="shared" si="255"/>
        <v>0</v>
      </c>
      <c r="X171" s="172">
        <f t="shared" si="255"/>
        <v>0</v>
      </c>
      <c r="Y171" s="172">
        <f t="shared" si="255"/>
        <v>0</v>
      </c>
      <c r="Z171" s="172">
        <f t="shared" si="255"/>
        <v>0</v>
      </c>
      <c r="AA171" s="172">
        <f t="shared" si="255"/>
        <v>0</v>
      </c>
      <c r="AB171" s="172">
        <f t="shared" si="255"/>
        <v>0</v>
      </c>
      <c r="AC171" s="172">
        <f t="shared" si="255"/>
        <v>0</v>
      </c>
      <c r="AD171" s="172">
        <f t="shared" si="255"/>
        <v>0</v>
      </c>
      <c r="AE171" s="172">
        <f t="shared" si="255"/>
        <v>0</v>
      </c>
      <c r="AF171" s="172">
        <f t="shared" si="255"/>
        <v>0</v>
      </c>
      <c r="AG171" s="172">
        <f t="shared" si="255"/>
        <v>0</v>
      </c>
      <c r="AH171" s="172">
        <f t="shared" si="255"/>
        <v>0</v>
      </c>
      <c r="AI171" s="172">
        <f t="shared" si="255"/>
        <v>0</v>
      </c>
      <c r="AJ171" s="172">
        <f t="shared" si="255"/>
        <v>0</v>
      </c>
      <c r="AK171" s="172">
        <f t="shared" si="255"/>
        <v>0</v>
      </c>
      <c r="AL171" s="172">
        <f t="shared" ref="AL171:AU171" si="256">COUNTIF(AL165:AL170,"O")</f>
        <v>0</v>
      </c>
      <c r="AM171" s="172">
        <f t="shared" si="256"/>
        <v>0</v>
      </c>
      <c r="AN171" s="172">
        <f t="shared" si="256"/>
        <v>0</v>
      </c>
      <c r="AO171" s="172">
        <f t="shared" si="256"/>
        <v>0</v>
      </c>
      <c r="AP171" s="172">
        <f t="shared" si="256"/>
        <v>0</v>
      </c>
      <c r="AQ171" s="172">
        <f t="shared" si="256"/>
        <v>0</v>
      </c>
      <c r="AR171" s="172">
        <f t="shared" si="256"/>
        <v>0</v>
      </c>
      <c r="AS171" s="172">
        <f t="shared" si="256"/>
        <v>0</v>
      </c>
      <c r="AT171" s="172">
        <f t="shared" si="256"/>
        <v>0</v>
      </c>
      <c r="AU171" s="172">
        <f t="shared" si="256"/>
        <v>0</v>
      </c>
      <c r="AV171" s="255"/>
      <c r="AW171" s="255"/>
      <c r="AX171" s="255"/>
      <c r="BC171" s="150"/>
      <c r="BD171" s="206"/>
      <c r="BE171" s="206"/>
      <c r="BF171" s="206"/>
      <c r="BG171" s="2"/>
      <c r="BI171" s="2"/>
      <c r="BJ171" s="150"/>
      <c r="BK171" s="164"/>
      <c r="BL171" s="164"/>
      <c r="BM171" s="168"/>
      <c r="BN171" s="168"/>
      <c r="BO171" s="2"/>
      <c r="BP171" s="2"/>
    </row>
    <row r="172" spans="1:68">
      <c r="A172" s="179" t="s">
        <v>887</v>
      </c>
      <c r="B172" s="281" t="s">
        <v>560</v>
      </c>
      <c r="C172" s="280" t="str">
        <f ca="1">IF(C7=$BC$30,"O",IF(C7=$BD$30,"O",IF(C7=$BE$30,"O",IF(C7=$BF$30,"O",IF(C7=$BG$30,"O",IF(C7=$BH$30,"O",IF(C7=$BI$30,"O",IF(C7=$BJ$30,"O",IF(C7=$BK$30,"O",IF(C7=$BL$30,"O",IF(C7=$BM$30,"O",IF(C7=$BN$30,"O",IF(C7=$BO$30,"O",IF(C7=$BP$30,"O",IF(C7=$BQ$30,"O",IF(C7=$BR$30,"O",IF(C7=$BS$30,"O",IF(C7=$BT$30,"O",IF(C7=$BU$30,"O",IF(C7=$BV$30,"O",IF(C7=$BW$30,"O",IF(C7=$BX$30,"O",IF(C7=$BY$30,"O",IF(C7=$BZ$30,"O",IF(C7=$CA$30,"O",IF(C7=$CB$30,"O",IF(C7=$CC$30,"O",IF(C7=$CD$30,"O","X"))))))))))))))))))))))))))))</f>
        <v>O</v>
      </c>
      <c r="D172" s="373" t="str">
        <f t="shared" ref="D172:Q172" ca="1" si="257">IF(D7=$BC$30,"O",IF(D7=$BD$30,"O",IF(D7=$BE$30,"O",IF(D7=$BF$30,"O",IF(D7=$BG$30,"O",IF(D7=$BH$30,"O",IF(D7=$BI$30,"O",IF(D7=$BJ$30,"O",IF(D7=$BK$30,"O",IF(D7=$BL$30,"O",IF(D7=$BM$30,"O",IF(D7=$BN$30,"O",IF(D7=$BO$30,"O",IF(D7=$BP$30,"O",IF(D7=$BQ$30,"O",IF(D7=$BR$30,"O",IF(D7=$BS$30,"O",IF(D7=$BT$30,"O",IF(D7=$BU$30,"O",IF(D7=$BV$30,"O",IF(D7=$BW$30,"O",IF(D7=$BX$30,"O",IF(D7=$BY$30,"O",IF(D7=$BZ$30,"O",IF(D7=$CA$30,"O",IF(D7=$CB$30,"O",IF(D7=$CC$30,"O",IF(D7=$CD$30,"O","X"))))))))))))))))))))))))))))</f>
        <v>X</v>
      </c>
      <c r="E172" s="373" t="str">
        <f t="shared" ca="1" si="257"/>
        <v>X</v>
      </c>
      <c r="F172" s="373" t="str">
        <f t="shared" ca="1" si="257"/>
        <v>O</v>
      </c>
      <c r="G172" s="373" t="str">
        <f t="shared" ca="1" si="257"/>
        <v>O</v>
      </c>
      <c r="H172" s="373" t="str">
        <f t="shared" ca="1" si="257"/>
        <v>X</v>
      </c>
      <c r="I172" s="373" t="str">
        <f t="shared" ca="1" si="257"/>
        <v>X</v>
      </c>
      <c r="J172" s="373" t="str">
        <f t="shared" ca="1" si="257"/>
        <v>X</v>
      </c>
      <c r="K172" s="373" t="str">
        <f t="shared" ca="1" si="257"/>
        <v>O</v>
      </c>
      <c r="L172" s="373" t="str">
        <f t="shared" ca="1" si="257"/>
        <v>X</v>
      </c>
      <c r="M172" s="373" t="str">
        <f t="shared" ca="1" si="257"/>
        <v>O</v>
      </c>
      <c r="N172" s="373" t="str">
        <f t="shared" ca="1" si="257"/>
        <v>X</v>
      </c>
      <c r="O172" s="373" t="str">
        <f t="shared" ca="1" si="257"/>
        <v>X</v>
      </c>
      <c r="P172" s="373" t="str">
        <f t="shared" ca="1" si="257"/>
        <v>X</v>
      </c>
      <c r="Q172" s="373" t="str">
        <f t="shared" ca="1" si="257"/>
        <v>O</v>
      </c>
      <c r="R172" s="280" t="str">
        <f t="shared" ref="R172:AU172" si="258">IF(R7=$BC$30,"O",IF(R7=$BD$30,"O",IF(R7=$BE$30,"O",IF(R7=$BF$30,"O",IF(R7=$BG$30,"O",IF(R7=$BH$30,"O",IF(R7=$BI$30,"O",IF(R7=$BJ$30,"O",IF(R7=$BK$30,"O",IF(R7=$BL$30,"O",IF(R7=$BM$30,"O",IF(R7=$BN$30,"O",IF(R7=$BO$30,"O",IF(R7=$BP$30,"O",IF(R7=$BQ$30,"O",IF(R7=$BR$30,"O",IF(R7=$BS$30,"O",IF(R7=$BT$30,"O",IF(R7=$BU$30,"O",IF(R7=$BV$30,"O",IF(R7=$BW$30,"O",IF(R7=$BX$30,"O",IF(R7=$BY$30,"O",IF(R7=$BZ$30,"O",IF(R7=$CA$30,"O",IF(R7=$CB$30,"O","X"))))))))))))))))))))))))))</f>
        <v>X</v>
      </c>
      <c r="S172" s="280" t="str">
        <f t="shared" si="258"/>
        <v>X</v>
      </c>
      <c r="T172" s="280" t="str">
        <f t="shared" si="258"/>
        <v>X</v>
      </c>
      <c r="U172" s="280" t="str">
        <f t="shared" si="258"/>
        <v>X</v>
      </c>
      <c r="V172" s="280" t="str">
        <f t="shared" si="258"/>
        <v>X</v>
      </c>
      <c r="W172" s="280" t="str">
        <f t="shared" si="258"/>
        <v>X</v>
      </c>
      <c r="X172" s="280" t="str">
        <f t="shared" si="258"/>
        <v>X</v>
      </c>
      <c r="Y172" s="280" t="str">
        <f t="shared" si="258"/>
        <v>X</v>
      </c>
      <c r="Z172" s="280" t="str">
        <f t="shared" si="258"/>
        <v>X</v>
      </c>
      <c r="AA172" s="280" t="str">
        <f t="shared" si="258"/>
        <v>X</v>
      </c>
      <c r="AB172" s="280" t="str">
        <f t="shared" si="258"/>
        <v>X</v>
      </c>
      <c r="AC172" s="280" t="str">
        <f t="shared" si="258"/>
        <v>X</v>
      </c>
      <c r="AD172" s="280" t="str">
        <f t="shared" si="258"/>
        <v>X</v>
      </c>
      <c r="AE172" s="280" t="str">
        <f t="shared" si="258"/>
        <v>X</v>
      </c>
      <c r="AF172" s="280" t="str">
        <f t="shared" si="258"/>
        <v>X</v>
      </c>
      <c r="AG172" s="280" t="str">
        <f t="shared" si="258"/>
        <v>X</v>
      </c>
      <c r="AH172" s="280" t="str">
        <f t="shared" si="258"/>
        <v>X</v>
      </c>
      <c r="AI172" s="280" t="str">
        <f t="shared" si="258"/>
        <v>X</v>
      </c>
      <c r="AJ172" s="280" t="str">
        <f t="shared" si="258"/>
        <v>X</v>
      </c>
      <c r="AK172" s="280" t="str">
        <f t="shared" si="258"/>
        <v>X</v>
      </c>
      <c r="AL172" s="307" t="str">
        <f t="shared" si="258"/>
        <v>X</v>
      </c>
      <c r="AM172" s="307" t="str">
        <f t="shared" si="258"/>
        <v>X</v>
      </c>
      <c r="AN172" s="307" t="str">
        <f t="shared" si="258"/>
        <v>X</v>
      </c>
      <c r="AO172" s="307" t="str">
        <f t="shared" si="258"/>
        <v>X</v>
      </c>
      <c r="AP172" s="307" t="str">
        <f t="shared" si="258"/>
        <v>X</v>
      </c>
      <c r="AQ172" s="307" t="str">
        <f t="shared" si="258"/>
        <v>X</v>
      </c>
      <c r="AR172" s="307" t="str">
        <f t="shared" si="258"/>
        <v>X</v>
      </c>
      <c r="AS172" s="307" t="str">
        <f t="shared" si="258"/>
        <v>X</v>
      </c>
      <c r="AT172" s="307" t="str">
        <f t="shared" si="258"/>
        <v>X</v>
      </c>
      <c r="AU172" s="307" t="str">
        <f t="shared" si="258"/>
        <v>X</v>
      </c>
      <c r="AV172" s="296"/>
      <c r="AW172" s="296"/>
      <c r="AX172" s="206"/>
      <c r="BC172" s="274"/>
      <c r="BD172" s="274"/>
      <c r="BE172" s="274"/>
      <c r="BF172" s="239"/>
      <c r="BG172" s="239"/>
      <c r="BH172" s="239"/>
      <c r="BI172" s="239"/>
      <c r="BJ172" s="168"/>
      <c r="BK172" s="2"/>
      <c r="BL172" s="2"/>
      <c r="BM172" s="2"/>
      <c r="BN172" s="2"/>
      <c r="BO172" s="2"/>
      <c r="BP172" s="2"/>
    </row>
    <row r="173" spans="1:68">
      <c r="A173" s="180"/>
      <c r="B173" s="281" t="s">
        <v>566</v>
      </c>
      <c r="C173" s="373" t="str">
        <f t="shared" ref="C173:Q173" ca="1" si="259">IF(C8=$BC$30,"O",IF(C8=$BD$30,"O",IF(C8=$BE$30,"O",IF(C8=$BF$30,"O",IF(C8=$BG$30,"O",IF(C8=$BH$30,"O",IF(C8=$BI$30,"O",IF(C8=$BJ$30,"O",IF(C8=$BK$30,"O",IF(C8=$BL$30,"O",IF(C8=$BM$30,"O",IF(C8=$BN$30,"O",IF(C8=$BO$30,"O",IF(C8=$BP$30,"O",IF(C8=$BQ$30,"O",IF(C8=$BR$30,"O",IF(C8=$BS$30,"O",IF(C8=$BT$30,"O",IF(C8=$BU$30,"O",IF(C8=$BV$30,"O",IF(C8=$BW$30,"O",IF(C8=$BX$30,"O",IF(C8=$BY$30,"O",IF(C8=$BZ$30,"O",IF(C8=$CA$30,"O",IF(C8=$CB$30,"O",IF(C8=$CC$30,"O",IF(C8=$CD$30,"O","X"))))))))))))))))))))))))))))</f>
        <v>O</v>
      </c>
      <c r="D173" s="373" t="str">
        <f t="shared" ca="1" si="259"/>
        <v>O</v>
      </c>
      <c r="E173" s="373" t="str">
        <f t="shared" ca="1" si="259"/>
        <v>O</v>
      </c>
      <c r="F173" s="373" t="str">
        <f t="shared" ca="1" si="259"/>
        <v>O</v>
      </c>
      <c r="G173" s="373" t="str">
        <f t="shared" ca="1" si="259"/>
        <v>O</v>
      </c>
      <c r="H173" s="373" t="str">
        <f t="shared" ca="1" si="259"/>
        <v>X</v>
      </c>
      <c r="I173" s="373" t="str">
        <f t="shared" ca="1" si="259"/>
        <v>X</v>
      </c>
      <c r="J173" s="373" t="str">
        <f t="shared" ca="1" si="259"/>
        <v>O</v>
      </c>
      <c r="K173" s="373" t="str">
        <f t="shared" ca="1" si="259"/>
        <v>X</v>
      </c>
      <c r="L173" s="373" t="str">
        <f t="shared" ca="1" si="259"/>
        <v>X</v>
      </c>
      <c r="M173" s="373" t="str">
        <f t="shared" ca="1" si="259"/>
        <v>X</v>
      </c>
      <c r="N173" s="373" t="str">
        <f t="shared" ca="1" si="259"/>
        <v>X</v>
      </c>
      <c r="O173" s="373" t="str">
        <f t="shared" ca="1" si="259"/>
        <v>O</v>
      </c>
      <c r="P173" s="373" t="str">
        <f t="shared" ca="1" si="259"/>
        <v>X</v>
      </c>
      <c r="Q173" s="373" t="str">
        <f t="shared" ca="1" si="259"/>
        <v>X</v>
      </c>
      <c r="R173" s="280" t="str">
        <f t="shared" ref="R173:AU173" si="260">IF(R8=$BC$30,"O",IF(R8=$BD$30,"O",IF(R8=$BE$30,"O",IF(R8=$BF$30,"O",IF(R8=$BG$30,"O",IF(R8=$BH$30,"O",IF(R8=$BI$30,"O",IF(R8=$BJ$30,"O",IF(R8=$BK$30,"O",IF(R8=$BL$30,"O",IF(R8=$BM$30,"O",IF(R8=$BN$30,"O",IF(R8=$BO$30,"O",IF(R8=$BP$30,"O",IF(R8=$BQ$30,"O",IF(R8=$BR$30,"O",IF(R8=$BS$30,"O",IF(R8=$BT$30,"O",IF(R8=$BU$30,"O",IF(R8=$BV$30,"O",IF(R8=$BW$30,"O",IF(R8=$BX$30,"O",IF(R8=$BY$30,"O",IF(R8=$BZ$30,"O",IF(R8=$CA$30,"O",IF(R8=$CB$30,"O","X"))))))))))))))))))))))))))</f>
        <v>X</v>
      </c>
      <c r="S173" s="280" t="str">
        <f t="shared" si="260"/>
        <v>X</v>
      </c>
      <c r="T173" s="280" t="str">
        <f t="shared" si="260"/>
        <v>X</v>
      </c>
      <c r="U173" s="280" t="str">
        <f t="shared" si="260"/>
        <v>X</v>
      </c>
      <c r="V173" s="280" t="str">
        <f t="shared" si="260"/>
        <v>X</v>
      </c>
      <c r="W173" s="280" t="str">
        <f t="shared" si="260"/>
        <v>X</v>
      </c>
      <c r="X173" s="280" t="str">
        <f t="shared" si="260"/>
        <v>X</v>
      </c>
      <c r="Y173" s="280" t="str">
        <f t="shared" si="260"/>
        <v>X</v>
      </c>
      <c r="Z173" s="280" t="str">
        <f t="shared" si="260"/>
        <v>X</v>
      </c>
      <c r="AA173" s="280" t="str">
        <f t="shared" si="260"/>
        <v>X</v>
      </c>
      <c r="AB173" s="280" t="str">
        <f t="shared" si="260"/>
        <v>X</v>
      </c>
      <c r="AC173" s="280" t="str">
        <f t="shared" si="260"/>
        <v>X</v>
      </c>
      <c r="AD173" s="280" t="str">
        <f t="shared" si="260"/>
        <v>X</v>
      </c>
      <c r="AE173" s="280" t="str">
        <f t="shared" si="260"/>
        <v>X</v>
      </c>
      <c r="AF173" s="280" t="str">
        <f t="shared" si="260"/>
        <v>X</v>
      </c>
      <c r="AG173" s="280" t="str">
        <f t="shared" si="260"/>
        <v>X</v>
      </c>
      <c r="AH173" s="280" t="str">
        <f t="shared" si="260"/>
        <v>X</v>
      </c>
      <c r="AI173" s="280" t="str">
        <f t="shared" si="260"/>
        <v>X</v>
      </c>
      <c r="AJ173" s="280" t="str">
        <f t="shared" si="260"/>
        <v>X</v>
      </c>
      <c r="AK173" s="280" t="str">
        <f t="shared" si="260"/>
        <v>X</v>
      </c>
      <c r="AL173" s="307" t="str">
        <f t="shared" si="260"/>
        <v>X</v>
      </c>
      <c r="AM173" s="307" t="str">
        <f t="shared" si="260"/>
        <v>X</v>
      </c>
      <c r="AN173" s="307" t="str">
        <f t="shared" si="260"/>
        <v>X</v>
      </c>
      <c r="AO173" s="307" t="str">
        <f t="shared" si="260"/>
        <v>X</v>
      </c>
      <c r="AP173" s="307" t="str">
        <f t="shared" si="260"/>
        <v>X</v>
      </c>
      <c r="AQ173" s="307" t="str">
        <f t="shared" si="260"/>
        <v>X</v>
      </c>
      <c r="AR173" s="307" t="str">
        <f t="shared" si="260"/>
        <v>X</v>
      </c>
      <c r="AS173" s="307" t="str">
        <f t="shared" si="260"/>
        <v>X</v>
      </c>
      <c r="AT173" s="307" t="str">
        <f t="shared" si="260"/>
        <v>X</v>
      </c>
      <c r="AU173" s="307" t="str">
        <f t="shared" si="260"/>
        <v>X</v>
      </c>
      <c r="AV173" s="296"/>
      <c r="AW173" s="296"/>
      <c r="AX173" s="206"/>
      <c r="BC173" s="266"/>
      <c r="BD173" s="266"/>
      <c r="BE173" s="266"/>
      <c r="BF173" s="266"/>
      <c r="BG173" s="266"/>
      <c r="BH173" s="266"/>
      <c r="BI173" s="264"/>
      <c r="BJ173" s="266"/>
      <c r="BK173" s="2"/>
      <c r="BL173" s="2"/>
      <c r="BM173" s="2"/>
      <c r="BN173" s="2"/>
      <c r="BO173" s="2"/>
      <c r="BP173" s="2"/>
    </row>
    <row r="174" spans="1:68">
      <c r="A174" s="180"/>
      <c r="B174" s="281" t="s">
        <v>567</v>
      </c>
      <c r="C174" s="373" t="str">
        <f t="shared" ref="C174:Q174" ca="1" si="261">IF(C9=$BC$30,"O",IF(C9=$BD$30,"O",IF(C9=$BE$30,"O",IF(C9=$BF$30,"O",IF(C9=$BG$30,"O",IF(C9=$BH$30,"O",IF(C9=$BI$30,"O",IF(C9=$BJ$30,"O",IF(C9=$BK$30,"O",IF(C9=$BL$30,"O",IF(C9=$BM$30,"O",IF(C9=$BN$30,"O",IF(C9=$BO$30,"O",IF(C9=$BP$30,"O",IF(C9=$BQ$30,"O",IF(C9=$BR$30,"O",IF(C9=$BS$30,"O",IF(C9=$BT$30,"O",IF(C9=$BU$30,"O",IF(C9=$BV$30,"O",IF(C9=$BW$30,"O",IF(C9=$BX$30,"O",IF(C9=$BY$30,"O",IF(C9=$BZ$30,"O",IF(C9=$CA$30,"O",IF(C9=$CB$30,"O",IF(C9=$CC$30,"O",IF(C9=$CD$30,"O","X"))))))))))))))))))))))))))))</f>
        <v>O</v>
      </c>
      <c r="D174" s="373" t="str">
        <f t="shared" ca="1" si="261"/>
        <v>X</v>
      </c>
      <c r="E174" s="373" t="str">
        <f t="shared" ca="1" si="261"/>
        <v>O</v>
      </c>
      <c r="F174" s="373" t="str">
        <f t="shared" ca="1" si="261"/>
        <v>O</v>
      </c>
      <c r="G174" s="373" t="str">
        <f t="shared" ca="1" si="261"/>
        <v>O</v>
      </c>
      <c r="H174" s="373" t="str">
        <f t="shared" ca="1" si="261"/>
        <v>O</v>
      </c>
      <c r="I174" s="373" t="str">
        <f t="shared" ca="1" si="261"/>
        <v>O</v>
      </c>
      <c r="J174" s="373" t="str">
        <f t="shared" ca="1" si="261"/>
        <v>X</v>
      </c>
      <c r="K174" s="373" t="str">
        <f t="shared" ca="1" si="261"/>
        <v>X</v>
      </c>
      <c r="L174" s="373" t="str">
        <f t="shared" ca="1" si="261"/>
        <v>X</v>
      </c>
      <c r="M174" s="373" t="str">
        <f t="shared" ca="1" si="261"/>
        <v>O</v>
      </c>
      <c r="N174" s="373" t="str">
        <f t="shared" ca="1" si="261"/>
        <v>X</v>
      </c>
      <c r="O174" s="373" t="str">
        <f t="shared" ca="1" si="261"/>
        <v>O</v>
      </c>
      <c r="P174" s="373" t="str">
        <f t="shared" ca="1" si="261"/>
        <v>X</v>
      </c>
      <c r="Q174" s="373" t="str">
        <f t="shared" ca="1" si="261"/>
        <v>O</v>
      </c>
      <c r="R174" s="280" t="str">
        <f t="shared" ref="R174:AU174" si="262">IF(R9=$BC$30,"O",IF(R9=$BD$30,"O",IF(R9=$BE$30,"O",IF(R9=$BF$30,"O",IF(R9=$BG$30,"O",IF(R9=$BH$30,"O",IF(R9=$BI$30,"O",IF(R9=$BJ$30,"O",IF(R9=$BK$30,"O",IF(R9=$BL$30,"O",IF(R9=$BM$30,"O",IF(R9=$BN$30,"O",IF(R9=$BO$30,"O",IF(R9=$BP$30,"O",IF(R9=$BQ$30,"O",IF(R9=$BR$30,"O",IF(R9=$BS$30,"O",IF(R9=$BT$30,"O",IF(R9=$BU$30,"O",IF(R9=$BV$30,"O",IF(R9=$BW$30,"O",IF(R9=$BX$30,"O",IF(R9=$BY$30,"O",IF(R9=$BZ$30,"O",IF(R9=$CA$30,"O",IF(R9=$CB$30,"O","X"))))))))))))))))))))))))))</f>
        <v>X</v>
      </c>
      <c r="S174" s="280" t="str">
        <f t="shared" si="262"/>
        <v>X</v>
      </c>
      <c r="T174" s="280" t="str">
        <f t="shared" si="262"/>
        <v>X</v>
      </c>
      <c r="U174" s="280" t="str">
        <f t="shared" si="262"/>
        <v>X</v>
      </c>
      <c r="V174" s="280" t="str">
        <f t="shared" si="262"/>
        <v>X</v>
      </c>
      <c r="W174" s="280" t="str">
        <f t="shared" si="262"/>
        <v>X</v>
      </c>
      <c r="X174" s="280" t="str">
        <f t="shared" si="262"/>
        <v>X</v>
      </c>
      <c r="Y174" s="280" t="str">
        <f t="shared" si="262"/>
        <v>X</v>
      </c>
      <c r="Z174" s="280" t="str">
        <f t="shared" si="262"/>
        <v>X</v>
      </c>
      <c r="AA174" s="280" t="str">
        <f t="shared" si="262"/>
        <v>X</v>
      </c>
      <c r="AB174" s="280" t="str">
        <f t="shared" si="262"/>
        <v>X</v>
      </c>
      <c r="AC174" s="280" t="str">
        <f t="shared" si="262"/>
        <v>X</v>
      </c>
      <c r="AD174" s="280" t="str">
        <f t="shared" si="262"/>
        <v>X</v>
      </c>
      <c r="AE174" s="280" t="str">
        <f t="shared" si="262"/>
        <v>X</v>
      </c>
      <c r="AF174" s="280" t="str">
        <f t="shared" si="262"/>
        <v>X</v>
      </c>
      <c r="AG174" s="280" t="str">
        <f t="shared" si="262"/>
        <v>X</v>
      </c>
      <c r="AH174" s="280" t="str">
        <f t="shared" si="262"/>
        <v>X</v>
      </c>
      <c r="AI174" s="280" t="str">
        <f t="shared" si="262"/>
        <v>X</v>
      </c>
      <c r="AJ174" s="280" t="str">
        <f t="shared" si="262"/>
        <v>X</v>
      </c>
      <c r="AK174" s="280" t="str">
        <f t="shared" si="262"/>
        <v>X</v>
      </c>
      <c r="AL174" s="307" t="str">
        <f t="shared" si="262"/>
        <v>X</v>
      </c>
      <c r="AM174" s="307" t="str">
        <f t="shared" si="262"/>
        <v>X</v>
      </c>
      <c r="AN174" s="307" t="str">
        <f t="shared" si="262"/>
        <v>X</v>
      </c>
      <c r="AO174" s="307" t="str">
        <f t="shared" si="262"/>
        <v>X</v>
      </c>
      <c r="AP174" s="307" t="str">
        <f t="shared" si="262"/>
        <v>X</v>
      </c>
      <c r="AQ174" s="307" t="str">
        <f t="shared" si="262"/>
        <v>X</v>
      </c>
      <c r="AR174" s="307" t="str">
        <f t="shared" si="262"/>
        <v>X</v>
      </c>
      <c r="AS174" s="307" t="str">
        <f t="shared" si="262"/>
        <v>X</v>
      </c>
      <c r="AT174" s="307" t="str">
        <f t="shared" si="262"/>
        <v>X</v>
      </c>
      <c r="AU174" s="307" t="str">
        <f t="shared" si="262"/>
        <v>X</v>
      </c>
      <c r="AV174" s="296"/>
      <c r="AW174" s="296"/>
      <c r="AX174" s="206"/>
      <c r="BC174" s="274"/>
      <c r="BD174" s="274"/>
      <c r="BE174" s="274"/>
      <c r="BF174" s="274"/>
      <c r="BG174" s="274"/>
      <c r="BH174" s="274"/>
      <c r="BI174" s="239"/>
      <c r="BJ174" s="168"/>
      <c r="BK174" s="2"/>
      <c r="BL174" s="2"/>
      <c r="BM174" s="2"/>
      <c r="BN174" s="2"/>
      <c r="BO174" s="2"/>
      <c r="BP174" s="2"/>
    </row>
    <row r="175" spans="1:68">
      <c r="A175" s="180"/>
      <c r="B175" s="281" t="s">
        <v>568</v>
      </c>
      <c r="C175" s="373" t="str">
        <f t="shared" ref="C175:Q175" ca="1" si="263">IF(C10=$BC$30,"O",IF(C10=$BD$30,"O",IF(C10=$BE$30,"O",IF(C10=$BF$30,"O",IF(C10=$BG$30,"O",IF(C10=$BH$30,"O",IF(C10=$BI$30,"O",IF(C10=$BJ$30,"O",IF(C10=$BK$30,"O",IF(C10=$BL$30,"O",IF(C10=$BM$30,"O",IF(C10=$BN$30,"O",IF(C10=$BO$30,"O",IF(C10=$BP$30,"O",IF(C10=$BQ$30,"O",IF(C10=$BR$30,"O",IF(C10=$BS$30,"O",IF(C10=$BT$30,"O",IF(C10=$BU$30,"O",IF(C10=$BV$30,"O",IF(C10=$BW$30,"O",IF(C10=$BX$30,"O",IF(C10=$BY$30,"O",IF(C10=$BZ$30,"O",IF(C10=$CA$30,"O",IF(C10=$CB$30,"O",IF(C10=$CC$30,"O",IF(C10=$CD$30,"O","X"))))))))))))))))))))))))))))</f>
        <v>O</v>
      </c>
      <c r="D175" s="373" t="str">
        <f t="shared" ca="1" si="263"/>
        <v>O</v>
      </c>
      <c r="E175" s="373" t="str">
        <f t="shared" ca="1" si="263"/>
        <v>X</v>
      </c>
      <c r="F175" s="373" t="str">
        <f t="shared" ca="1" si="263"/>
        <v>O</v>
      </c>
      <c r="G175" s="373" t="str">
        <f t="shared" ca="1" si="263"/>
        <v>X</v>
      </c>
      <c r="H175" s="373" t="str">
        <f t="shared" ca="1" si="263"/>
        <v>O</v>
      </c>
      <c r="I175" s="373" t="str">
        <f t="shared" ca="1" si="263"/>
        <v>X</v>
      </c>
      <c r="J175" s="373" t="str">
        <f t="shared" ca="1" si="263"/>
        <v>O</v>
      </c>
      <c r="K175" s="373" t="str">
        <f t="shared" ca="1" si="263"/>
        <v>O</v>
      </c>
      <c r="L175" s="373" t="str">
        <f t="shared" ca="1" si="263"/>
        <v>X</v>
      </c>
      <c r="M175" s="373" t="str">
        <f t="shared" ca="1" si="263"/>
        <v>O</v>
      </c>
      <c r="N175" s="373" t="str">
        <f t="shared" ca="1" si="263"/>
        <v>O</v>
      </c>
      <c r="O175" s="373" t="str">
        <f t="shared" ca="1" si="263"/>
        <v>X</v>
      </c>
      <c r="P175" s="373" t="str">
        <f t="shared" ca="1" si="263"/>
        <v>X</v>
      </c>
      <c r="Q175" s="373" t="str">
        <f t="shared" ca="1" si="263"/>
        <v>X</v>
      </c>
      <c r="R175" s="280" t="str">
        <f t="shared" ref="R175:AU175" si="264">IF(R10=$BC$30,"O",IF(R10=$BD$30,"O",IF(R10=$BE$30,"O",IF(R10=$BF$30,"O",IF(R10=$BG$30,"O",IF(R10=$BH$30,"O",IF(R10=$BI$30,"O",IF(R10=$BJ$30,"O",IF(R10=$BK$30,"O",IF(R10=$BL$30,"O",IF(R10=$BM$30,"O",IF(R10=$BN$30,"O",IF(R10=$BO$30,"O",IF(R10=$BP$30,"O",IF(R10=$BQ$30,"O",IF(R10=$BR$30,"O",IF(R10=$BS$30,"O",IF(R10=$BT$30,"O",IF(R10=$BU$30,"O",IF(R10=$BV$30,"O",IF(R10=$BW$30,"O",IF(R10=$BX$30,"O",IF(R10=$BY$30,"O",IF(R10=$BZ$30,"O",IF(R10=$CA$30,"O",IF(R10=$CB$30,"O","X"))))))))))))))))))))))))))</f>
        <v>X</v>
      </c>
      <c r="S175" s="280" t="str">
        <f t="shared" si="264"/>
        <v>X</v>
      </c>
      <c r="T175" s="280" t="str">
        <f t="shared" si="264"/>
        <v>X</v>
      </c>
      <c r="U175" s="280" t="str">
        <f t="shared" si="264"/>
        <v>X</v>
      </c>
      <c r="V175" s="280" t="str">
        <f t="shared" si="264"/>
        <v>X</v>
      </c>
      <c r="W175" s="280" t="str">
        <f t="shared" si="264"/>
        <v>X</v>
      </c>
      <c r="X175" s="280" t="str">
        <f t="shared" si="264"/>
        <v>X</v>
      </c>
      <c r="Y175" s="280" t="str">
        <f t="shared" si="264"/>
        <v>X</v>
      </c>
      <c r="Z175" s="280" t="str">
        <f t="shared" si="264"/>
        <v>X</v>
      </c>
      <c r="AA175" s="280" t="str">
        <f t="shared" si="264"/>
        <v>X</v>
      </c>
      <c r="AB175" s="280" t="str">
        <f t="shared" si="264"/>
        <v>X</v>
      </c>
      <c r="AC175" s="280" t="str">
        <f t="shared" si="264"/>
        <v>X</v>
      </c>
      <c r="AD175" s="280" t="str">
        <f t="shared" si="264"/>
        <v>X</v>
      </c>
      <c r="AE175" s="280" t="str">
        <f t="shared" si="264"/>
        <v>X</v>
      </c>
      <c r="AF175" s="280" t="str">
        <f t="shared" si="264"/>
        <v>X</v>
      </c>
      <c r="AG175" s="280" t="str">
        <f t="shared" si="264"/>
        <v>X</v>
      </c>
      <c r="AH175" s="280" t="str">
        <f t="shared" si="264"/>
        <v>X</v>
      </c>
      <c r="AI175" s="280" t="str">
        <f t="shared" si="264"/>
        <v>X</v>
      </c>
      <c r="AJ175" s="280" t="str">
        <f t="shared" si="264"/>
        <v>X</v>
      </c>
      <c r="AK175" s="280" t="str">
        <f t="shared" si="264"/>
        <v>X</v>
      </c>
      <c r="AL175" s="307" t="str">
        <f t="shared" si="264"/>
        <v>X</v>
      </c>
      <c r="AM175" s="307" t="str">
        <f t="shared" si="264"/>
        <v>X</v>
      </c>
      <c r="AN175" s="307" t="str">
        <f t="shared" si="264"/>
        <v>X</v>
      </c>
      <c r="AO175" s="307" t="str">
        <f t="shared" si="264"/>
        <v>X</v>
      </c>
      <c r="AP175" s="307" t="str">
        <f t="shared" si="264"/>
        <v>X</v>
      </c>
      <c r="AQ175" s="307" t="str">
        <f t="shared" si="264"/>
        <v>X</v>
      </c>
      <c r="AR175" s="307" t="str">
        <f t="shared" si="264"/>
        <v>X</v>
      </c>
      <c r="AS175" s="307" t="str">
        <f t="shared" si="264"/>
        <v>X</v>
      </c>
      <c r="AT175" s="307" t="str">
        <f t="shared" si="264"/>
        <v>X</v>
      </c>
      <c r="AU175" s="307" t="str">
        <f t="shared" si="264"/>
        <v>X</v>
      </c>
      <c r="AV175" s="296"/>
      <c r="AW175" s="296"/>
      <c r="AX175" s="206"/>
      <c r="BC175" s="150"/>
      <c r="BD175" s="206"/>
      <c r="BE175" s="206"/>
      <c r="BF175" s="206"/>
      <c r="BG175" s="2"/>
      <c r="BH175" s="85"/>
      <c r="BI175" s="53"/>
      <c r="BJ175" s="150"/>
      <c r="BK175" s="2"/>
      <c r="BL175" s="2"/>
      <c r="BM175" s="2"/>
      <c r="BN175" s="2"/>
      <c r="BO175" s="2"/>
      <c r="BP175" s="2"/>
    </row>
    <row r="176" spans="1:68">
      <c r="A176" s="180"/>
      <c r="B176" s="281" t="s">
        <v>569</v>
      </c>
      <c r="C176" s="373" t="str">
        <f t="shared" ref="C176:Q176" ca="1" si="265">IF(C11=$BC$30,"O",IF(C11=$BD$30,"O",IF(C11=$BE$30,"O",IF(C11=$BF$30,"O",IF(C11=$BG$30,"O",IF(C11=$BH$30,"O",IF(C11=$BI$30,"O",IF(C11=$BJ$30,"O",IF(C11=$BK$30,"O",IF(C11=$BL$30,"O",IF(C11=$BM$30,"O",IF(C11=$BN$30,"O",IF(C11=$BO$30,"O",IF(C11=$BP$30,"O",IF(C11=$BQ$30,"O",IF(C11=$BR$30,"O",IF(C11=$BS$30,"O",IF(C11=$BT$30,"O",IF(C11=$BU$30,"O",IF(C11=$BV$30,"O",IF(C11=$BW$30,"O",IF(C11=$BX$30,"O",IF(C11=$BY$30,"O",IF(C11=$BZ$30,"O",IF(C11=$CA$30,"O",IF(C11=$CB$30,"O",IF(C11=$CC$30,"O",IF(C11=$CD$30,"O","X"))))))))))))))))))))))))))))</f>
        <v>X</v>
      </c>
      <c r="D176" s="373" t="str">
        <f t="shared" ca="1" si="265"/>
        <v>O</v>
      </c>
      <c r="E176" s="373" t="str">
        <f t="shared" ca="1" si="265"/>
        <v>X</v>
      </c>
      <c r="F176" s="373" t="str">
        <f t="shared" ca="1" si="265"/>
        <v>O</v>
      </c>
      <c r="G176" s="373" t="str">
        <f t="shared" ca="1" si="265"/>
        <v>O</v>
      </c>
      <c r="H176" s="373" t="str">
        <f t="shared" ca="1" si="265"/>
        <v>X</v>
      </c>
      <c r="I176" s="373" t="str">
        <f t="shared" ca="1" si="265"/>
        <v>O</v>
      </c>
      <c r="J176" s="373" t="str">
        <f t="shared" ca="1" si="265"/>
        <v>O</v>
      </c>
      <c r="K176" s="373" t="str">
        <f t="shared" ca="1" si="265"/>
        <v>X</v>
      </c>
      <c r="L176" s="373" t="str">
        <f t="shared" ca="1" si="265"/>
        <v>O</v>
      </c>
      <c r="M176" s="373" t="str">
        <f t="shared" ca="1" si="265"/>
        <v>O</v>
      </c>
      <c r="N176" s="373" t="str">
        <f t="shared" ca="1" si="265"/>
        <v>X</v>
      </c>
      <c r="O176" s="373" t="str">
        <f t="shared" ca="1" si="265"/>
        <v>X</v>
      </c>
      <c r="P176" s="373" t="str">
        <f t="shared" ca="1" si="265"/>
        <v>X</v>
      </c>
      <c r="Q176" s="373" t="str">
        <f t="shared" ca="1" si="265"/>
        <v>O</v>
      </c>
      <c r="R176" s="280" t="str">
        <f t="shared" ref="R176:AU176" si="266">IF(R11=$BC$30,"O",IF(R11=$BD$30,"O",IF(R11=$BE$30,"O",IF(R11=$BF$30,"O",IF(R11=$BG$30,"O",IF(R11=$BH$30,"O",IF(R11=$BI$30,"O",IF(R11=$BJ$30,"O",IF(R11=$BK$30,"O",IF(R11=$BL$30,"O",IF(R11=$BM$30,"O",IF(R11=$BN$30,"O",IF(R11=$BO$30,"O",IF(R11=$BP$30,"O",IF(R11=$BQ$30,"O",IF(R11=$BR$30,"O",IF(R11=$BS$30,"O",IF(R11=$BT$30,"O",IF(R11=$BU$30,"O",IF(R11=$BV$30,"O",IF(R11=$BW$30,"O",IF(R11=$BX$30,"O",IF(R11=$BY$30,"O",IF(R11=$BZ$30,"O",IF(R11=$CA$30,"O",IF(R11=$CB$30,"O","X"))))))))))))))))))))))))))</f>
        <v>X</v>
      </c>
      <c r="S176" s="280" t="str">
        <f t="shared" si="266"/>
        <v>X</v>
      </c>
      <c r="T176" s="280" t="str">
        <f t="shared" si="266"/>
        <v>X</v>
      </c>
      <c r="U176" s="280" t="str">
        <f t="shared" si="266"/>
        <v>X</v>
      </c>
      <c r="V176" s="280" t="str">
        <f t="shared" si="266"/>
        <v>X</v>
      </c>
      <c r="W176" s="280" t="str">
        <f t="shared" si="266"/>
        <v>X</v>
      </c>
      <c r="X176" s="280" t="str">
        <f t="shared" si="266"/>
        <v>X</v>
      </c>
      <c r="Y176" s="280" t="str">
        <f t="shared" si="266"/>
        <v>X</v>
      </c>
      <c r="Z176" s="280" t="str">
        <f t="shared" si="266"/>
        <v>X</v>
      </c>
      <c r="AA176" s="280" t="str">
        <f t="shared" si="266"/>
        <v>X</v>
      </c>
      <c r="AB176" s="280" t="str">
        <f t="shared" si="266"/>
        <v>X</v>
      </c>
      <c r="AC176" s="280" t="str">
        <f t="shared" si="266"/>
        <v>X</v>
      </c>
      <c r="AD176" s="280" t="str">
        <f t="shared" si="266"/>
        <v>X</v>
      </c>
      <c r="AE176" s="280" t="str">
        <f t="shared" si="266"/>
        <v>X</v>
      </c>
      <c r="AF176" s="280" t="str">
        <f t="shared" si="266"/>
        <v>X</v>
      </c>
      <c r="AG176" s="280" t="str">
        <f t="shared" si="266"/>
        <v>X</v>
      </c>
      <c r="AH176" s="280" t="str">
        <f t="shared" si="266"/>
        <v>X</v>
      </c>
      <c r="AI176" s="280" t="str">
        <f t="shared" si="266"/>
        <v>X</v>
      </c>
      <c r="AJ176" s="280" t="str">
        <f t="shared" si="266"/>
        <v>X</v>
      </c>
      <c r="AK176" s="280" t="str">
        <f t="shared" si="266"/>
        <v>X</v>
      </c>
      <c r="AL176" s="307" t="str">
        <f t="shared" si="266"/>
        <v>X</v>
      </c>
      <c r="AM176" s="307" t="str">
        <f t="shared" si="266"/>
        <v>X</v>
      </c>
      <c r="AN176" s="307" t="str">
        <f t="shared" si="266"/>
        <v>X</v>
      </c>
      <c r="AO176" s="307" t="str">
        <f t="shared" si="266"/>
        <v>X</v>
      </c>
      <c r="AP176" s="307" t="str">
        <f t="shared" si="266"/>
        <v>X</v>
      </c>
      <c r="AQ176" s="307" t="str">
        <f t="shared" si="266"/>
        <v>X</v>
      </c>
      <c r="AR176" s="307" t="str">
        <f t="shared" si="266"/>
        <v>X</v>
      </c>
      <c r="AS176" s="307" t="str">
        <f t="shared" si="266"/>
        <v>X</v>
      </c>
      <c r="AT176" s="307" t="str">
        <f t="shared" si="266"/>
        <v>X</v>
      </c>
      <c r="AU176" s="307" t="str">
        <f t="shared" si="266"/>
        <v>X</v>
      </c>
      <c r="AV176" s="296"/>
      <c r="AW176" s="296"/>
      <c r="AX176" s="206"/>
      <c r="BC176" s="150"/>
      <c r="BD176" s="206"/>
      <c r="BE176" s="206"/>
      <c r="BF176" s="206"/>
      <c r="BG176" s="2"/>
      <c r="BH176" s="85"/>
      <c r="BI176" s="2"/>
      <c r="BJ176" s="150"/>
      <c r="BK176" s="2"/>
      <c r="BL176" s="2"/>
      <c r="BM176" s="2"/>
      <c r="BN176" s="2"/>
      <c r="BO176" s="2"/>
      <c r="BP176" s="2"/>
    </row>
    <row r="177" spans="1:68">
      <c r="A177" s="180"/>
      <c r="B177" s="280" t="s">
        <v>540</v>
      </c>
      <c r="C177" s="373" t="str">
        <f t="shared" ref="C177:P177" ca="1" si="267">IF(C12=$BC$30,"O",IF(C12=$BD$30,"O",IF(C12=$BE$30,"O",IF(C12=$BF$30,"O",IF(C12=$BG$30,"O",IF(C12=$BH$30,"O",IF(C12=$BI$30,"O",IF(C12=$BJ$30,"O",IF(C12=$BK$30,"O",IF(C12=$BL$30,"O",IF(C12=$BM$30,"O",IF(C12=$BN$30,"O",IF(C12=$BO$30,"O",IF(C12=$BP$30,"O",IF(C12=$BQ$30,"O",IF(C12=$BR$30,"O",IF(C12=$BS$30,"O",IF(C12=$BT$30,"O",IF(C12=$BU$30,"O",IF(C12=$BV$30,"O",IF(C12=$BW$30,"O",IF(C12=$BX$30,"O",IF(C12=$BY$30,"O",IF(C12=$BZ$30,"O",IF(C12=$CA$30,"O",IF(C12=$CB$30,"O",IF(C12=$CC$30,"O",IF(C12=$CD$30,"O","X"))))))))))))))))))))))))))))</f>
        <v>X</v>
      </c>
      <c r="D177" s="373" t="str">
        <f t="shared" ca="1" si="267"/>
        <v>X</v>
      </c>
      <c r="E177" s="373" t="str">
        <f t="shared" ca="1" si="267"/>
        <v>O</v>
      </c>
      <c r="F177" s="373" t="str">
        <f t="shared" ca="1" si="267"/>
        <v>O</v>
      </c>
      <c r="G177" s="373" t="str">
        <f t="shared" ca="1" si="267"/>
        <v>O</v>
      </c>
      <c r="H177" s="373" t="str">
        <f t="shared" ca="1" si="267"/>
        <v>X</v>
      </c>
      <c r="I177" s="373" t="str">
        <f t="shared" ca="1" si="267"/>
        <v>X</v>
      </c>
      <c r="J177" s="373" t="str">
        <f t="shared" ca="1" si="267"/>
        <v>O</v>
      </c>
      <c r="K177" s="373" t="str">
        <f t="shared" ca="1" si="267"/>
        <v>X</v>
      </c>
      <c r="L177" s="373" t="str">
        <f t="shared" ca="1" si="267"/>
        <v>O</v>
      </c>
      <c r="M177" s="373" t="str">
        <f t="shared" ca="1" si="267"/>
        <v>O</v>
      </c>
      <c r="N177" s="373" t="str">
        <f t="shared" ca="1" si="267"/>
        <v>O</v>
      </c>
      <c r="O177" s="373" t="str">
        <f t="shared" ca="1" si="267"/>
        <v>X</v>
      </c>
      <c r="P177" s="373" t="str">
        <f t="shared" ca="1" si="267"/>
        <v>X</v>
      </c>
      <c r="Q177" s="373" t="str">
        <f ca="1">IF(Q12=$BC$30,"O",IF(Q12=$BD$30,"O",IF(Q12=$BE$30,"O",IF(Q12=$BF$30,"O",IF(Q12=$BG$30,"O",IF(Q12=$BH$30,"O",IF(Q12=$BI$30,"O",IF(Q12=$BJ$30,"O",IF(Q12=$BK$30,"O",IF(Q12=$BL$30,"O",IF(Q12=$BM$30,"O",IF(Q12=$BN$30,"O",IF(Q12=$BO$30,"O",IF(Q12=$BP$30,"O",IF(Q12=$BQ$30,"O",IF(Q12=$BR$30,"O",IF(Q12=$BS$30,"O",IF(Q12=$BT$30,"O",IF(Q12=$BU$30,"O",IF(Q12=$BV$30,"O",IF(Q12=$BW$30,"O",IF(Q12=$BX$30,"O",IF(Q12=$BY$30,"O",IF(Q12=$BZ$30,"O",IF(Q12=$CA$30,"O",IF(Q12=$CB$30,"O",IF(Q12=$CC$30,"O",IF(Q12=$CD$30,"O","X"))))))))))))))))))))))))))))</f>
        <v>O</v>
      </c>
      <c r="R177" s="280" t="str">
        <f t="shared" ref="R177:AU177" si="268">IF(R12=$BC$30,"O",IF(R12=$BD$30,"O",IF(R12=$BE$30,"O",IF(R12=$BF$30,"O",IF(R12=$BG$30,"O",IF(R12=$BH$30,"O",IF(R12=$BI$30,"O",IF(R12=$BJ$30,"O",IF(R12=$BK$30,"O",IF(R12=$BL$30,"O",IF(R12=$BM$30,"O",IF(R12=$BN$30,"O",IF(R12=$BO$30,"O",IF(R12=$BP$30,"O",IF(R12=$BQ$30,"O",IF(R12=$BR$30,"O",IF(R12=$BS$30,"O",IF(R12=$BT$30,"O",IF(R12=$BU$30,"O",IF(R12=$BV$30,"O",IF(R12=$BW$30,"O",IF(R12=$BX$30,"O",IF(R12=$BY$30,"O",IF(R12=$BZ$30,"O",IF(R12=$CA$30,"O",IF(R12=$CB$30,"O","X"))))))))))))))))))))))))))</f>
        <v>X</v>
      </c>
      <c r="S177" s="280" t="str">
        <f t="shared" si="268"/>
        <v>X</v>
      </c>
      <c r="T177" s="280" t="str">
        <f t="shared" si="268"/>
        <v>X</v>
      </c>
      <c r="U177" s="280" t="str">
        <f t="shared" si="268"/>
        <v>X</v>
      </c>
      <c r="V177" s="280" t="str">
        <f t="shared" si="268"/>
        <v>X</v>
      </c>
      <c r="W177" s="280" t="str">
        <f t="shared" si="268"/>
        <v>X</v>
      </c>
      <c r="X177" s="280" t="str">
        <f t="shared" si="268"/>
        <v>X</v>
      </c>
      <c r="Y177" s="280" t="str">
        <f t="shared" si="268"/>
        <v>X</v>
      </c>
      <c r="Z177" s="280" t="str">
        <f t="shared" si="268"/>
        <v>X</v>
      </c>
      <c r="AA177" s="280" t="str">
        <f t="shared" si="268"/>
        <v>X</v>
      </c>
      <c r="AB177" s="280" t="str">
        <f t="shared" si="268"/>
        <v>X</v>
      </c>
      <c r="AC177" s="280" t="str">
        <f t="shared" si="268"/>
        <v>X</v>
      </c>
      <c r="AD177" s="280" t="str">
        <f t="shared" si="268"/>
        <v>X</v>
      </c>
      <c r="AE177" s="280" t="str">
        <f t="shared" si="268"/>
        <v>X</v>
      </c>
      <c r="AF177" s="280" t="str">
        <f t="shared" si="268"/>
        <v>X</v>
      </c>
      <c r="AG177" s="280" t="str">
        <f t="shared" si="268"/>
        <v>X</v>
      </c>
      <c r="AH177" s="280" t="str">
        <f t="shared" si="268"/>
        <v>X</v>
      </c>
      <c r="AI177" s="280" t="str">
        <f t="shared" si="268"/>
        <v>X</v>
      </c>
      <c r="AJ177" s="280" t="str">
        <f t="shared" si="268"/>
        <v>X</v>
      </c>
      <c r="AK177" s="280" t="str">
        <f t="shared" si="268"/>
        <v>X</v>
      </c>
      <c r="AL177" s="307" t="str">
        <f t="shared" si="268"/>
        <v>X</v>
      </c>
      <c r="AM177" s="307" t="str">
        <f t="shared" si="268"/>
        <v>X</v>
      </c>
      <c r="AN177" s="307" t="str">
        <f t="shared" si="268"/>
        <v>X</v>
      </c>
      <c r="AO177" s="307" t="str">
        <f t="shared" si="268"/>
        <v>X</v>
      </c>
      <c r="AP177" s="307" t="str">
        <f t="shared" si="268"/>
        <v>X</v>
      </c>
      <c r="AQ177" s="307" t="str">
        <f t="shared" si="268"/>
        <v>X</v>
      </c>
      <c r="AR177" s="307" t="str">
        <f t="shared" si="268"/>
        <v>X</v>
      </c>
      <c r="AS177" s="307" t="str">
        <f t="shared" si="268"/>
        <v>X</v>
      </c>
      <c r="AT177" s="307" t="str">
        <f t="shared" si="268"/>
        <v>X</v>
      </c>
      <c r="AU177" s="307" t="str">
        <f t="shared" si="268"/>
        <v>X</v>
      </c>
      <c r="AV177" s="296"/>
      <c r="AW177" s="296"/>
      <c r="AX177" s="206"/>
      <c r="BC177" s="150"/>
      <c r="BD177" s="206"/>
      <c r="BE177" s="206"/>
      <c r="BF177" s="206"/>
      <c r="BG177" s="2"/>
      <c r="BH177" s="85"/>
      <c r="BI177" s="2"/>
      <c r="BJ177" s="150"/>
      <c r="BK177" s="2"/>
      <c r="BL177" s="2"/>
      <c r="BM177" s="2"/>
      <c r="BN177" s="2"/>
      <c r="BO177" s="2"/>
      <c r="BP177" s="2"/>
    </row>
    <row r="178" spans="1:68">
      <c r="A178" s="181"/>
      <c r="B178" s="111" t="s">
        <v>663</v>
      </c>
      <c r="C178" s="172">
        <f ca="1">COUNTIF(C172:C177,"O")</f>
        <v>4</v>
      </c>
      <c r="D178" s="172">
        <f t="shared" ref="D178:Q178" ca="1" si="269">COUNTIF(D172:D177,"O")</f>
        <v>3</v>
      </c>
      <c r="E178" s="172">
        <f t="shared" ca="1" si="269"/>
        <v>3</v>
      </c>
      <c r="F178" s="172">
        <f t="shared" ca="1" si="269"/>
        <v>6</v>
      </c>
      <c r="G178" s="172">
        <f t="shared" ca="1" si="269"/>
        <v>5</v>
      </c>
      <c r="H178" s="172">
        <f t="shared" ca="1" si="269"/>
        <v>2</v>
      </c>
      <c r="I178" s="172">
        <f t="shared" ca="1" si="269"/>
        <v>2</v>
      </c>
      <c r="J178" s="172">
        <f t="shared" ca="1" si="269"/>
        <v>4</v>
      </c>
      <c r="K178" s="172">
        <f t="shared" ca="1" si="269"/>
        <v>2</v>
      </c>
      <c r="L178" s="172">
        <f t="shared" ca="1" si="269"/>
        <v>2</v>
      </c>
      <c r="M178" s="172">
        <f t="shared" ca="1" si="269"/>
        <v>5</v>
      </c>
      <c r="N178" s="172">
        <f t="shared" ca="1" si="269"/>
        <v>2</v>
      </c>
      <c r="O178" s="172">
        <f t="shared" ca="1" si="269"/>
        <v>2</v>
      </c>
      <c r="P178" s="172">
        <f t="shared" ca="1" si="269"/>
        <v>0</v>
      </c>
      <c r="Q178" s="172">
        <f t="shared" ca="1" si="269"/>
        <v>4</v>
      </c>
      <c r="R178" s="172">
        <f t="shared" ref="R178:AK178" si="270">COUNTIF(R172:R177,"O")</f>
        <v>0</v>
      </c>
      <c r="S178" s="172">
        <f t="shared" si="270"/>
        <v>0</v>
      </c>
      <c r="T178" s="172">
        <f t="shared" si="270"/>
        <v>0</v>
      </c>
      <c r="U178" s="172">
        <f t="shared" si="270"/>
        <v>0</v>
      </c>
      <c r="V178" s="172">
        <f t="shared" si="270"/>
        <v>0</v>
      </c>
      <c r="W178" s="172">
        <f t="shared" si="270"/>
        <v>0</v>
      </c>
      <c r="X178" s="172">
        <f t="shared" si="270"/>
        <v>0</v>
      </c>
      <c r="Y178" s="172">
        <f t="shared" si="270"/>
        <v>0</v>
      </c>
      <c r="Z178" s="172">
        <f t="shared" si="270"/>
        <v>0</v>
      </c>
      <c r="AA178" s="172">
        <f t="shared" si="270"/>
        <v>0</v>
      </c>
      <c r="AB178" s="172">
        <f t="shared" si="270"/>
        <v>0</v>
      </c>
      <c r="AC178" s="172">
        <f t="shared" si="270"/>
        <v>0</v>
      </c>
      <c r="AD178" s="172">
        <f t="shared" si="270"/>
        <v>0</v>
      </c>
      <c r="AE178" s="172">
        <f t="shared" si="270"/>
        <v>0</v>
      </c>
      <c r="AF178" s="172">
        <f t="shared" si="270"/>
        <v>0</v>
      </c>
      <c r="AG178" s="172">
        <f t="shared" si="270"/>
        <v>0</v>
      </c>
      <c r="AH178" s="172">
        <f t="shared" si="270"/>
        <v>0</v>
      </c>
      <c r="AI178" s="172">
        <f t="shared" si="270"/>
        <v>0</v>
      </c>
      <c r="AJ178" s="172">
        <f t="shared" si="270"/>
        <v>0</v>
      </c>
      <c r="AK178" s="172">
        <f t="shared" si="270"/>
        <v>0</v>
      </c>
      <c r="AL178" s="172">
        <f t="shared" ref="AL178:AU178" si="271">COUNTIF(AL172:AL177,"O")</f>
        <v>0</v>
      </c>
      <c r="AM178" s="172">
        <f t="shared" si="271"/>
        <v>0</v>
      </c>
      <c r="AN178" s="172">
        <f t="shared" si="271"/>
        <v>0</v>
      </c>
      <c r="AO178" s="172">
        <f t="shared" si="271"/>
        <v>0</v>
      </c>
      <c r="AP178" s="172">
        <f t="shared" si="271"/>
        <v>0</v>
      </c>
      <c r="AQ178" s="172">
        <f t="shared" si="271"/>
        <v>0</v>
      </c>
      <c r="AR178" s="172">
        <f t="shared" si="271"/>
        <v>0</v>
      </c>
      <c r="AS178" s="172">
        <f t="shared" si="271"/>
        <v>0</v>
      </c>
      <c r="AT178" s="172">
        <f t="shared" si="271"/>
        <v>0</v>
      </c>
      <c r="AU178" s="172">
        <f t="shared" si="271"/>
        <v>0</v>
      </c>
      <c r="AV178" s="255"/>
      <c r="AW178" s="255"/>
      <c r="AX178" s="255"/>
      <c r="BC178" s="150"/>
      <c r="BD178" s="206"/>
      <c r="BE178" s="206"/>
      <c r="BF178" s="206"/>
      <c r="BG178" s="2"/>
      <c r="BI178" s="2"/>
      <c r="BJ178" s="150"/>
      <c r="BK178" s="164"/>
      <c r="BL178" s="164"/>
      <c r="BM178" s="168"/>
      <c r="BN178" s="168"/>
      <c r="BO178" s="2"/>
      <c r="BP178" s="2"/>
    </row>
    <row r="179" spans="1:68">
      <c r="A179" s="518" t="s">
        <v>665</v>
      </c>
      <c r="B179" s="102" t="s">
        <v>565</v>
      </c>
      <c r="C179" s="102" t="str">
        <f t="shared" ref="C179:AU179" ca="1" si="272">IF(C7=3,"O",IF(C7=6,"O",IF(C7=9,"O",IF(C7=12,"O",IF(C7=15,"O",IF(C7=18,"O",IF(C7=21,"O",IF(C7=24,"O","X"))))))))</f>
        <v>X</v>
      </c>
      <c r="D179" s="104" t="str">
        <f t="shared" ca="1" si="272"/>
        <v>X</v>
      </c>
      <c r="E179" s="104" t="str">
        <f t="shared" ca="1" si="272"/>
        <v>X</v>
      </c>
      <c r="F179" s="216" t="str">
        <f t="shared" ca="1" si="272"/>
        <v>X</v>
      </c>
      <c r="G179" s="104" t="str">
        <f t="shared" ca="1" si="272"/>
        <v>X</v>
      </c>
      <c r="H179" s="104" t="str">
        <f t="shared" ca="1" si="272"/>
        <v>O</v>
      </c>
      <c r="I179" s="104" t="str">
        <f t="shared" ca="1" si="272"/>
        <v>X</v>
      </c>
      <c r="J179" s="104" t="str">
        <f t="shared" ca="1" si="272"/>
        <v>X</v>
      </c>
      <c r="K179" s="104" t="str">
        <f t="shared" ca="1" si="272"/>
        <v>X</v>
      </c>
      <c r="L179" s="104" t="str">
        <f t="shared" ca="1" si="272"/>
        <v>O</v>
      </c>
      <c r="M179" s="242" t="str">
        <f t="shared" ca="1" si="272"/>
        <v>X</v>
      </c>
      <c r="N179" s="242" t="str">
        <f t="shared" ca="1" si="272"/>
        <v>O</v>
      </c>
      <c r="O179" s="242" t="str">
        <f t="shared" ca="1" si="272"/>
        <v>X</v>
      </c>
      <c r="P179" s="242" t="str">
        <f t="shared" ca="1" si="272"/>
        <v>O</v>
      </c>
      <c r="Q179" s="242" t="str">
        <f t="shared" ca="1" si="272"/>
        <v>X</v>
      </c>
      <c r="R179" s="242" t="str">
        <f t="shared" si="272"/>
        <v>X</v>
      </c>
      <c r="S179" s="242" t="str">
        <f t="shared" si="272"/>
        <v>X</v>
      </c>
      <c r="T179" s="242" t="str">
        <f t="shared" si="272"/>
        <v>X</v>
      </c>
      <c r="U179" s="242" t="str">
        <f t="shared" si="272"/>
        <v>X</v>
      </c>
      <c r="V179" s="242" t="str">
        <f t="shared" si="272"/>
        <v>X</v>
      </c>
      <c r="W179" s="242" t="str">
        <f t="shared" si="272"/>
        <v>X</v>
      </c>
      <c r="X179" s="242" t="str">
        <f t="shared" si="272"/>
        <v>X</v>
      </c>
      <c r="Y179" s="242" t="str">
        <f t="shared" si="272"/>
        <v>X</v>
      </c>
      <c r="Z179" s="242" t="str">
        <f t="shared" si="272"/>
        <v>X</v>
      </c>
      <c r="AA179" s="242" t="str">
        <f t="shared" si="272"/>
        <v>X</v>
      </c>
      <c r="AB179" s="242" t="str">
        <f t="shared" si="272"/>
        <v>X</v>
      </c>
      <c r="AC179" s="242" t="str">
        <f t="shared" si="272"/>
        <v>X</v>
      </c>
      <c r="AD179" s="242" t="str">
        <f t="shared" si="272"/>
        <v>X</v>
      </c>
      <c r="AE179" s="242" t="str">
        <f t="shared" si="272"/>
        <v>X</v>
      </c>
      <c r="AF179" s="242" t="str">
        <f t="shared" si="272"/>
        <v>X</v>
      </c>
      <c r="AG179" s="242" t="str">
        <f t="shared" si="272"/>
        <v>X</v>
      </c>
      <c r="AH179" s="242" t="str">
        <f t="shared" si="272"/>
        <v>X</v>
      </c>
      <c r="AI179" s="242" t="str">
        <f t="shared" si="272"/>
        <v>X</v>
      </c>
      <c r="AJ179" s="242" t="str">
        <f t="shared" si="272"/>
        <v>X</v>
      </c>
      <c r="AK179" s="242" t="str">
        <f t="shared" si="272"/>
        <v>X</v>
      </c>
      <c r="AL179" s="308" t="str">
        <f t="shared" si="272"/>
        <v>X</v>
      </c>
      <c r="AM179" s="308" t="str">
        <f t="shared" si="272"/>
        <v>X</v>
      </c>
      <c r="AN179" s="308" t="str">
        <f t="shared" si="272"/>
        <v>X</v>
      </c>
      <c r="AO179" s="308" t="str">
        <f t="shared" si="272"/>
        <v>X</v>
      </c>
      <c r="AP179" s="308" t="str">
        <f t="shared" si="272"/>
        <v>X</v>
      </c>
      <c r="AQ179" s="308" t="str">
        <f t="shared" si="272"/>
        <v>X</v>
      </c>
      <c r="AR179" s="308" t="str">
        <f t="shared" si="272"/>
        <v>X</v>
      </c>
      <c r="AS179" s="308" t="str">
        <f t="shared" si="272"/>
        <v>X</v>
      </c>
      <c r="AT179" s="308" t="str">
        <f t="shared" si="272"/>
        <v>X</v>
      </c>
      <c r="AU179" s="308" t="str">
        <f t="shared" si="272"/>
        <v>X</v>
      </c>
      <c r="AV179" s="205"/>
      <c r="AW179" s="205"/>
      <c r="AX179" s="205"/>
      <c r="BB179" s="284"/>
      <c r="BC179" s="211"/>
      <c r="BF179" s="85"/>
      <c r="BJ179" s="182"/>
      <c r="BK179" s="2"/>
      <c r="BL179" s="2"/>
      <c r="BM179" s="2"/>
      <c r="BN179" s="2"/>
      <c r="BO179" s="2"/>
      <c r="BP179" s="2"/>
    </row>
    <row r="180" spans="1:68">
      <c r="A180" s="518"/>
      <c r="B180" s="102" t="s">
        <v>566</v>
      </c>
      <c r="C180" s="104" t="str">
        <f t="shared" ref="C180:AU180" ca="1" si="273">IF(C8=3,"O",IF(C8=6,"O",IF(C8=9,"O",IF(C8=12,"O",IF(C8=15,"O",IF(C8=18,"O",IF(C8=21,"O",IF(C8=24,"O","X"))))))))</f>
        <v>X</v>
      </c>
      <c r="D180" s="104" t="str">
        <f t="shared" ca="1" si="273"/>
        <v>X</v>
      </c>
      <c r="E180" s="104" t="str">
        <f t="shared" ca="1" si="273"/>
        <v>X</v>
      </c>
      <c r="F180" s="216" t="str">
        <f t="shared" ca="1" si="273"/>
        <v>X</v>
      </c>
      <c r="G180" s="104" t="str">
        <f t="shared" ca="1" si="273"/>
        <v>X</v>
      </c>
      <c r="H180" s="104" t="str">
        <f t="shared" ca="1" si="273"/>
        <v>X</v>
      </c>
      <c r="I180" s="104" t="str">
        <f t="shared" ca="1" si="273"/>
        <v>O</v>
      </c>
      <c r="J180" s="104" t="str">
        <f t="shared" ca="1" si="273"/>
        <v>X</v>
      </c>
      <c r="K180" s="104" t="str">
        <f t="shared" ca="1" si="273"/>
        <v>X</v>
      </c>
      <c r="L180" s="104" t="str">
        <f t="shared" ca="1" si="273"/>
        <v>O</v>
      </c>
      <c r="M180" s="242" t="str">
        <f t="shared" ca="1" si="273"/>
        <v>O</v>
      </c>
      <c r="N180" s="242" t="str">
        <f t="shared" ca="1" si="273"/>
        <v>O</v>
      </c>
      <c r="O180" s="242" t="str">
        <f t="shared" ca="1" si="273"/>
        <v>X</v>
      </c>
      <c r="P180" s="242" t="str">
        <f t="shared" ca="1" si="273"/>
        <v>X</v>
      </c>
      <c r="Q180" s="242" t="str">
        <f t="shared" ca="1" si="273"/>
        <v>O</v>
      </c>
      <c r="R180" s="242" t="str">
        <f t="shared" si="273"/>
        <v>X</v>
      </c>
      <c r="S180" s="242" t="str">
        <f t="shared" si="273"/>
        <v>X</v>
      </c>
      <c r="T180" s="242" t="str">
        <f t="shared" si="273"/>
        <v>X</v>
      </c>
      <c r="U180" s="242" t="str">
        <f t="shared" si="273"/>
        <v>X</v>
      </c>
      <c r="V180" s="242" t="str">
        <f t="shared" si="273"/>
        <v>X</v>
      </c>
      <c r="W180" s="242" t="str">
        <f t="shared" si="273"/>
        <v>X</v>
      </c>
      <c r="X180" s="242" t="str">
        <f t="shared" si="273"/>
        <v>X</v>
      </c>
      <c r="Y180" s="242" t="str">
        <f t="shared" si="273"/>
        <v>X</v>
      </c>
      <c r="Z180" s="242" t="str">
        <f t="shared" si="273"/>
        <v>X</v>
      </c>
      <c r="AA180" s="242" t="str">
        <f t="shared" si="273"/>
        <v>X</v>
      </c>
      <c r="AB180" s="242" t="str">
        <f t="shared" si="273"/>
        <v>X</v>
      </c>
      <c r="AC180" s="242" t="str">
        <f t="shared" si="273"/>
        <v>X</v>
      </c>
      <c r="AD180" s="242" t="str">
        <f t="shared" si="273"/>
        <v>X</v>
      </c>
      <c r="AE180" s="242" t="str">
        <f t="shared" si="273"/>
        <v>X</v>
      </c>
      <c r="AF180" s="242" t="str">
        <f t="shared" si="273"/>
        <v>X</v>
      </c>
      <c r="AG180" s="242" t="str">
        <f t="shared" si="273"/>
        <v>X</v>
      </c>
      <c r="AH180" s="242" t="str">
        <f t="shared" si="273"/>
        <v>X</v>
      </c>
      <c r="AI180" s="242" t="str">
        <f t="shared" si="273"/>
        <v>X</v>
      </c>
      <c r="AJ180" s="242" t="str">
        <f t="shared" si="273"/>
        <v>X</v>
      </c>
      <c r="AK180" s="242" t="str">
        <f t="shared" si="273"/>
        <v>X</v>
      </c>
      <c r="AL180" s="308" t="str">
        <f t="shared" si="273"/>
        <v>X</v>
      </c>
      <c r="AM180" s="308" t="str">
        <f t="shared" si="273"/>
        <v>X</v>
      </c>
      <c r="AN180" s="308" t="str">
        <f t="shared" si="273"/>
        <v>X</v>
      </c>
      <c r="AO180" s="308" t="str">
        <f t="shared" si="273"/>
        <v>X</v>
      </c>
      <c r="AP180" s="308" t="str">
        <f t="shared" si="273"/>
        <v>X</v>
      </c>
      <c r="AQ180" s="308" t="str">
        <f t="shared" si="273"/>
        <v>X</v>
      </c>
      <c r="AR180" s="308" t="str">
        <f t="shared" si="273"/>
        <v>X</v>
      </c>
      <c r="AS180" s="308" t="str">
        <f t="shared" si="273"/>
        <v>X</v>
      </c>
      <c r="AT180" s="308" t="str">
        <f t="shared" si="273"/>
        <v>X</v>
      </c>
      <c r="AU180" s="308" t="str">
        <f t="shared" si="273"/>
        <v>X</v>
      </c>
      <c r="AV180" s="205"/>
      <c r="AW180" s="205"/>
      <c r="AX180" s="205"/>
      <c r="BB180" s="229"/>
      <c r="BC180" s="211"/>
      <c r="BF180" s="85"/>
      <c r="BG180" s="150"/>
      <c r="BJ180" s="183"/>
      <c r="BK180" s="2"/>
      <c r="BL180" s="2"/>
      <c r="BM180" s="2"/>
      <c r="BN180" s="2"/>
      <c r="BO180" s="2"/>
      <c r="BP180" s="2"/>
    </row>
    <row r="181" spans="1:68">
      <c r="A181" s="518"/>
      <c r="B181" s="102" t="s">
        <v>567</v>
      </c>
      <c r="C181" s="104" t="str">
        <f t="shared" ref="C181:AU181" ca="1" si="274">IF(C9=3,"O",IF(C9=6,"O",IF(C9=9,"O",IF(C9=12,"O",IF(C9=15,"O",IF(C9=18,"O",IF(C9=21,"O",IF(C9=24,"O","X"))))))))</f>
        <v>X</v>
      </c>
      <c r="D181" s="104" t="str">
        <f t="shared" ca="1" si="274"/>
        <v>X</v>
      </c>
      <c r="E181" s="104" t="str">
        <f t="shared" ca="1" si="274"/>
        <v>X</v>
      </c>
      <c r="F181" s="216" t="str">
        <f t="shared" ca="1" si="274"/>
        <v>X</v>
      </c>
      <c r="G181" s="104" t="str">
        <f t="shared" ca="1" si="274"/>
        <v>X</v>
      </c>
      <c r="H181" s="104" t="str">
        <f t="shared" ca="1" si="274"/>
        <v>X</v>
      </c>
      <c r="I181" s="104" t="str">
        <f t="shared" ca="1" si="274"/>
        <v>X</v>
      </c>
      <c r="J181" s="104" t="str">
        <f t="shared" ca="1" si="274"/>
        <v>X</v>
      </c>
      <c r="K181" s="104" t="str">
        <f t="shared" ca="1" si="274"/>
        <v>X</v>
      </c>
      <c r="L181" s="104" t="str">
        <f t="shared" ca="1" si="274"/>
        <v>X</v>
      </c>
      <c r="M181" s="242" t="str">
        <f t="shared" ca="1" si="274"/>
        <v>X</v>
      </c>
      <c r="N181" s="242" t="str">
        <f t="shared" ca="1" si="274"/>
        <v>O</v>
      </c>
      <c r="O181" s="242" t="str">
        <f t="shared" ca="1" si="274"/>
        <v>X</v>
      </c>
      <c r="P181" s="242" t="str">
        <f t="shared" ca="1" si="274"/>
        <v>X</v>
      </c>
      <c r="Q181" s="242" t="str">
        <f t="shared" ca="1" si="274"/>
        <v>X</v>
      </c>
      <c r="R181" s="242" t="str">
        <f t="shared" si="274"/>
        <v>X</v>
      </c>
      <c r="S181" s="242" t="str">
        <f t="shared" si="274"/>
        <v>X</v>
      </c>
      <c r="T181" s="242" t="str">
        <f t="shared" si="274"/>
        <v>X</v>
      </c>
      <c r="U181" s="242" t="str">
        <f t="shared" si="274"/>
        <v>X</v>
      </c>
      <c r="V181" s="242" t="str">
        <f t="shared" si="274"/>
        <v>X</v>
      </c>
      <c r="W181" s="242" t="str">
        <f t="shared" si="274"/>
        <v>X</v>
      </c>
      <c r="X181" s="242" t="str">
        <f t="shared" si="274"/>
        <v>X</v>
      </c>
      <c r="Y181" s="242" t="str">
        <f t="shared" si="274"/>
        <v>X</v>
      </c>
      <c r="Z181" s="242" t="str">
        <f t="shared" si="274"/>
        <v>X</v>
      </c>
      <c r="AA181" s="242" t="str">
        <f t="shared" si="274"/>
        <v>X</v>
      </c>
      <c r="AB181" s="242" t="str">
        <f t="shared" si="274"/>
        <v>X</v>
      </c>
      <c r="AC181" s="242" t="str">
        <f t="shared" si="274"/>
        <v>X</v>
      </c>
      <c r="AD181" s="242" t="str">
        <f t="shared" si="274"/>
        <v>X</v>
      </c>
      <c r="AE181" s="242" t="str">
        <f t="shared" si="274"/>
        <v>X</v>
      </c>
      <c r="AF181" s="242" t="str">
        <f t="shared" si="274"/>
        <v>X</v>
      </c>
      <c r="AG181" s="242" t="str">
        <f t="shared" si="274"/>
        <v>X</v>
      </c>
      <c r="AH181" s="242" t="str">
        <f t="shared" si="274"/>
        <v>X</v>
      </c>
      <c r="AI181" s="242" t="str">
        <f t="shared" si="274"/>
        <v>X</v>
      </c>
      <c r="AJ181" s="242" t="str">
        <f t="shared" si="274"/>
        <v>X</v>
      </c>
      <c r="AK181" s="242" t="str">
        <f t="shared" si="274"/>
        <v>X</v>
      </c>
      <c r="AL181" s="308" t="str">
        <f t="shared" si="274"/>
        <v>X</v>
      </c>
      <c r="AM181" s="308" t="str">
        <f t="shared" si="274"/>
        <v>X</v>
      </c>
      <c r="AN181" s="308" t="str">
        <f t="shared" si="274"/>
        <v>X</v>
      </c>
      <c r="AO181" s="308" t="str">
        <f t="shared" si="274"/>
        <v>X</v>
      </c>
      <c r="AP181" s="308" t="str">
        <f t="shared" si="274"/>
        <v>X</v>
      </c>
      <c r="AQ181" s="308" t="str">
        <f t="shared" si="274"/>
        <v>X</v>
      </c>
      <c r="AR181" s="308" t="str">
        <f t="shared" si="274"/>
        <v>X</v>
      </c>
      <c r="AS181" s="308" t="str">
        <f t="shared" si="274"/>
        <v>X</v>
      </c>
      <c r="AT181" s="308" t="str">
        <f t="shared" si="274"/>
        <v>X</v>
      </c>
      <c r="AU181" s="308" t="str">
        <f t="shared" si="274"/>
        <v>X</v>
      </c>
      <c r="AV181" s="205"/>
      <c r="AW181" s="205"/>
      <c r="AX181" s="205"/>
      <c r="BB181" s="284"/>
      <c r="BC181" s="211"/>
      <c r="BF181" s="85"/>
      <c r="BG181" s="150"/>
      <c r="BJ181" s="184"/>
      <c r="BK181" s="2"/>
      <c r="BL181" s="2"/>
      <c r="BM181" s="2"/>
      <c r="BN181" s="2"/>
      <c r="BO181" s="2"/>
      <c r="BP181" s="2"/>
    </row>
    <row r="182" spans="1:68">
      <c r="A182" s="518"/>
      <c r="B182" s="102" t="s">
        <v>568</v>
      </c>
      <c r="C182" s="104" t="str">
        <f t="shared" ref="C182:AU182" ca="1" si="275">IF(C10=3,"O",IF(C10=6,"O",IF(C10=9,"O",IF(C10=12,"O",IF(C10=15,"O",IF(C10=18,"O",IF(C10=21,"O",IF(C10=24,"O","X"))))))))</f>
        <v>X</v>
      </c>
      <c r="D182" s="104" t="str">
        <f t="shared" ca="1" si="275"/>
        <v>X</v>
      </c>
      <c r="E182" s="104" t="str">
        <f t="shared" ca="1" si="275"/>
        <v>O</v>
      </c>
      <c r="F182" s="216" t="str">
        <f t="shared" ca="1" si="275"/>
        <v>X</v>
      </c>
      <c r="G182" s="104" t="str">
        <f t="shared" ca="1" si="275"/>
        <v>X</v>
      </c>
      <c r="H182" s="104" t="str">
        <f t="shared" ca="1" si="275"/>
        <v>O</v>
      </c>
      <c r="I182" s="104" t="str">
        <f t="shared" ca="1" si="275"/>
        <v>X</v>
      </c>
      <c r="J182" s="104" t="str">
        <f t="shared" ca="1" si="275"/>
        <v>X</v>
      </c>
      <c r="K182" s="104" t="str">
        <f t="shared" ca="1" si="275"/>
        <v>X</v>
      </c>
      <c r="L182" s="104" t="str">
        <f t="shared" ca="1" si="275"/>
        <v>O</v>
      </c>
      <c r="M182" s="242" t="str">
        <f t="shared" ca="1" si="275"/>
        <v>X</v>
      </c>
      <c r="N182" s="242" t="str">
        <f t="shared" ca="1" si="275"/>
        <v>X</v>
      </c>
      <c r="O182" s="242" t="str">
        <f t="shared" ca="1" si="275"/>
        <v>X</v>
      </c>
      <c r="P182" s="242" t="str">
        <f t="shared" ca="1" si="275"/>
        <v>X</v>
      </c>
      <c r="Q182" s="242" t="str">
        <f t="shared" ca="1" si="275"/>
        <v>X</v>
      </c>
      <c r="R182" s="242" t="str">
        <f t="shared" si="275"/>
        <v>X</v>
      </c>
      <c r="S182" s="242" t="str">
        <f t="shared" si="275"/>
        <v>X</v>
      </c>
      <c r="T182" s="242" t="str">
        <f t="shared" si="275"/>
        <v>X</v>
      </c>
      <c r="U182" s="242" t="str">
        <f t="shared" si="275"/>
        <v>X</v>
      </c>
      <c r="V182" s="242" t="str">
        <f t="shared" si="275"/>
        <v>X</v>
      </c>
      <c r="W182" s="242" t="str">
        <f t="shared" si="275"/>
        <v>X</v>
      </c>
      <c r="X182" s="242" t="str">
        <f t="shared" si="275"/>
        <v>X</v>
      </c>
      <c r="Y182" s="242" t="str">
        <f t="shared" si="275"/>
        <v>X</v>
      </c>
      <c r="Z182" s="242" t="str">
        <f t="shared" si="275"/>
        <v>X</v>
      </c>
      <c r="AA182" s="242" t="str">
        <f t="shared" si="275"/>
        <v>X</v>
      </c>
      <c r="AB182" s="242" t="str">
        <f t="shared" si="275"/>
        <v>X</v>
      </c>
      <c r="AC182" s="242" t="str">
        <f t="shared" si="275"/>
        <v>X</v>
      </c>
      <c r="AD182" s="242" t="str">
        <f t="shared" si="275"/>
        <v>X</v>
      </c>
      <c r="AE182" s="242" t="str">
        <f t="shared" si="275"/>
        <v>X</v>
      </c>
      <c r="AF182" s="242" t="str">
        <f t="shared" si="275"/>
        <v>X</v>
      </c>
      <c r="AG182" s="242" t="str">
        <f t="shared" si="275"/>
        <v>X</v>
      </c>
      <c r="AH182" s="242" t="str">
        <f t="shared" si="275"/>
        <v>X</v>
      </c>
      <c r="AI182" s="242" t="str">
        <f t="shared" si="275"/>
        <v>X</v>
      </c>
      <c r="AJ182" s="242" t="str">
        <f t="shared" si="275"/>
        <v>X</v>
      </c>
      <c r="AK182" s="242" t="str">
        <f t="shared" si="275"/>
        <v>X</v>
      </c>
      <c r="AL182" s="308" t="str">
        <f t="shared" si="275"/>
        <v>X</v>
      </c>
      <c r="AM182" s="308" t="str">
        <f t="shared" si="275"/>
        <v>X</v>
      </c>
      <c r="AN182" s="308" t="str">
        <f t="shared" si="275"/>
        <v>X</v>
      </c>
      <c r="AO182" s="308" t="str">
        <f t="shared" si="275"/>
        <v>X</v>
      </c>
      <c r="AP182" s="308" t="str">
        <f t="shared" si="275"/>
        <v>X</v>
      </c>
      <c r="AQ182" s="308" t="str">
        <f t="shared" si="275"/>
        <v>X</v>
      </c>
      <c r="AR182" s="308" t="str">
        <f t="shared" si="275"/>
        <v>X</v>
      </c>
      <c r="AS182" s="308" t="str">
        <f t="shared" si="275"/>
        <v>X</v>
      </c>
      <c r="AT182" s="308" t="str">
        <f t="shared" si="275"/>
        <v>X</v>
      </c>
      <c r="AU182" s="308" t="str">
        <f t="shared" si="275"/>
        <v>X</v>
      </c>
      <c r="AV182" s="205"/>
      <c r="AW182" s="205"/>
      <c r="AX182" s="205"/>
      <c r="BB182" s="229"/>
      <c r="BC182" s="150"/>
      <c r="BF182" s="85"/>
      <c r="BG182" s="150"/>
      <c r="BJ182" s="184"/>
      <c r="BK182" s="2"/>
      <c r="BL182" s="2"/>
      <c r="BM182" s="2"/>
      <c r="BN182" s="2"/>
      <c r="BO182" s="2"/>
      <c r="BP182" s="2"/>
    </row>
    <row r="183" spans="1:68">
      <c r="A183" s="518"/>
      <c r="B183" s="102" t="s">
        <v>569</v>
      </c>
      <c r="C183" s="104" t="str">
        <f t="shared" ref="C183:AU183" ca="1" si="276">IF(C11=3,"O",IF(C11=6,"O",IF(C11=9,"O",IF(C11=12,"O",IF(C11=15,"O",IF(C11=18,"O",IF(C11=21,"O",IF(C11=24,"O","X"))))))))</f>
        <v>X</v>
      </c>
      <c r="D183" s="104" t="str">
        <f t="shared" ca="1" si="276"/>
        <v>X</v>
      </c>
      <c r="E183" s="104" t="str">
        <f t="shared" ca="1" si="276"/>
        <v>O</v>
      </c>
      <c r="F183" s="216" t="str">
        <f t="shared" ca="1" si="276"/>
        <v>X</v>
      </c>
      <c r="G183" s="104" t="str">
        <f t="shared" ca="1" si="276"/>
        <v>X</v>
      </c>
      <c r="H183" s="104" t="str">
        <f t="shared" ca="1" si="276"/>
        <v>O</v>
      </c>
      <c r="I183" s="104" t="str">
        <f t="shared" ca="1" si="276"/>
        <v>X</v>
      </c>
      <c r="J183" s="104" t="str">
        <f t="shared" ca="1" si="276"/>
        <v>X</v>
      </c>
      <c r="K183" s="104" t="str">
        <f t="shared" ca="1" si="276"/>
        <v>X</v>
      </c>
      <c r="L183" s="104" t="str">
        <f t="shared" ca="1" si="276"/>
        <v>X</v>
      </c>
      <c r="M183" s="242" t="str">
        <f t="shared" ca="1" si="276"/>
        <v>O</v>
      </c>
      <c r="N183" s="242" t="str">
        <f t="shared" ca="1" si="276"/>
        <v>X</v>
      </c>
      <c r="O183" s="242" t="str">
        <f t="shared" ca="1" si="276"/>
        <v>O</v>
      </c>
      <c r="P183" s="242" t="str">
        <f t="shared" ca="1" si="276"/>
        <v>O</v>
      </c>
      <c r="Q183" s="242" t="str">
        <f t="shared" ca="1" si="276"/>
        <v>X</v>
      </c>
      <c r="R183" s="242" t="str">
        <f t="shared" si="276"/>
        <v>X</v>
      </c>
      <c r="S183" s="242" t="str">
        <f t="shared" si="276"/>
        <v>X</v>
      </c>
      <c r="T183" s="242" t="str">
        <f t="shared" si="276"/>
        <v>X</v>
      </c>
      <c r="U183" s="242" t="str">
        <f t="shared" si="276"/>
        <v>X</v>
      </c>
      <c r="V183" s="242" t="str">
        <f t="shared" si="276"/>
        <v>X</v>
      </c>
      <c r="W183" s="242" t="str">
        <f t="shared" si="276"/>
        <v>X</v>
      </c>
      <c r="X183" s="242" t="str">
        <f t="shared" si="276"/>
        <v>X</v>
      </c>
      <c r="Y183" s="242" t="str">
        <f t="shared" si="276"/>
        <v>X</v>
      </c>
      <c r="Z183" s="242" t="str">
        <f t="shared" si="276"/>
        <v>X</v>
      </c>
      <c r="AA183" s="242" t="str">
        <f t="shared" si="276"/>
        <v>X</v>
      </c>
      <c r="AB183" s="242" t="str">
        <f t="shared" si="276"/>
        <v>X</v>
      </c>
      <c r="AC183" s="242" t="str">
        <f t="shared" si="276"/>
        <v>X</v>
      </c>
      <c r="AD183" s="242" t="str">
        <f t="shared" si="276"/>
        <v>X</v>
      </c>
      <c r="AE183" s="242" t="str">
        <f t="shared" si="276"/>
        <v>X</v>
      </c>
      <c r="AF183" s="242" t="str">
        <f t="shared" si="276"/>
        <v>X</v>
      </c>
      <c r="AG183" s="242" t="str">
        <f t="shared" si="276"/>
        <v>X</v>
      </c>
      <c r="AH183" s="242" t="str">
        <f t="shared" si="276"/>
        <v>X</v>
      </c>
      <c r="AI183" s="242" t="str">
        <f t="shared" si="276"/>
        <v>X</v>
      </c>
      <c r="AJ183" s="242" t="str">
        <f t="shared" si="276"/>
        <v>X</v>
      </c>
      <c r="AK183" s="242" t="str">
        <f t="shared" si="276"/>
        <v>X</v>
      </c>
      <c r="AL183" s="308" t="str">
        <f t="shared" si="276"/>
        <v>X</v>
      </c>
      <c r="AM183" s="308" t="str">
        <f t="shared" si="276"/>
        <v>X</v>
      </c>
      <c r="AN183" s="308" t="str">
        <f t="shared" si="276"/>
        <v>X</v>
      </c>
      <c r="AO183" s="308" t="str">
        <f t="shared" si="276"/>
        <v>X</v>
      </c>
      <c r="AP183" s="308" t="str">
        <f t="shared" si="276"/>
        <v>X</v>
      </c>
      <c r="AQ183" s="308" t="str">
        <f t="shared" si="276"/>
        <v>X</v>
      </c>
      <c r="AR183" s="308" t="str">
        <f t="shared" si="276"/>
        <v>X</v>
      </c>
      <c r="AS183" s="308" t="str">
        <f t="shared" si="276"/>
        <v>X</v>
      </c>
      <c r="AT183" s="308" t="str">
        <f t="shared" si="276"/>
        <v>X</v>
      </c>
      <c r="AU183" s="308" t="str">
        <f t="shared" si="276"/>
        <v>X</v>
      </c>
      <c r="AV183" s="205"/>
      <c r="AW183" s="205"/>
      <c r="AX183" s="205"/>
      <c r="BB183" s="229"/>
      <c r="BC183" s="150"/>
      <c r="BF183" s="85"/>
      <c r="BG183" s="150"/>
      <c r="BJ183" s="2"/>
      <c r="BK183" s="2"/>
      <c r="BL183" s="2"/>
      <c r="BM183" s="2"/>
      <c r="BN183" s="2"/>
      <c r="BO183" s="2"/>
      <c r="BP183" s="2"/>
    </row>
    <row r="184" spans="1:68">
      <c r="A184" s="518"/>
      <c r="B184" s="93" t="s">
        <v>540</v>
      </c>
      <c r="C184" s="93" t="str">
        <f t="shared" ref="C184:AU184" ca="1" si="277">IF(C12=3,"O",IF(C12=6,"O",IF(C12=9,"O",IF(C12=12,"O",IF(C12=15,"O",IF(C12=18,"O",IF(C12=21,"O",IF(C12=24,"O","X"))))))))</f>
        <v>O</v>
      </c>
      <c r="D184" s="93" t="str">
        <f t="shared" ca="1" si="277"/>
        <v>O</v>
      </c>
      <c r="E184" s="93" t="str">
        <f t="shared" ca="1" si="277"/>
        <v>X</v>
      </c>
      <c r="F184" s="215" t="str">
        <f t="shared" ca="1" si="277"/>
        <v>O</v>
      </c>
      <c r="G184" s="93" t="str">
        <f t="shared" ca="1" si="277"/>
        <v>X</v>
      </c>
      <c r="H184" s="93" t="str">
        <f t="shared" ca="1" si="277"/>
        <v>O</v>
      </c>
      <c r="I184" s="93" t="str">
        <f t="shared" ca="1" si="277"/>
        <v>X</v>
      </c>
      <c r="J184" s="93" t="str">
        <f t="shared" ca="1" si="277"/>
        <v>X</v>
      </c>
      <c r="K184" s="93" t="str">
        <f t="shared" ca="1" si="277"/>
        <v>X</v>
      </c>
      <c r="L184" s="93" t="str">
        <f t="shared" ca="1" si="277"/>
        <v>X</v>
      </c>
      <c r="M184" s="243" t="str">
        <f t="shared" ca="1" si="277"/>
        <v>X</v>
      </c>
      <c r="N184" s="243" t="str">
        <f t="shared" ca="1" si="277"/>
        <v>X</v>
      </c>
      <c r="O184" s="243" t="str">
        <f t="shared" ca="1" si="277"/>
        <v>X</v>
      </c>
      <c r="P184" s="243" t="str">
        <f t="shared" ca="1" si="277"/>
        <v>X</v>
      </c>
      <c r="Q184" s="243" t="str">
        <f t="shared" ca="1" si="277"/>
        <v>X</v>
      </c>
      <c r="R184" s="243" t="str">
        <f t="shared" si="277"/>
        <v>X</v>
      </c>
      <c r="S184" s="243" t="str">
        <f t="shared" si="277"/>
        <v>X</v>
      </c>
      <c r="T184" s="243" t="str">
        <f t="shared" si="277"/>
        <v>X</v>
      </c>
      <c r="U184" s="243" t="str">
        <f t="shared" si="277"/>
        <v>X</v>
      </c>
      <c r="V184" s="243" t="str">
        <f t="shared" si="277"/>
        <v>X</v>
      </c>
      <c r="W184" s="243" t="str">
        <f t="shared" si="277"/>
        <v>X</v>
      </c>
      <c r="X184" s="243" t="str">
        <f t="shared" si="277"/>
        <v>X</v>
      </c>
      <c r="Y184" s="243" t="str">
        <f t="shared" si="277"/>
        <v>X</v>
      </c>
      <c r="Z184" s="243" t="str">
        <f t="shared" si="277"/>
        <v>X</v>
      </c>
      <c r="AA184" s="243" t="str">
        <f t="shared" si="277"/>
        <v>X</v>
      </c>
      <c r="AB184" s="243" t="str">
        <f t="shared" si="277"/>
        <v>X</v>
      </c>
      <c r="AC184" s="243" t="str">
        <f t="shared" si="277"/>
        <v>X</v>
      </c>
      <c r="AD184" s="243" t="str">
        <f t="shared" si="277"/>
        <v>X</v>
      </c>
      <c r="AE184" s="243" t="str">
        <f t="shared" si="277"/>
        <v>X</v>
      </c>
      <c r="AF184" s="243" t="str">
        <f t="shared" si="277"/>
        <v>X</v>
      </c>
      <c r="AG184" s="243" t="str">
        <f t="shared" si="277"/>
        <v>X</v>
      </c>
      <c r="AH184" s="243" t="str">
        <f t="shared" si="277"/>
        <v>X</v>
      </c>
      <c r="AI184" s="243" t="str">
        <f t="shared" si="277"/>
        <v>X</v>
      </c>
      <c r="AJ184" s="243" t="str">
        <f t="shared" si="277"/>
        <v>X</v>
      </c>
      <c r="AK184" s="243" t="str">
        <f t="shared" si="277"/>
        <v>X</v>
      </c>
      <c r="AL184" s="309" t="str">
        <f t="shared" si="277"/>
        <v>X</v>
      </c>
      <c r="AM184" s="309" t="str">
        <f t="shared" si="277"/>
        <v>X</v>
      </c>
      <c r="AN184" s="309" t="str">
        <f t="shared" si="277"/>
        <v>X</v>
      </c>
      <c r="AO184" s="309" t="str">
        <f t="shared" si="277"/>
        <v>X</v>
      </c>
      <c r="AP184" s="309" t="str">
        <f t="shared" si="277"/>
        <v>X</v>
      </c>
      <c r="AQ184" s="309" t="str">
        <f t="shared" si="277"/>
        <v>X</v>
      </c>
      <c r="AR184" s="309" t="str">
        <f t="shared" si="277"/>
        <v>X</v>
      </c>
      <c r="AS184" s="309" t="str">
        <f t="shared" si="277"/>
        <v>X</v>
      </c>
      <c r="AT184" s="309" t="str">
        <f t="shared" si="277"/>
        <v>X</v>
      </c>
      <c r="AU184" s="309" t="str">
        <f t="shared" si="277"/>
        <v>X</v>
      </c>
      <c r="AV184" s="259"/>
      <c r="AW184" s="259"/>
      <c r="AX184" s="259"/>
      <c r="BB184" s="229"/>
      <c r="BC184" s="150"/>
      <c r="BF184" s="85"/>
      <c r="BG184" s="150"/>
      <c r="BJ184" s="2"/>
      <c r="BK184" s="2"/>
      <c r="BL184" s="2"/>
      <c r="BM184" s="2"/>
      <c r="BN184" s="2"/>
      <c r="BO184" s="2"/>
      <c r="BP184" s="2"/>
    </row>
    <row r="185" spans="1:68">
      <c r="A185" s="518"/>
      <c r="B185" s="102" t="s">
        <v>654</v>
      </c>
      <c r="C185" s="102" t="str">
        <f t="shared" ref="C185:AU185" ca="1" si="278">IF(C7=27,"O",IF(C7=30,"O",IF(C7=33,"O",IF(C7=36,"O",IF(C7=39,"O",IF(C7=42,"O",IF(C7=45,"O","X")))))))</f>
        <v>X</v>
      </c>
      <c r="D185" s="104" t="str">
        <f t="shared" ca="1" si="278"/>
        <v>X</v>
      </c>
      <c r="E185" s="104" t="str">
        <f t="shared" ca="1" si="278"/>
        <v>X</v>
      </c>
      <c r="F185" s="104" t="str">
        <f t="shared" ca="1" si="278"/>
        <v>X</v>
      </c>
      <c r="G185" s="104" t="str">
        <f t="shared" ca="1" si="278"/>
        <v>X</v>
      </c>
      <c r="H185" s="104" t="str">
        <f t="shared" ca="1" si="278"/>
        <v>X</v>
      </c>
      <c r="I185" s="104" t="str">
        <f t="shared" ca="1" si="278"/>
        <v>O</v>
      </c>
      <c r="J185" s="104" t="str">
        <f t="shared" ca="1" si="278"/>
        <v>X</v>
      </c>
      <c r="K185" s="104" t="str">
        <f t="shared" ca="1" si="278"/>
        <v>X</v>
      </c>
      <c r="L185" s="104" t="str">
        <f t="shared" ca="1" si="278"/>
        <v>X</v>
      </c>
      <c r="M185" s="242" t="str">
        <f t="shared" ca="1" si="278"/>
        <v>X</v>
      </c>
      <c r="N185" s="242" t="str">
        <f t="shared" ca="1" si="278"/>
        <v>X</v>
      </c>
      <c r="O185" s="242" t="str">
        <f t="shared" ca="1" si="278"/>
        <v>X</v>
      </c>
      <c r="P185" s="242" t="str">
        <f t="shared" ca="1" si="278"/>
        <v>X</v>
      </c>
      <c r="Q185" s="242" t="str">
        <f t="shared" ca="1" si="278"/>
        <v>X</v>
      </c>
      <c r="R185" s="242" t="str">
        <f t="shared" si="278"/>
        <v>X</v>
      </c>
      <c r="S185" s="242" t="str">
        <f t="shared" si="278"/>
        <v>X</v>
      </c>
      <c r="T185" s="242" t="str">
        <f t="shared" si="278"/>
        <v>X</v>
      </c>
      <c r="U185" s="242" t="str">
        <f t="shared" si="278"/>
        <v>X</v>
      </c>
      <c r="V185" s="242" t="str">
        <f t="shared" si="278"/>
        <v>X</v>
      </c>
      <c r="W185" s="242" t="str">
        <f t="shared" si="278"/>
        <v>X</v>
      </c>
      <c r="X185" s="242" t="str">
        <f t="shared" si="278"/>
        <v>X</v>
      </c>
      <c r="Y185" s="242" t="str">
        <f t="shared" si="278"/>
        <v>X</v>
      </c>
      <c r="Z185" s="242" t="str">
        <f t="shared" si="278"/>
        <v>X</v>
      </c>
      <c r="AA185" s="242" t="str">
        <f t="shared" si="278"/>
        <v>X</v>
      </c>
      <c r="AB185" s="242" t="str">
        <f t="shared" si="278"/>
        <v>X</v>
      </c>
      <c r="AC185" s="242" t="str">
        <f t="shared" si="278"/>
        <v>X</v>
      </c>
      <c r="AD185" s="242" t="str">
        <f t="shared" si="278"/>
        <v>X</v>
      </c>
      <c r="AE185" s="242" t="str">
        <f t="shared" si="278"/>
        <v>X</v>
      </c>
      <c r="AF185" s="242" t="str">
        <f t="shared" si="278"/>
        <v>X</v>
      </c>
      <c r="AG185" s="242" t="str">
        <f t="shared" si="278"/>
        <v>X</v>
      </c>
      <c r="AH185" s="242" t="str">
        <f t="shared" si="278"/>
        <v>X</v>
      </c>
      <c r="AI185" s="242" t="str">
        <f t="shared" si="278"/>
        <v>X</v>
      </c>
      <c r="AJ185" s="242" t="str">
        <f t="shared" si="278"/>
        <v>X</v>
      </c>
      <c r="AK185" s="242" t="str">
        <f t="shared" si="278"/>
        <v>X</v>
      </c>
      <c r="AL185" s="308" t="str">
        <f t="shared" si="278"/>
        <v>X</v>
      </c>
      <c r="AM185" s="308" t="str">
        <f t="shared" si="278"/>
        <v>X</v>
      </c>
      <c r="AN185" s="308" t="str">
        <f t="shared" si="278"/>
        <v>X</v>
      </c>
      <c r="AO185" s="308" t="str">
        <f t="shared" si="278"/>
        <v>X</v>
      </c>
      <c r="AP185" s="308" t="str">
        <f t="shared" si="278"/>
        <v>X</v>
      </c>
      <c r="AQ185" s="308" t="str">
        <f t="shared" si="278"/>
        <v>X</v>
      </c>
      <c r="AR185" s="308" t="str">
        <f t="shared" si="278"/>
        <v>X</v>
      </c>
      <c r="AS185" s="308" t="str">
        <f t="shared" si="278"/>
        <v>X</v>
      </c>
      <c r="AT185" s="308" t="str">
        <f t="shared" si="278"/>
        <v>X</v>
      </c>
      <c r="AU185" s="308" t="str">
        <f t="shared" si="278"/>
        <v>X</v>
      </c>
      <c r="AV185" s="205"/>
      <c r="AW185" s="205"/>
      <c r="AX185" s="205"/>
      <c r="BC185" s="150"/>
      <c r="BF185" s="288"/>
      <c r="BG185" s="150"/>
      <c r="BJ185" s="2"/>
      <c r="BK185" s="2"/>
      <c r="BL185" s="2"/>
      <c r="BM185" s="2"/>
      <c r="BN185" s="2"/>
      <c r="BO185" s="2"/>
      <c r="BP185" s="2"/>
    </row>
    <row r="186" spans="1:68">
      <c r="A186" s="518"/>
      <c r="B186" s="102" t="s">
        <v>655</v>
      </c>
      <c r="C186" s="104" t="str">
        <f t="shared" ref="C186:AU186" ca="1" si="279">IF(C8=27,"O",IF(C8=30,"O",IF(C8=33,"O",IF(C8=36,"O",IF(C8=39,"O",IF(C8=42,"O",IF(C8=45,"O","X")))))))</f>
        <v>X</v>
      </c>
      <c r="D186" s="104" t="str">
        <f t="shared" ca="1" si="279"/>
        <v>X</v>
      </c>
      <c r="E186" s="104" t="str">
        <f t="shared" ca="1" si="279"/>
        <v>X</v>
      </c>
      <c r="F186" s="104" t="str">
        <f t="shared" ca="1" si="279"/>
        <v>X</v>
      </c>
      <c r="G186" s="104" t="str">
        <f t="shared" ca="1" si="279"/>
        <v>X</v>
      </c>
      <c r="H186" s="104" t="str">
        <f t="shared" ca="1" si="279"/>
        <v>X</v>
      </c>
      <c r="I186" s="104" t="str">
        <f t="shared" ca="1" si="279"/>
        <v>X</v>
      </c>
      <c r="J186" s="104" t="str">
        <f t="shared" ca="1" si="279"/>
        <v>X</v>
      </c>
      <c r="K186" s="104" t="str">
        <f t="shared" ca="1" si="279"/>
        <v>X</v>
      </c>
      <c r="L186" s="104" t="str">
        <f t="shared" ca="1" si="279"/>
        <v>X</v>
      </c>
      <c r="M186" s="242" t="str">
        <f t="shared" ca="1" si="279"/>
        <v>X</v>
      </c>
      <c r="N186" s="242" t="str">
        <f t="shared" ca="1" si="279"/>
        <v>X</v>
      </c>
      <c r="O186" s="242" t="str">
        <f t="shared" ca="1" si="279"/>
        <v>X</v>
      </c>
      <c r="P186" s="242" t="str">
        <f t="shared" ca="1" si="279"/>
        <v>X</v>
      </c>
      <c r="Q186" s="242" t="str">
        <f t="shared" ca="1" si="279"/>
        <v>X</v>
      </c>
      <c r="R186" s="242" t="str">
        <f t="shared" si="279"/>
        <v>X</v>
      </c>
      <c r="S186" s="242" t="str">
        <f t="shared" si="279"/>
        <v>X</v>
      </c>
      <c r="T186" s="242" t="str">
        <f t="shared" si="279"/>
        <v>X</v>
      </c>
      <c r="U186" s="242" t="str">
        <f t="shared" si="279"/>
        <v>X</v>
      </c>
      <c r="V186" s="242" t="str">
        <f t="shared" si="279"/>
        <v>X</v>
      </c>
      <c r="W186" s="242" t="str">
        <f t="shared" si="279"/>
        <v>X</v>
      </c>
      <c r="X186" s="242" t="str">
        <f t="shared" si="279"/>
        <v>X</v>
      </c>
      <c r="Y186" s="242" t="str">
        <f t="shared" si="279"/>
        <v>X</v>
      </c>
      <c r="Z186" s="242" t="str">
        <f t="shared" si="279"/>
        <v>X</v>
      </c>
      <c r="AA186" s="242" t="str">
        <f t="shared" si="279"/>
        <v>X</v>
      </c>
      <c r="AB186" s="242" t="str">
        <f t="shared" si="279"/>
        <v>X</v>
      </c>
      <c r="AC186" s="242" t="str">
        <f t="shared" si="279"/>
        <v>X</v>
      </c>
      <c r="AD186" s="242" t="str">
        <f t="shared" si="279"/>
        <v>X</v>
      </c>
      <c r="AE186" s="242" t="str">
        <f t="shared" si="279"/>
        <v>X</v>
      </c>
      <c r="AF186" s="242" t="str">
        <f t="shared" si="279"/>
        <v>X</v>
      </c>
      <c r="AG186" s="242" t="str">
        <f t="shared" si="279"/>
        <v>X</v>
      </c>
      <c r="AH186" s="242" t="str">
        <f t="shared" si="279"/>
        <v>X</v>
      </c>
      <c r="AI186" s="242" t="str">
        <f t="shared" si="279"/>
        <v>X</v>
      </c>
      <c r="AJ186" s="242" t="str">
        <f t="shared" si="279"/>
        <v>X</v>
      </c>
      <c r="AK186" s="242" t="str">
        <f t="shared" si="279"/>
        <v>X</v>
      </c>
      <c r="AL186" s="308" t="str">
        <f t="shared" si="279"/>
        <v>X</v>
      </c>
      <c r="AM186" s="308" t="str">
        <f t="shared" si="279"/>
        <v>X</v>
      </c>
      <c r="AN186" s="308" t="str">
        <f t="shared" si="279"/>
        <v>X</v>
      </c>
      <c r="AO186" s="308" t="str">
        <f t="shared" si="279"/>
        <v>X</v>
      </c>
      <c r="AP186" s="308" t="str">
        <f t="shared" si="279"/>
        <v>X</v>
      </c>
      <c r="AQ186" s="308" t="str">
        <f t="shared" si="279"/>
        <v>X</v>
      </c>
      <c r="AR186" s="308" t="str">
        <f t="shared" si="279"/>
        <v>X</v>
      </c>
      <c r="AS186" s="308" t="str">
        <f t="shared" si="279"/>
        <v>X</v>
      </c>
      <c r="AT186" s="308" t="str">
        <f t="shared" si="279"/>
        <v>X</v>
      </c>
      <c r="AU186" s="308" t="str">
        <f t="shared" si="279"/>
        <v>X</v>
      </c>
      <c r="AV186" s="205"/>
      <c r="AW186" s="205"/>
      <c r="AX186" s="205"/>
      <c r="BC186" s="150"/>
      <c r="BF186" s="85"/>
      <c r="BG186" s="178"/>
      <c r="BK186" s="2"/>
      <c r="BL186" s="2"/>
      <c r="BM186" s="2"/>
      <c r="BN186" s="2"/>
      <c r="BO186" s="2"/>
      <c r="BP186" s="2"/>
    </row>
    <row r="187" spans="1:68">
      <c r="A187" s="518"/>
      <c r="B187" s="102" t="s">
        <v>656</v>
      </c>
      <c r="C187" s="104" t="str">
        <f t="shared" ref="C187:AU187" ca="1" si="280">IF(C9=27,"O",IF(C9=30,"O",IF(C9=33,"O",IF(C9=36,"O",IF(C9=39,"O",IF(C9=42,"O",IF(C9=45,"O","X")))))))</f>
        <v>X</v>
      </c>
      <c r="D187" s="104" t="str">
        <f t="shared" ca="1" si="280"/>
        <v>X</v>
      </c>
      <c r="E187" s="104" t="str">
        <f t="shared" ca="1" si="280"/>
        <v>X</v>
      </c>
      <c r="F187" s="104" t="str">
        <f t="shared" ca="1" si="280"/>
        <v>X</v>
      </c>
      <c r="G187" s="104" t="str">
        <f t="shared" ca="1" si="280"/>
        <v>X</v>
      </c>
      <c r="H187" s="104" t="str">
        <f t="shared" ca="1" si="280"/>
        <v>X</v>
      </c>
      <c r="I187" s="104" t="str">
        <f t="shared" ca="1" si="280"/>
        <v>X</v>
      </c>
      <c r="J187" s="104" t="str">
        <f t="shared" ca="1" si="280"/>
        <v>O</v>
      </c>
      <c r="K187" s="104" t="str">
        <f t="shared" ca="1" si="280"/>
        <v>X</v>
      </c>
      <c r="L187" s="104" t="str">
        <f t="shared" ca="1" si="280"/>
        <v>X</v>
      </c>
      <c r="M187" s="242" t="str">
        <f t="shared" ca="1" si="280"/>
        <v>X</v>
      </c>
      <c r="N187" s="242" t="str">
        <f t="shared" ca="1" si="280"/>
        <v>X</v>
      </c>
      <c r="O187" s="242" t="str">
        <f t="shared" ca="1" si="280"/>
        <v>X</v>
      </c>
      <c r="P187" s="242" t="str">
        <f t="shared" ca="1" si="280"/>
        <v>X</v>
      </c>
      <c r="Q187" s="242" t="str">
        <f t="shared" ca="1" si="280"/>
        <v>X</v>
      </c>
      <c r="R187" s="242" t="str">
        <f t="shared" si="280"/>
        <v>X</v>
      </c>
      <c r="S187" s="242" t="str">
        <f t="shared" si="280"/>
        <v>X</v>
      </c>
      <c r="T187" s="242" t="str">
        <f t="shared" si="280"/>
        <v>X</v>
      </c>
      <c r="U187" s="242" t="str">
        <f t="shared" si="280"/>
        <v>X</v>
      </c>
      <c r="V187" s="242" t="str">
        <f t="shared" si="280"/>
        <v>X</v>
      </c>
      <c r="W187" s="242" t="str">
        <f t="shared" si="280"/>
        <v>X</v>
      </c>
      <c r="X187" s="242" t="str">
        <f t="shared" si="280"/>
        <v>X</v>
      </c>
      <c r="Y187" s="242" t="str">
        <f t="shared" si="280"/>
        <v>X</v>
      </c>
      <c r="Z187" s="242" t="str">
        <f t="shared" si="280"/>
        <v>X</v>
      </c>
      <c r="AA187" s="242" t="str">
        <f t="shared" si="280"/>
        <v>X</v>
      </c>
      <c r="AB187" s="242" t="str">
        <f t="shared" si="280"/>
        <v>X</v>
      </c>
      <c r="AC187" s="242" t="str">
        <f t="shared" si="280"/>
        <v>X</v>
      </c>
      <c r="AD187" s="242" t="str">
        <f t="shared" si="280"/>
        <v>X</v>
      </c>
      <c r="AE187" s="242" t="str">
        <f t="shared" si="280"/>
        <v>X</v>
      </c>
      <c r="AF187" s="242" t="str">
        <f t="shared" si="280"/>
        <v>X</v>
      </c>
      <c r="AG187" s="242" t="str">
        <f t="shared" si="280"/>
        <v>X</v>
      </c>
      <c r="AH187" s="242" t="str">
        <f t="shared" si="280"/>
        <v>X</v>
      </c>
      <c r="AI187" s="242" t="str">
        <f t="shared" si="280"/>
        <v>X</v>
      </c>
      <c r="AJ187" s="242" t="str">
        <f t="shared" si="280"/>
        <v>X</v>
      </c>
      <c r="AK187" s="242" t="str">
        <f t="shared" si="280"/>
        <v>X</v>
      </c>
      <c r="AL187" s="308" t="str">
        <f t="shared" si="280"/>
        <v>X</v>
      </c>
      <c r="AM187" s="308" t="str">
        <f t="shared" si="280"/>
        <v>X</v>
      </c>
      <c r="AN187" s="308" t="str">
        <f t="shared" si="280"/>
        <v>X</v>
      </c>
      <c r="AO187" s="308" t="str">
        <f t="shared" si="280"/>
        <v>X</v>
      </c>
      <c r="AP187" s="308" t="str">
        <f t="shared" si="280"/>
        <v>X</v>
      </c>
      <c r="AQ187" s="308" t="str">
        <f t="shared" si="280"/>
        <v>X</v>
      </c>
      <c r="AR187" s="308" t="str">
        <f t="shared" si="280"/>
        <v>X</v>
      </c>
      <c r="AS187" s="308" t="str">
        <f t="shared" si="280"/>
        <v>X</v>
      </c>
      <c r="AT187" s="308" t="str">
        <f t="shared" si="280"/>
        <v>X</v>
      </c>
      <c r="AU187" s="308" t="str">
        <f t="shared" si="280"/>
        <v>X</v>
      </c>
      <c r="AV187" s="205"/>
      <c r="AW187" s="205"/>
      <c r="AX187" s="205"/>
      <c r="BC187" s="150"/>
      <c r="BF187" s="288"/>
      <c r="BK187" s="2"/>
      <c r="BL187" s="2"/>
      <c r="BM187" s="2"/>
      <c r="BN187" s="2"/>
      <c r="BO187" s="2"/>
      <c r="BP187" s="2"/>
    </row>
    <row r="188" spans="1:68">
      <c r="A188" s="518"/>
      <c r="B188" s="102" t="s">
        <v>657</v>
      </c>
      <c r="C188" s="104" t="str">
        <f t="shared" ref="C188:AU188" ca="1" si="281">IF(C10=27,"O",IF(C10=30,"O",IF(C10=33,"O",IF(C10=36,"O",IF(C10=39,"O",IF(C10=42,"O",IF(C10=45,"O","X")))))))</f>
        <v>X</v>
      </c>
      <c r="D188" s="104" t="str">
        <f t="shared" ca="1" si="281"/>
        <v>X</v>
      </c>
      <c r="E188" s="104" t="str">
        <f t="shared" ca="1" si="281"/>
        <v>X</v>
      </c>
      <c r="F188" s="104" t="str">
        <f t="shared" ca="1" si="281"/>
        <v>X</v>
      </c>
      <c r="G188" s="104" t="str">
        <f t="shared" ca="1" si="281"/>
        <v>X</v>
      </c>
      <c r="H188" s="104" t="str">
        <f t="shared" ca="1" si="281"/>
        <v>X</v>
      </c>
      <c r="I188" s="104" t="str">
        <f t="shared" ca="1" si="281"/>
        <v>X</v>
      </c>
      <c r="J188" s="104" t="str">
        <f t="shared" ca="1" si="281"/>
        <v>X</v>
      </c>
      <c r="K188" s="104" t="str">
        <f t="shared" ca="1" si="281"/>
        <v>O</v>
      </c>
      <c r="L188" s="104" t="str">
        <f t="shared" ca="1" si="281"/>
        <v>X</v>
      </c>
      <c r="M188" s="242" t="str">
        <f t="shared" ca="1" si="281"/>
        <v>X</v>
      </c>
      <c r="N188" s="242" t="str">
        <f t="shared" ca="1" si="281"/>
        <v>X</v>
      </c>
      <c r="O188" s="242" t="str">
        <f t="shared" ca="1" si="281"/>
        <v>X</v>
      </c>
      <c r="P188" s="242" t="str">
        <f t="shared" ca="1" si="281"/>
        <v>X</v>
      </c>
      <c r="Q188" s="242" t="str">
        <f t="shared" ca="1" si="281"/>
        <v>O</v>
      </c>
      <c r="R188" s="242" t="str">
        <f t="shared" si="281"/>
        <v>X</v>
      </c>
      <c r="S188" s="242" t="str">
        <f t="shared" si="281"/>
        <v>X</v>
      </c>
      <c r="T188" s="242" t="str">
        <f t="shared" si="281"/>
        <v>X</v>
      </c>
      <c r="U188" s="242" t="str">
        <f t="shared" si="281"/>
        <v>X</v>
      </c>
      <c r="V188" s="242" t="str">
        <f t="shared" si="281"/>
        <v>X</v>
      </c>
      <c r="W188" s="242" t="str">
        <f t="shared" si="281"/>
        <v>X</v>
      </c>
      <c r="X188" s="242" t="str">
        <f t="shared" si="281"/>
        <v>X</v>
      </c>
      <c r="Y188" s="242" t="str">
        <f t="shared" si="281"/>
        <v>X</v>
      </c>
      <c r="Z188" s="242" t="str">
        <f t="shared" si="281"/>
        <v>X</v>
      </c>
      <c r="AA188" s="242" t="str">
        <f t="shared" si="281"/>
        <v>X</v>
      </c>
      <c r="AB188" s="242" t="str">
        <f t="shared" si="281"/>
        <v>X</v>
      </c>
      <c r="AC188" s="242" t="str">
        <f t="shared" si="281"/>
        <v>X</v>
      </c>
      <c r="AD188" s="242" t="str">
        <f t="shared" si="281"/>
        <v>X</v>
      </c>
      <c r="AE188" s="242" t="str">
        <f t="shared" si="281"/>
        <v>X</v>
      </c>
      <c r="AF188" s="242" t="str">
        <f t="shared" si="281"/>
        <v>X</v>
      </c>
      <c r="AG188" s="242" t="str">
        <f t="shared" si="281"/>
        <v>X</v>
      </c>
      <c r="AH188" s="242" t="str">
        <f t="shared" si="281"/>
        <v>X</v>
      </c>
      <c r="AI188" s="242" t="str">
        <f t="shared" si="281"/>
        <v>X</v>
      </c>
      <c r="AJ188" s="242" t="str">
        <f t="shared" si="281"/>
        <v>X</v>
      </c>
      <c r="AK188" s="242" t="str">
        <f t="shared" si="281"/>
        <v>X</v>
      </c>
      <c r="AL188" s="308" t="str">
        <f t="shared" si="281"/>
        <v>X</v>
      </c>
      <c r="AM188" s="308" t="str">
        <f t="shared" si="281"/>
        <v>X</v>
      </c>
      <c r="AN188" s="308" t="str">
        <f t="shared" si="281"/>
        <v>X</v>
      </c>
      <c r="AO188" s="308" t="str">
        <f t="shared" si="281"/>
        <v>X</v>
      </c>
      <c r="AP188" s="308" t="str">
        <f t="shared" si="281"/>
        <v>X</v>
      </c>
      <c r="AQ188" s="308" t="str">
        <f t="shared" si="281"/>
        <v>X</v>
      </c>
      <c r="AR188" s="308" t="str">
        <f t="shared" si="281"/>
        <v>X</v>
      </c>
      <c r="AS188" s="308" t="str">
        <f t="shared" si="281"/>
        <v>X</v>
      </c>
      <c r="AT188" s="308" t="str">
        <f t="shared" si="281"/>
        <v>X</v>
      </c>
      <c r="AU188" s="308" t="str">
        <f t="shared" si="281"/>
        <v>X</v>
      </c>
      <c r="AV188" s="205"/>
      <c r="AW188" s="205"/>
      <c r="AX188" s="205"/>
      <c r="BC188" s="150"/>
      <c r="BF188" s="288"/>
      <c r="BK188" s="2"/>
      <c r="BL188" s="2"/>
      <c r="BM188" s="2"/>
      <c r="BN188" s="2"/>
      <c r="BO188" s="2"/>
      <c r="BP188" s="2"/>
    </row>
    <row r="189" spans="1:68">
      <c r="A189" s="518"/>
      <c r="B189" s="102" t="s">
        <v>658</v>
      </c>
      <c r="C189" s="104" t="str">
        <f t="shared" ref="C189:AU189" ca="1" si="282">IF(C11=27,"O",IF(C11=30,"O",IF(C11=33,"O",IF(C11=36,"O",IF(C11=39,"O",IF(C11=42,"O",IF(C11=45,"O","X")))))))</f>
        <v>X</v>
      </c>
      <c r="D189" s="104" t="str">
        <f t="shared" ca="1" si="282"/>
        <v>X</v>
      </c>
      <c r="E189" s="104" t="str">
        <f t="shared" ca="1" si="282"/>
        <v>X</v>
      </c>
      <c r="F189" s="104" t="str">
        <f t="shared" ca="1" si="282"/>
        <v>X</v>
      </c>
      <c r="G189" s="104" t="str">
        <f t="shared" ca="1" si="282"/>
        <v>X</v>
      </c>
      <c r="H189" s="104" t="str">
        <f t="shared" ca="1" si="282"/>
        <v>X</v>
      </c>
      <c r="I189" s="104" t="str">
        <f t="shared" ca="1" si="282"/>
        <v>X</v>
      </c>
      <c r="J189" s="104" t="str">
        <f t="shared" ca="1" si="282"/>
        <v>X</v>
      </c>
      <c r="K189" s="104" t="str">
        <f t="shared" ca="1" si="282"/>
        <v>X</v>
      </c>
      <c r="L189" s="104" t="str">
        <f t="shared" ca="1" si="282"/>
        <v>X</v>
      </c>
      <c r="M189" s="242" t="str">
        <f t="shared" ca="1" si="282"/>
        <v>X</v>
      </c>
      <c r="N189" s="242" t="str">
        <f t="shared" ca="1" si="282"/>
        <v>X</v>
      </c>
      <c r="O189" s="242" t="str">
        <f t="shared" ca="1" si="282"/>
        <v>X</v>
      </c>
      <c r="P189" s="242" t="str">
        <f t="shared" ca="1" si="282"/>
        <v>X</v>
      </c>
      <c r="Q189" s="242" t="str">
        <f t="shared" ca="1" si="282"/>
        <v>X</v>
      </c>
      <c r="R189" s="242" t="str">
        <f t="shared" si="282"/>
        <v>X</v>
      </c>
      <c r="S189" s="242" t="str">
        <f t="shared" si="282"/>
        <v>X</v>
      </c>
      <c r="T189" s="242" t="str">
        <f t="shared" si="282"/>
        <v>X</v>
      </c>
      <c r="U189" s="242" t="str">
        <f t="shared" si="282"/>
        <v>X</v>
      </c>
      <c r="V189" s="242" t="str">
        <f t="shared" si="282"/>
        <v>X</v>
      </c>
      <c r="W189" s="242" t="str">
        <f t="shared" si="282"/>
        <v>X</v>
      </c>
      <c r="X189" s="242" t="str">
        <f t="shared" si="282"/>
        <v>X</v>
      </c>
      <c r="Y189" s="242" t="str">
        <f t="shared" si="282"/>
        <v>X</v>
      </c>
      <c r="Z189" s="242" t="str">
        <f t="shared" si="282"/>
        <v>X</v>
      </c>
      <c r="AA189" s="242" t="str">
        <f t="shared" si="282"/>
        <v>X</v>
      </c>
      <c r="AB189" s="242" t="str">
        <f t="shared" si="282"/>
        <v>X</v>
      </c>
      <c r="AC189" s="242" t="str">
        <f t="shared" si="282"/>
        <v>X</v>
      </c>
      <c r="AD189" s="242" t="str">
        <f t="shared" si="282"/>
        <v>X</v>
      </c>
      <c r="AE189" s="242" t="str">
        <f t="shared" si="282"/>
        <v>X</v>
      </c>
      <c r="AF189" s="242" t="str">
        <f t="shared" si="282"/>
        <v>X</v>
      </c>
      <c r="AG189" s="242" t="str">
        <f t="shared" si="282"/>
        <v>X</v>
      </c>
      <c r="AH189" s="242" t="str">
        <f t="shared" si="282"/>
        <v>X</v>
      </c>
      <c r="AI189" s="242" t="str">
        <f t="shared" si="282"/>
        <v>X</v>
      </c>
      <c r="AJ189" s="242" t="str">
        <f t="shared" si="282"/>
        <v>X</v>
      </c>
      <c r="AK189" s="242" t="str">
        <f t="shared" si="282"/>
        <v>X</v>
      </c>
      <c r="AL189" s="308" t="str">
        <f t="shared" si="282"/>
        <v>X</v>
      </c>
      <c r="AM189" s="308" t="str">
        <f t="shared" si="282"/>
        <v>X</v>
      </c>
      <c r="AN189" s="308" t="str">
        <f t="shared" si="282"/>
        <v>X</v>
      </c>
      <c r="AO189" s="308" t="str">
        <f t="shared" si="282"/>
        <v>X</v>
      </c>
      <c r="AP189" s="308" t="str">
        <f t="shared" si="282"/>
        <v>X</v>
      </c>
      <c r="AQ189" s="308" t="str">
        <f t="shared" si="282"/>
        <v>X</v>
      </c>
      <c r="AR189" s="308" t="str">
        <f t="shared" si="282"/>
        <v>X</v>
      </c>
      <c r="AS189" s="308" t="str">
        <f t="shared" si="282"/>
        <v>X</v>
      </c>
      <c r="AT189" s="308" t="str">
        <f t="shared" si="282"/>
        <v>X</v>
      </c>
      <c r="AU189" s="308" t="str">
        <f t="shared" si="282"/>
        <v>X</v>
      </c>
      <c r="AV189" s="205"/>
      <c r="AW189" s="205"/>
      <c r="AX189" s="205"/>
      <c r="BC189" s="150"/>
      <c r="BF189" s="288"/>
      <c r="BI189" s="169"/>
      <c r="BK189" s="2"/>
      <c r="BL189" s="2"/>
      <c r="BM189" s="2"/>
      <c r="BN189" s="2"/>
      <c r="BO189" s="2"/>
      <c r="BP189" s="2"/>
    </row>
    <row r="190" spans="1:68">
      <c r="A190" s="518"/>
      <c r="B190" s="102" t="s">
        <v>659</v>
      </c>
      <c r="C190" s="104" t="str">
        <f t="shared" ref="C190:AU190" ca="1" si="283">IF(C12=27,"O",IF(C12=30,"O",IF(C12=33,"O",IF(C12=36,"O",IF(C12=39,"O",IF(C12=42,"O",IF(C12=45,"O","X")))))))</f>
        <v>X</v>
      </c>
      <c r="D190" s="104" t="str">
        <f t="shared" ca="1" si="283"/>
        <v>X</v>
      </c>
      <c r="E190" s="104" t="str">
        <f t="shared" ca="1" si="283"/>
        <v>X</v>
      </c>
      <c r="F190" s="104" t="str">
        <f t="shared" ca="1" si="283"/>
        <v>X</v>
      </c>
      <c r="G190" s="104" t="str">
        <f t="shared" ca="1" si="283"/>
        <v>X</v>
      </c>
      <c r="H190" s="104" t="str">
        <f t="shared" ca="1" si="283"/>
        <v>X</v>
      </c>
      <c r="I190" s="104" t="str">
        <f t="shared" ca="1" si="283"/>
        <v>X</v>
      </c>
      <c r="J190" s="104" t="str">
        <f t="shared" ca="1" si="283"/>
        <v>O</v>
      </c>
      <c r="K190" s="104" t="str">
        <f t="shared" ca="1" si="283"/>
        <v>X</v>
      </c>
      <c r="L190" s="104" t="str">
        <f t="shared" ca="1" si="283"/>
        <v>X</v>
      </c>
      <c r="M190" s="242" t="str">
        <f t="shared" ca="1" si="283"/>
        <v>X</v>
      </c>
      <c r="N190" s="242" t="str">
        <f t="shared" ca="1" si="283"/>
        <v>X</v>
      </c>
      <c r="O190" s="242" t="str">
        <f t="shared" ca="1" si="283"/>
        <v>O</v>
      </c>
      <c r="P190" s="242" t="str">
        <f t="shared" ca="1" si="283"/>
        <v>X</v>
      </c>
      <c r="Q190" s="242" t="str">
        <f t="shared" ca="1" si="283"/>
        <v>X</v>
      </c>
      <c r="R190" s="242" t="str">
        <f t="shared" si="283"/>
        <v>X</v>
      </c>
      <c r="S190" s="242" t="str">
        <f t="shared" si="283"/>
        <v>X</v>
      </c>
      <c r="T190" s="242" t="str">
        <f t="shared" si="283"/>
        <v>X</v>
      </c>
      <c r="U190" s="242" t="str">
        <f t="shared" si="283"/>
        <v>X</v>
      </c>
      <c r="V190" s="242" t="str">
        <f t="shared" si="283"/>
        <v>X</v>
      </c>
      <c r="W190" s="242" t="str">
        <f t="shared" si="283"/>
        <v>X</v>
      </c>
      <c r="X190" s="242" t="str">
        <f t="shared" si="283"/>
        <v>X</v>
      </c>
      <c r="Y190" s="242" t="str">
        <f t="shared" si="283"/>
        <v>X</v>
      </c>
      <c r="Z190" s="242" t="str">
        <f t="shared" si="283"/>
        <v>X</v>
      </c>
      <c r="AA190" s="242" t="str">
        <f t="shared" si="283"/>
        <v>X</v>
      </c>
      <c r="AB190" s="242" t="str">
        <f t="shared" si="283"/>
        <v>X</v>
      </c>
      <c r="AC190" s="242" t="str">
        <f t="shared" si="283"/>
        <v>X</v>
      </c>
      <c r="AD190" s="242" t="str">
        <f t="shared" si="283"/>
        <v>X</v>
      </c>
      <c r="AE190" s="242" t="str">
        <f t="shared" si="283"/>
        <v>X</v>
      </c>
      <c r="AF190" s="242" t="str">
        <f t="shared" si="283"/>
        <v>X</v>
      </c>
      <c r="AG190" s="242" t="str">
        <f t="shared" si="283"/>
        <v>X</v>
      </c>
      <c r="AH190" s="242" t="str">
        <f t="shared" si="283"/>
        <v>X</v>
      </c>
      <c r="AI190" s="242" t="str">
        <f t="shared" si="283"/>
        <v>X</v>
      </c>
      <c r="AJ190" s="242" t="str">
        <f t="shared" si="283"/>
        <v>X</v>
      </c>
      <c r="AK190" s="242" t="str">
        <f t="shared" si="283"/>
        <v>X</v>
      </c>
      <c r="AL190" s="308" t="str">
        <f t="shared" si="283"/>
        <v>X</v>
      </c>
      <c r="AM190" s="308" t="str">
        <f t="shared" si="283"/>
        <v>X</v>
      </c>
      <c r="AN190" s="308" t="str">
        <f t="shared" si="283"/>
        <v>X</v>
      </c>
      <c r="AO190" s="308" t="str">
        <f t="shared" si="283"/>
        <v>X</v>
      </c>
      <c r="AP190" s="308" t="str">
        <f t="shared" si="283"/>
        <v>X</v>
      </c>
      <c r="AQ190" s="308" t="str">
        <f t="shared" si="283"/>
        <v>X</v>
      </c>
      <c r="AR190" s="308" t="str">
        <f t="shared" si="283"/>
        <v>X</v>
      </c>
      <c r="AS190" s="308" t="str">
        <f t="shared" si="283"/>
        <v>X</v>
      </c>
      <c r="AT190" s="308" t="str">
        <f t="shared" si="283"/>
        <v>X</v>
      </c>
      <c r="AU190" s="308" t="str">
        <f t="shared" si="283"/>
        <v>X</v>
      </c>
      <c r="AV190" s="205"/>
      <c r="AW190" s="205"/>
      <c r="AX190" s="205"/>
      <c r="BC190" s="150"/>
      <c r="BF190" s="288"/>
      <c r="BI190" s="169"/>
      <c r="BK190" s="2"/>
      <c r="BL190" s="2"/>
      <c r="BM190" s="2"/>
      <c r="BN190" s="2"/>
      <c r="BO190" s="2"/>
      <c r="BP190" s="2"/>
    </row>
    <row r="191" spans="1:68">
      <c r="A191" s="518"/>
      <c r="B191" s="105" t="s">
        <v>666</v>
      </c>
      <c r="C191" s="103">
        <f ca="1">COUNTIF(C179:C190,"O")</f>
        <v>1</v>
      </c>
      <c r="D191" s="103">
        <f t="shared" ref="D191:Q191" ca="1" si="284">COUNTIF(D179:D190,"O")</f>
        <v>1</v>
      </c>
      <c r="E191" s="103">
        <f t="shared" ca="1" si="284"/>
        <v>2</v>
      </c>
      <c r="F191" s="103">
        <f t="shared" ca="1" si="284"/>
        <v>1</v>
      </c>
      <c r="G191" s="103">
        <f t="shared" ca="1" si="284"/>
        <v>0</v>
      </c>
      <c r="H191" s="103">
        <f t="shared" ca="1" si="284"/>
        <v>4</v>
      </c>
      <c r="I191" s="103">
        <f t="shared" ca="1" si="284"/>
        <v>2</v>
      </c>
      <c r="J191" s="103">
        <f t="shared" ca="1" si="284"/>
        <v>2</v>
      </c>
      <c r="K191" s="103">
        <f t="shared" ca="1" si="284"/>
        <v>1</v>
      </c>
      <c r="L191" s="103">
        <f t="shared" ca="1" si="284"/>
        <v>3</v>
      </c>
      <c r="M191" s="172">
        <f t="shared" ca="1" si="284"/>
        <v>2</v>
      </c>
      <c r="N191" s="172">
        <f t="shared" ca="1" si="284"/>
        <v>3</v>
      </c>
      <c r="O191" s="172">
        <f t="shared" ca="1" si="284"/>
        <v>2</v>
      </c>
      <c r="P191" s="172">
        <f t="shared" ca="1" si="284"/>
        <v>2</v>
      </c>
      <c r="Q191" s="172">
        <f t="shared" ca="1" si="284"/>
        <v>2</v>
      </c>
      <c r="R191" s="172">
        <f t="shared" ref="R191:AH191" si="285">COUNTIF(R179:R190,"O")</f>
        <v>0</v>
      </c>
      <c r="S191" s="172">
        <f t="shared" si="285"/>
        <v>0</v>
      </c>
      <c r="T191" s="172">
        <f t="shared" si="285"/>
        <v>0</v>
      </c>
      <c r="U191" s="172">
        <f t="shared" si="285"/>
        <v>0</v>
      </c>
      <c r="V191" s="172">
        <f t="shared" si="285"/>
        <v>0</v>
      </c>
      <c r="W191" s="172">
        <f t="shared" si="285"/>
        <v>0</v>
      </c>
      <c r="X191" s="172">
        <f t="shared" si="285"/>
        <v>0</v>
      </c>
      <c r="Y191" s="172">
        <f t="shared" si="285"/>
        <v>0</v>
      </c>
      <c r="Z191" s="172">
        <f t="shared" si="285"/>
        <v>0</v>
      </c>
      <c r="AA191" s="172">
        <f t="shared" si="285"/>
        <v>0</v>
      </c>
      <c r="AB191" s="172">
        <f t="shared" si="285"/>
        <v>0</v>
      </c>
      <c r="AC191" s="172">
        <f t="shared" si="285"/>
        <v>0</v>
      </c>
      <c r="AD191" s="172">
        <f t="shared" si="285"/>
        <v>0</v>
      </c>
      <c r="AE191" s="172">
        <f t="shared" si="285"/>
        <v>0</v>
      </c>
      <c r="AF191" s="172">
        <f t="shared" si="285"/>
        <v>0</v>
      </c>
      <c r="AG191" s="172">
        <f t="shared" si="285"/>
        <v>0</v>
      </c>
      <c r="AH191" s="172">
        <f t="shared" si="285"/>
        <v>0</v>
      </c>
      <c r="AI191" s="172">
        <f>COUNTIF(AI179:AI190,"O")</f>
        <v>0</v>
      </c>
      <c r="AJ191" s="172">
        <f>COUNTIF(AJ179:AJ190,"O")</f>
        <v>0</v>
      </c>
      <c r="AK191" s="172">
        <f>COUNTIF(AK179:AK190,"O")</f>
        <v>0</v>
      </c>
      <c r="AL191" s="172">
        <f t="shared" ref="AL191:AU191" si="286">COUNTIF(AL179:AL190,"O")</f>
        <v>0</v>
      </c>
      <c r="AM191" s="172">
        <f t="shared" si="286"/>
        <v>0</v>
      </c>
      <c r="AN191" s="172">
        <f t="shared" si="286"/>
        <v>0</v>
      </c>
      <c r="AO191" s="172">
        <f t="shared" si="286"/>
        <v>0</v>
      </c>
      <c r="AP191" s="172">
        <f t="shared" si="286"/>
        <v>0</v>
      </c>
      <c r="AQ191" s="172">
        <f t="shared" si="286"/>
        <v>0</v>
      </c>
      <c r="AR191" s="172">
        <f t="shared" si="286"/>
        <v>0</v>
      </c>
      <c r="AS191" s="172">
        <f t="shared" si="286"/>
        <v>0</v>
      </c>
      <c r="AT191" s="172">
        <f t="shared" si="286"/>
        <v>0</v>
      </c>
      <c r="AU191" s="172">
        <f t="shared" si="286"/>
        <v>0</v>
      </c>
      <c r="AV191" s="255"/>
      <c r="AW191" s="255"/>
      <c r="AX191" s="255"/>
      <c r="BI191" s="169"/>
      <c r="BK191" s="2"/>
      <c r="BL191" s="2"/>
      <c r="BM191" s="2"/>
      <c r="BN191" s="2"/>
      <c r="BO191" s="2"/>
      <c r="BP191" s="2"/>
    </row>
    <row r="192" spans="1:68">
      <c r="A192" s="518" t="s">
        <v>668</v>
      </c>
      <c r="B192" s="104" t="s">
        <v>565</v>
      </c>
      <c r="C192" s="104" t="str">
        <f t="shared" ref="C192:AU192" ca="1" si="287">IF(C7=1,"O",IF(C7=4,"O",IF(C7=8,"O",IF(C7=10,"O",IF(C7=14,"O",IF(C7=16,"O",IF(C7=20,"O",IF(C7=22,"O","X"))))))))</f>
        <v>X</v>
      </c>
      <c r="D192" s="104" t="str">
        <f t="shared" ca="1" si="287"/>
        <v>X</v>
      </c>
      <c r="E192" s="104" t="str">
        <f t="shared" ca="1" si="287"/>
        <v>X</v>
      </c>
      <c r="F192" s="104" t="str">
        <f t="shared" ca="1" si="287"/>
        <v>X</v>
      </c>
      <c r="G192" s="104" t="str">
        <f t="shared" ca="1" si="287"/>
        <v>X</v>
      </c>
      <c r="H192" s="104" t="str">
        <f t="shared" ca="1" si="287"/>
        <v>X</v>
      </c>
      <c r="I192" s="104" t="str">
        <f t="shared" ca="1" si="287"/>
        <v>X</v>
      </c>
      <c r="J192" s="104" t="str">
        <f t="shared" ca="1" si="287"/>
        <v>O</v>
      </c>
      <c r="K192" s="104" t="str">
        <f t="shared" ca="1" si="287"/>
        <v>X</v>
      </c>
      <c r="L192" s="104" t="str">
        <f t="shared" ca="1" si="287"/>
        <v>X</v>
      </c>
      <c r="M192" s="242" t="str">
        <f t="shared" ca="1" si="287"/>
        <v>O</v>
      </c>
      <c r="N192" s="242" t="str">
        <f t="shared" ca="1" si="287"/>
        <v>X</v>
      </c>
      <c r="O192" s="242" t="str">
        <f t="shared" ca="1" si="287"/>
        <v>X</v>
      </c>
      <c r="P192" s="242" t="str">
        <f t="shared" ca="1" si="287"/>
        <v>X</v>
      </c>
      <c r="Q192" s="242" t="str">
        <f t="shared" ca="1" si="287"/>
        <v>O</v>
      </c>
      <c r="R192" s="242" t="str">
        <f t="shared" si="287"/>
        <v>X</v>
      </c>
      <c r="S192" s="242" t="str">
        <f t="shared" si="287"/>
        <v>X</v>
      </c>
      <c r="T192" s="242" t="str">
        <f t="shared" si="287"/>
        <v>X</v>
      </c>
      <c r="U192" s="242" t="str">
        <f t="shared" si="287"/>
        <v>X</v>
      </c>
      <c r="V192" s="242" t="str">
        <f t="shared" si="287"/>
        <v>X</v>
      </c>
      <c r="W192" s="242" t="str">
        <f t="shared" si="287"/>
        <v>X</v>
      </c>
      <c r="X192" s="242" t="str">
        <f t="shared" si="287"/>
        <v>X</v>
      </c>
      <c r="Y192" s="242" t="str">
        <f t="shared" si="287"/>
        <v>X</v>
      </c>
      <c r="Z192" s="242" t="str">
        <f t="shared" si="287"/>
        <v>X</v>
      </c>
      <c r="AA192" s="242" t="str">
        <f t="shared" si="287"/>
        <v>X</v>
      </c>
      <c r="AB192" s="242" t="str">
        <f t="shared" si="287"/>
        <v>X</v>
      </c>
      <c r="AC192" s="242" t="str">
        <f t="shared" si="287"/>
        <v>X</v>
      </c>
      <c r="AD192" s="242" t="str">
        <f t="shared" si="287"/>
        <v>X</v>
      </c>
      <c r="AE192" s="242" t="str">
        <f t="shared" si="287"/>
        <v>X</v>
      </c>
      <c r="AF192" s="242" t="str">
        <f t="shared" si="287"/>
        <v>X</v>
      </c>
      <c r="AG192" s="242" t="str">
        <f t="shared" si="287"/>
        <v>X</v>
      </c>
      <c r="AH192" s="242" t="str">
        <f t="shared" si="287"/>
        <v>X</v>
      </c>
      <c r="AI192" s="242" t="str">
        <f t="shared" si="287"/>
        <v>X</v>
      </c>
      <c r="AJ192" s="242" t="str">
        <f t="shared" si="287"/>
        <v>X</v>
      </c>
      <c r="AK192" s="242" t="str">
        <f t="shared" si="287"/>
        <v>X</v>
      </c>
      <c r="AL192" s="308" t="str">
        <f t="shared" si="287"/>
        <v>X</v>
      </c>
      <c r="AM192" s="308" t="str">
        <f t="shared" si="287"/>
        <v>X</v>
      </c>
      <c r="AN192" s="308" t="str">
        <f t="shared" si="287"/>
        <v>X</v>
      </c>
      <c r="AO192" s="308" t="str">
        <f t="shared" si="287"/>
        <v>X</v>
      </c>
      <c r="AP192" s="308" t="str">
        <f t="shared" si="287"/>
        <v>X</v>
      </c>
      <c r="AQ192" s="308" t="str">
        <f t="shared" si="287"/>
        <v>X</v>
      </c>
      <c r="AR192" s="308" t="str">
        <f t="shared" si="287"/>
        <v>X</v>
      </c>
      <c r="AS192" s="308" t="str">
        <f t="shared" si="287"/>
        <v>X</v>
      </c>
      <c r="AT192" s="308" t="str">
        <f t="shared" si="287"/>
        <v>X</v>
      </c>
      <c r="AU192" s="308" t="str">
        <f t="shared" si="287"/>
        <v>X</v>
      </c>
      <c r="AV192" s="205"/>
      <c r="AW192" s="205"/>
      <c r="AX192" s="205"/>
      <c r="BI192" s="169"/>
      <c r="BK192" s="2"/>
      <c r="BL192" s="2"/>
      <c r="BM192" s="2"/>
      <c r="BN192" s="2"/>
      <c r="BO192" s="2"/>
      <c r="BP192" s="2"/>
    </row>
    <row r="193" spans="1:68">
      <c r="A193" s="518"/>
      <c r="B193" s="104" t="s">
        <v>566</v>
      </c>
      <c r="C193" s="104" t="str">
        <f t="shared" ref="C193:AU193" ca="1" si="288">IF(C8=1,"O",IF(C8=4,"O",IF(C8=8,"O",IF(C8=10,"O",IF(C8=14,"O",IF(C8=16,"O",IF(C8=20,"O",IF(C8=22,"O","X"))))))))</f>
        <v>X</v>
      </c>
      <c r="D193" s="104" t="str">
        <f t="shared" ca="1" si="288"/>
        <v>O</v>
      </c>
      <c r="E193" s="104" t="str">
        <f t="shared" ca="1" si="288"/>
        <v>O</v>
      </c>
      <c r="F193" s="104" t="str">
        <f t="shared" ca="1" si="288"/>
        <v>X</v>
      </c>
      <c r="G193" s="104" t="str">
        <f t="shared" ca="1" si="288"/>
        <v>X</v>
      </c>
      <c r="H193" s="104" t="str">
        <f t="shared" ca="1" si="288"/>
        <v>X</v>
      </c>
      <c r="I193" s="104" t="str">
        <f t="shared" ca="1" si="288"/>
        <v>X</v>
      </c>
      <c r="J193" s="104" t="str">
        <f t="shared" ca="1" si="288"/>
        <v>X</v>
      </c>
      <c r="K193" s="104" t="str">
        <f t="shared" ca="1" si="288"/>
        <v>O</v>
      </c>
      <c r="L193" s="104" t="str">
        <f t="shared" ca="1" si="288"/>
        <v>X</v>
      </c>
      <c r="M193" s="242" t="str">
        <f t="shared" ca="1" si="288"/>
        <v>X</v>
      </c>
      <c r="N193" s="242" t="str">
        <f t="shared" ca="1" si="288"/>
        <v>X</v>
      </c>
      <c r="O193" s="242" t="str">
        <f t="shared" ca="1" si="288"/>
        <v>X</v>
      </c>
      <c r="P193" s="242" t="str">
        <f t="shared" ca="1" si="288"/>
        <v>O</v>
      </c>
      <c r="Q193" s="242" t="str">
        <f t="shared" ca="1" si="288"/>
        <v>X</v>
      </c>
      <c r="R193" s="242" t="str">
        <f t="shared" si="288"/>
        <v>X</v>
      </c>
      <c r="S193" s="242" t="str">
        <f t="shared" si="288"/>
        <v>X</v>
      </c>
      <c r="T193" s="242" t="str">
        <f t="shared" si="288"/>
        <v>X</v>
      </c>
      <c r="U193" s="242" t="str">
        <f t="shared" si="288"/>
        <v>X</v>
      </c>
      <c r="V193" s="242" t="str">
        <f t="shared" si="288"/>
        <v>X</v>
      </c>
      <c r="W193" s="242" t="str">
        <f t="shared" si="288"/>
        <v>X</v>
      </c>
      <c r="X193" s="242" t="str">
        <f t="shared" si="288"/>
        <v>X</v>
      </c>
      <c r="Y193" s="242" t="str">
        <f t="shared" si="288"/>
        <v>X</v>
      </c>
      <c r="Z193" s="242" t="str">
        <f t="shared" si="288"/>
        <v>X</v>
      </c>
      <c r="AA193" s="242" t="str">
        <f t="shared" si="288"/>
        <v>X</v>
      </c>
      <c r="AB193" s="242" t="str">
        <f t="shared" si="288"/>
        <v>X</v>
      </c>
      <c r="AC193" s="242" t="str">
        <f t="shared" si="288"/>
        <v>X</v>
      </c>
      <c r="AD193" s="242" t="str">
        <f t="shared" si="288"/>
        <v>X</v>
      </c>
      <c r="AE193" s="242" t="str">
        <f t="shared" si="288"/>
        <v>X</v>
      </c>
      <c r="AF193" s="242" t="str">
        <f t="shared" si="288"/>
        <v>X</v>
      </c>
      <c r="AG193" s="242" t="str">
        <f t="shared" si="288"/>
        <v>X</v>
      </c>
      <c r="AH193" s="242" t="str">
        <f t="shared" si="288"/>
        <v>X</v>
      </c>
      <c r="AI193" s="242" t="str">
        <f t="shared" si="288"/>
        <v>X</v>
      </c>
      <c r="AJ193" s="242" t="str">
        <f t="shared" si="288"/>
        <v>X</v>
      </c>
      <c r="AK193" s="242" t="str">
        <f t="shared" si="288"/>
        <v>X</v>
      </c>
      <c r="AL193" s="308" t="str">
        <f t="shared" si="288"/>
        <v>X</v>
      </c>
      <c r="AM193" s="308" t="str">
        <f t="shared" si="288"/>
        <v>X</v>
      </c>
      <c r="AN193" s="308" t="str">
        <f t="shared" si="288"/>
        <v>X</v>
      </c>
      <c r="AO193" s="308" t="str">
        <f t="shared" si="288"/>
        <v>X</v>
      </c>
      <c r="AP193" s="308" t="str">
        <f t="shared" si="288"/>
        <v>X</v>
      </c>
      <c r="AQ193" s="308" t="str">
        <f t="shared" si="288"/>
        <v>X</v>
      </c>
      <c r="AR193" s="308" t="str">
        <f t="shared" si="288"/>
        <v>X</v>
      </c>
      <c r="AS193" s="308" t="str">
        <f t="shared" si="288"/>
        <v>X</v>
      </c>
      <c r="AT193" s="308" t="str">
        <f t="shared" si="288"/>
        <v>X</v>
      </c>
      <c r="AU193" s="308" t="str">
        <f t="shared" si="288"/>
        <v>X</v>
      </c>
      <c r="AV193" s="205"/>
      <c r="AW193" s="205"/>
      <c r="AX193" s="205"/>
      <c r="BI193" s="169"/>
      <c r="BK193" s="2"/>
      <c r="BL193" s="2"/>
      <c r="BM193" s="2"/>
      <c r="BN193" s="2"/>
      <c r="BO193" s="2"/>
      <c r="BP193" s="2"/>
    </row>
    <row r="194" spans="1:68">
      <c r="A194" s="518"/>
      <c r="B194" s="104" t="s">
        <v>567</v>
      </c>
      <c r="C194" s="104" t="str">
        <f t="shared" ref="C194:AU194" ca="1" si="289">IF(C9=1,"O",IF(C9=4,"O",IF(C9=8,"O",IF(C9=10,"O",IF(C9=14,"O",IF(C9=16,"O",IF(C9=20,"O",IF(C9=22,"O","X"))))))))</f>
        <v>X</v>
      </c>
      <c r="D194" s="104" t="str">
        <f t="shared" ca="1" si="289"/>
        <v>O</v>
      </c>
      <c r="E194" s="104" t="str">
        <f t="shared" ca="1" si="289"/>
        <v>X</v>
      </c>
      <c r="F194" s="104" t="str">
        <f t="shared" ca="1" si="289"/>
        <v>X</v>
      </c>
      <c r="G194" s="104" t="str">
        <f t="shared" ca="1" si="289"/>
        <v>X</v>
      </c>
      <c r="H194" s="104" t="str">
        <f t="shared" ca="1" si="289"/>
        <v>X</v>
      </c>
      <c r="I194" s="104" t="str">
        <f t="shared" ca="1" si="289"/>
        <v>O</v>
      </c>
      <c r="J194" s="104" t="str">
        <f t="shared" ca="1" si="289"/>
        <v>X</v>
      </c>
      <c r="K194" s="104" t="str">
        <f t="shared" ca="1" si="289"/>
        <v>O</v>
      </c>
      <c r="L194" s="104" t="str">
        <f t="shared" ca="1" si="289"/>
        <v>X</v>
      </c>
      <c r="M194" s="242" t="str">
        <f t="shared" ca="1" si="289"/>
        <v>X</v>
      </c>
      <c r="N194" s="242" t="str">
        <f t="shared" ca="1" si="289"/>
        <v>X</v>
      </c>
      <c r="O194" s="242" t="str">
        <f t="shared" ca="1" si="289"/>
        <v>O</v>
      </c>
      <c r="P194" s="242" t="str">
        <f t="shared" ca="1" si="289"/>
        <v>X</v>
      </c>
      <c r="Q194" s="242" t="str">
        <f t="shared" ca="1" si="289"/>
        <v>O</v>
      </c>
      <c r="R194" s="242" t="str">
        <f t="shared" si="289"/>
        <v>X</v>
      </c>
      <c r="S194" s="242" t="str">
        <f t="shared" si="289"/>
        <v>X</v>
      </c>
      <c r="T194" s="242" t="str">
        <f t="shared" si="289"/>
        <v>X</v>
      </c>
      <c r="U194" s="242" t="str">
        <f t="shared" si="289"/>
        <v>X</v>
      </c>
      <c r="V194" s="242" t="str">
        <f t="shared" si="289"/>
        <v>X</v>
      </c>
      <c r="W194" s="242" t="str">
        <f t="shared" si="289"/>
        <v>X</v>
      </c>
      <c r="X194" s="242" t="str">
        <f t="shared" si="289"/>
        <v>X</v>
      </c>
      <c r="Y194" s="242" t="str">
        <f t="shared" si="289"/>
        <v>X</v>
      </c>
      <c r="Z194" s="242" t="str">
        <f t="shared" si="289"/>
        <v>X</v>
      </c>
      <c r="AA194" s="242" t="str">
        <f t="shared" si="289"/>
        <v>X</v>
      </c>
      <c r="AB194" s="242" t="str">
        <f t="shared" si="289"/>
        <v>X</v>
      </c>
      <c r="AC194" s="242" t="str">
        <f t="shared" si="289"/>
        <v>X</v>
      </c>
      <c r="AD194" s="242" t="str">
        <f t="shared" si="289"/>
        <v>X</v>
      </c>
      <c r="AE194" s="242" t="str">
        <f t="shared" si="289"/>
        <v>X</v>
      </c>
      <c r="AF194" s="242" t="str">
        <f t="shared" si="289"/>
        <v>X</v>
      </c>
      <c r="AG194" s="242" t="str">
        <f t="shared" si="289"/>
        <v>X</v>
      </c>
      <c r="AH194" s="242" t="str">
        <f t="shared" si="289"/>
        <v>X</v>
      </c>
      <c r="AI194" s="242" t="str">
        <f t="shared" si="289"/>
        <v>X</v>
      </c>
      <c r="AJ194" s="242" t="str">
        <f t="shared" si="289"/>
        <v>X</v>
      </c>
      <c r="AK194" s="242" t="str">
        <f t="shared" si="289"/>
        <v>X</v>
      </c>
      <c r="AL194" s="308" t="str">
        <f t="shared" si="289"/>
        <v>X</v>
      </c>
      <c r="AM194" s="308" t="str">
        <f t="shared" si="289"/>
        <v>X</v>
      </c>
      <c r="AN194" s="308" t="str">
        <f t="shared" si="289"/>
        <v>X</v>
      </c>
      <c r="AO194" s="308" t="str">
        <f t="shared" si="289"/>
        <v>X</v>
      </c>
      <c r="AP194" s="308" t="str">
        <f t="shared" si="289"/>
        <v>X</v>
      </c>
      <c r="AQ194" s="308" t="str">
        <f t="shared" si="289"/>
        <v>X</v>
      </c>
      <c r="AR194" s="308" t="str">
        <f t="shared" si="289"/>
        <v>X</v>
      </c>
      <c r="AS194" s="308" t="str">
        <f t="shared" si="289"/>
        <v>X</v>
      </c>
      <c r="AT194" s="308" t="str">
        <f t="shared" si="289"/>
        <v>X</v>
      </c>
      <c r="AU194" s="308" t="str">
        <f t="shared" si="289"/>
        <v>X</v>
      </c>
      <c r="AV194" s="205"/>
      <c r="AW194" s="205"/>
      <c r="AX194" s="205"/>
      <c r="BI194" s="169"/>
      <c r="BK194" s="2"/>
      <c r="BL194" s="2"/>
      <c r="BM194" s="2"/>
      <c r="BN194" s="2"/>
      <c r="BO194" s="2"/>
      <c r="BP194" s="2"/>
    </row>
    <row r="195" spans="1:68">
      <c r="A195" s="518"/>
      <c r="B195" s="104" t="s">
        <v>568</v>
      </c>
      <c r="C195" s="104" t="str">
        <f t="shared" ref="C195:AU195" ca="1" si="290">IF(C10=1,"O",IF(C10=4,"O",IF(C10=8,"O",IF(C10=10,"O",IF(C10=14,"O",IF(C10=16,"O",IF(C10=20,"O",IF(C10=22,"O","X"))))))))</f>
        <v>X</v>
      </c>
      <c r="D195" s="104" t="str">
        <f t="shared" ca="1" si="290"/>
        <v>X</v>
      </c>
      <c r="E195" s="104" t="str">
        <f t="shared" ca="1" si="290"/>
        <v>X</v>
      </c>
      <c r="F195" s="104" t="str">
        <f t="shared" ca="1" si="290"/>
        <v>X</v>
      </c>
      <c r="G195" s="104" t="str">
        <f t="shared" ca="1" si="290"/>
        <v>X</v>
      </c>
      <c r="H195" s="104" t="str">
        <f t="shared" ca="1" si="290"/>
        <v>X</v>
      </c>
      <c r="I195" s="104" t="str">
        <f t="shared" ca="1" si="290"/>
        <v>X</v>
      </c>
      <c r="J195" s="104" t="str">
        <f t="shared" ca="1" si="290"/>
        <v>X</v>
      </c>
      <c r="K195" s="104" t="str">
        <f t="shared" ca="1" si="290"/>
        <v>X</v>
      </c>
      <c r="L195" s="104" t="str">
        <f t="shared" ca="1" si="290"/>
        <v>X</v>
      </c>
      <c r="M195" s="242" t="str">
        <f t="shared" ca="1" si="290"/>
        <v>O</v>
      </c>
      <c r="N195" s="242" t="str">
        <f t="shared" ca="1" si="290"/>
        <v>O</v>
      </c>
      <c r="O195" s="242" t="str">
        <f t="shared" ca="1" si="290"/>
        <v>O</v>
      </c>
      <c r="P195" s="242" t="str">
        <f t="shared" ca="1" si="290"/>
        <v>O</v>
      </c>
      <c r="Q195" s="242" t="str">
        <f t="shared" ca="1" si="290"/>
        <v>X</v>
      </c>
      <c r="R195" s="242" t="str">
        <f t="shared" si="290"/>
        <v>X</v>
      </c>
      <c r="S195" s="242" t="str">
        <f t="shared" si="290"/>
        <v>X</v>
      </c>
      <c r="T195" s="242" t="str">
        <f t="shared" si="290"/>
        <v>X</v>
      </c>
      <c r="U195" s="242" t="str">
        <f t="shared" si="290"/>
        <v>X</v>
      </c>
      <c r="V195" s="242" t="str">
        <f t="shared" si="290"/>
        <v>X</v>
      </c>
      <c r="W195" s="242" t="str">
        <f t="shared" si="290"/>
        <v>X</v>
      </c>
      <c r="X195" s="242" t="str">
        <f t="shared" si="290"/>
        <v>X</v>
      </c>
      <c r="Y195" s="242" t="str">
        <f t="shared" si="290"/>
        <v>X</v>
      </c>
      <c r="Z195" s="242" t="str">
        <f t="shared" si="290"/>
        <v>X</v>
      </c>
      <c r="AA195" s="242" t="str">
        <f t="shared" si="290"/>
        <v>X</v>
      </c>
      <c r="AB195" s="242" t="str">
        <f t="shared" si="290"/>
        <v>X</v>
      </c>
      <c r="AC195" s="242" t="str">
        <f t="shared" si="290"/>
        <v>X</v>
      </c>
      <c r="AD195" s="242" t="str">
        <f t="shared" si="290"/>
        <v>X</v>
      </c>
      <c r="AE195" s="242" t="str">
        <f t="shared" si="290"/>
        <v>X</v>
      </c>
      <c r="AF195" s="242" t="str">
        <f t="shared" si="290"/>
        <v>X</v>
      </c>
      <c r="AG195" s="242" t="str">
        <f t="shared" si="290"/>
        <v>X</v>
      </c>
      <c r="AH195" s="242" t="str">
        <f t="shared" si="290"/>
        <v>X</v>
      </c>
      <c r="AI195" s="242" t="str">
        <f t="shared" si="290"/>
        <v>X</v>
      </c>
      <c r="AJ195" s="242" t="str">
        <f t="shared" si="290"/>
        <v>X</v>
      </c>
      <c r="AK195" s="242" t="str">
        <f t="shared" si="290"/>
        <v>X</v>
      </c>
      <c r="AL195" s="308" t="str">
        <f t="shared" si="290"/>
        <v>X</v>
      </c>
      <c r="AM195" s="308" t="str">
        <f t="shared" si="290"/>
        <v>X</v>
      </c>
      <c r="AN195" s="308" t="str">
        <f t="shared" si="290"/>
        <v>X</v>
      </c>
      <c r="AO195" s="308" t="str">
        <f t="shared" si="290"/>
        <v>X</v>
      </c>
      <c r="AP195" s="308" t="str">
        <f t="shared" si="290"/>
        <v>X</v>
      </c>
      <c r="AQ195" s="308" t="str">
        <f t="shared" si="290"/>
        <v>X</v>
      </c>
      <c r="AR195" s="308" t="str">
        <f t="shared" si="290"/>
        <v>X</v>
      </c>
      <c r="AS195" s="308" t="str">
        <f t="shared" si="290"/>
        <v>X</v>
      </c>
      <c r="AT195" s="308" t="str">
        <f t="shared" si="290"/>
        <v>X</v>
      </c>
      <c r="AU195" s="308" t="str">
        <f t="shared" si="290"/>
        <v>X</v>
      </c>
      <c r="AV195" s="205"/>
      <c r="AW195" s="205"/>
      <c r="AX195" s="205"/>
      <c r="BI195" s="151"/>
      <c r="BK195" s="2"/>
      <c r="BL195" s="2"/>
      <c r="BM195" s="2"/>
      <c r="BN195" s="2"/>
      <c r="BO195" s="2"/>
      <c r="BP195" s="2"/>
    </row>
    <row r="196" spans="1:68">
      <c r="A196" s="518"/>
      <c r="B196" s="104" t="s">
        <v>569</v>
      </c>
      <c r="C196" s="104" t="str">
        <f t="shared" ref="C196:AU196" ca="1" si="291">IF(C11=1,"O",IF(C11=4,"O",IF(C11=8,"O",IF(C11=10,"O",IF(C11=14,"O",IF(C11=16,"O",IF(C11=20,"O",IF(C11=22,"O","X"))))))))</f>
        <v>X</v>
      </c>
      <c r="D196" s="104" t="str">
        <f t="shared" ca="1" si="291"/>
        <v>X</v>
      </c>
      <c r="E196" s="104" t="str">
        <f t="shared" ca="1" si="291"/>
        <v>X</v>
      </c>
      <c r="F196" s="104" t="str">
        <f t="shared" ca="1" si="291"/>
        <v>X</v>
      </c>
      <c r="G196" s="104" t="str">
        <f t="shared" ca="1" si="291"/>
        <v>O</v>
      </c>
      <c r="H196" s="104" t="str">
        <f t="shared" ca="1" si="291"/>
        <v>X</v>
      </c>
      <c r="I196" s="104" t="str">
        <f t="shared" ca="1" si="291"/>
        <v>O</v>
      </c>
      <c r="J196" s="104" t="str">
        <f t="shared" ca="1" si="291"/>
        <v>X</v>
      </c>
      <c r="K196" s="104" t="str">
        <f t="shared" ca="1" si="291"/>
        <v>O</v>
      </c>
      <c r="L196" s="104" t="str">
        <f t="shared" ca="1" si="291"/>
        <v>X</v>
      </c>
      <c r="M196" s="242" t="str">
        <f t="shared" ca="1" si="291"/>
        <v>X</v>
      </c>
      <c r="N196" s="242" t="str">
        <f t="shared" ca="1" si="291"/>
        <v>O</v>
      </c>
      <c r="O196" s="242" t="str">
        <f t="shared" ca="1" si="291"/>
        <v>X</v>
      </c>
      <c r="P196" s="242" t="str">
        <f t="shared" ca="1" si="291"/>
        <v>X</v>
      </c>
      <c r="Q196" s="242" t="str">
        <f t="shared" ca="1" si="291"/>
        <v>X</v>
      </c>
      <c r="R196" s="242" t="str">
        <f t="shared" si="291"/>
        <v>X</v>
      </c>
      <c r="S196" s="242" t="str">
        <f t="shared" si="291"/>
        <v>X</v>
      </c>
      <c r="T196" s="242" t="str">
        <f t="shared" si="291"/>
        <v>X</v>
      </c>
      <c r="U196" s="242" t="str">
        <f t="shared" si="291"/>
        <v>X</v>
      </c>
      <c r="V196" s="242" t="str">
        <f t="shared" si="291"/>
        <v>X</v>
      </c>
      <c r="W196" s="242" t="str">
        <f t="shared" si="291"/>
        <v>X</v>
      </c>
      <c r="X196" s="242" t="str">
        <f t="shared" si="291"/>
        <v>X</v>
      </c>
      <c r="Y196" s="242" t="str">
        <f t="shared" si="291"/>
        <v>X</v>
      </c>
      <c r="Z196" s="242" t="str">
        <f t="shared" si="291"/>
        <v>X</v>
      </c>
      <c r="AA196" s="242" t="str">
        <f t="shared" si="291"/>
        <v>X</v>
      </c>
      <c r="AB196" s="242" t="str">
        <f t="shared" si="291"/>
        <v>X</v>
      </c>
      <c r="AC196" s="242" t="str">
        <f t="shared" si="291"/>
        <v>X</v>
      </c>
      <c r="AD196" s="242" t="str">
        <f t="shared" si="291"/>
        <v>X</v>
      </c>
      <c r="AE196" s="242" t="str">
        <f t="shared" si="291"/>
        <v>X</v>
      </c>
      <c r="AF196" s="242" t="str">
        <f t="shared" si="291"/>
        <v>X</v>
      </c>
      <c r="AG196" s="242" t="str">
        <f t="shared" si="291"/>
        <v>X</v>
      </c>
      <c r="AH196" s="242" t="str">
        <f t="shared" si="291"/>
        <v>X</v>
      </c>
      <c r="AI196" s="242" t="str">
        <f t="shared" si="291"/>
        <v>X</v>
      </c>
      <c r="AJ196" s="242" t="str">
        <f t="shared" si="291"/>
        <v>X</v>
      </c>
      <c r="AK196" s="242" t="str">
        <f t="shared" si="291"/>
        <v>X</v>
      </c>
      <c r="AL196" s="308" t="str">
        <f t="shared" si="291"/>
        <v>X</v>
      </c>
      <c r="AM196" s="308" t="str">
        <f t="shared" si="291"/>
        <v>X</v>
      </c>
      <c r="AN196" s="308" t="str">
        <f t="shared" si="291"/>
        <v>X</v>
      </c>
      <c r="AO196" s="308" t="str">
        <f t="shared" si="291"/>
        <v>X</v>
      </c>
      <c r="AP196" s="308" t="str">
        <f t="shared" si="291"/>
        <v>X</v>
      </c>
      <c r="AQ196" s="308" t="str">
        <f t="shared" si="291"/>
        <v>X</v>
      </c>
      <c r="AR196" s="308" t="str">
        <f t="shared" si="291"/>
        <v>X</v>
      </c>
      <c r="AS196" s="308" t="str">
        <f t="shared" si="291"/>
        <v>X</v>
      </c>
      <c r="AT196" s="308" t="str">
        <f t="shared" si="291"/>
        <v>X</v>
      </c>
      <c r="AU196" s="308" t="str">
        <f t="shared" si="291"/>
        <v>X</v>
      </c>
      <c r="AV196" s="205"/>
      <c r="AW196" s="205"/>
      <c r="AX196" s="205"/>
      <c r="BI196" s="150"/>
      <c r="BK196" s="2"/>
      <c r="BL196" s="2"/>
      <c r="BM196" s="2"/>
      <c r="BN196" s="2"/>
      <c r="BO196" s="2"/>
      <c r="BP196" s="2"/>
    </row>
    <row r="197" spans="1:68">
      <c r="A197" s="518"/>
      <c r="B197" s="93" t="s">
        <v>540</v>
      </c>
      <c r="C197" s="93" t="str">
        <f t="shared" ref="C197:AU197" ca="1" si="292">IF(C12=1,"O",IF(C12=4,"O",IF(C12=8,"O",IF(C12=10,"O",IF(C12=14,"O",IF(C12=16,"O",IF(C12=20,"O",IF(C12=22,"O","X"))))))))</f>
        <v>X</v>
      </c>
      <c r="D197" s="93" t="str">
        <f t="shared" ca="1" si="292"/>
        <v>X</v>
      </c>
      <c r="E197" s="93" t="str">
        <f t="shared" ca="1" si="292"/>
        <v>X</v>
      </c>
      <c r="F197" s="93" t="str">
        <f t="shared" ca="1" si="292"/>
        <v>X</v>
      </c>
      <c r="G197" s="93" t="str">
        <f t="shared" ca="1" si="292"/>
        <v>X</v>
      </c>
      <c r="H197" s="93" t="str">
        <f t="shared" ca="1" si="292"/>
        <v>X</v>
      </c>
      <c r="I197" s="93" t="str">
        <f t="shared" ca="1" si="292"/>
        <v>O</v>
      </c>
      <c r="J197" s="93" t="str">
        <f t="shared" ca="1" si="292"/>
        <v>X</v>
      </c>
      <c r="K197" s="93" t="str">
        <f t="shared" ca="1" si="292"/>
        <v>X</v>
      </c>
      <c r="L197" s="93" t="str">
        <f t="shared" ca="1" si="292"/>
        <v>O</v>
      </c>
      <c r="M197" s="243" t="str">
        <f t="shared" ca="1" si="292"/>
        <v>X</v>
      </c>
      <c r="N197" s="243" t="str">
        <f t="shared" ca="1" si="292"/>
        <v>X</v>
      </c>
      <c r="O197" s="243" t="str">
        <f t="shared" ca="1" si="292"/>
        <v>X</v>
      </c>
      <c r="P197" s="243" t="str">
        <f t="shared" ca="1" si="292"/>
        <v>O</v>
      </c>
      <c r="Q197" s="243" t="str">
        <f t="shared" ca="1" si="292"/>
        <v>X</v>
      </c>
      <c r="R197" s="243" t="str">
        <f t="shared" si="292"/>
        <v>X</v>
      </c>
      <c r="S197" s="243" t="str">
        <f t="shared" si="292"/>
        <v>X</v>
      </c>
      <c r="T197" s="243" t="str">
        <f t="shared" si="292"/>
        <v>X</v>
      </c>
      <c r="U197" s="243" t="str">
        <f t="shared" si="292"/>
        <v>X</v>
      </c>
      <c r="V197" s="243" t="str">
        <f t="shared" si="292"/>
        <v>X</v>
      </c>
      <c r="W197" s="243" t="str">
        <f t="shared" si="292"/>
        <v>X</v>
      </c>
      <c r="X197" s="243" t="str">
        <f t="shared" si="292"/>
        <v>X</v>
      </c>
      <c r="Y197" s="243" t="str">
        <f t="shared" si="292"/>
        <v>X</v>
      </c>
      <c r="Z197" s="243" t="str">
        <f t="shared" si="292"/>
        <v>X</v>
      </c>
      <c r="AA197" s="243" t="str">
        <f t="shared" si="292"/>
        <v>X</v>
      </c>
      <c r="AB197" s="243" t="str">
        <f t="shared" si="292"/>
        <v>X</v>
      </c>
      <c r="AC197" s="243" t="str">
        <f t="shared" si="292"/>
        <v>X</v>
      </c>
      <c r="AD197" s="243" t="str">
        <f t="shared" si="292"/>
        <v>X</v>
      </c>
      <c r="AE197" s="243" t="str">
        <f t="shared" si="292"/>
        <v>X</v>
      </c>
      <c r="AF197" s="243" t="str">
        <f t="shared" si="292"/>
        <v>X</v>
      </c>
      <c r="AG197" s="243" t="str">
        <f t="shared" si="292"/>
        <v>X</v>
      </c>
      <c r="AH197" s="243" t="str">
        <f t="shared" si="292"/>
        <v>X</v>
      </c>
      <c r="AI197" s="243" t="str">
        <f t="shared" si="292"/>
        <v>X</v>
      </c>
      <c r="AJ197" s="243" t="str">
        <f t="shared" si="292"/>
        <v>X</v>
      </c>
      <c r="AK197" s="243" t="str">
        <f t="shared" si="292"/>
        <v>X</v>
      </c>
      <c r="AL197" s="309" t="str">
        <f t="shared" si="292"/>
        <v>X</v>
      </c>
      <c r="AM197" s="309" t="str">
        <f t="shared" si="292"/>
        <v>X</v>
      </c>
      <c r="AN197" s="309" t="str">
        <f t="shared" si="292"/>
        <v>X</v>
      </c>
      <c r="AO197" s="309" t="str">
        <f t="shared" si="292"/>
        <v>X</v>
      </c>
      <c r="AP197" s="309" t="str">
        <f t="shared" si="292"/>
        <v>X</v>
      </c>
      <c r="AQ197" s="309" t="str">
        <f t="shared" si="292"/>
        <v>X</v>
      </c>
      <c r="AR197" s="309" t="str">
        <f t="shared" si="292"/>
        <v>X</v>
      </c>
      <c r="AS197" s="309" t="str">
        <f t="shared" si="292"/>
        <v>X</v>
      </c>
      <c r="AT197" s="309" t="str">
        <f t="shared" si="292"/>
        <v>X</v>
      </c>
      <c r="AU197" s="309" t="str">
        <f t="shared" si="292"/>
        <v>X</v>
      </c>
      <c r="AV197" s="259"/>
      <c r="AW197" s="259"/>
      <c r="AX197" s="259"/>
      <c r="BI197" s="150"/>
      <c r="BK197" s="2"/>
      <c r="BL197" s="2"/>
      <c r="BM197" s="2"/>
      <c r="BN197" s="2"/>
      <c r="BO197" s="2"/>
      <c r="BP197" s="2"/>
    </row>
    <row r="198" spans="1:68">
      <c r="A198" s="518"/>
      <c r="B198" s="104" t="s">
        <v>654</v>
      </c>
      <c r="C198" s="104" t="str">
        <f t="shared" ref="C198:AU198" ca="1" si="293">IF(C7=25,"O",IF(C7=26,"O",IF(C7=28,"O",IF(C7=32,"O",IF(C7=34,"O",IF(C7=35,"O",IF(C7=38,"O",IF(C7=44,"O","X"))))))))</f>
        <v>O</v>
      </c>
      <c r="D198" s="104" t="str">
        <f t="shared" ca="1" si="293"/>
        <v>O</v>
      </c>
      <c r="E198" s="104" t="str">
        <f t="shared" ca="1" si="293"/>
        <v>X</v>
      </c>
      <c r="F198" s="104" t="str">
        <f t="shared" ca="1" si="293"/>
        <v>O</v>
      </c>
      <c r="G198" s="104" t="str">
        <f t="shared" ca="1" si="293"/>
        <v>X</v>
      </c>
      <c r="H198" s="104" t="str">
        <f t="shared" ca="1" si="293"/>
        <v>X</v>
      </c>
      <c r="I198" s="104" t="str">
        <f t="shared" ca="1" si="293"/>
        <v>X</v>
      </c>
      <c r="J198" s="104" t="str">
        <f t="shared" ca="1" si="293"/>
        <v>X</v>
      </c>
      <c r="K198" s="104" t="str">
        <f t="shared" ca="1" si="293"/>
        <v>X</v>
      </c>
      <c r="L198" s="104" t="str">
        <f t="shared" ca="1" si="293"/>
        <v>X</v>
      </c>
      <c r="M198" s="242" t="str">
        <f t="shared" ca="1" si="293"/>
        <v>X</v>
      </c>
      <c r="N198" s="242" t="str">
        <f t="shared" ca="1" si="293"/>
        <v>X</v>
      </c>
      <c r="O198" s="242" t="str">
        <f t="shared" ca="1" si="293"/>
        <v>X</v>
      </c>
      <c r="P198" s="242" t="str">
        <f t="shared" ca="1" si="293"/>
        <v>X</v>
      </c>
      <c r="Q198" s="242" t="str">
        <f t="shared" ca="1" si="293"/>
        <v>X</v>
      </c>
      <c r="R198" s="242" t="str">
        <f t="shared" si="293"/>
        <v>X</v>
      </c>
      <c r="S198" s="242" t="str">
        <f t="shared" si="293"/>
        <v>X</v>
      </c>
      <c r="T198" s="242" t="str">
        <f t="shared" si="293"/>
        <v>X</v>
      </c>
      <c r="U198" s="242" t="str">
        <f t="shared" si="293"/>
        <v>X</v>
      </c>
      <c r="V198" s="242" t="str">
        <f t="shared" si="293"/>
        <v>X</v>
      </c>
      <c r="W198" s="242" t="str">
        <f t="shared" si="293"/>
        <v>X</v>
      </c>
      <c r="X198" s="242" t="str">
        <f t="shared" si="293"/>
        <v>X</v>
      </c>
      <c r="Y198" s="242" t="str">
        <f t="shared" si="293"/>
        <v>X</v>
      </c>
      <c r="Z198" s="242" t="str">
        <f t="shared" si="293"/>
        <v>X</v>
      </c>
      <c r="AA198" s="242" t="str">
        <f t="shared" si="293"/>
        <v>X</v>
      </c>
      <c r="AB198" s="242" t="str">
        <f t="shared" si="293"/>
        <v>X</v>
      </c>
      <c r="AC198" s="242" t="str">
        <f t="shared" si="293"/>
        <v>X</v>
      </c>
      <c r="AD198" s="242" t="str">
        <f t="shared" si="293"/>
        <v>X</v>
      </c>
      <c r="AE198" s="242" t="str">
        <f t="shared" si="293"/>
        <v>X</v>
      </c>
      <c r="AF198" s="242" t="str">
        <f t="shared" si="293"/>
        <v>X</v>
      </c>
      <c r="AG198" s="242" t="str">
        <f t="shared" si="293"/>
        <v>X</v>
      </c>
      <c r="AH198" s="242" t="str">
        <f t="shared" si="293"/>
        <v>X</v>
      </c>
      <c r="AI198" s="242" t="str">
        <f t="shared" si="293"/>
        <v>X</v>
      </c>
      <c r="AJ198" s="242" t="str">
        <f t="shared" si="293"/>
        <v>X</v>
      </c>
      <c r="AK198" s="242" t="str">
        <f t="shared" si="293"/>
        <v>X</v>
      </c>
      <c r="AL198" s="308" t="str">
        <f t="shared" si="293"/>
        <v>X</v>
      </c>
      <c r="AM198" s="308" t="str">
        <f t="shared" si="293"/>
        <v>X</v>
      </c>
      <c r="AN198" s="308" t="str">
        <f t="shared" si="293"/>
        <v>X</v>
      </c>
      <c r="AO198" s="308" t="str">
        <f t="shared" si="293"/>
        <v>X</v>
      </c>
      <c r="AP198" s="308" t="str">
        <f t="shared" si="293"/>
        <v>X</v>
      </c>
      <c r="AQ198" s="308" t="str">
        <f t="shared" si="293"/>
        <v>X</v>
      </c>
      <c r="AR198" s="308" t="str">
        <f t="shared" si="293"/>
        <v>X</v>
      </c>
      <c r="AS198" s="308" t="str">
        <f t="shared" si="293"/>
        <v>X</v>
      </c>
      <c r="AT198" s="308" t="str">
        <f t="shared" si="293"/>
        <v>X</v>
      </c>
      <c r="AU198" s="308" t="str">
        <f t="shared" si="293"/>
        <v>X</v>
      </c>
      <c r="AV198" s="205"/>
      <c r="AW198" s="205"/>
      <c r="AX198" s="205"/>
      <c r="BI198" s="150"/>
      <c r="BK198" s="2"/>
      <c r="BL198" s="2"/>
      <c r="BM198" s="2"/>
      <c r="BN198" s="2"/>
      <c r="BO198" s="2"/>
      <c r="BP198" s="2"/>
    </row>
    <row r="199" spans="1:68">
      <c r="A199" s="518"/>
      <c r="B199" s="104" t="s">
        <v>655</v>
      </c>
      <c r="C199" s="104" t="str">
        <f t="shared" ref="C199:AU199" ca="1" si="294">IF(C8=25,"O",IF(C8=26,"O",IF(C8=28,"O",IF(C8=32,"O",IF(C8=34,"O",IF(C8=35,"O",IF(C8=38,"O",IF(C8=44,"O","X"))))))))</f>
        <v>X</v>
      </c>
      <c r="D199" s="104" t="str">
        <f t="shared" ca="1" si="294"/>
        <v>X</v>
      </c>
      <c r="E199" s="104" t="str">
        <f t="shared" ca="1" si="294"/>
        <v>X</v>
      </c>
      <c r="F199" s="104" t="str">
        <f t="shared" ca="1" si="294"/>
        <v>O</v>
      </c>
      <c r="G199" s="104" t="str">
        <f t="shared" ca="1" si="294"/>
        <v>O</v>
      </c>
      <c r="H199" s="104" t="str">
        <f t="shared" ca="1" si="294"/>
        <v>O</v>
      </c>
      <c r="I199" s="104" t="str">
        <f t="shared" ca="1" si="294"/>
        <v>X</v>
      </c>
      <c r="J199" s="104" t="str">
        <f t="shared" ca="1" si="294"/>
        <v>O</v>
      </c>
      <c r="K199" s="104" t="str">
        <f t="shared" ca="1" si="294"/>
        <v>X</v>
      </c>
      <c r="L199" s="104" t="str">
        <f t="shared" ca="1" si="294"/>
        <v>X</v>
      </c>
      <c r="M199" s="242" t="str">
        <f t="shared" ca="1" si="294"/>
        <v>X</v>
      </c>
      <c r="N199" s="242" t="str">
        <f t="shared" ca="1" si="294"/>
        <v>X</v>
      </c>
      <c r="O199" s="242" t="str">
        <f t="shared" ca="1" si="294"/>
        <v>X</v>
      </c>
      <c r="P199" s="242" t="str">
        <f t="shared" ca="1" si="294"/>
        <v>X</v>
      </c>
      <c r="Q199" s="242" t="str">
        <f t="shared" ca="1" si="294"/>
        <v>X</v>
      </c>
      <c r="R199" s="242" t="str">
        <f t="shared" si="294"/>
        <v>X</v>
      </c>
      <c r="S199" s="242" t="str">
        <f t="shared" si="294"/>
        <v>X</v>
      </c>
      <c r="T199" s="242" t="str">
        <f t="shared" si="294"/>
        <v>X</v>
      </c>
      <c r="U199" s="242" t="str">
        <f t="shared" si="294"/>
        <v>X</v>
      </c>
      <c r="V199" s="242" t="str">
        <f t="shared" si="294"/>
        <v>X</v>
      </c>
      <c r="W199" s="242" t="str">
        <f t="shared" si="294"/>
        <v>X</v>
      </c>
      <c r="X199" s="242" t="str">
        <f t="shared" si="294"/>
        <v>X</v>
      </c>
      <c r="Y199" s="242" t="str">
        <f t="shared" si="294"/>
        <v>X</v>
      </c>
      <c r="Z199" s="242" t="str">
        <f t="shared" si="294"/>
        <v>X</v>
      </c>
      <c r="AA199" s="242" t="str">
        <f t="shared" si="294"/>
        <v>X</v>
      </c>
      <c r="AB199" s="242" t="str">
        <f t="shared" si="294"/>
        <v>X</v>
      </c>
      <c r="AC199" s="242" t="str">
        <f t="shared" si="294"/>
        <v>X</v>
      </c>
      <c r="AD199" s="242" t="str">
        <f t="shared" si="294"/>
        <v>X</v>
      </c>
      <c r="AE199" s="242" t="str">
        <f t="shared" si="294"/>
        <v>X</v>
      </c>
      <c r="AF199" s="242" t="str">
        <f t="shared" si="294"/>
        <v>X</v>
      </c>
      <c r="AG199" s="242" t="str">
        <f t="shared" si="294"/>
        <v>X</v>
      </c>
      <c r="AH199" s="242" t="str">
        <f t="shared" si="294"/>
        <v>X</v>
      </c>
      <c r="AI199" s="242" t="str">
        <f t="shared" si="294"/>
        <v>X</v>
      </c>
      <c r="AJ199" s="242" t="str">
        <f t="shared" si="294"/>
        <v>X</v>
      </c>
      <c r="AK199" s="242" t="str">
        <f t="shared" si="294"/>
        <v>X</v>
      </c>
      <c r="AL199" s="308" t="str">
        <f t="shared" si="294"/>
        <v>X</v>
      </c>
      <c r="AM199" s="308" t="str">
        <f t="shared" si="294"/>
        <v>X</v>
      </c>
      <c r="AN199" s="308" t="str">
        <f t="shared" si="294"/>
        <v>X</v>
      </c>
      <c r="AO199" s="308" t="str">
        <f t="shared" si="294"/>
        <v>X</v>
      </c>
      <c r="AP199" s="308" t="str">
        <f t="shared" si="294"/>
        <v>X</v>
      </c>
      <c r="AQ199" s="308" t="str">
        <f t="shared" si="294"/>
        <v>X</v>
      </c>
      <c r="AR199" s="308" t="str">
        <f t="shared" si="294"/>
        <v>X</v>
      </c>
      <c r="AS199" s="308" t="str">
        <f t="shared" si="294"/>
        <v>X</v>
      </c>
      <c r="AT199" s="308" t="str">
        <f t="shared" si="294"/>
        <v>X</v>
      </c>
      <c r="AU199" s="308" t="str">
        <f t="shared" si="294"/>
        <v>X</v>
      </c>
      <c r="AV199" s="205"/>
      <c r="AW199" s="205"/>
      <c r="AX199" s="205"/>
      <c r="BC199" s="283"/>
      <c r="BD199" s="283"/>
      <c r="BI199" s="150"/>
    </row>
    <row r="200" spans="1:68">
      <c r="A200" s="518"/>
      <c r="B200" s="104" t="s">
        <v>656</v>
      </c>
      <c r="C200" s="104" t="str">
        <f t="shared" ref="C200:AU200" ca="1" si="295">IF(C9=25,"O",IF(C9=26,"O",IF(C9=28,"O",IF(C9=32,"O",IF(C9=34,"O",IF(C9=35,"O",IF(C9=38,"O",IF(C9=44,"O","X"))))))))</f>
        <v>O</v>
      </c>
      <c r="D200" s="104" t="str">
        <f t="shared" ca="1" si="295"/>
        <v>X</v>
      </c>
      <c r="E200" s="104" t="str">
        <f t="shared" ca="1" si="295"/>
        <v>X</v>
      </c>
      <c r="F200" s="104" t="str">
        <f t="shared" ca="1" si="295"/>
        <v>O</v>
      </c>
      <c r="G200" s="104" t="str">
        <f t="shared" ca="1" si="295"/>
        <v>O</v>
      </c>
      <c r="H200" s="104" t="str">
        <f t="shared" ca="1" si="295"/>
        <v>X</v>
      </c>
      <c r="I200" s="104" t="str">
        <f t="shared" ca="1" si="295"/>
        <v>X</v>
      </c>
      <c r="J200" s="104" t="str">
        <f t="shared" ca="1" si="295"/>
        <v>X</v>
      </c>
      <c r="K200" s="104" t="str">
        <f t="shared" ca="1" si="295"/>
        <v>X</v>
      </c>
      <c r="L200" s="104" t="str">
        <f t="shared" ca="1" si="295"/>
        <v>X</v>
      </c>
      <c r="M200" s="242" t="str">
        <f t="shared" ca="1" si="295"/>
        <v>X</v>
      </c>
      <c r="N200" s="242" t="str">
        <f t="shared" ca="1" si="295"/>
        <v>X</v>
      </c>
      <c r="O200" s="242" t="str">
        <f t="shared" ca="1" si="295"/>
        <v>X</v>
      </c>
      <c r="P200" s="242" t="str">
        <f t="shared" ca="1" si="295"/>
        <v>O</v>
      </c>
      <c r="Q200" s="242" t="str">
        <f t="shared" ca="1" si="295"/>
        <v>X</v>
      </c>
      <c r="R200" s="242" t="str">
        <f t="shared" si="295"/>
        <v>X</v>
      </c>
      <c r="S200" s="242" t="str">
        <f t="shared" si="295"/>
        <v>X</v>
      </c>
      <c r="T200" s="242" t="str">
        <f t="shared" si="295"/>
        <v>X</v>
      </c>
      <c r="U200" s="242" t="str">
        <f t="shared" si="295"/>
        <v>X</v>
      </c>
      <c r="V200" s="242" t="str">
        <f t="shared" si="295"/>
        <v>X</v>
      </c>
      <c r="W200" s="242" t="str">
        <f t="shared" si="295"/>
        <v>X</v>
      </c>
      <c r="X200" s="242" t="str">
        <f t="shared" si="295"/>
        <v>X</v>
      </c>
      <c r="Y200" s="242" t="str">
        <f t="shared" si="295"/>
        <v>X</v>
      </c>
      <c r="Z200" s="242" t="str">
        <f t="shared" si="295"/>
        <v>X</v>
      </c>
      <c r="AA200" s="242" t="str">
        <f t="shared" si="295"/>
        <v>X</v>
      </c>
      <c r="AB200" s="242" t="str">
        <f t="shared" si="295"/>
        <v>X</v>
      </c>
      <c r="AC200" s="242" t="str">
        <f t="shared" si="295"/>
        <v>X</v>
      </c>
      <c r="AD200" s="242" t="str">
        <f t="shared" si="295"/>
        <v>X</v>
      </c>
      <c r="AE200" s="242" t="str">
        <f t="shared" si="295"/>
        <v>X</v>
      </c>
      <c r="AF200" s="242" t="str">
        <f t="shared" si="295"/>
        <v>X</v>
      </c>
      <c r="AG200" s="242" t="str">
        <f t="shared" si="295"/>
        <v>X</v>
      </c>
      <c r="AH200" s="242" t="str">
        <f t="shared" si="295"/>
        <v>X</v>
      </c>
      <c r="AI200" s="242" t="str">
        <f t="shared" si="295"/>
        <v>X</v>
      </c>
      <c r="AJ200" s="242" t="str">
        <f t="shared" si="295"/>
        <v>X</v>
      </c>
      <c r="AK200" s="242" t="str">
        <f t="shared" si="295"/>
        <v>X</v>
      </c>
      <c r="AL200" s="308" t="str">
        <f t="shared" si="295"/>
        <v>X</v>
      </c>
      <c r="AM200" s="308" t="str">
        <f t="shared" si="295"/>
        <v>X</v>
      </c>
      <c r="AN200" s="308" t="str">
        <f t="shared" si="295"/>
        <v>X</v>
      </c>
      <c r="AO200" s="308" t="str">
        <f t="shared" si="295"/>
        <v>X</v>
      </c>
      <c r="AP200" s="308" t="str">
        <f t="shared" si="295"/>
        <v>X</v>
      </c>
      <c r="AQ200" s="308" t="str">
        <f t="shared" si="295"/>
        <v>X</v>
      </c>
      <c r="AR200" s="308" t="str">
        <f t="shared" si="295"/>
        <v>X</v>
      </c>
      <c r="AS200" s="308" t="str">
        <f t="shared" si="295"/>
        <v>X</v>
      </c>
      <c r="AT200" s="308" t="str">
        <f t="shared" si="295"/>
        <v>X</v>
      </c>
      <c r="AU200" s="308" t="str">
        <f t="shared" si="295"/>
        <v>X</v>
      </c>
      <c r="AV200" s="205"/>
      <c r="AW200" s="205"/>
      <c r="AX200" s="205"/>
      <c r="BC200" s="282"/>
      <c r="BD200" s="282"/>
      <c r="BI200" s="150"/>
    </row>
    <row r="201" spans="1:68">
      <c r="A201" s="518"/>
      <c r="B201" s="104" t="s">
        <v>657</v>
      </c>
      <c r="C201" s="104" t="str">
        <f t="shared" ref="C201:AU201" ca="1" si="296">IF(C10=25,"O",IF(C10=26,"O",IF(C10=28,"O",IF(C10=32,"O",IF(C10=34,"O",IF(C10=35,"O",IF(C10=38,"O",IF(C10=44,"O","X"))))))))</f>
        <v>O</v>
      </c>
      <c r="D201" s="104" t="str">
        <f t="shared" ca="1" si="296"/>
        <v>O</v>
      </c>
      <c r="E201" s="104" t="str">
        <f t="shared" ca="1" si="296"/>
        <v>X</v>
      </c>
      <c r="F201" s="104" t="str">
        <f t="shared" ca="1" si="296"/>
        <v>O</v>
      </c>
      <c r="G201" s="104" t="str">
        <f t="shared" ca="1" si="296"/>
        <v>X</v>
      </c>
      <c r="H201" s="104" t="str">
        <f t="shared" ca="1" si="296"/>
        <v>X</v>
      </c>
      <c r="I201" s="104" t="str">
        <f t="shared" ca="1" si="296"/>
        <v>X</v>
      </c>
      <c r="J201" s="104" t="str">
        <f t="shared" ca="1" si="296"/>
        <v>X</v>
      </c>
      <c r="K201" s="104" t="str">
        <f t="shared" ca="1" si="296"/>
        <v>X</v>
      </c>
      <c r="L201" s="104" t="str">
        <f t="shared" ca="1" si="296"/>
        <v>X</v>
      </c>
      <c r="M201" s="242" t="str">
        <f t="shared" ca="1" si="296"/>
        <v>X</v>
      </c>
      <c r="N201" s="242" t="str">
        <f t="shared" ca="1" si="296"/>
        <v>X</v>
      </c>
      <c r="O201" s="242" t="str">
        <f t="shared" ca="1" si="296"/>
        <v>X</v>
      </c>
      <c r="P201" s="242" t="str">
        <f t="shared" ca="1" si="296"/>
        <v>X</v>
      </c>
      <c r="Q201" s="242" t="str">
        <f t="shared" ca="1" si="296"/>
        <v>X</v>
      </c>
      <c r="R201" s="242" t="str">
        <f t="shared" si="296"/>
        <v>X</v>
      </c>
      <c r="S201" s="242" t="str">
        <f t="shared" si="296"/>
        <v>X</v>
      </c>
      <c r="T201" s="242" t="str">
        <f t="shared" si="296"/>
        <v>X</v>
      </c>
      <c r="U201" s="242" t="str">
        <f t="shared" si="296"/>
        <v>X</v>
      </c>
      <c r="V201" s="242" t="str">
        <f t="shared" si="296"/>
        <v>X</v>
      </c>
      <c r="W201" s="242" t="str">
        <f t="shared" si="296"/>
        <v>X</v>
      </c>
      <c r="X201" s="242" t="str">
        <f t="shared" si="296"/>
        <v>X</v>
      </c>
      <c r="Y201" s="242" t="str">
        <f t="shared" si="296"/>
        <v>X</v>
      </c>
      <c r="Z201" s="242" t="str">
        <f t="shared" si="296"/>
        <v>X</v>
      </c>
      <c r="AA201" s="242" t="str">
        <f t="shared" si="296"/>
        <v>X</v>
      </c>
      <c r="AB201" s="242" t="str">
        <f t="shared" si="296"/>
        <v>X</v>
      </c>
      <c r="AC201" s="242" t="str">
        <f t="shared" si="296"/>
        <v>X</v>
      </c>
      <c r="AD201" s="242" t="str">
        <f t="shared" si="296"/>
        <v>X</v>
      </c>
      <c r="AE201" s="242" t="str">
        <f t="shared" si="296"/>
        <v>X</v>
      </c>
      <c r="AF201" s="242" t="str">
        <f t="shared" si="296"/>
        <v>X</v>
      </c>
      <c r="AG201" s="242" t="str">
        <f t="shared" si="296"/>
        <v>X</v>
      </c>
      <c r="AH201" s="242" t="str">
        <f t="shared" si="296"/>
        <v>X</v>
      </c>
      <c r="AI201" s="242" t="str">
        <f t="shared" si="296"/>
        <v>X</v>
      </c>
      <c r="AJ201" s="242" t="str">
        <f t="shared" si="296"/>
        <v>X</v>
      </c>
      <c r="AK201" s="242" t="str">
        <f t="shared" si="296"/>
        <v>X</v>
      </c>
      <c r="AL201" s="308" t="str">
        <f t="shared" si="296"/>
        <v>X</v>
      </c>
      <c r="AM201" s="308" t="str">
        <f t="shared" si="296"/>
        <v>X</v>
      </c>
      <c r="AN201" s="308" t="str">
        <f t="shared" si="296"/>
        <v>X</v>
      </c>
      <c r="AO201" s="308" t="str">
        <f t="shared" si="296"/>
        <v>X</v>
      </c>
      <c r="AP201" s="308" t="str">
        <f t="shared" si="296"/>
        <v>X</v>
      </c>
      <c r="AQ201" s="308" t="str">
        <f t="shared" si="296"/>
        <v>X</v>
      </c>
      <c r="AR201" s="308" t="str">
        <f t="shared" si="296"/>
        <v>X</v>
      </c>
      <c r="AS201" s="308" t="str">
        <f t="shared" si="296"/>
        <v>X</v>
      </c>
      <c r="AT201" s="308" t="str">
        <f t="shared" si="296"/>
        <v>X</v>
      </c>
      <c r="AU201" s="308" t="str">
        <f t="shared" si="296"/>
        <v>X</v>
      </c>
      <c r="AV201" s="205"/>
      <c r="AW201" s="205"/>
      <c r="AX201" s="205"/>
      <c r="BC201" s="282"/>
      <c r="BD201" s="283"/>
    </row>
    <row r="202" spans="1:68">
      <c r="A202" s="518"/>
      <c r="B202" s="104" t="s">
        <v>658</v>
      </c>
      <c r="C202" s="104" t="str">
        <f t="shared" ref="C202:AU202" ca="1" si="297">IF(C11=25,"O",IF(C11=26,"O",IF(C11=28,"O",IF(C11=32,"O",IF(C11=34,"O",IF(C11=35,"O",IF(C11=38,"O",IF(C11=44,"O","X"))))))))</f>
        <v>X</v>
      </c>
      <c r="D202" s="104" t="str">
        <f t="shared" ca="1" si="297"/>
        <v>X</v>
      </c>
      <c r="E202" s="104" t="str">
        <f t="shared" ca="1" si="297"/>
        <v>X</v>
      </c>
      <c r="F202" s="104" t="str">
        <f t="shared" ca="1" si="297"/>
        <v>O</v>
      </c>
      <c r="G202" s="104" t="str">
        <f t="shared" ca="1" si="297"/>
        <v>X</v>
      </c>
      <c r="H202" s="104" t="str">
        <f t="shared" ca="1" si="297"/>
        <v>X</v>
      </c>
      <c r="I202" s="104" t="str">
        <f t="shared" ca="1" si="297"/>
        <v>X</v>
      </c>
      <c r="J202" s="104" t="str">
        <f t="shared" ca="1" si="297"/>
        <v>O</v>
      </c>
      <c r="K202" s="104" t="str">
        <f t="shared" ca="1" si="297"/>
        <v>X</v>
      </c>
      <c r="L202" s="104" t="str">
        <f t="shared" ca="1" si="297"/>
        <v>X</v>
      </c>
      <c r="M202" s="242" t="str">
        <f t="shared" ca="1" si="297"/>
        <v>X</v>
      </c>
      <c r="N202" s="242" t="str">
        <f t="shared" ca="1" si="297"/>
        <v>X</v>
      </c>
      <c r="O202" s="242" t="str">
        <f t="shared" ca="1" si="297"/>
        <v>X</v>
      </c>
      <c r="P202" s="242" t="str">
        <f t="shared" ca="1" si="297"/>
        <v>X</v>
      </c>
      <c r="Q202" s="242" t="str">
        <f t="shared" ca="1" si="297"/>
        <v>O</v>
      </c>
      <c r="R202" s="242" t="str">
        <f t="shared" si="297"/>
        <v>X</v>
      </c>
      <c r="S202" s="242" t="str">
        <f t="shared" si="297"/>
        <v>X</v>
      </c>
      <c r="T202" s="242" t="str">
        <f t="shared" si="297"/>
        <v>X</v>
      </c>
      <c r="U202" s="242" t="str">
        <f t="shared" si="297"/>
        <v>X</v>
      </c>
      <c r="V202" s="242" t="str">
        <f t="shared" si="297"/>
        <v>X</v>
      </c>
      <c r="W202" s="242" t="str">
        <f t="shared" si="297"/>
        <v>X</v>
      </c>
      <c r="X202" s="242" t="str">
        <f t="shared" si="297"/>
        <v>X</v>
      </c>
      <c r="Y202" s="242" t="str">
        <f t="shared" si="297"/>
        <v>X</v>
      </c>
      <c r="Z202" s="242" t="str">
        <f t="shared" si="297"/>
        <v>X</v>
      </c>
      <c r="AA202" s="242" t="str">
        <f t="shared" si="297"/>
        <v>X</v>
      </c>
      <c r="AB202" s="242" t="str">
        <f t="shared" si="297"/>
        <v>X</v>
      </c>
      <c r="AC202" s="242" t="str">
        <f t="shared" si="297"/>
        <v>X</v>
      </c>
      <c r="AD202" s="242" t="str">
        <f t="shared" si="297"/>
        <v>X</v>
      </c>
      <c r="AE202" s="242" t="str">
        <f t="shared" si="297"/>
        <v>X</v>
      </c>
      <c r="AF202" s="242" t="str">
        <f t="shared" si="297"/>
        <v>X</v>
      </c>
      <c r="AG202" s="242" t="str">
        <f t="shared" si="297"/>
        <v>X</v>
      </c>
      <c r="AH202" s="242" t="str">
        <f t="shared" si="297"/>
        <v>X</v>
      </c>
      <c r="AI202" s="242" t="str">
        <f t="shared" si="297"/>
        <v>X</v>
      </c>
      <c r="AJ202" s="242" t="str">
        <f t="shared" si="297"/>
        <v>X</v>
      </c>
      <c r="AK202" s="242" t="str">
        <f t="shared" si="297"/>
        <v>X</v>
      </c>
      <c r="AL202" s="308" t="str">
        <f t="shared" si="297"/>
        <v>X</v>
      </c>
      <c r="AM202" s="308" t="str">
        <f t="shared" si="297"/>
        <v>X</v>
      </c>
      <c r="AN202" s="308" t="str">
        <f t="shared" si="297"/>
        <v>X</v>
      </c>
      <c r="AO202" s="308" t="str">
        <f t="shared" si="297"/>
        <v>X</v>
      </c>
      <c r="AP202" s="308" t="str">
        <f t="shared" si="297"/>
        <v>X</v>
      </c>
      <c r="AQ202" s="308" t="str">
        <f t="shared" si="297"/>
        <v>X</v>
      </c>
      <c r="AR202" s="308" t="str">
        <f t="shared" si="297"/>
        <v>X</v>
      </c>
      <c r="AS202" s="308" t="str">
        <f t="shared" si="297"/>
        <v>X</v>
      </c>
      <c r="AT202" s="308" t="str">
        <f t="shared" si="297"/>
        <v>X</v>
      </c>
      <c r="AU202" s="308" t="str">
        <f t="shared" si="297"/>
        <v>X</v>
      </c>
      <c r="AV202" s="205"/>
      <c r="AW202" s="205"/>
      <c r="AX202" s="205"/>
      <c r="BC202" s="282"/>
      <c r="BD202" s="283"/>
      <c r="BL202" s="169"/>
    </row>
    <row r="203" spans="1:68">
      <c r="A203" s="518"/>
      <c r="B203" s="104" t="s">
        <v>659</v>
      </c>
      <c r="C203" s="104" t="str">
        <f t="shared" ref="C203:AU203" ca="1" si="298">IF(C12=25,"O",IF(C12=26,"O",IF(C12=28,"O",IF(C12=32,"O",IF(C12=34,"O",IF(C12=35,"O",IF(C12=38,"O",IF(C12=44,"O","X"))))))))</f>
        <v>X</v>
      </c>
      <c r="D203" s="104" t="str">
        <f t="shared" ca="1" si="298"/>
        <v>X</v>
      </c>
      <c r="E203" s="104" t="str">
        <f t="shared" ca="1" si="298"/>
        <v>X</v>
      </c>
      <c r="F203" s="104" t="str">
        <f t="shared" ca="1" si="298"/>
        <v>X</v>
      </c>
      <c r="G203" s="104" t="str">
        <f t="shared" ca="1" si="298"/>
        <v>O</v>
      </c>
      <c r="H203" s="104" t="str">
        <f t="shared" ca="1" si="298"/>
        <v>X</v>
      </c>
      <c r="I203" s="104" t="str">
        <f t="shared" ca="1" si="298"/>
        <v>X</v>
      </c>
      <c r="J203" s="104" t="str">
        <f t="shared" ca="1" si="298"/>
        <v>X</v>
      </c>
      <c r="K203" s="104" t="str">
        <f t="shared" ca="1" si="298"/>
        <v>X</v>
      </c>
      <c r="L203" s="104" t="str">
        <f t="shared" ca="1" si="298"/>
        <v>X</v>
      </c>
      <c r="M203" s="242" t="str">
        <f t="shared" ca="1" si="298"/>
        <v>X</v>
      </c>
      <c r="N203" s="242" t="str">
        <f t="shared" ca="1" si="298"/>
        <v>X</v>
      </c>
      <c r="O203" s="242" t="str">
        <f t="shared" ca="1" si="298"/>
        <v>X</v>
      </c>
      <c r="P203" s="242" t="str">
        <f t="shared" ca="1" si="298"/>
        <v>X</v>
      </c>
      <c r="Q203" s="242" t="str">
        <f t="shared" ca="1" si="298"/>
        <v>X</v>
      </c>
      <c r="R203" s="242" t="str">
        <f t="shared" si="298"/>
        <v>X</v>
      </c>
      <c r="S203" s="242" t="str">
        <f t="shared" si="298"/>
        <v>X</v>
      </c>
      <c r="T203" s="242" t="str">
        <f t="shared" si="298"/>
        <v>X</v>
      </c>
      <c r="U203" s="242" t="str">
        <f t="shared" si="298"/>
        <v>X</v>
      </c>
      <c r="V203" s="242" t="str">
        <f t="shared" si="298"/>
        <v>X</v>
      </c>
      <c r="W203" s="242" t="str">
        <f t="shared" si="298"/>
        <v>X</v>
      </c>
      <c r="X203" s="242" t="str">
        <f t="shared" si="298"/>
        <v>X</v>
      </c>
      <c r="Y203" s="242" t="str">
        <f t="shared" si="298"/>
        <v>X</v>
      </c>
      <c r="Z203" s="242" t="str">
        <f t="shared" si="298"/>
        <v>X</v>
      </c>
      <c r="AA203" s="242" t="str">
        <f t="shared" si="298"/>
        <v>X</v>
      </c>
      <c r="AB203" s="242" t="str">
        <f t="shared" si="298"/>
        <v>X</v>
      </c>
      <c r="AC203" s="242" t="str">
        <f t="shared" si="298"/>
        <v>X</v>
      </c>
      <c r="AD203" s="242" t="str">
        <f t="shared" si="298"/>
        <v>X</v>
      </c>
      <c r="AE203" s="242" t="str">
        <f t="shared" si="298"/>
        <v>X</v>
      </c>
      <c r="AF203" s="242" t="str">
        <f t="shared" si="298"/>
        <v>X</v>
      </c>
      <c r="AG203" s="242" t="str">
        <f t="shared" si="298"/>
        <v>X</v>
      </c>
      <c r="AH203" s="242" t="str">
        <f t="shared" si="298"/>
        <v>X</v>
      </c>
      <c r="AI203" s="242" t="str">
        <f t="shared" si="298"/>
        <v>X</v>
      </c>
      <c r="AJ203" s="242" t="str">
        <f t="shared" si="298"/>
        <v>X</v>
      </c>
      <c r="AK203" s="242" t="str">
        <f t="shared" si="298"/>
        <v>X</v>
      </c>
      <c r="AL203" s="308" t="str">
        <f t="shared" si="298"/>
        <v>X</v>
      </c>
      <c r="AM203" s="308" t="str">
        <f t="shared" si="298"/>
        <v>X</v>
      </c>
      <c r="AN203" s="308" t="str">
        <f t="shared" si="298"/>
        <v>X</v>
      </c>
      <c r="AO203" s="308" t="str">
        <f t="shared" si="298"/>
        <v>X</v>
      </c>
      <c r="AP203" s="308" t="str">
        <f t="shared" si="298"/>
        <v>X</v>
      </c>
      <c r="AQ203" s="308" t="str">
        <f t="shared" si="298"/>
        <v>X</v>
      </c>
      <c r="AR203" s="308" t="str">
        <f t="shared" si="298"/>
        <v>X</v>
      </c>
      <c r="AS203" s="308" t="str">
        <f t="shared" si="298"/>
        <v>X</v>
      </c>
      <c r="AT203" s="308" t="str">
        <f t="shared" si="298"/>
        <v>X</v>
      </c>
      <c r="AU203" s="308" t="str">
        <f t="shared" si="298"/>
        <v>X</v>
      </c>
      <c r="AV203" s="205"/>
      <c r="AW203" s="205"/>
      <c r="AX203" s="205"/>
      <c r="BC203" s="282"/>
      <c r="BD203" s="283"/>
      <c r="BK203" s="178"/>
      <c r="BL203" s="169"/>
    </row>
    <row r="204" spans="1:68">
      <c r="A204" s="518"/>
      <c r="B204" s="105" t="s">
        <v>669</v>
      </c>
      <c r="C204" s="106">
        <f ca="1">COUNTIF(C192:C203,"O")</f>
        <v>3</v>
      </c>
      <c r="D204" s="106">
        <f t="shared" ref="D204:Q204" ca="1" si="299">COUNTIF(D192:D203,"O")</f>
        <v>4</v>
      </c>
      <c r="E204" s="106">
        <f t="shared" ca="1" si="299"/>
        <v>1</v>
      </c>
      <c r="F204" s="106">
        <f t="shared" ca="1" si="299"/>
        <v>5</v>
      </c>
      <c r="G204" s="106">
        <f t="shared" ca="1" si="299"/>
        <v>4</v>
      </c>
      <c r="H204" s="106">
        <f t="shared" ca="1" si="299"/>
        <v>1</v>
      </c>
      <c r="I204" s="106">
        <f t="shared" ca="1" si="299"/>
        <v>3</v>
      </c>
      <c r="J204" s="106">
        <f t="shared" ca="1" si="299"/>
        <v>3</v>
      </c>
      <c r="K204" s="106">
        <f t="shared" ca="1" si="299"/>
        <v>3</v>
      </c>
      <c r="L204" s="106">
        <f t="shared" ca="1" si="299"/>
        <v>1</v>
      </c>
      <c r="M204" s="172">
        <f t="shared" ca="1" si="299"/>
        <v>2</v>
      </c>
      <c r="N204" s="172">
        <f t="shared" ca="1" si="299"/>
        <v>2</v>
      </c>
      <c r="O204" s="172">
        <f t="shared" ca="1" si="299"/>
        <v>2</v>
      </c>
      <c r="P204" s="172">
        <f t="shared" ca="1" si="299"/>
        <v>4</v>
      </c>
      <c r="Q204" s="172">
        <f t="shared" ca="1" si="299"/>
        <v>3</v>
      </c>
      <c r="R204" s="172">
        <f t="shared" ref="R204:AH204" si="300">COUNTIF(R192:R203,"O")</f>
        <v>0</v>
      </c>
      <c r="S204" s="172">
        <f t="shared" si="300"/>
        <v>0</v>
      </c>
      <c r="T204" s="172">
        <f t="shared" si="300"/>
        <v>0</v>
      </c>
      <c r="U204" s="172">
        <f t="shared" si="300"/>
        <v>0</v>
      </c>
      <c r="V204" s="172">
        <f t="shared" si="300"/>
        <v>0</v>
      </c>
      <c r="W204" s="172">
        <f t="shared" si="300"/>
        <v>0</v>
      </c>
      <c r="X204" s="172">
        <f t="shared" si="300"/>
        <v>0</v>
      </c>
      <c r="Y204" s="172">
        <f t="shared" si="300"/>
        <v>0</v>
      </c>
      <c r="Z204" s="172">
        <f t="shared" si="300"/>
        <v>0</v>
      </c>
      <c r="AA204" s="172">
        <f t="shared" si="300"/>
        <v>0</v>
      </c>
      <c r="AB204" s="172">
        <f t="shared" si="300"/>
        <v>0</v>
      </c>
      <c r="AC204" s="172">
        <f t="shared" si="300"/>
        <v>0</v>
      </c>
      <c r="AD204" s="172">
        <f t="shared" si="300"/>
        <v>0</v>
      </c>
      <c r="AE204" s="172">
        <f t="shared" si="300"/>
        <v>0</v>
      </c>
      <c r="AF204" s="172">
        <f t="shared" si="300"/>
        <v>0</v>
      </c>
      <c r="AG204" s="172">
        <f t="shared" si="300"/>
        <v>0</v>
      </c>
      <c r="AH204" s="172">
        <f t="shared" si="300"/>
        <v>0</v>
      </c>
      <c r="AI204" s="172">
        <f>COUNTIF(AI192:AI203,"O")</f>
        <v>0</v>
      </c>
      <c r="AJ204" s="172">
        <f>COUNTIF(AJ192:AJ203,"O")</f>
        <v>0</v>
      </c>
      <c r="AK204" s="172">
        <f>COUNTIF(AK192:AK203,"O")</f>
        <v>0</v>
      </c>
      <c r="AL204" s="172">
        <f t="shared" ref="AL204:AU204" si="301">COUNTIF(AL192:AL203,"O")</f>
        <v>0</v>
      </c>
      <c r="AM204" s="172">
        <f t="shared" si="301"/>
        <v>0</v>
      </c>
      <c r="AN204" s="172">
        <f t="shared" si="301"/>
        <v>0</v>
      </c>
      <c r="AO204" s="172">
        <f t="shared" si="301"/>
        <v>0</v>
      </c>
      <c r="AP204" s="172">
        <f t="shared" si="301"/>
        <v>0</v>
      </c>
      <c r="AQ204" s="172">
        <f t="shared" si="301"/>
        <v>0</v>
      </c>
      <c r="AR204" s="172">
        <f t="shared" si="301"/>
        <v>0</v>
      </c>
      <c r="AS204" s="172">
        <f t="shared" si="301"/>
        <v>0</v>
      </c>
      <c r="AT204" s="172">
        <f t="shared" si="301"/>
        <v>0</v>
      </c>
      <c r="AU204" s="172">
        <f t="shared" si="301"/>
        <v>0</v>
      </c>
      <c r="AV204" s="255"/>
      <c r="AW204" s="255"/>
      <c r="AX204" s="255"/>
      <c r="BC204" s="282"/>
      <c r="BK204" s="150"/>
      <c r="BL204" s="169"/>
    </row>
    <row r="205" spans="1:68">
      <c r="A205" s="529" t="s">
        <v>674</v>
      </c>
      <c r="B205" s="530"/>
      <c r="C205" s="107">
        <f t="shared" ref="C205:AU205" ca="1" si="302">IF(C101=2,1,0)</f>
        <v>1</v>
      </c>
      <c r="D205" s="108">
        <f t="shared" ca="1" si="302"/>
        <v>0</v>
      </c>
      <c r="E205" s="108">
        <f t="shared" ca="1" si="302"/>
        <v>0</v>
      </c>
      <c r="F205" s="108">
        <f t="shared" ca="1" si="302"/>
        <v>0</v>
      </c>
      <c r="G205" s="108">
        <f t="shared" ca="1" si="302"/>
        <v>1</v>
      </c>
      <c r="H205" s="108">
        <f t="shared" ca="1" si="302"/>
        <v>0</v>
      </c>
      <c r="I205" s="108">
        <f t="shared" ca="1" si="302"/>
        <v>0</v>
      </c>
      <c r="J205" s="108">
        <f t="shared" ca="1" si="302"/>
        <v>0</v>
      </c>
      <c r="K205" s="108">
        <f t="shared" ca="1" si="302"/>
        <v>1</v>
      </c>
      <c r="L205" s="108">
        <f t="shared" ca="1" si="302"/>
        <v>1</v>
      </c>
      <c r="M205" s="172">
        <f t="shared" ca="1" si="302"/>
        <v>1</v>
      </c>
      <c r="N205" s="172">
        <f t="shared" ca="1" si="302"/>
        <v>1</v>
      </c>
      <c r="O205" s="172">
        <f t="shared" ca="1" si="302"/>
        <v>1</v>
      </c>
      <c r="P205" s="172">
        <f t="shared" ca="1" si="302"/>
        <v>0</v>
      </c>
      <c r="Q205" s="172">
        <f t="shared" ca="1" si="302"/>
        <v>0</v>
      </c>
      <c r="R205" s="172">
        <f t="shared" si="302"/>
        <v>0</v>
      </c>
      <c r="S205" s="172">
        <f t="shared" si="302"/>
        <v>0</v>
      </c>
      <c r="T205" s="172">
        <f t="shared" si="302"/>
        <v>0</v>
      </c>
      <c r="U205" s="172">
        <f t="shared" si="302"/>
        <v>0</v>
      </c>
      <c r="V205" s="172">
        <f t="shared" si="302"/>
        <v>0</v>
      </c>
      <c r="W205" s="172">
        <f t="shared" si="302"/>
        <v>0</v>
      </c>
      <c r="X205" s="172">
        <f t="shared" si="302"/>
        <v>0</v>
      </c>
      <c r="Y205" s="172">
        <f t="shared" si="302"/>
        <v>0</v>
      </c>
      <c r="Z205" s="172">
        <f t="shared" si="302"/>
        <v>0</v>
      </c>
      <c r="AA205" s="172">
        <f t="shared" si="302"/>
        <v>0</v>
      </c>
      <c r="AB205" s="172">
        <f t="shared" si="302"/>
        <v>0</v>
      </c>
      <c r="AC205" s="172">
        <f t="shared" si="302"/>
        <v>0</v>
      </c>
      <c r="AD205" s="172">
        <f t="shared" si="302"/>
        <v>0</v>
      </c>
      <c r="AE205" s="172">
        <f t="shared" si="302"/>
        <v>0</v>
      </c>
      <c r="AF205" s="172">
        <f t="shared" si="302"/>
        <v>0</v>
      </c>
      <c r="AG205" s="172">
        <f t="shared" si="302"/>
        <v>0</v>
      </c>
      <c r="AH205" s="172">
        <f t="shared" si="302"/>
        <v>0</v>
      </c>
      <c r="AI205" s="172">
        <f t="shared" si="302"/>
        <v>0</v>
      </c>
      <c r="AJ205" s="172">
        <f t="shared" si="302"/>
        <v>0</v>
      </c>
      <c r="AK205" s="172">
        <f t="shared" si="302"/>
        <v>0</v>
      </c>
      <c r="AL205" s="172">
        <f t="shared" si="302"/>
        <v>0</v>
      </c>
      <c r="AM205" s="172">
        <f t="shared" si="302"/>
        <v>0</v>
      </c>
      <c r="AN205" s="172">
        <f t="shared" si="302"/>
        <v>0</v>
      </c>
      <c r="AO205" s="172">
        <f t="shared" si="302"/>
        <v>0</v>
      </c>
      <c r="AP205" s="172">
        <f t="shared" si="302"/>
        <v>0</v>
      </c>
      <c r="AQ205" s="172">
        <f t="shared" si="302"/>
        <v>0</v>
      </c>
      <c r="AR205" s="172">
        <f t="shared" si="302"/>
        <v>0</v>
      </c>
      <c r="AS205" s="172">
        <f t="shared" si="302"/>
        <v>0</v>
      </c>
      <c r="AT205" s="172">
        <f t="shared" si="302"/>
        <v>0</v>
      </c>
      <c r="AU205" s="172">
        <f t="shared" si="302"/>
        <v>0</v>
      </c>
      <c r="AV205" s="255"/>
      <c r="AW205" s="255"/>
      <c r="AX205" s="255"/>
      <c r="BC205" s="282"/>
      <c r="BK205" s="150"/>
      <c r="BL205" s="169"/>
    </row>
    <row r="206" spans="1:68">
      <c r="A206" s="529" t="s">
        <v>673</v>
      </c>
      <c r="B206" s="530"/>
      <c r="C206" s="107">
        <f ca="1">IF(C191=2,1,0)</f>
        <v>0</v>
      </c>
      <c r="D206" s="108">
        <f t="shared" ref="D206:Q206" ca="1" si="303">IF(D191=2,1,0)</f>
        <v>0</v>
      </c>
      <c r="E206" s="108">
        <f t="shared" ca="1" si="303"/>
        <v>1</v>
      </c>
      <c r="F206" s="108">
        <f t="shared" ca="1" si="303"/>
        <v>0</v>
      </c>
      <c r="G206" s="108">
        <f t="shared" ca="1" si="303"/>
        <v>0</v>
      </c>
      <c r="H206" s="108">
        <f t="shared" ca="1" si="303"/>
        <v>0</v>
      </c>
      <c r="I206" s="108">
        <f t="shared" ca="1" si="303"/>
        <v>1</v>
      </c>
      <c r="J206" s="108">
        <f t="shared" ca="1" si="303"/>
        <v>1</v>
      </c>
      <c r="K206" s="108">
        <f t="shared" ca="1" si="303"/>
        <v>0</v>
      </c>
      <c r="L206" s="108">
        <f t="shared" ca="1" si="303"/>
        <v>0</v>
      </c>
      <c r="M206" s="172">
        <f t="shared" ca="1" si="303"/>
        <v>1</v>
      </c>
      <c r="N206" s="172">
        <f t="shared" ca="1" si="303"/>
        <v>0</v>
      </c>
      <c r="O206" s="172">
        <f t="shared" ca="1" si="303"/>
        <v>1</v>
      </c>
      <c r="P206" s="172">
        <f t="shared" ca="1" si="303"/>
        <v>1</v>
      </c>
      <c r="Q206" s="172">
        <f t="shared" ca="1" si="303"/>
        <v>1</v>
      </c>
      <c r="R206" s="172">
        <f t="shared" ref="R206:AH206" si="304">IF(R191=2,1,0)</f>
        <v>0</v>
      </c>
      <c r="S206" s="172">
        <f t="shared" si="304"/>
        <v>0</v>
      </c>
      <c r="T206" s="172">
        <f t="shared" si="304"/>
        <v>0</v>
      </c>
      <c r="U206" s="172">
        <f t="shared" si="304"/>
        <v>0</v>
      </c>
      <c r="V206" s="172">
        <f t="shared" si="304"/>
        <v>0</v>
      </c>
      <c r="W206" s="172">
        <f t="shared" si="304"/>
        <v>0</v>
      </c>
      <c r="X206" s="172">
        <f t="shared" si="304"/>
        <v>0</v>
      </c>
      <c r="Y206" s="172">
        <f t="shared" si="304"/>
        <v>0</v>
      </c>
      <c r="Z206" s="172">
        <f t="shared" si="304"/>
        <v>0</v>
      </c>
      <c r="AA206" s="172">
        <f t="shared" si="304"/>
        <v>0</v>
      </c>
      <c r="AB206" s="172">
        <f t="shared" si="304"/>
        <v>0</v>
      </c>
      <c r="AC206" s="172">
        <f t="shared" si="304"/>
        <v>0</v>
      </c>
      <c r="AD206" s="172">
        <f t="shared" si="304"/>
        <v>0</v>
      </c>
      <c r="AE206" s="172">
        <f t="shared" si="304"/>
        <v>0</v>
      </c>
      <c r="AF206" s="172">
        <f t="shared" si="304"/>
        <v>0</v>
      </c>
      <c r="AG206" s="172">
        <f t="shared" si="304"/>
        <v>0</v>
      </c>
      <c r="AH206" s="172">
        <f t="shared" si="304"/>
        <v>0</v>
      </c>
      <c r="AI206" s="172">
        <f>IF(AI191=2,1,0)</f>
        <v>0</v>
      </c>
      <c r="AJ206" s="172">
        <f>IF(AJ191=2,1,0)</f>
        <v>0</v>
      </c>
      <c r="AK206" s="172">
        <f>IF(AK191=2,1,0)</f>
        <v>0</v>
      </c>
      <c r="AL206" s="172">
        <f t="shared" ref="AL206:AU206" si="305">IF(AL191=2,1,0)</f>
        <v>0</v>
      </c>
      <c r="AM206" s="172">
        <f t="shared" si="305"/>
        <v>0</v>
      </c>
      <c r="AN206" s="172">
        <f t="shared" si="305"/>
        <v>0</v>
      </c>
      <c r="AO206" s="172">
        <f t="shared" si="305"/>
        <v>0</v>
      </c>
      <c r="AP206" s="172">
        <f t="shared" si="305"/>
        <v>0</v>
      </c>
      <c r="AQ206" s="172">
        <f t="shared" si="305"/>
        <v>0</v>
      </c>
      <c r="AR206" s="172">
        <f t="shared" si="305"/>
        <v>0</v>
      </c>
      <c r="AS206" s="172">
        <f t="shared" si="305"/>
        <v>0</v>
      </c>
      <c r="AT206" s="172">
        <f t="shared" si="305"/>
        <v>0</v>
      </c>
      <c r="AU206" s="172">
        <f t="shared" si="305"/>
        <v>0</v>
      </c>
      <c r="AV206" s="255"/>
      <c r="AW206" s="255"/>
      <c r="AX206" s="255"/>
      <c r="BC206" s="282"/>
      <c r="BK206" s="150"/>
      <c r="BL206" s="169"/>
    </row>
    <row r="207" spans="1:68">
      <c r="A207" s="529" t="s">
        <v>675</v>
      </c>
      <c r="B207" s="530"/>
      <c r="C207" s="107">
        <f ca="1">IF(C204=2,1,0)</f>
        <v>0</v>
      </c>
      <c r="D207" s="108">
        <f t="shared" ref="D207:Q207" ca="1" si="306">IF(D204=2,1,0)</f>
        <v>0</v>
      </c>
      <c r="E207" s="108">
        <f t="shared" ca="1" si="306"/>
        <v>0</v>
      </c>
      <c r="F207" s="108">
        <f t="shared" ca="1" si="306"/>
        <v>0</v>
      </c>
      <c r="G207" s="108">
        <f t="shared" ca="1" si="306"/>
        <v>0</v>
      </c>
      <c r="H207" s="108">
        <f t="shared" ca="1" si="306"/>
        <v>0</v>
      </c>
      <c r="I207" s="108">
        <f t="shared" ca="1" si="306"/>
        <v>0</v>
      </c>
      <c r="J207" s="108">
        <f t="shared" ca="1" si="306"/>
        <v>0</v>
      </c>
      <c r="K207" s="108">
        <f t="shared" ca="1" si="306"/>
        <v>0</v>
      </c>
      <c r="L207" s="108">
        <f t="shared" ca="1" si="306"/>
        <v>0</v>
      </c>
      <c r="M207" s="172">
        <f t="shared" ca="1" si="306"/>
        <v>1</v>
      </c>
      <c r="N207" s="172">
        <f t="shared" ca="1" si="306"/>
        <v>1</v>
      </c>
      <c r="O207" s="172">
        <f t="shared" ca="1" si="306"/>
        <v>1</v>
      </c>
      <c r="P207" s="172">
        <f t="shared" ca="1" si="306"/>
        <v>0</v>
      </c>
      <c r="Q207" s="172">
        <f t="shared" ca="1" si="306"/>
        <v>0</v>
      </c>
      <c r="R207" s="172">
        <f t="shared" ref="R207:AH207" si="307">IF(R204=2,1,0)</f>
        <v>0</v>
      </c>
      <c r="S207" s="172">
        <f t="shared" si="307"/>
        <v>0</v>
      </c>
      <c r="T207" s="172">
        <f t="shared" si="307"/>
        <v>0</v>
      </c>
      <c r="U207" s="172">
        <f t="shared" si="307"/>
        <v>0</v>
      </c>
      <c r="V207" s="172">
        <f t="shared" si="307"/>
        <v>0</v>
      </c>
      <c r="W207" s="172">
        <f t="shared" si="307"/>
        <v>0</v>
      </c>
      <c r="X207" s="172">
        <f t="shared" si="307"/>
        <v>0</v>
      </c>
      <c r="Y207" s="172">
        <f t="shared" si="307"/>
        <v>0</v>
      </c>
      <c r="Z207" s="172">
        <f t="shared" si="307"/>
        <v>0</v>
      </c>
      <c r="AA207" s="172">
        <f t="shared" si="307"/>
        <v>0</v>
      </c>
      <c r="AB207" s="172">
        <f t="shared" si="307"/>
        <v>0</v>
      </c>
      <c r="AC207" s="172">
        <f t="shared" si="307"/>
        <v>0</v>
      </c>
      <c r="AD207" s="172">
        <f t="shared" si="307"/>
        <v>0</v>
      </c>
      <c r="AE207" s="172">
        <f t="shared" si="307"/>
        <v>0</v>
      </c>
      <c r="AF207" s="172">
        <f t="shared" si="307"/>
        <v>0</v>
      </c>
      <c r="AG207" s="172">
        <f t="shared" si="307"/>
        <v>0</v>
      </c>
      <c r="AH207" s="172">
        <f t="shared" si="307"/>
        <v>0</v>
      </c>
      <c r="AI207" s="172">
        <f>IF(AI204=2,1,0)</f>
        <v>0</v>
      </c>
      <c r="AJ207" s="172">
        <f>IF(AJ204=2,1,0)</f>
        <v>0</v>
      </c>
      <c r="AK207" s="172">
        <f>IF(AK204=2,1,0)</f>
        <v>0</v>
      </c>
      <c r="AL207" s="172">
        <f t="shared" ref="AL207:AU207" si="308">IF(AL204=2,1,0)</f>
        <v>0</v>
      </c>
      <c r="AM207" s="172">
        <f t="shared" si="308"/>
        <v>0</v>
      </c>
      <c r="AN207" s="172">
        <f t="shared" si="308"/>
        <v>0</v>
      </c>
      <c r="AO207" s="172">
        <f t="shared" si="308"/>
        <v>0</v>
      </c>
      <c r="AP207" s="172">
        <f t="shared" si="308"/>
        <v>0</v>
      </c>
      <c r="AQ207" s="172">
        <f t="shared" si="308"/>
        <v>0</v>
      </c>
      <c r="AR207" s="172">
        <f t="shared" si="308"/>
        <v>0</v>
      </c>
      <c r="AS207" s="172">
        <f t="shared" si="308"/>
        <v>0</v>
      </c>
      <c r="AT207" s="172">
        <f t="shared" si="308"/>
        <v>0</v>
      </c>
      <c r="AU207" s="172">
        <f t="shared" si="308"/>
        <v>0</v>
      </c>
      <c r="AV207" s="255"/>
      <c r="AW207" s="255"/>
      <c r="AX207" s="255"/>
      <c r="BC207" s="282"/>
      <c r="BK207" s="150"/>
      <c r="BL207" s="169"/>
    </row>
    <row r="208" spans="1:68">
      <c r="A208" s="527" t="s">
        <v>671</v>
      </c>
      <c r="B208" s="528"/>
      <c r="C208" s="114">
        <f ca="1">SUM(C205:C207)</f>
        <v>1</v>
      </c>
      <c r="D208" s="114">
        <f t="shared" ref="D208:Q208" ca="1" si="309">SUM(D205:D207)</f>
        <v>0</v>
      </c>
      <c r="E208" s="114">
        <f t="shared" ca="1" si="309"/>
        <v>1</v>
      </c>
      <c r="F208" s="114">
        <f t="shared" ca="1" si="309"/>
        <v>0</v>
      </c>
      <c r="G208" s="114">
        <f t="shared" ca="1" si="309"/>
        <v>1</v>
      </c>
      <c r="H208" s="114">
        <f t="shared" ca="1" si="309"/>
        <v>0</v>
      </c>
      <c r="I208" s="114">
        <f t="shared" ca="1" si="309"/>
        <v>1</v>
      </c>
      <c r="J208" s="114">
        <f t="shared" ca="1" si="309"/>
        <v>1</v>
      </c>
      <c r="K208" s="114">
        <f t="shared" ca="1" si="309"/>
        <v>1</v>
      </c>
      <c r="L208" s="114">
        <f t="shared" ca="1" si="309"/>
        <v>1</v>
      </c>
      <c r="M208" s="114">
        <f t="shared" ca="1" si="309"/>
        <v>3</v>
      </c>
      <c r="N208" s="114">
        <f t="shared" ca="1" si="309"/>
        <v>2</v>
      </c>
      <c r="O208" s="114">
        <f t="shared" ca="1" si="309"/>
        <v>3</v>
      </c>
      <c r="P208" s="114">
        <f t="shared" ca="1" si="309"/>
        <v>1</v>
      </c>
      <c r="Q208" s="114">
        <f t="shared" ca="1" si="309"/>
        <v>1</v>
      </c>
      <c r="R208" s="114">
        <f t="shared" ref="R208:AH208" si="310">SUM(R205:R207)</f>
        <v>0</v>
      </c>
      <c r="S208" s="114">
        <f t="shared" si="310"/>
        <v>0</v>
      </c>
      <c r="T208" s="114">
        <f t="shared" si="310"/>
        <v>0</v>
      </c>
      <c r="U208" s="114">
        <f t="shared" si="310"/>
        <v>0</v>
      </c>
      <c r="V208" s="114">
        <f t="shared" si="310"/>
        <v>0</v>
      </c>
      <c r="W208" s="114">
        <f t="shared" si="310"/>
        <v>0</v>
      </c>
      <c r="X208" s="114">
        <f t="shared" si="310"/>
        <v>0</v>
      </c>
      <c r="Y208" s="114">
        <f t="shared" si="310"/>
        <v>0</v>
      </c>
      <c r="Z208" s="114">
        <f t="shared" si="310"/>
        <v>0</v>
      </c>
      <c r="AA208" s="114">
        <f t="shared" si="310"/>
        <v>0</v>
      </c>
      <c r="AB208" s="114">
        <f t="shared" si="310"/>
        <v>0</v>
      </c>
      <c r="AC208" s="114">
        <f t="shared" si="310"/>
        <v>0</v>
      </c>
      <c r="AD208" s="114">
        <f t="shared" si="310"/>
        <v>0</v>
      </c>
      <c r="AE208" s="114">
        <f t="shared" si="310"/>
        <v>0</v>
      </c>
      <c r="AF208" s="114">
        <f t="shared" si="310"/>
        <v>0</v>
      </c>
      <c r="AG208" s="114">
        <f t="shared" si="310"/>
        <v>0</v>
      </c>
      <c r="AH208" s="114">
        <f t="shared" si="310"/>
        <v>0</v>
      </c>
      <c r="AI208" s="114">
        <f>SUM(AI205:AI207)</f>
        <v>0</v>
      </c>
      <c r="AJ208" s="114">
        <f>SUM(AJ205:AJ207)</f>
        <v>0</v>
      </c>
      <c r="AK208" s="114">
        <f>SUM(AK205:AK207)</f>
        <v>0</v>
      </c>
      <c r="AL208" s="114">
        <f t="shared" ref="AL208:AU208" si="311">SUM(AL205:AL207)</f>
        <v>0</v>
      </c>
      <c r="AM208" s="114">
        <f t="shared" si="311"/>
        <v>0</v>
      </c>
      <c r="AN208" s="114">
        <f t="shared" si="311"/>
        <v>0</v>
      </c>
      <c r="AO208" s="114">
        <f t="shared" si="311"/>
        <v>0</v>
      </c>
      <c r="AP208" s="114">
        <f t="shared" si="311"/>
        <v>0</v>
      </c>
      <c r="AQ208" s="114">
        <f t="shared" si="311"/>
        <v>0</v>
      </c>
      <c r="AR208" s="114">
        <f t="shared" si="311"/>
        <v>0</v>
      </c>
      <c r="AS208" s="114">
        <f t="shared" si="311"/>
        <v>0</v>
      </c>
      <c r="AT208" s="114">
        <f t="shared" si="311"/>
        <v>0</v>
      </c>
      <c r="AU208" s="114">
        <f t="shared" si="311"/>
        <v>0</v>
      </c>
      <c r="AV208" s="260"/>
      <c r="AW208" s="260"/>
      <c r="AX208" s="260"/>
      <c r="BC208" s="282"/>
      <c r="BK208" s="150"/>
      <c r="BL208" s="151"/>
    </row>
    <row r="209" spans="1:64">
      <c r="A209" s="179" t="s">
        <v>695</v>
      </c>
      <c r="B209" s="110" t="s">
        <v>697</v>
      </c>
      <c r="C209" s="110" t="str">
        <f t="shared" ref="C209:AU209" ca="1" si="312">IF(C$88=$BC$18,"O",IF(C$88=$BD$18,"O",IF(C$88=$BE$18,"O",IF(C$88=$BF$18,"O",IF(C$88=$BG$18,"O",IF(C$88=$BH$18,"O",IF(C$88=$BI$18,"O",IF(C$88=$BJ$18,"O",IF(C$88=$BK$18,"O",IF(C$88=$BL$18,"O",IF(C$88=$BM$18,"O",IF(C$88=$BN$18,"O",IF(C$88=$BO$18,"O",IF(C$88=$BP$18,"O",IF(C$88=$BQ$18,"O",IF(C$88=$BR$18,"O",IF(C$88=$BS$18,"O",IF(C$88=$BT$18,"O",IF(C$88=$BU$18,"O",IF(C$88=$BV$18,"O","X"))))))))))))))))))))</f>
        <v>O</v>
      </c>
      <c r="D209" s="287" t="str">
        <f t="shared" ca="1" si="312"/>
        <v>O</v>
      </c>
      <c r="E209" s="287" t="str">
        <f t="shared" ca="1" si="312"/>
        <v>O</v>
      </c>
      <c r="F209" s="287" t="str">
        <f t="shared" ca="1" si="312"/>
        <v>O</v>
      </c>
      <c r="G209" s="287" t="str">
        <f t="shared" ca="1" si="312"/>
        <v>O</v>
      </c>
      <c r="H209" s="287" t="str">
        <f t="shared" ca="1" si="312"/>
        <v>O</v>
      </c>
      <c r="I209" s="287" t="str">
        <f t="shared" ca="1" si="312"/>
        <v>O</v>
      </c>
      <c r="J209" s="287" t="str">
        <f t="shared" ca="1" si="312"/>
        <v>O</v>
      </c>
      <c r="K209" s="287" t="str">
        <f t="shared" ca="1" si="312"/>
        <v>O</v>
      </c>
      <c r="L209" s="287" t="str">
        <f t="shared" ca="1" si="312"/>
        <v>O</v>
      </c>
      <c r="M209" s="287" t="str">
        <f t="shared" ca="1" si="312"/>
        <v>X</v>
      </c>
      <c r="N209" s="287" t="str">
        <f t="shared" ca="1" si="312"/>
        <v>O</v>
      </c>
      <c r="O209" s="287" t="str">
        <f t="shared" ca="1" si="312"/>
        <v>O</v>
      </c>
      <c r="P209" s="287" t="str">
        <f t="shared" ca="1" si="312"/>
        <v>O</v>
      </c>
      <c r="Q209" s="287" t="str">
        <f t="shared" ca="1" si="312"/>
        <v>O</v>
      </c>
      <c r="R209" s="287" t="e">
        <f t="shared" si="312"/>
        <v>#VALUE!</v>
      </c>
      <c r="S209" s="287" t="e">
        <f t="shared" si="312"/>
        <v>#VALUE!</v>
      </c>
      <c r="T209" s="287" t="e">
        <f t="shared" si="312"/>
        <v>#VALUE!</v>
      </c>
      <c r="U209" s="287" t="e">
        <f t="shared" si="312"/>
        <v>#VALUE!</v>
      </c>
      <c r="V209" s="287" t="e">
        <f t="shared" si="312"/>
        <v>#VALUE!</v>
      </c>
      <c r="W209" s="287" t="e">
        <f t="shared" si="312"/>
        <v>#VALUE!</v>
      </c>
      <c r="X209" s="287" t="e">
        <f t="shared" si="312"/>
        <v>#VALUE!</v>
      </c>
      <c r="Y209" s="287" t="e">
        <f t="shared" si="312"/>
        <v>#VALUE!</v>
      </c>
      <c r="Z209" s="287" t="e">
        <f t="shared" si="312"/>
        <v>#VALUE!</v>
      </c>
      <c r="AA209" s="287" t="e">
        <f t="shared" si="312"/>
        <v>#VALUE!</v>
      </c>
      <c r="AB209" s="287" t="e">
        <f t="shared" si="312"/>
        <v>#VALUE!</v>
      </c>
      <c r="AC209" s="287" t="e">
        <f t="shared" si="312"/>
        <v>#VALUE!</v>
      </c>
      <c r="AD209" s="287" t="e">
        <f t="shared" si="312"/>
        <v>#VALUE!</v>
      </c>
      <c r="AE209" s="287" t="e">
        <f t="shared" si="312"/>
        <v>#VALUE!</v>
      </c>
      <c r="AF209" s="287" t="e">
        <f t="shared" si="312"/>
        <v>#VALUE!</v>
      </c>
      <c r="AG209" s="287" t="e">
        <f t="shared" si="312"/>
        <v>#VALUE!</v>
      </c>
      <c r="AH209" s="287" t="e">
        <f t="shared" si="312"/>
        <v>#VALUE!</v>
      </c>
      <c r="AI209" s="287" t="e">
        <f t="shared" si="312"/>
        <v>#VALUE!</v>
      </c>
      <c r="AJ209" s="287" t="e">
        <f t="shared" si="312"/>
        <v>#VALUE!</v>
      </c>
      <c r="AK209" s="287" t="e">
        <f t="shared" si="312"/>
        <v>#VALUE!</v>
      </c>
      <c r="AL209" s="308" t="e">
        <f t="shared" si="312"/>
        <v>#VALUE!</v>
      </c>
      <c r="AM209" s="308" t="e">
        <f t="shared" si="312"/>
        <v>#VALUE!</v>
      </c>
      <c r="AN209" s="308" t="e">
        <f t="shared" si="312"/>
        <v>#VALUE!</v>
      </c>
      <c r="AO209" s="308" t="e">
        <f t="shared" si="312"/>
        <v>#VALUE!</v>
      </c>
      <c r="AP209" s="308" t="e">
        <f t="shared" si="312"/>
        <v>#VALUE!</v>
      </c>
      <c r="AQ209" s="308" t="e">
        <f t="shared" si="312"/>
        <v>#VALUE!</v>
      </c>
      <c r="AR209" s="308" t="e">
        <f t="shared" si="312"/>
        <v>#VALUE!</v>
      </c>
      <c r="AS209" s="308" t="e">
        <f t="shared" si="312"/>
        <v>#VALUE!</v>
      </c>
      <c r="AT209" s="308" t="e">
        <f t="shared" si="312"/>
        <v>#VALUE!</v>
      </c>
      <c r="AU209" s="308" t="e">
        <f t="shared" si="312"/>
        <v>#VALUE!</v>
      </c>
      <c r="AV209" s="205"/>
      <c r="AW209" s="205"/>
      <c r="AX209" s="205"/>
      <c r="BC209" s="282"/>
      <c r="BK209" s="150"/>
      <c r="BL209" s="166"/>
    </row>
    <row r="210" spans="1:64">
      <c r="A210" s="180"/>
      <c r="B210" s="111" t="s">
        <v>634</v>
      </c>
      <c r="C210" s="109">
        <f ca="1">COUNTIF(C209:C209,"O")</f>
        <v>1</v>
      </c>
      <c r="D210" s="109">
        <f t="shared" ref="D210:Q210" ca="1" si="313">COUNTIF(D209:D209,"O")</f>
        <v>1</v>
      </c>
      <c r="E210" s="109">
        <f t="shared" ca="1" si="313"/>
        <v>1</v>
      </c>
      <c r="F210" s="109">
        <f t="shared" ca="1" si="313"/>
        <v>1</v>
      </c>
      <c r="G210" s="109">
        <f t="shared" ca="1" si="313"/>
        <v>1</v>
      </c>
      <c r="H210" s="109">
        <f t="shared" ca="1" si="313"/>
        <v>1</v>
      </c>
      <c r="I210" s="109">
        <f t="shared" ca="1" si="313"/>
        <v>1</v>
      </c>
      <c r="J210" s="109">
        <f t="shared" ca="1" si="313"/>
        <v>1</v>
      </c>
      <c r="K210" s="109">
        <f t="shared" ca="1" si="313"/>
        <v>1</v>
      </c>
      <c r="L210" s="109">
        <f t="shared" ca="1" si="313"/>
        <v>1</v>
      </c>
      <c r="M210" s="172">
        <f t="shared" ca="1" si="313"/>
        <v>0</v>
      </c>
      <c r="N210" s="172">
        <f t="shared" ca="1" si="313"/>
        <v>1</v>
      </c>
      <c r="O210" s="172">
        <f t="shared" ca="1" si="313"/>
        <v>1</v>
      </c>
      <c r="P210" s="172">
        <f t="shared" ca="1" si="313"/>
        <v>1</v>
      </c>
      <c r="Q210" s="172">
        <f t="shared" ca="1" si="313"/>
        <v>1</v>
      </c>
      <c r="R210" s="172">
        <f t="shared" ref="R210:AH210" si="314">COUNTIF(R209:R209,"O")</f>
        <v>0</v>
      </c>
      <c r="S210" s="172">
        <f t="shared" si="314"/>
        <v>0</v>
      </c>
      <c r="T210" s="172">
        <f t="shared" si="314"/>
        <v>0</v>
      </c>
      <c r="U210" s="172">
        <f t="shared" si="314"/>
        <v>0</v>
      </c>
      <c r="V210" s="172">
        <f t="shared" si="314"/>
        <v>0</v>
      </c>
      <c r="W210" s="172">
        <f t="shared" si="314"/>
        <v>0</v>
      </c>
      <c r="X210" s="172">
        <f t="shared" si="314"/>
        <v>0</v>
      </c>
      <c r="Y210" s="172">
        <f t="shared" si="314"/>
        <v>0</v>
      </c>
      <c r="Z210" s="172">
        <f t="shared" si="314"/>
        <v>0</v>
      </c>
      <c r="AA210" s="172">
        <f t="shared" si="314"/>
        <v>0</v>
      </c>
      <c r="AB210" s="172">
        <f t="shared" si="314"/>
        <v>0</v>
      </c>
      <c r="AC210" s="172">
        <f t="shared" si="314"/>
        <v>0</v>
      </c>
      <c r="AD210" s="172">
        <f t="shared" si="314"/>
        <v>0</v>
      </c>
      <c r="AE210" s="172">
        <f t="shared" si="314"/>
        <v>0</v>
      </c>
      <c r="AF210" s="172">
        <f t="shared" si="314"/>
        <v>0</v>
      </c>
      <c r="AG210" s="172">
        <f t="shared" si="314"/>
        <v>0</v>
      </c>
      <c r="AH210" s="172">
        <f t="shared" si="314"/>
        <v>0</v>
      </c>
      <c r="AI210" s="172">
        <f>COUNTIF(AI209:AI209,"O")</f>
        <v>0</v>
      </c>
      <c r="AJ210" s="172">
        <f>COUNTIF(AJ209:AJ209,"O")</f>
        <v>0</v>
      </c>
      <c r="AK210" s="172">
        <f>COUNTIF(AK209:AK209,"O")</f>
        <v>0</v>
      </c>
      <c r="AL210" s="172">
        <f t="shared" ref="AL210:AU210" si="315">COUNTIF(AL209:AL209,"O")</f>
        <v>0</v>
      </c>
      <c r="AM210" s="172">
        <f t="shared" si="315"/>
        <v>0</v>
      </c>
      <c r="AN210" s="172">
        <f t="shared" si="315"/>
        <v>0</v>
      </c>
      <c r="AO210" s="172">
        <f t="shared" si="315"/>
        <v>0</v>
      </c>
      <c r="AP210" s="172">
        <f t="shared" si="315"/>
        <v>0</v>
      </c>
      <c r="AQ210" s="172">
        <f t="shared" si="315"/>
        <v>0</v>
      </c>
      <c r="AR210" s="172">
        <f t="shared" si="315"/>
        <v>0</v>
      </c>
      <c r="AS210" s="172">
        <f t="shared" si="315"/>
        <v>0</v>
      </c>
      <c r="AT210" s="172">
        <f t="shared" si="315"/>
        <v>0</v>
      </c>
      <c r="AU210" s="172">
        <f t="shared" si="315"/>
        <v>0</v>
      </c>
      <c r="AV210" s="255"/>
      <c r="AW210" s="255"/>
      <c r="AX210" s="255"/>
      <c r="BC210" s="282"/>
      <c r="BK210" s="150"/>
      <c r="BL210" s="166"/>
    </row>
    <row r="211" spans="1:64">
      <c r="A211" s="181"/>
      <c r="BC211" s="282"/>
      <c r="BK211" s="150"/>
      <c r="BL211" s="166"/>
    </row>
    <row r="212" spans="1:64">
      <c r="BC212" s="282"/>
      <c r="BK212" s="150"/>
      <c r="BL212" s="166"/>
    </row>
    <row r="213" spans="1:64">
      <c r="BK213" s="150"/>
      <c r="BL213" s="166"/>
    </row>
    <row r="214" spans="1:64">
      <c r="BK214" s="150"/>
      <c r="BL214" s="166"/>
    </row>
    <row r="215" spans="1:64">
      <c r="BK215" s="150"/>
    </row>
    <row r="216" spans="1:64">
      <c r="BK216" s="150"/>
    </row>
    <row r="217" spans="1:64">
      <c r="BK217" s="150"/>
    </row>
  </sheetData>
  <sortState ref="BD38:BD67">
    <sortCondition ref="BD38"/>
  </sortState>
  <mergeCells count="44">
    <mergeCell ref="BA30:BB30"/>
    <mergeCell ref="BA22:BB22"/>
    <mergeCell ref="BA23:BB23"/>
    <mergeCell ref="BA24:BB24"/>
    <mergeCell ref="BA25:BB25"/>
    <mergeCell ref="BA26:BB26"/>
    <mergeCell ref="A208:B208"/>
    <mergeCell ref="A205:B205"/>
    <mergeCell ref="A206:B206"/>
    <mergeCell ref="A207:B207"/>
    <mergeCell ref="A192:A204"/>
    <mergeCell ref="A44:A49"/>
    <mergeCell ref="A50:A55"/>
    <mergeCell ref="A179:A191"/>
    <mergeCell ref="A56:A58"/>
    <mergeCell ref="A89:A101"/>
    <mergeCell ref="A66:A71"/>
    <mergeCell ref="A72:A78"/>
    <mergeCell ref="A79:A84"/>
    <mergeCell ref="A85:A87"/>
    <mergeCell ref="A59:A64"/>
    <mergeCell ref="A14:B14"/>
    <mergeCell ref="H36:L36"/>
    <mergeCell ref="A38:A43"/>
    <mergeCell ref="AZ31:BB31"/>
    <mergeCell ref="BA15:BB15"/>
    <mergeCell ref="BA16:BB16"/>
    <mergeCell ref="C36:G36"/>
    <mergeCell ref="AZ14:BB14"/>
    <mergeCell ref="BA17:BB17"/>
    <mergeCell ref="BA18:BB18"/>
    <mergeCell ref="BA19:BB19"/>
    <mergeCell ref="BA20:BB20"/>
    <mergeCell ref="BA21:BB21"/>
    <mergeCell ref="BA27:BB27"/>
    <mergeCell ref="BA28:BB28"/>
    <mergeCell ref="BA29:BB29"/>
    <mergeCell ref="I2:L2"/>
    <mergeCell ref="C34:D34"/>
    <mergeCell ref="E34:F34"/>
    <mergeCell ref="G34:H34"/>
    <mergeCell ref="C4:D4"/>
    <mergeCell ref="E4:F4"/>
    <mergeCell ref="G4:H4"/>
  </mergeCells>
  <phoneticPr fontId="2" type="noConversion"/>
  <conditionalFormatting sqref="R31:AX31">
    <cfRule type="containsText" dxfId="22" priority="115" operator="containsText" text="GD">
      <formula>NOT(ISERROR(SEARCH("GD",R31)))</formula>
    </cfRule>
  </conditionalFormatting>
  <conditionalFormatting sqref="R15:AX30">
    <cfRule type="containsText" dxfId="21" priority="113" operator="containsText" text="실패">
      <formula>NOT(ISERROR(SEARCH("실패",R15)))</formula>
    </cfRule>
    <cfRule type="containsText" dxfId="20" priority="114" operator="containsText" text="당첨">
      <formula>NOT(ISERROR(SEARCH("당첨",R15)))</formula>
    </cfRule>
  </conditionalFormatting>
  <conditionalFormatting sqref="R31:AX31">
    <cfRule type="containsText" dxfId="19" priority="108" operator="containsText" text="당첨">
      <formula>NOT(ISERROR(SEARCH("당첨",R31)))</formula>
    </cfRule>
    <cfRule type="containsText" dxfId="18" priority="109" operator="containsText" text="당첨">
      <formula>NOT(ISERROR(SEARCH("당첨",R31)))</formula>
    </cfRule>
    <cfRule type="containsText" dxfId="17" priority="110" operator="containsText" text="실패">
      <formula>NOT(ISERROR(SEARCH("실패",R31)))</formula>
    </cfRule>
  </conditionalFormatting>
  <conditionalFormatting sqref="C79:AX84">
    <cfRule type="containsText" dxfId="16" priority="107" operator="containsText" text="고수">
      <formula>NOT(ISERROR(SEARCH("고수",C79)))</formula>
    </cfRule>
  </conditionalFormatting>
  <conditionalFormatting sqref="R15:AX31">
    <cfRule type="containsText" dxfId="15" priority="106" operator="containsText" text="낙첨">
      <formula>NOT(ISERROR(SEARCH("낙첨",R15)))</formula>
    </cfRule>
  </conditionalFormatting>
  <conditionalFormatting sqref="R31:AX31">
    <cfRule type="containsText" dxfId="14" priority="101" operator="containsText" text="8">
      <formula>NOT(ISERROR(SEARCH("8",R31)))</formula>
    </cfRule>
  </conditionalFormatting>
  <conditionalFormatting sqref="BC31:DB31">
    <cfRule type="cellIs" dxfId="13" priority="76" operator="greaterThan">
      <formula>10</formula>
    </cfRule>
  </conditionalFormatting>
  <conditionalFormatting sqref="BG116:BG141">
    <cfRule type="cellIs" dxfId="12" priority="75" operator="greaterThan">
      <formula>45</formula>
    </cfRule>
  </conditionalFormatting>
  <conditionalFormatting sqref="AV38:AW43">
    <cfRule type="cellIs" dxfId="11" priority="4" operator="equal">
      <formula>43</formula>
    </cfRule>
    <cfRule type="cellIs" dxfId="10" priority="5" operator="equal">
      <formula>40</formula>
    </cfRule>
    <cfRule type="cellIs" dxfId="9" priority="6" operator="equal">
      <formula>26</formula>
    </cfRule>
    <cfRule type="cellIs" dxfId="8" priority="7" operator="equal">
      <formula>19</formula>
    </cfRule>
    <cfRule type="cellIs" dxfId="7" priority="8" operator="equal">
      <formula>15</formula>
    </cfRule>
    <cfRule type="cellIs" dxfId="6" priority="9" operator="equal">
      <formula>12</formula>
    </cfRule>
  </conditionalFormatting>
  <conditionalFormatting sqref="C15:Q30">
    <cfRule type="cellIs" dxfId="5" priority="2" operator="equal">
      <formula>"당첨"</formula>
    </cfRule>
    <cfRule type="cellIs" dxfId="4" priority="3" operator="equal">
      <formula>"낙첨"</formula>
    </cfRule>
  </conditionalFormatting>
  <conditionalFormatting sqref="C31:Q31">
    <cfRule type="cellIs" dxfId="3" priority="1" operator="equal">
      <formula>"낙첨"</formula>
    </cfRule>
  </conditionalFormatting>
  <pageMargins left="0.7" right="0.7" top="0.75" bottom="0.75" header="0.3" footer="0.3"/>
  <pageSetup paperSize="9" orientation="portrait" r:id="rId1"/>
  <ignoredErrors>
    <ignoredError sqref="C62:C64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CR725"/>
  <sheetViews>
    <sheetView tabSelected="1" zoomScale="70" zoomScaleNormal="70" workbookViewId="0">
      <pane xSplit="4" ySplit="4" topLeftCell="AR707" activePane="bottomRight" state="frozen"/>
      <selection activeCell="G93" sqref="G93"/>
      <selection pane="topRight" activeCell="G93" sqref="G93"/>
      <selection pane="bottomLeft" activeCell="G93" sqref="G93"/>
      <selection pane="bottomRight" activeCell="AW738" sqref="AW738"/>
    </sheetView>
  </sheetViews>
  <sheetFormatPr defaultRowHeight="12"/>
  <cols>
    <col min="1" max="1" width="13.75" style="18" bestFit="1" customWidth="1"/>
    <col min="2" max="2" width="4.625" style="18" bestFit="1" customWidth="1"/>
    <col min="3" max="3" width="9.25" style="363" bestFit="1" customWidth="1"/>
    <col min="4" max="4" width="7.5" style="18" hidden="1" customWidth="1"/>
    <col min="5" max="5" width="12.5" style="18" hidden="1" customWidth="1"/>
    <col min="6" max="6" width="7.5" style="18" hidden="1" customWidth="1"/>
    <col min="7" max="7" width="10.125" style="18" hidden="1" customWidth="1"/>
    <col min="8" max="8" width="7.5" style="18" hidden="1" customWidth="1"/>
    <col min="9" max="9" width="8.375" style="18" hidden="1" customWidth="1"/>
    <col min="10" max="11" width="7.5" style="18" hidden="1" customWidth="1"/>
    <col min="12" max="12" width="8.375" style="18" hidden="1" customWidth="1"/>
    <col min="13" max="13" width="7.5" style="18" hidden="1" customWidth="1"/>
    <col min="14" max="21" width="4.625" style="28" customWidth="1"/>
    <col min="22" max="22" width="1.25" style="28" customWidth="1"/>
    <col min="23" max="26" width="4.375" style="27" customWidth="1"/>
    <col min="27" max="28" width="4.375" style="28" customWidth="1"/>
    <col min="29" max="29" width="4.375" style="27" customWidth="1"/>
    <col min="30" max="31" width="4.375" style="32" customWidth="1"/>
    <col min="32" max="38" width="4.375" style="66" customWidth="1"/>
    <col min="39" max="40" width="4.375" style="27" customWidth="1"/>
    <col min="41" max="41" width="6" style="27" customWidth="1"/>
    <col min="42" max="52" width="6" style="66" customWidth="1"/>
    <col min="53" max="54" width="6" style="27" customWidth="1"/>
    <col min="55" max="64" width="6" style="127" customWidth="1"/>
    <col min="65" max="65" width="1" style="27" customWidth="1"/>
    <col min="66" max="66" width="1" style="28" customWidth="1"/>
    <col min="67" max="77" width="5.75" style="28" customWidth="1"/>
    <col min="78" max="82" width="5.75" style="18" customWidth="1"/>
    <col min="83" max="83" width="2.125" style="28" customWidth="1"/>
    <col min="84" max="84" width="4.5" style="66" bestFit="1" customWidth="1"/>
    <col min="85" max="86" width="4.375" style="66" customWidth="1"/>
    <col min="87" max="87" width="8" style="66" bestFit="1" customWidth="1"/>
    <col min="88" max="88" width="4.75" style="66" customWidth="1"/>
    <col min="89" max="89" width="2.5" style="28" customWidth="1"/>
    <col min="90" max="90" width="4" style="28" customWidth="1"/>
    <col min="91" max="92" width="3.5" style="28" customWidth="1"/>
    <col min="93" max="95" width="5.375" style="28" customWidth="1"/>
    <col min="96" max="96" width="3.5" style="28" customWidth="1"/>
    <col min="97" max="16384" width="9" style="18"/>
  </cols>
  <sheetData>
    <row r="1" spans="1:95" ht="19.5" customHeight="1">
      <c r="A1" s="17" t="s">
        <v>20</v>
      </c>
      <c r="B1" s="17"/>
      <c r="C1" s="357"/>
      <c r="D1" s="17"/>
      <c r="E1" s="17"/>
      <c r="F1" s="17"/>
      <c r="G1" s="17"/>
      <c r="H1" s="17"/>
      <c r="I1" s="17"/>
      <c r="Z1" s="173">
        <v>16</v>
      </c>
      <c r="AA1" s="173">
        <v>18</v>
      </c>
      <c r="AB1" s="173">
        <v>19</v>
      </c>
      <c r="AC1" s="173">
        <v>20</v>
      </c>
      <c r="AD1" s="174">
        <v>21</v>
      </c>
      <c r="AE1" s="174">
        <v>22</v>
      </c>
      <c r="AF1" s="174">
        <v>23</v>
      </c>
      <c r="AG1" s="174">
        <v>24</v>
      </c>
      <c r="AH1" s="174">
        <v>25</v>
      </c>
      <c r="AI1" s="174">
        <v>26</v>
      </c>
      <c r="AJ1" s="124">
        <v>27</v>
      </c>
      <c r="AK1" s="124">
        <v>28</v>
      </c>
      <c r="AL1" s="124">
        <v>29</v>
      </c>
      <c r="AM1" s="124">
        <v>30</v>
      </c>
      <c r="AN1" s="124">
        <v>31</v>
      </c>
      <c r="AO1" s="124">
        <v>32</v>
      </c>
      <c r="AP1" s="124">
        <v>33</v>
      </c>
      <c r="AQ1" s="124">
        <v>34</v>
      </c>
      <c r="AR1" s="124">
        <v>35</v>
      </c>
      <c r="AS1" s="124">
        <v>36</v>
      </c>
      <c r="BO1" s="27"/>
      <c r="BP1" s="27"/>
      <c r="BQ1" s="27"/>
      <c r="BR1" s="131"/>
      <c r="BS1" s="131"/>
      <c r="BT1" s="131"/>
      <c r="BU1" s="131"/>
      <c r="BV1" s="131"/>
      <c r="BW1" s="131"/>
      <c r="BX1" s="131"/>
      <c r="BY1" s="532" t="s">
        <v>584</v>
      </c>
      <c r="BZ1" s="532"/>
      <c r="CA1" s="532"/>
      <c r="CB1" s="532"/>
      <c r="CC1" s="532"/>
      <c r="CD1" s="532"/>
      <c r="CE1" s="533" t="s">
        <v>749</v>
      </c>
      <c r="CF1" s="541"/>
      <c r="CG1" s="541"/>
      <c r="CH1" s="541"/>
      <c r="CI1" s="541"/>
      <c r="CJ1" s="541"/>
    </row>
    <row r="2" spans="1:95" ht="19.5" customHeight="1">
      <c r="A2" s="17"/>
      <c r="B2" s="17"/>
      <c r="C2" s="357"/>
      <c r="D2" s="17"/>
      <c r="E2" s="17"/>
      <c r="F2" s="17"/>
      <c r="G2" s="17"/>
      <c r="H2" s="17"/>
      <c r="I2" s="17"/>
      <c r="R2" s="541" t="s">
        <v>699</v>
      </c>
      <c r="S2" s="543"/>
      <c r="T2" s="538">
        <f>AVERAGE(U487:U2487)</f>
        <v>139.163179916318</v>
      </c>
      <c r="U2" s="538"/>
      <c r="BO2" s="27"/>
      <c r="BP2" s="27"/>
      <c r="BQ2" s="27"/>
      <c r="BR2" s="540" t="s">
        <v>747</v>
      </c>
      <c r="BS2" s="540"/>
      <c r="BT2" s="540"/>
      <c r="BU2" s="540"/>
      <c r="BV2" s="540"/>
      <c r="BW2" s="540"/>
      <c r="BZ2" s="28"/>
      <c r="CA2" s="28"/>
      <c r="CB2" s="28"/>
      <c r="CC2" s="28"/>
      <c r="CD2" s="28"/>
      <c r="CF2" s="533" t="s">
        <v>662</v>
      </c>
      <c r="CG2" s="533"/>
      <c r="CH2" s="533"/>
      <c r="CI2" s="533"/>
      <c r="CJ2" s="533"/>
    </row>
    <row r="3" spans="1:95" ht="17.25" customHeight="1" thickBot="1">
      <c r="A3" s="17" t="s">
        <v>21</v>
      </c>
      <c r="B3" s="17"/>
      <c r="C3" s="357"/>
      <c r="D3" s="17" t="s">
        <v>22</v>
      </c>
      <c r="E3" s="17"/>
      <c r="F3" s="17" t="s">
        <v>23</v>
      </c>
      <c r="G3" s="17"/>
      <c r="H3" s="17" t="s">
        <v>24</v>
      </c>
      <c r="I3" s="17"/>
      <c r="J3" s="18" t="s">
        <v>25</v>
      </c>
      <c r="L3" s="18" t="s">
        <v>26</v>
      </c>
      <c r="N3" s="28" t="s">
        <v>27</v>
      </c>
      <c r="R3" s="541" t="s">
        <v>698</v>
      </c>
      <c r="S3" s="543"/>
      <c r="T3" s="535">
        <f>AVERAGE(U5:U2488)</f>
        <v>138.29264909847433</v>
      </c>
      <c r="U3" s="535"/>
      <c r="W3" s="545" t="s">
        <v>606</v>
      </c>
      <c r="X3" s="545"/>
      <c r="Y3" s="545"/>
      <c r="Z3" s="545"/>
      <c r="AA3" s="545"/>
      <c r="AB3" s="545"/>
      <c r="AC3" s="545"/>
      <c r="AD3" s="545"/>
      <c r="AE3" s="545"/>
      <c r="AF3" s="546" t="s">
        <v>607</v>
      </c>
      <c r="AG3" s="546"/>
      <c r="AH3" s="546"/>
      <c r="AI3" s="546"/>
      <c r="AJ3" s="546"/>
      <c r="AK3" s="546"/>
      <c r="AL3" s="546"/>
      <c r="AM3" s="546"/>
      <c r="AN3" s="546"/>
      <c r="AO3" s="73" t="s">
        <v>605</v>
      </c>
      <c r="AP3" s="534" t="s">
        <v>635</v>
      </c>
      <c r="AQ3" s="534"/>
      <c r="AR3" s="534"/>
      <c r="AS3" s="534"/>
      <c r="AT3" s="534"/>
      <c r="AU3" s="534"/>
      <c r="AV3" s="534"/>
      <c r="AW3" s="534"/>
      <c r="AX3" s="534"/>
      <c r="AY3" s="534"/>
      <c r="AZ3" s="534"/>
      <c r="BA3" s="534"/>
      <c r="BB3" s="534"/>
      <c r="BC3" s="128"/>
      <c r="BD3" s="128"/>
      <c r="BE3" s="128"/>
      <c r="BF3" s="128"/>
      <c r="BG3" s="128"/>
      <c r="BH3" s="128"/>
      <c r="BI3" s="128"/>
      <c r="BJ3" s="128"/>
      <c r="BK3" s="128"/>
      <c r="BL3" s="128"/>
      <c r="BO3" s="27"/>
      <c r="BP3" s="27"/>
      <c r="BQ3" s="27"/>
      <c r="BR3" s="536" t="s">
        <v>771</v>
      </c>
      <c r="BS3" s="536"/>
      <c r="BT3" s="536"/>
      <c r="BU3" s="536"/>
      <c r="BV3" s="536"/>
      <c r="BW3" s="536"/>
      <c r="BZ3" s="28"/>
      <c r="CA3" s="28"/>
      <c r="CB3" s="28"/>
      <c r="CC3" s="28"/>
      <c r="CD3" s="28"/>
      <c r="CF3" s="544" t="s">
        <v>670</v>
      </c>
      <c r="CG3" s="544"/>
      <c r="CH3" s="544"/>
      <c r="CI3" s="544"/>
      <c r="CJ3" s="544"/>
    </row>
    <row r="4" spans="1:95">
      <c r="A4" s="17"/>
      <c r="B4" s="17" t="s">
        <v>750</v>
      </c>
      <c r="C4" s="357" t="s">
        <v>751</v>
      </c>
      <c r="D4" s="17" t="s">
        <v>28</v>
      </c>
      <c r="E4" s="17" t="s">
        <v>29</v>
      </c>
      <c r="F4" s="17" t="s">
        <v>28</v>
      </c>
      <c r="G4" s="17" t="s">
        <v>29</v>
      </c>
      <c r="H4" s="17" t="s">
        <v>28</v>
      </c>
      <c r="I4" s="17" t="s">
        <v>29</v>
      </c>
      <c r="J4" s="18" t="s">
        <v>28</v>
      </c>
      <c r="K4" s="18" t="s">
        <v>29</v>
      </c>
      <c r="L4" s="18" t="s">
        <v>28</v>
      </c>
      <c r="M4" s="18" t="s">
        <v>29</v>
      </c>
      <c r="N4" s="28" t="s">
        <v>521</v>
      </c>
      <c r="O4" s="28" t="s">
        <v>522</v>
      </c>
      <c r="P4" s="28" t="s">
        <v>523</v>
      </c>
      <c r="Q4" s="28" t="s">
        <v>524</v>
      </c>
      <c r="R4" s="28" t="s">
        <v>525</v>
      </c>
      <c r="S4" s="65" t="s">
        <v>526</v>
      </c>
      <c r="T4" s="28" t="s">
        <v>30</v>
      </c>
      <c r="U4" s="27" t="s">
        <v>519</v>
      </c>
      <c r="W4" s="66" t="s">
        <v>589</v>
      </c>
      <c r="X4" s="66" t="s">
        <v>590</v>
      </c>
      <c r="Y4" s="66" t="s">
        <v>591</v>
      </c>
      <c r="Z4" s="66" t="s">
        <v>592</v>
      </c>
      <c r="AA4" s="66" t="s">
        <v>593</v>
      </c>
      <c r="AB4" s="66" t="s">
        <v>594</v>
      </c>
      <c r="AC4" s="66" t="s">
        <v>595</v>
      </c>
      <c r="AD4" s="66" t="s">
        <v>587</v>
      </c>
      <c r="AE4" s="66" t="s">
        <v>588</v>
      </c>
      <c r="AF4" s="66" t="s">
        <v>596</v>
      </c>
      <c r="AG4" s="66" t="s">
        <v>597</v>
      </c>
      <c r="AH4" s="66" t="s">
        <v>598</v>
      </c>
      <c r="AI4" s="66" t="s">
        <v>599</v>
      </c>
      <c r="AJ4" s="66" t="s">
        <v>600</v>
      </c>
      <c r="AK4" s="66" t="s">
        <v>601</v>
      </c>
      <c r="AL4" s="66" t="s">
        <v>602</v>
      </c>
      <c r="AM4" s="66" t="s">
        <v>603</v>
      </c>
      <c r="AN4" s="66" t="s">
        <v>604</v>
      </c>
      <c r="AO4" s="66" t="s">
        <v>608</v>
      </c>
      <c r="AP4" s="66" t="s">
        <v>636</v>
      </c>
      <c r="AQ4" s="66" t="s">
        <v>637</v>
      </c>
      <c r="AR4" s="66" t="s">
        <v>638</v>
      </c>
      <c r="AS4" s="66" t="s">
        <v>639</v>
      </c>
      <c r="AT4" s="66" t="s">
        <v>640</v>
      </c>
      <c r="AU4" s="72" t="s">
        <v>641</v>
      </c>
      <c r="AV4" s="66" t="s">
        <v>642</v>
      </c>
      <c r="AW4" s="66" t="s">
        <v>643</v>
      </c>
      <c r="AX4" s="66" t="s">
        <v>644</v>
      </c>
      <c r="AY4" s="66" t="s">
        <v>645</v>
      </c>
      <c r="AZ4" s="66" t="s">
        <v>646</v>
      </c>
      <c r="BA4" s="72" t="s">
        <v>647</v>
      </c>
      <c r="BB4" s="66" t="s">
        <v>648</v>
      </c>
      <c r="BC4" s="127" t="s">
        <v>521</v>
      </c>
      <c r="BD4" s="127" t="s">
        <v>522</v>
      </c>
      <c r="BE4" s="127" t="s">
        <v>523</v>
      </c>
      <c r="BF4" s="127" t="s">
        <v>524</v>
      </c>
      <c r="BG4" s="127" t="s">
        <v>525</v>
      </c>
      <c r="BH4" s="129" t="s">
        <v>526</v>
      </c>
      <c r="BI4" s="127" t="s">
        <v>706</v>
      </c>
      <c r="BJ4" s="127" t="s">
        <v>709</v>
      </c>
      <c r="BK4" s="127" t="s">
        <v>710</v>
      </c>
      <c r="BL4" s="127" t="s">
        <v>712</v>
      </c>
      <c r="BO4" s="33" t="s">
        <v>468</v>
      </c>
      <c r="BP4" s="34" t="s">
        <v>469</v>
      </c>
      <c r="BQ4" s="35" t="s">
        <v>470</v>
      </c>
      <c r="BR4" s="27" t="s">
        <v>520</v>
      </c>
      <c r="BS4" s="27" t="s">
        <v>802</v>
      </c>
      <c r="BT4" s="27" t="s">
        <v>527</v>
      </c>
      <c r="BU4" s="27" t="s">
        <v>528</v>
      </c>
      <c r="BV4" s="32" t="s">
        <v>529</v>
      </c>
      <c r="BW4" s="132" t="s">
        <v>711</v>
      </c>
      <c r="BX4" s="52" t="s">
        <v>533</v>
      </c>
      <c r="BY4" s="52" t="s">
        <v>531</v>
      </c>
      <c r="BZ4" s="52" t="s">
        <v>532</v>
      </c>
      <c r="CA4" s="52" t="s">
        <v>528</v>
      </c>
      <c r="CB4" s="52" t="s">
        <v>470</v>
      </c>
      <c r="CC4" s="31" t="s">
        <v>534</v>
      </c>
      <c r="CD4" s="31" t="s">
        <v>535</v>
      </c>
      <c r="CF4" s="53" t="s">
        <v>623</v>
      </c>
      <c r="CG4" s="53" t="s">
        <v>608</v>
      </c>
      <c r="CH4" s="53" t="s">
        <v>621</v>
      </c>
      <c r="CI4" s="53" t="s">
        <v>586</v>
      </c>
      <c r="CJ4" s="53" t="s">
        <v>622</v>
      </c>
      <c r="CL4" s="28" t="s">
        <v>765</v>
      </c>
      <c r="CM4" s="28" t="s">
        <v>766</v>
      </c>
      <c r="CN4" s="113"/>
      <c r="CO4" s="83" t="s">
        <v>767</v>
      </c>
      <c r="CP4" s="83" t="s">
        <v>768</v>
      </c>
      <c r="CQ4" s="83" t="s">
        <v>769</v>
      </c>
    </row>
    <row r="5" spans="1:95">
      <c r="A5" s="17">
        <v>2002</v>
      </c>
      <c r="B5" s="17">
        <v>1</v>
      </c>
      <c r="C5" s="357" t="s">
        <v>31</v>
      </c>
      <c r="D5" s="17">
        <v>0</v>
      </c>
      <c r="E5" s="17">
        <v>0</v>
      </c>
      <c r="F5" s="17">
        <v>1</v>
      </c>
      <c r="G5" s="19">
        <v>143934100</v>
      </c>
      <c r="H5" s="17">
        <v>28</v>
      </c>
      <c r="I5" s="19">
        <v>5140500</v>
      </c>
      <c r="J5" s="20">
        <v>2537</v>
      </c>
      <c r="K5" s="20">
        <v>113400</v>
      </c>
      <c r="L5" s="20">
        <v>40155</v>
      </c>
      <c r="M5" s="20">
        <v>10000</v>
      </c>
      <c r="N5" s="167">
        <v>10</v>
      </c>
      <c r="O5" s="167">
        <v>23</v>
      </c>
      <c r="P5" s="167">
        <v>29</v>
      </c>
      <c r="Q5" s="167">
        <v>33</v>
      </c>
      <c r="R5" s="167">
        <v>37</v>
      </c>
      <c r="S5" s="167">
        <v>40</v>
      </c>
      <c r="T5" s="167">
        <v>16</v>
      </c>
      <c r="U5" s="28">
        <f>SUM(N5:S5)</f>
        <v>172</v>
      </c>
      <c r="W5" s="66" t="str">
        <f t="shared" ref="W5:W49" si="0">IF(RIGHT(N5,1)="1","홀수",IF(RIGHT(N5,1)="3","홀수",IF(RIGHT(N5,1)="5","홀수",IF(RIGHT(N5,1)="7","홀수",IF(RIGHT(N5,1)="9","홀수","짝수")))))</f>
        <v>짝수</v>
      </c>
      <c r="X5" s="66" t="str">
        <f t="shared" ref="X5:X49" si="1">IF(RIGHT(O5,1)="1","홀수",IF(RIGHT(O5,1)="3","홀수",IF(RIGHT(O5,1)="5","홀수",IF(RIGHT(O5,1)="7","홀수",IF(RIGHT(O5,1)="9","홀수","짝수")))))</f>
        <v>홀수</v>
      </c>
      <c r="Y5" s="66" t="str">
        <f t="shared" ref="Y5:Y49" si="2">IF(RIGHT(P5,1)="1","홀수",IF(RIGHT(P5,1)="3","홀수",IF(RIGHT(P5,1)="5","홀수",IF(RIGHT(P5,1)="7","홀수",IF(RIGHT(P5,1)="9","홀수","짝수")))))</f>
        <v>홀수</v>
      </c>
      <c r="Z5" s="66" t="str">
        <f t="shared" ref="Z5:AB6" si="3">IF(RIGHT(Q5,1)="1","홀수",IF(RIGHT(Q5,1)="3","홀수",IF(RIGHT(Q5,1)="5","홀수",IF(RIGHT(Q5,1)="7","홀수",IF(RIGHT(Q5,1)="9","홀수","짝수")))))</f>
        <v>홀수</v>
      </c>
      <c r="AA5" s="66" t="str">
        <f t="shared" si="3"/>
        <v>홀수</v>
      </c>
      <c r="AB5" s="66" t="str">
        <f t="shared" si="3"/>
        <v>짝수</v>
      </c>
      <c r="AC5" s="58" t="str">
        <f>AD5&amp;" : "&amp;AE5</f>
        <v>4 : 2</v>
      </c>
      <c r="AD5" s="66">
        <f>COUNTIF(W5:AB5,"홀수")</f>
        <v>4</v>
      </c>
      <c r="AE5" s="66">
        <f>COUNTIF(W5:AB5,"짝수")</f>
        <v>2</v>
      </c>
      <c r="AF5" s="66" t="str">
        <f t="shared" ref="AF5:AK5" si="4">IF(N5&lt;23,"저수","고수")</f>
        <v>저수</v>
      </c>
      <c r="AG5" s="66" t="str">
        <f t="shared" si="4"/>
        <v>고수</v>
      </c>
      <c r="AH5" s="66" t="str">
        <f t="shared" si="4"/>
        <v>고수</v>
      </c>
      <c r="AI5" s="66" t="str">
        <f t="shared" si="4"/>
        <v>고수</v>
      </c>
      <c r="AJ5" s="66" t="str">
        <f t="shared" si="4"/>
        <v>고수</v>
      </c>
      <c r="AK5" s="66" t="str">
        <f t="shared" si="4"/>
        <v>고수</v>
      </c>
      <c r="AL5" s="58" t="str">
        <f>AM5&amp;" : "&amp;AN5</f>
        <v>1 : 5</v>
      </c>
      <c r="AM5" s="66">
        <f>COUNTIF(AF5:AK5,"저수")</f>
        <v>1</v>
      </c>
      <c r="AN5" s="66">
        <f>COUNTIF(AF5:AK5,"고수")</f>
        <v>5</v>
      </c>
      <c r="AO5" s="27">
        <f>RIGHT(N5,1)+RIGHT(O5,1)+RIGHT(P5,1)+RIGHT(Q5,1)+RIGHT(R5,1)+RIGHT(S5,1)</f>
        <v>22</v>
      </c>
      <c r="AP5" s="66" t="str">
        <f t="shared" ref="AP5:AU5" si="5">IF(N5=2,"O",IF(N5=3,"O",IF(N5=5,"O",IF(N5=7,"O",IF(N5=11,"O",IF(N5=13,"O",IF(N5=17,"O",IF(N5=19,"O","X"))))))))</f>
        <v>X</v>
      </c>
      <c r="AQ5" s="66" t="str">
        <f t="shared" si="5"/>
        <v>X</v>
      </c>
      <c r="AR5" s="66" t="str">
        <f t="shared" si="5"/>
        <v>X</v>
      </c>
      <c r="AS5" s="66" t="str">
        <f t="shared" si="5"/>
        <v>X</v>
      </c>
      <c r="AT5" s="66" t="str">
        <f t="shared" si="5"/>
        <v>X</v>
      </c>
      <c r="AU5" s="66" t="str">
        <f t="shared" si="5"/>
        <v>X</v>
      </c>
      <c r="AV5" s="66" t="str">
        <f t="shared" ref="AV5:BA5" si="6">IF(N5=23,"O",IF(N5=29,"O",IF(N5=31,"O",IF(N5=37,"O",IF(N5=41,"O",IF(N5=43,"O","X"))))))</f>
        <v>X</v>
      </c>
      <c r="AW5" s="66" t="str">
        <f t="shared" si="6"/>
        <v>O</v>
      </c>
      <c r="AX5" s="66" t="str">
        <f t="shared" si="6"/>
        <v>O</v>
      </c>
      <c r="AY5" s="66" t="str">
        <f t="shared" si="6"/>
        <v>X</v>
      </c>
      <c r="AZ5" s="66" t="str">
        <f t="shared" si="6"/>
        <v>O</v>
      </c>
      <c r="BA5" s="66" t="str">
        <f t="shared" si="6"/>
        <v>X</v>
      </c>
      <c r="BB5" s="27">
        <f>COUNTIF(AP5:BA5,"O")</f>
        <v>3</v>
      </c>
      <c r="BC5" s="127" t="str">
        <f t="shared" ref="BC5:BC68" si="7">VLOOKUP(N5,삼그룹,6,FALSE)</f>
        <v>1G</v>
      </c>
      <c r="BD5" s="127" t="str">
        <f t="shared" ref="BD5:BD68" si="8">VLOOKUP(O5,삼그룹,6,FALSE)</f>
        <v>2G</v>
      </c>
      <c r="BE5" s="127" t="str">
        <f t="shared" ref="BE5:BE68" si="9">VLOOKUP(P5,삼그룹,6,FALSE)</f>
        <v>2G</v>
      </c>
      <c r="BF5" s="127" t="str">
        <f t="shared" ref="BF5:BF68" si="10">VLOOKUP(Q5,삼그룹,6,FALSE)</f>
        <v>3G</v>
      </c>
      <c r="BG5" s="127" t="str">
        <f t="shared" ref="BG5:BG68" si="11">VLOOKUP(R5,삼그룹,6,FALSE)</f>
        <v>3G</v>
      </c>
      <c r="BH5" s="127" t="str">
        <f t="shared" ref="BH5:BH68" si="12">VLOOKUP(S5,삼그룹,6,FALSE)</f>
        <v>3G</v>
      </c>
      <c r="BI5" s="127">
        <f>COUNTIF($BC5:$BH5,"1G")</f>
        <v>1</v>
      </c>
      <c r="BJ5" s="127">
        <f>COUNTIF($BC5:$BH5,"2G")</f>
        <v>2</v>
      </c>
      <c r="BK5" s="127">
        <f>COUNTIF($BC5:$BH5,"3G")</f>
        <v>3</v>
      </c>
      <c r="BL5" s="127" t="str">
        <f>BI5&amp;BJ5&amp;BK5</f>
        <v>123</v>
      </c>
      <c r="BO5" s="36">
        <v>20</v>
      </c>
      <c r="BP5" s="37">
        <f t="shared" ref="BP5:BP49" si="13">COUNTIF(전체출현번호,$BO5)</f>
        <v>130</v>
      </c>
      <c r="BQ5" s="38">
        <f t="shared" ref="BQ5:BQ49" si="14">RANK($BP5,$BP$5:$BP$49)</f>
        <v>2</v>
      </c>
      <c r="BR5" s="145">
        <v>1</v>
      </c>
      <c r="BS5" s="29">
        <f>COUNTIF(최근10회,BR5)</f>
        <v>40</v>
      </c>
      <c r="BT5" s="29">
        <f>COUNTIF(최근5회,BR5)</f>
        <v>39</v>
      </c>
      <c r="BU5" s="57">
        <f>BS5+BT5</f>
        <v>79</v>
      </c>
      <c r="BV5" s="32" t="str">
        <f>IF(BU5&gt;=2,"당첨","")</f>
        <v>당첨</v>
      </c>
      <c r="BW5" s="127" t="s">
        <v>825</v>
      </c>
      <c r="BX5" s="153">
        <v>20</v>
      </c>
      <c r="BY5" s="30">
        <v>20</v>
      </c>
      <c r="BZ5" s="30">
        <v>19</v>
      </c>
      <c r="CA5" s="30">
        <v>39</v>
      </c>
      <c r="CB5" s="130" t="s">
        <v>530</v>
      </c>
      <c r="CC5" s="27" t="str">
        <f t="shared" ref="CC5:CC12" si="15">IF(RIGHT(BX5,1)="1","홀수",IF(RIGHT(BX5,1)="3","홀수",IF(RIGHT(BX5,1)="5","홀수",IF(RIGHT(BX5,1)="7","홀수",IF(RIGHT(BX5,1)="9","홀수","짝수")))))</f>
        <v>짝수</v>
      </c>
      <c r="CD5" s="28">
        <f t="shared" ref="CD5:CD12" si="16">IF(CB5="당첨",RANK(BY5,$BY$5:$BY$49),"")</f>
        <v>1</v>
      </c>
      <c r="CF5" s="97">
        <v>1</v>
      </c>
      <c r="CG5" s="85">
        <v>25</v>
      </c>
      <c r="CH5" s="85">
        <f t="shared" ref="CH5:CH37" si="17">COUNTIF($AO$5:$AO$1000,CG5)</f>
        <v>48</v>
      </c>
      <c r="CI5" s="90">
        <f t="shared" ref="CI5:CI37" si="18">CH5/$CH$38</f>
        <v>6.6945606694560664E-2</v>
      </c>
      <c r="CJ5" s="85">
        <f t="shared" ref="CJ5:CJ37" si="19">RANK(CI5,$CI$5:$CI$37)</f>
        <v>2</v>
      </c>
      <c r="CL5" s="28">
        <v>48</v>
      </c>
      <c r="CM5" s="28">
        <v>50</v>
      </c>
      <c r="CO5" s="140">
        <v>130</v>
      </c>
      <c r="CP5" s="140">
        <f t="shared" ref="CP5:CP22" si="20">COUNTIF($CM$5:$CM$499,CO5)</f>
        <v>68</v>
      </c>
      <c r="CQ5" s="193">
        <f t="shared" ref="CQ5:CQ22" si="21">CP5/$CP$23</f>
        <v>0.13737373737373737</v>
      </c>
    </row>
    <row r="6" spans="1:95">
      <c r="A6" s="17"/>
      <c r="B6" s="17">
        <v>2</v>
      </c>
      <c r="C6" s="357" t="s">
        <v>32</v>
      </c>
      <c r="D6" s="17">
        <v>1</v>
      </c>
      <c r="E6" s="19">
        <v>2002006800</v>
      </c>
      <c r="F6" s="17">
        <v>2</v>
      </c>
      <c r="G6" s="19">
        <v>94866800</v>
      </c>
      <c r="H6" s="17">
        <v>103</v>
      </c>
      <c r="I6" s="19">
        <v>1842000</v>
      </c>
      <c r="J6" s="20">
        <v>3763</v>
      </c>
      <c r="K6" s="20">
        <v>100800</v>
      </c>
      <c r="L6" s="20">
        <v>55480</v>
      </c>
      <c r="M6" s="20">
        <v>10000</v>
      </c>
      <c r="N6" s="167">
        <v>9</v>
      </c>
      <c r="O6" s="167">
        <v>13</v>
      </c>
      <c r="P6" s="167">
        <v>21</v>
      </c>
      <c r="Q6" s="167">
        <v>25</v>
      </c>
      <c r="R6" s="167">
        <v>32</v>
      </c>
      <c r="S6" s="167">
        <v>42</v>
      </c>
      <c r="T6" s="167">
        <v>2</v>
      </c>
      <c r="U6" s="28">
        <f t="shared" ref="U6:U69" si="22">SUM(N6:S6)</f>
        <v>142</v>
      </c>
      <c r="W6" s="66" t="str">
        <f t="shared" si="0"/>
        <v>홀수</v>
      </c>
      <c r="X6" s="66" t="str">
        <f t="shared" si="1"/>
        <v>홀수</v>
      </c>
      <c r="Y6" s="66" t="str">
        <f t="shared" si="2"/>
        <v>홀수</v>
      </c>
      <c r="Z6" s="66" t="str">
        <f t="shared" si="3"/>
        <v>홀수</v>
      </c>
      <c r="AA6" s="66" t="str">
        <f t="shared" si="3"/>
        <v>짝수</v>
      </c>
      <c r="AB6" s="66" t="str">
        <f t="shared" si="3"/>
        <v>짝수</v>
      </c>
      <c r="AC6" s="58" t="str">
        <f>AD6&amp;" : "&amp;AE6</f>
        <v>4 : 2</v>
      </c>
      <c r="AD6" s="66">
        <f>COUNTIF(W6:AB6,"홀수")</f>
        <v>4</v>
      </c>
      <c r="AE6" s="66">
        <f>COUNTIF(W6:AB6,"짝수")</f>
        <v>2</v>
      </c>
      <c r="AF6" s="66" t="str">
        <f t="shared" ref="AF6:AF69" si="23">IF(N6&lt;23,"저수","고수")</f>
        <v>저수</v>
      </c>
      <c r="AG6" s="66" t="str">
        <f t="shared" ref="AG6:AG69" si="24">IF(O6&lt;23,"저수","고수")</f>
        <v>저수</v>
      </c>
      <c r="AH6" s="66" t="str">
        <f t="shared" ref="AH6:AH69" si="25">IF(P6&lt;23,"저수","고수")</f>
        <v>저수</v>
      </c>
      <c r="AI6" s="66" t="str">
        <f t="shared" ref="AI6:AI69" si="26">IF(Q6&lt;23,"저수","고수")</f>
        <v>고수</v>
      </c>
      <c r="AJ6" s="66" t="str">
        <f t="shared" ref="AJ6:AJ69" si="27">IF(R6&lt;23,"저수","고수")</f>
        <v>고수</v>
      </c>
      <c r="AK6" s="66" t="str">
        <f t="shared" ref="AK6:AK69" si="28">IF(S6&lt;23,"저수","고수")</f>
        <v>고수</v>
      </c>
      <c r="AL6" s="58" t="str">
        <f t="shared" ref="AL6:AL69" si="29">AM6&amp;" : "&amp;AN6</f>
        <v>3 : 3</v>
      </c>
      <c r="AM6" s="66">
        <f t="shared" ref="AM6:AM69" si="30">COUNTIF(AF6:AK6,"저수")</f>
        <v>3</v>
      </c>
      <c r="AN6" s="66">
        <f t="shared" ref="AN6:AN69" si="31">COUNTIF(AF6:AK6,"고수")</f>
        <v>3</v>
      </c>
      <c r="AO6" s="66">
        <f t="shared" ref="AO6:AO69" si="32">RIGHT(N6,1)+RIGHT(O6,1)+RIGHT(P6,1)+RIGHT(Q6,1)+RIGHT(R6,1)+RIGHT(S6,1)</f>
        <v>22</v>
      </c>
      <c r="AP6" s="66" t="str">
        <f t="shared" ref="AP6:AP69" si="33">IF(N6=2,"O",IF(N6=3,"O",IF(N6=5,"O",IF(N6=7,"O",IF(N6=11,"O",IF(N6=13,"O",IF(N6=17,"O",IF(N6=19,"O","X"))))))))</f>
        <v>X</v>
      </c>
      <c r="AQ6" s="66" t="str">
        <f t="shared" ref="AQ6:AQ69" si="34">IF(O6=2,"O",IF(O6=3,"O",IF(O6=5,"O",IF(O6=7,"O",IF(O6=11,"O",IF(O6=13,"O",IF(O6=17,"O",IF(O6=19,"O","X"))))))))</f>
        <v>O</v>
      </c>
      <c r="AR6" s="66" t="str">
        <f t="shared" ref="AR6:AR69" si="35">IF(P6=2,"O",IF(P6=3,"O",IF(P6=5,"O",IF(P6=7,"O",IF(P6=11,"O",IF(P6=13,"O",IF(P6=17,"O",IF(P6=19,"O","X"))))))))</f>
        <v>X</v>
      </c>
      <c r="AS6" s="66" t="str">
        <f t="shared" ref="AS6:AS69" si="36">IF(Q6=2,"O",IF(Q6=3,"O",IF(Q6=5,"O",IF(Q6=7,"O",IF(Q6=11,"O",IF(Q6=13,"O",IF(Q6=17,"O",IF(Q6=19,"O","X"))))))))</f>
        <v>X</v>
      </c>
      <c r="AT6" s="66" t="str">
        <f t="shared" ref="AT6:AT69" si="37">IF(R6=2,"O",IF(R6=3,"O",IF(R6=5,"O",IF(R6=7,"O",IF(R6=11,"O",IF(R6=13,"O",IF(R6=17,"O",IF(R6=19,"O","X"))))))))</f>
        <v>X</v>
      </c>
      <c r="AU6" s="66" t="str">
        <f t="shared" ref="AU6:AU69" si="38">IF(S6=2,"O",IF(S6=3,"O",IF(S6=5,"O",IF(S6=7,"O",IF(S6=11,"O",IF(S6=13,"O",IF(S6=17,"O",IF(S6=19,"O","X"))))))))</f>
        <v>X</v>
      </c>
      <c r="AV6" s="66" t="str">
        <f t="shared" ref="AV6:AV69" si="39">IF(N6=23,"O",IF(N6=29,"O",IF(N6=31,"O",IF(N6=37,"O",IF(N6=41,"O",IF(N6=43,"O","X"))))))</f>
        <v>X</v>
      </c>
      <c r="AW6" s="66" t="str">
        <f t="shared" ref="AW6:AW69" si="40">IF(O6=23,"O",IF(O6=29,"O",IF(O6=31,"O",IF(O6=37,"O",IF(O6=41,"O",IF(O6=43,"O","X"))))))</f>
        <v>X</v>
      </c>
      <c r="AX6" s="66" t="str">
        <f t="shared" ref="AX6:AX69" si="41">IF(P6=23,"O",IF(P6=29,"O",IF(P6=31,"O",IF(P6=37,"O",IF(P6=41,"O",IF(P6=43,"O","X"))))))</f>
        <v>X</v>
      </c>
      <c r="AY6" s="66" t="str">
        <f t="shared" ref="AY6:AY69" si="42">IF(Q6=23,"O",IF(Q6=29,"O",IF(Q6=31,"O",IF(Q6=37,"O",IF(Q6=41,"O",IF(Q6=43,"O","X"))))))</f>
        <v>X</v>
      </c>
      <c r="AZ6" s="66" t="str">
        <f t="shared" ref="AZ6:AZ69" si="43">IF(R6=23,"O",IF(R6=29,"O",IF(R6=31,"O",IF(R6=37,"O",IF(R6=41,"O",IF(R6=43,"O","X"))))))</f>
        <v>X</v>
      </c>
      <c r="BA6" s="66" t="str">
        <f t="shared" ref="BA6:BA69" si="44">IF(S6=23,"O",IF(S6=29,"O",IF(S6=31,"O",IF(S6=37,"O",IF(S6=41,"O",IF(S6=43,"O","X"))))))</f>
        <v>X</v>
      </c>
      <c r="BB6" s="66">
        <f t="shared" ref="BB6:BB69" si="45">COUNTIF(AP6:BA6,"O")</f>
        <v>1</v>
      </c>
      <c r="BC6" s="127" t="str">
        <f t="shared" si="7"/>
        <v>1G</v>
      </c>
      <c r="BD6" s="127" t="str">
        <f t="shared" si="8"/>
        <v>1G</v>
      </c>
      <c r="BE6" s="127" t="str">
        <f t="shared" si="9"/>
        <v>2G</v>
      </c>
      <c r="BF6" s="127" t="str">
        <f t="shared" si="10"/>
        <v>2G</v>
      </c>
      <c r="BG6" s="127" t="str">
        <f t="shared" si="11"/>
        <v>3G</v>
      </c>
      <c r="BH6" s="127" t="str">
        <f t="shared" si="12"/>
        <v>3G</v>
      </c>
      <c r="BI6" s="127">
        <f t="shared" ref="BI6:BI69" si="46">COUNTIF($BC6:$BH6,"1G")</f>
        <v>2</v>
      </c>
      <c r="BJ6" s="127">
        <f t="shared" ref="BJ6:BJ69" si="47">COUNTIF($BC6:$BH6,"2G")</f>
        <v>2</v>
      </c>
      <c r="BK6" s="127">
        <f t="shared" ref="BK6:BK69" si="48">COUNTIF($BC6:$BH6,"3G")</f>
        <v>2</v>
      </c>
      <c r="BL6" s="127" t="str">
        <f t="shared" ref="BL6:BL69" si="49">BI6&amp;BJ6&amp;BK6</f>
        <v>222</v>
      </c>
      <c r="BO6" s="36">
        <v>1</v>
      </c>
      <c r="BP6" s="37">
        <f t="shared" si="13"/>
        <v>133</v>
      </c>
      <c r="BQ6" s="38">
        <f t="shared" si="14"/>
        <v>1</v>
      </c>
      <c r="BR6" s="145">
        <v>2</v>
      </c>
      <c r="BS6" s="29">
        <f>COUNTIF(최근10회,BR6)</f>
        <v>39</v>
      </c>
      <c r="BT6" s="29">
        <f t="shared" ref="BT6:BT49" si="50">COUNTIF(최근5회,BR6)</f>
        <v>35</v>
      </c>
      <c r="BU6" s="57">
        <f t="shared" ref="BU6:BU49" si="51">BS6+BT6</f>
        <v>74</v>
      </c>
      <c r="BV6" s="32" t="str">
        <f t="shared" ref="BV6:BV49" si="52">IF(BU6&gt;=2,"당첨","")</f>
        <v>당첨</v>
      </c>
      <c r="BW6" s="127" t="s">
        <v>706</v>
      </c>
      <c r="BX6" s="153">
        <v>12</v>
      </c>
      <c r="BY6" s="30">
        <v>19</v>
      </c>
      <c r="BZ6" s="30">
        <v>19</v>
      </c>
      <c r="CA6" s="30">
        <v>38</v>
      </c>
      <c r="CB6" s="130" t="s">
        <v>530</v>
      </c>
      <c r="CC6" s="27" t="str">
        <f t="shared" si="15"/>
        <v>짝수</v>
      </c>
      <c r="CD6" s="28">
        <f t="shared" si="16"/>
        <v>2</v>
      </c>
      <c r="CF6" s="97">
        <v>2</v>
      </c>
      <c r="CG6" s="85">
        <v>24</v>
      </c>
      <c r="CH6" s="85">
        <f t="shared" si="17"/>
        <v>49</v>
      </c>
      <c r="CI6" s="90">
        <f t="shared" si="18"/>
        <v>6.8340306834030681E-2</v>
      </c>
      <c r="CJ6" s="85">
        <f t="shared" si="19"/>
        <v>1</v>
      </c>
      <c r="CL6" s="28">
        <v>56</v>
      </c>
      <c r="CM6" s="28">
        <v>50</v>
      </c>
      <c r="CO6" s="140">
        <v>140</v>
      </c>
      <c r="CP6" s="140">
        <f t="shared" si="20"/>
        <v>59</v>
      </c>
      <c r="CQ6" s="193">
        <f t="shared" si="21"/>
        <v>0.1191919191919192</v>
      </c>
    </row>
    <row r="7" spans="1:95">
      <c r="A7" s="17"/>
      <c r="B7" s="17">
        <v>3</v>
      </c>
      <c r="C7" s="357" t="s">
        <v>33</v>
      </c>
      <c r="D7" s="17">
        <v>1</v>
      </c>
      <c r="E7" s="19">
        <v>2000000000</v>
      </c>
      <c r="F7" s="17">
        <v>0</v>
      </c>
      <c r="G7" s="17">
        <v>0</v>
      </c>
      <c r="H7" s="17">
        <v>139</v>
      </c>
      <c r="I7" s="19">
        <v>1174100</v>
      </c>
      <c r="J7" s="20">
        <v>5940</v>
      </c>
      <c r="K7" s="20">
        <v>54900</v>
      </c>
      <c r="L7" s="20">
        <v>73256</v>
      </c>
      <c r="M7" s="20">
        <v>10000</v>
      </c>
      <c r="N7" s="167">
        <v>11</v>
      </c>
      <c r="O7" s="167">
        <v>16</v>
      </c>
      <c r="P7" s="167">
        <v>19</v>
      </c>
      <c r="Q7" s="167">
        <v>21</v>
      </c>
      <c r="R7" s="167">
        <v>27</v>
      </c>
      <c r="S7" s="167">
        <v>31</v>
      </c>
      <c r="T7" s="167">
        <v>30</v>
      </c>
      <c r="U7" s="28">
        <f t="shared" si="22"/>
        <v>125</v>
      </c>
      <c r="W7" s="66" t="str">
        <f t="shared" si="0"/>
        <v>홀수</v>
      </c>
      <c r="X7" s="66" t="str">
        <f t="shared" si="1"/>
        <v>짝수</v>
      </c>
      <c r="Y7" s="66" t="str">
        <f t="shared" si="2"/>
        <v>홀수</v>
      </c>
      <c r="Z7" s="66" t="str">
        <f t="shared" ref="Z7:Z52" si="53">IF(RIGHT(Q7,1)="1","홀수",IF(RIGHT(Q7,1)="3","홀수",IF(RIGHT(Q7,1)="5","홀수",IF(RIGHT(Q7,1)="7","홀수",IF(RIGHT(Q7,1)="9","홀수","짝수")))))</f>
        <v>홀수</v>
      </c>
      <c r="AA7" s="66" t="str">
        <f t="shared" ref="AA7:AA52" si="54">IF(RIGHT(R7,1)="1","홀수",IF(RIGHT(R7,1)="3","홀수",IF(RIGHT(R7,1)="5","홀수",IF(RIGHT(R7,1)="7","홀수",IF(RIGHT(R7,1)="9","홀수","짝수")))))</f>
        <v>홀수</v>
      </c>
      <c r="AB7" s="66" t="str">
        <f t="shared" ref="AB7:AB52" si="55">IF(RIGHT(S7,1)="1","홀수",IF(RIGHT(S7,1)="3","홀수",IF(RIGHT(S7,1)="5","홀수",IF(RIGHT(S7,1)="7","홀수",IF(RIGHT(S7,1)="9","홀수","짝수")))))</f>
        <v>홀수</v>
      </c>
      <c r="AC7" s="58" t="str">
        <f t="shared" ref="AC7:AC52" si="56">AD7&amp;" : "&amp;AE7</f>
        <v>5 : 1</v>
      </c>
      <c r="AD7" s="66">
        <f t="shared" ref="AD7:AD52" si="57">COUNTIF(W7:AB7,"홀수")</f>
        <v>5</v>
      </c>
      <c r="AE7" s="66">
        <f t="shared" ref="AE7:AE52" si="58">COUNTIF(W7:AB7,"짝수")</f>
        <v>1</v>
      </c>
      <c r="AF7" s="66" t="str">
        <f t="shared" si="23"/>
        <v>저수</v>
      </c>
      <c r="AG7" s="66" t="str">
        <f t="shared" si="24"/>
        <v>저수</v>
      </c>
      <c r="AH7" s="66" t="str">
        <f t="shared" si="25"/>
        <v>저수</v>
      </c>
      <c r="AI7" s="66" t="str">
        <f t="shared" si="26"/>
        <v>저수</v>
      </c>
      <c r="AJ7" s="66" t="str">
        <f t="shared" si="27"/>
        <v>고수</v>
      </c>
      <c r="AK7" s="66" t="str">
        <f t="shared" si="28"/>
        <v>고수</v>
      </c>
      <c r="AL7" s="58" t="str">
        <f t="shared" si="29"/>
        <v>4 : 2</v>
      </c>
      <c r="AM7" s="66">
        <f t="shared" si="30"/>
        <v>4</v>
      </c>
      <c r="AN7" s="66">
        <f t="shared" si="31"/>
        <v>2</v>
      </c>
      <c r="AO7" s="66">
        <f t="shared" si="32"/>
        <v>25</v>
      </c>
      <c r="AP7" s="66" t="str">
        <f t="shared" si="33"/>
        <v>O</v>
      </c>
      <c r="AQ7" s="66" t="str">
        <f t="shared" si="34"/>
        <v>X</v>
      </c>
      <c r="AR7" s="66" t="str">
        <f t="shared" si="35"/>
        <v>O</v>
      </c>
      <c r="AS7" s="66" t="str">
        <f t="shared" si="36"/>
        <v>X</v>
      </c>
      <c r="AT7" s="66" t="str">
        <f t="shared" si="37"/>
        <v>X</v>
      </c>
      <c r="AU7" s="66" t="str">
        <f t="shared" si="38"/>
        <v>X</v>
      </c>
      <c r="AV7" s="66" t="str">
        <f t="shared" si="39"/>
        <v>X</v>
      </c>
      <c r="AW7" s="66" t="str">
        <f t="shared" si="40"/>
        <v>X</v>
      </c>
      <c r="AX7" s="66" t="str">
        <f t="shared" si="41"/>
        <v>X</v>
      </c>
      <c r="AY7" s="66" t="str">
        <f t="shared" si="42"/>
        <v>X</v>
      </c>
      <c r="AZ7" s="66" t="str">
        <f t="shared" si="43"/>
        <v>X</v>
      </c>
      <c r="BA7" s="66" t="str">
        <f t="shared" si="44"/>
        <v>O</v>
      </c>
      <c r="BB7" s="66">
        <f t="shared" si="45"/>
        <v>3</v>
      </c>
      <c r="BC7" s="127" t="str">
        <f t="shared" si="7"/>
        <v>1G</v>
      </c>
      <c r="BD7" s="127" t="str">
        <f t="shared" si="8"/>
        <v>2G</v>
      </c>
      <c r="BE7" s="127" t="str">
        <f t="shared" si="9"/>
        <v>2G</v>
      </c>
      <c r="BF7" s="127" t="str">
        <f t="shared" si="10"/>
        <v>2G</v>
      </c>
      <c r="BG7" s="127" t="str">
        <f t="shared" si="11"/>
        <v>2G</v>
      </c>
      <c r="BH7" s="127" t="str">
        <f t="shared" si="12"/>
        <v>3G</v>
      </c>
      <c r="BI7" s="127">
        <f t="shared" si="46"/>
        <v>1</v>
      </c>
      <c r="BJ7" s="127">
        <f t="shared" si="47"/>
        <v>4</v>
      </c>
      <c r="BK7" s="127">
        <f t="shared" si="48"/>
        <v>1</v>
      </c>
      <c r="BL7" s="127" t="str">
        <f t="shared" si="49"/>
        <v>141</v>
      </c>
      <c r="BO7" s="36">
        <v>40</v>
      </c>
      <c r="BP7" s="37">
        <f t="shared" si="13"/>
        <v>127</v>
      </c>
      <c r="BQ7" s="38">
        <f t="shared" si="14"/>
        <v>4</v>
      </c>
      <c r="BR7" s="145">
        <v>3</v>
      </c>
      <c r="BS7" s="29">
        <f t="shared" ref="BS7:BS49" si="59">COUNTIF(최근10회,BR7)</f>
        <v>33</v>
      </c>
      <c r="BT7" s="29">
        <f t="shared" si="50"/>
        <v>33</v>
      </c>
      <c r="BU7" s="57">
        <f t="shared" si="51"/>
        <v>66</v>
      </c>
      <c r="BV7" s="32" t="str">
        <f t="shared" si="52"/>
        <v>당첨</v>
      </c>
      <c r="BW7" s="127" t="s">
        <v>706</v>
      </c>
      <c r="BX7" s="153">
        <v>26</v>
      </c>
      <c r="BY7" s="30">
        <v>19</v>
      </c>
      <c r="BZ7" s="30">
        <v>18</v>
      </c>
      <c r="CA7" s="30">
        <v>37</v>
      </c>
      <c r="CB7" s="130" t="s">
        <v>530</v>
      </c>
      <c r="CC7" s="27" t="str">
        <f t="shared" si="15"/>
        <v>짝수</v>
      </c>
      <c r="CD7" s="28">
        <f t="shared" si="16"/>
        <v>2</v>
      </c>
      <c r="CF7" s="97">
        <v>3</v>
      </c>
      <c r="CG7" s="85">
        <v>28</v>
      </c>
      <c r="CH7" s="85">
        <f t="shared" si="17"/>
        <v>47</v>
      </c>
      <c r="CI7" s="90">
        <f t="shared" si="18"/>
        <v>6.555090655509066E-2</v>
      </c>
      <c r="CJ7" s="85">
        <f t="shared" si="19"/>
        <v>3</v>
      </c>
      <c r="CL7" s="28">
        <v>58</v>
      </c>
      <c r="CM7" s="28">
        <v>50</v>
      </c>
      <c r="CO7" s="140">
        <v>160</v>
      </c>
      <c r="CP7" s="140">
        <f t="shared" si="20"/>
        <v>59</v>
      </c>
      <c r="CQ7" s="193">
        <f t="shared" si="21"/>
        <v>0.1191919191919192</v>
      </c>
    </row>
    <row r="8" spans="1:95">
      <c r="A8" s="17"/>
      <c r="B8" s="17">
        <v>4</v>
      </c>
      <c r="C8" s="357" t="s">
        <v>34</v>
      </c>
      <c r="D8" s="17">
        <v>0</v>
      </c>
      <c r="E8" s="17">
        <v>0</v>
      </c>
      <c r="F8" s="17">
        <v>1</v>
      </c>
      <c r="G8" s="19">
        <v>211191200</v>
      </c>
      <c r="H8" s="17">
        <v>29</v>
      </c>
      <c r="I8" s="19">
        <v>7282400</v>
      </c>
      <c r="J8" s="20">
        <v>2777</v>
      </c>
      <c r="K8" s="20">
        <v>152100</v>
      </c>
      <c r="L8" s="20">
        <v>52382</v>
      </c>
      <c r="M8" s="20">
        <v>10000</v>
      </c>
      <c r="N8" s="167">
        <v>14</v>
      </c>
      <c r="O8" s="167">
        <v>27</v>
      </c>
      <c r="P8" s="167">
        <v>30</v>
      </c>
      <c r="Q8" s="167">
        <v>31</v>
      </c>
      <c r="R8" s="167">
        <v>40</v>
      </c>
      <c r="S8" s="167">
        <v>42</v>
      </c>
      <c r="T8" s="167">
        <v>2</v>
      </c>
      <c r="U8" s="28">
        <f t="shared" si="22"/>
        <v>184</v>
      </c>
      <c r="W8" s="66" t="str">
        <f t="shared" si="0"/>
        <v>짝수</v>
      </c>
      <c r="X8" s="66" t="str">
        <f t="shared" si="1"/>
        <v>홀수</v>
      </c>
      <c r="Y8" s="66" t="str">
        <f t="shared" si="2"/>
        <v>짝수</v>
      </c>
      <c r="Z8" s="66" t="str">
        <f t="shared" si="53"/>
        <v>홀수</v>
      </c>
      <c r="AA8" s="66" t="str">
        <f t="shared" si="54"/>
        <v>짝수</v>
      </c>
      <c r="AB8" s="66" t="str">
        <f t="shared" si="55"/>
        <v>짝수</v>
      </c>
      <c r="AC8" s="58" t="str">
        <f t="shared" si="56"/>
        <v>2 : 4</v>
      </c>
      <c r="AD8" s="66">
        <f t="shared" si="57"/>
        <v>2</v>
      </c>
      <c r="AE8" s="66">
        <f t="shared" si="58"/>
        <v>4</v>
      </c>
      <c r="AF8" s="66" t="str">
        <f t="shared" si="23"/>
        <v>저수</v>
      </c>
      <c r="AG8" s="66" t="str">
        <f t="shared" si="24"/>
        <v>고수</v>
      </c>
      <c r="AH8" s="66" t="str">
        <f t="shared" si="25"/>
        <v>고수</v>
      </c>
      <c r="AI8" s="66" t="str">
        <f t="shared" si="26"/>
        <v>고수</v>
      </c>
      <c r="AJ8" s="66" t="str">
        <f t="shared" si="27"/>
        <v>고수</v>
      </c>
      <c r="AK8" s="66" t="str">
        <f t="shared" si="28"/>
        <v>고수</v>
      </c>
      <c r="AL8" s="58" t="str">
        <f t="shared" si="29"/>
        <v>1 : 5</v>
      </c>
      <c r="AM8" s="66">
        <f t="shared" si="30"/>
        <v>1</v>
      </c>
      <c r="AN8" s="66">
        <f t="shared" si="31"/>
        <v>5</v>
      </c>
      <c r="AO8" s="66">
        <f t="shared" si="32"/>
        <v>14</v>
      </c>
      <c r="AP8" s="66" t="str">
        <f t="shared" si="33"/>
        <v>X</v>
      </c>
      <c r="AQ8" s="66" t="str">
        <f t="shared" si="34"/>
        <v>X</v>
      </c>
      <c r="AR8" s="66" t="str">
        <f t="shared" si="35"/>
        <v>X</v>
      </c>
      <c r="AS8" s="66" t="str">
        <f t="shared" si="36"/>
        <v>X</v>
      </c>
      <c r="AT8" s="66" t="str">
        <f t="shared" si="37"/>
        <v>X</v>
      </c>
      <c r="AU8" s="66" t="str">
        <f t="shared" si="38"/>
        <v>X</v>
      </c>
      <c r="AV8" s="66" t="str">
        <f t="shared" si="39"/>
        <v>X</v>
      </c>
      <c r="AW8" s="66" t="str">
        <f t="shared" si="40"/>
        <v>X</v>
      </c>
      <c r="AX8" s="66" t="str">
        <f t="shared" si="41"/>
        <v>X</v>
      </c>
      <c r="AY8" s="66" t="str">
        <f t="shared" si="42"/>
        <v>O</v>
      </c>
      <c r="AZ8" s="66" t="str">
        <f t="shared" si="43"/>
        <v>X</v>
      </c>
      <c r="BA8" s="66" t="str">
        <f t="shared" si="44"/>
        <v>X</v>
      </c>
      <c r="BB8" s="66">
        <f t="shared" si="45"/>
        <v>1</v>
      </c>
      <c r="BC8" s="127" t="str">
        <f t="shared" si="7"/>
        <v>1G</v>
      </c>
      <c r="BD8" s="127" t="str">
        <f t="shared" si="8"/>
        <v>2G</v>
      </c>
      <c r="BE8" s="127" t="str">
        <f t="shared" si="9"/>
        <v>2G</v>
      </c>
      <c r="BF8" s="127" t="str">
        <f t="shared" si="10"/>
        <v>3G</v>
      </c>
      <c r="BG8" s="127" t="str">
        <f t="shared" si="11"/>
        <v>3G</v>
      </c>
      <c r="BH8" s="127" t="str">
        <f t="shared" si="12"/>
        <v>3G</v>
      </c>
      <c r="BI8" s="127">
        <f t="shared" si="46"/>
        <v>1</v>
      </c>
      <c r="BJ8" s="127">
        <f t="shared" si="47"/>
        <v>2</v>
      </c>
      <c r="BK8" s="127">
        <f t="shared" si="48"/>
        <v>3</v>
      </c>
      <c r="BL8" s="127" t="str">
        <f t="shared" si="49"/>
        <v>123</v>
      </c>
      <c r="BO8" s="39">
        <v>27</v>
      </c>
      <c r="BP8" s="40">
        <f t="shared" si="13"/>
        <v>129</v>
      </c>
      <c r="BQ8" s="41">
        <f t="shared" si="14"/>
        <v>3</v>
      </c>
      <c r="BR8" s="145">
        <v>4</v>
      </c>
      <c r="BS8" s="29">
        <f t="shared" si="59"/>
        <v>41</v>
      </c>
      <c r="BT8" s="29">
        <f t="shared" si="50"/>
        <v>39</v>
      </c>
      <c r="BU8" s="57">
        <f t="shared" si="51"/>
        <v>80</v>
      </c>
      <c r="BV8" s="32" t="str">
        <f t="shared" si="52"/>
        <v>당첨</v>
      </c>
      <c r="BW8" s="127" t="s">
        <v>706</v>
      </c>
      <c r="BX8" s="153">
        <v>43</v>
      </c>
      <c r="BY8" s="30">
        <v>19</v>
      </c>
      <c r="BZ8" s="30">
        <v>17</v>
      </c>
      <c r="CA8" s="30">
        <v>36</v>
      </c>
      <c r="CB8" s="130" t="s">
        <v>530</v>
      </c>
      <c r="CC8" s="27" t="str">
        <f t="shared" si="15"/>
        <v>홀수</v>
      </c>
      <c r="CD8" s="28">
        <f t="shared" si="16"/>
        <v>2</v>
      </c>
      <c r="CF8" s="97">
        <v>4</v>
      </c>
      <c r="CG8" s="85">
        <v>23</v>
      </c>
      <c r="CH8" s="85">
        <f t="shared" si="17"/>
        <v>43</v>
      </c>
      <c r="CI8" s="90">
        <f t="shared" si="18"/>
        <v>5.9972105997210597E-2</v>
      </c>
      <c r="CJ8" s="85">
        <f t="shared" si="19"/>
        <v>4</v>
      </c>
      <c r="CL8" s="28">
        <v>63</v>
      </c>
      <c r="CM8" s="28">
        <v>60</v>
      </c>
      <c r="CO8" s="140">
        <v>120</v>
      </c>
      <c r="CP8" s="140">
        <f t="shared" si="20"/>
        <v>56</v>
      </c>
      <c r="CQ8" s="193">
        <f t="shared" si="21"/>
        <v>0.11313131313131314</v>
      </c>
    </row>
    <row r="9" spans="1:95">
      <c r="A9" s="17">
        <v>2003</v>
      </c>
      <c r="B9" s="17">
        <v>5</v>
      </c>
      <c r="C9" s="357" t="s">
        <v>35</v>
      </c>
      <c r="D9" s="17">
        <v>0</v>
      </c>
      <c r="E9" s="17">
        <v>0</v>
      </c>
      <c r="F9" s="17">
        <v>0</v>
      </c>
      <c r="G9" s="17">
        <v>0</v>
      </c>
      <c r="H9" s="17">
        <v>42</v>
      </c>
      <c r="I9" s="19">
        <v>6033800</v>
      </c>
      <c r="J9" s="20">
        <v>3043</v>
      </c>
      <c r="K9" s="20">
        <v>166500</v>
      </c>
      <c r="L9" s="20">
        <v>60434</v>
      </c>
      <c r="M9" s="20">
        <v>10000</v>
      </c>
      <c r="N9" s="167">
        <v>16</v>
      </c>
      <c r="O9" s="167">
        <v>24</v>
      </c>
      <c r="P9" s="167">
        <v>29</v>
      </c>
      <c r="Q9" s="167">
        <v>40</v>
      </c>
      <c r="R9" s="167">
        <v>41</v>
      </c>
      <c r="S9" s="167">
        <v>42</v>
      </c>
      <c r="T9" s="167">
        <v>3</v>
      </c>
      <c r="U9" s="28">
        <f t="shared" si="22"/>
        <v>192</v>
      </c>
      <c r="W9" s="66" t="str">
        <f t="shared" si="0"/>
        <v>짝수</v>
      </c>
      <c r="X9" s="66" t="str">
        <f t="shared" si="1"/>
        <v>짝수</v>
      </c>
      <c r="Y9" s="66" t="str">
        <f t="shared" si="2"/>
        <v>홀수</v>
      </c>
      <c r="Z9" s="66" t="str">
        <f t="shared" si="53"/>
        <v>짝수</v>
      </c>
      <c r="AA9" s="66" t="str">
        <f t="shared" si="54"/>
        <v>홀수</v>
      </c>
      <c r="AB9" s="66" t="str">
        <f t="shared" si="55"/>
        <v>짝수</v>
      </c>
      <c r="AC9" s="58" t="str">
        <f t="shared" si="56"/>
        <v>2 : 4</v>
      </c>
      <c r="AD9" s="66">
        <f t="shared" si="57"/>
        <v>2</v>
      </c>
      <c r="AE9" s="66">
        <f t="shared" si="58"/>
        <v>4</v>
      </c>
      <c r="AF9" s="66" t="str">
        <f t="shared" si="23"/>
        <v>저수</v>
      </c>
      <c r="AG9" s="66" t="str">
        <f t="shared" si="24"/>
        <v>고수</v>
      </c>
      <c r="AH9" s="66" t="str">
        <f t="shared" si="25"/>
        <v>고수</v>
      </c>
      <c r="AI9" s="66" t="str">
        <f t="shared" si="26"/>
        <v>고수</v>
      </c>
      <c r="AJ9" s="66" t="str">
        <f t="shared" si="27"/>
        <v>고수</v>
      </c>
      <c r="AK9" s="66" t="str">
        <f t="shared" si="28"/>
        <v>고수</v>
      </c>
      <c r="AL9" s="58" t="str">
        <f t="shared" si="29"/>
        <v>1 : 5</v>
      </c>
      <c r="AM9" s="66">
        <f t="shared" si="30"/>
        <v>1</v>
      </c>
      <c r="AN9" s="66">
        <f t="shared" si="31"/>
        <v>5</v>
      </c>
      <c r="AO9" s="66">
        <f t="shared" si="32"/>
        <v>22</v>
      </c>
      <c r="AP9" s="66" t="str">
        <f t="shared" si="33"/>
        <v>X</v>
      </c>
      <c r="AQ9" s="66" t="str">
        <f t="shared" si="34"/>
        <v>X</v>
      </c>
      <c r="AR9" s="66" t="str">
        <f t="shared" si="35"/>
        <v>X</v>
      </c>
      <c r="AS9" s="66" t="str">
        <f t="shared" si="36"/>
        <v>X</v>
      </c>
      <c r="AT9" s="66" t="str">
        <f t="shared" si="37"/>
        <v>X</v>
      </c>
      <c r="AU9" s="66" t="str">
        <f t="shared" si="38"/>
        <v>X</v>
      </c>
      <c r="AV9" s="66" t="str">
        <f t="shared" si="39"/>
        <v>X</v>
      </c>
      <c r="AW9" s="66" t="str">
        <f t="shared" si="40"/>
        <v>X</v>
      </c>
      <c r="AX9" s="66" t="str">
        <f t="shared" si="41"/>
        <v>O</v>
      </c>
      <c r="AY9" s="66" t="str">
        <f t="shared" si="42"/>
        <v>X</v>
      </c>
      <c r="AZ9" s="66" t="str">
        <f t="shared" si="43"/>
        <v>O</v>
      </c>
      <c r="BA9" s="66" t="str">
        <f t="shared" si="44"/>
        <v>X</v>
      </c>
      <c r="BB9" s="66">
        <f t="shared" si="45"/>
        <v>2</v>
      </c>
      <c r="BC9" s="127" t="str">
        <f t="shared" si="7"/>
        <v>2G</v>
      </c>
      <c r="BD9" s="127" t="str">
        <f t="shared" si="8"/>
        <v>2G</v>
      </c>
      <c r="BE9" s="127" t="str">
        <f t="shared" si="9"/>
        <v>2G</v>
      </c>
      <c r="BF9" s="127" t="str">
        <f t="shared" si="10"/>
        <v>3G</v>
      </c>
      <c r="BG9" s="127" t="str">
        <f t="shared" si="11"/>
        <v>3G</v>
      </c>
      <c r="BH9" s="127" t="str">
        <f t="shared" si="12"/>
        <v>3G</v>
      </c>
      <c r="BI9" s="127">
        <f t="shared" si="46"/>
        <v>0</v>
      </c>
      <c r="BJ9" s="127">
        <f t="shared" si="47"/>
        <v>3</v>
      </c>
      <c r="BK9" s="127">
        <f t="shared" si="48"/>
        <v>3</v>
      </c>
      <c r="BL9" s="127" t="str">
        <f t="shared" si="49"/>
        <v>033</v>
      </c>
      <c r="BO9" s="36">
        <v>37</v>
      </c>
      <c r="BP9" s="37">
        <f t="shared" si="13"/>
        <v>123</v>
      </c>
      <c r="BQ9" s="38">
        <f t="shared" si="14"/>
        <v>6</v>
      </c>
      <c r="BR9" s="145">
        <v>5</v>
      </c>
      <c r="BS9" s="29">
        <f t="shared" si="59"/>
        <v>41</v>
      </c>
      <c r="BT9" s="29">
        <f t="shared" si="50"/>
        <v>41</v>
      </c>
      <c r="BU9" s="57">
        <f t="shared" si="51"/>
        <v>82</v>
      </c>
      <c r="BV9" s="32" t="str">
        <f t="shared" si="52"/>
        <v>당첨</v>
      </c>
      <c r="BW9" s="127" t="s">
        <v>706</v>
      </c>
      <c r="BX9" s="152">
        <v>31</v>
      </c>
      <c r="BY9" s="30">
        <v>18</v>
      </c>
      <c r="BZ9" s="30">
        <v>17</v>
      </c>
      <c r="CA9" s="30">
        <v>35</v>
      </c>
      <c r="CB9" s="130" t="s">
        <v>530</v>
      </c>
      <c r="CC9" s="27" t="str">
        <f t="shared" si="15"/>
        <v>홀수</v>
      </c>
      <c r="CD9" s="28">
        <f t="shared" si="16"/>
        <v>5</v>
      </c>
      <c r="CF9" s="97">
        <v>5</v>
      </c>
      <c r="CG9" s="85">
        <v>26</v>
      </c>
      <c r="CH9" s="85">
        <f t="shared" si="17"/>
        <v>40</v>
      </c>
      <c r="CI9" s="90">
        <f t="shared" si="18"/>
        <v>5.5788005578800558E-2</v>
      </c>
      <c r="CJ9" s="85">
        <f t="shared" si="19"/>
        <v>5</v>
      </c>
      <c r="CL9" s="28">
        <v>64</v>
      </c>
      <c r="CM9" s="28">
        <v>60</v>
      </c>
      <c r="CO9" s="140">
        <v>150</v>
      </c>
      <c r="CP9" s="140">
        <f t="shared" si="20"/>
        <v>40</v>
      </c>
      <c r="CQ9" s="193">
        <f t="shared" si="21"/>
        <v>8.0808080808080815E-2</v>
      </c>
    </row>
    <row r="10" spans="1:95">
      <c r="A10" s="17"/>
      <c r="B10" s="17">
        <v>6</v>
      </c>
      <c r="C10" s="357" t="s">
        <v>36</v>
      </c>
      <c r="D10" s="17">
        <v>1</v>
      </c>
      <c r="E10" s="19">
        <v>6574451700</v>
      </c>
      <c r="F10" s="17">
        <v>3</v>
      </c>
      <c r="G10" s="19">
        <v>196297600</v>
      </c>
      <c r="H10" s="17">
        <v>138</v>
      </c>
      <c r="I10" s="19">
        <v>4267300</v>
      </c>
      <c r="J10" s="20">
        <v>13445</v>
      </c>
      <c r="K10" s="20">
        <v>87600</v>
      </c>
      <c r="L10" s="20">
        <v>176375</v>
      </c>
      <c r="M10" s="20">
        <v>10000</v>
      </c>
      <c r="N10" s="167">
        <v>14</v>
      </c>
      <c r="O10" s="167">
        <v>15</v>
      </c>
      <c r="P10" s="167">
        <v>26</v>
      </c>
      <c r="Q10" s="167">
        <v>27</v>
      </c>
      <c r="R10" s="167">
        <v>40</v>
      </c>
      <c r="S10" s="167">
        <v>42</v>
      </c>
      <c r="T10" s="167">
        <v>34</v>
      </c>
      <c r="U10" s="28">
        <f t="shared" si="22"/>
        <v>164</v>
      </c>
      <c r="W10" s="66" t="str">
        <f t="shared" si="0"/>
        <v>짝수</v>
      </c>
      <c r="X10" s="66" t="str">
        <f t="shared" si="1"/>
        <v>홀수</v>
      </c>
      <c r="Y10" s="66" t="str">
        <f t="shared" si="2"/>
        <v>짝수</v>
      </c>
      <c r="Z10" s="66" t="str">
        <f t="shared" si="53"/>
        <v>홀수</v>
      </c>
      <c r="AA10" s="66" t="str">
        <f t="shared" si="54"/>
        <v>짝수</v>
      </c>
      <c r="AB10" s="66" t="str">
        <f t="shared" si="55"/>
        <v>짝수</v>
      </c>
      <c r="AC10" s="58" t="str">
        <f t="shared" si="56"/>
        <v>2 : 4</v>
      </c>
      <c r="AD10" s="66">
        <f t="shared" si="57"/>
        <v>2</v>
      </c>
      <c r="AE10" s="66">
        <f t="shared" si="58"/>
        <v>4</v>
      </c>
      <c r="AF10" s="66" t="str">
        <f t="shared" si="23"/>
        <v>저수</v>
      </c>
      <c r="AG10" s="66" t="str">
        <f t="shared" si="24"/>
        <v>저수</v>
      </c>
      <c r="AH10" s="66" t="str">
        <f t="shared" si="25"/>
        <v>고수</v>
      </c>
      <c r="AI10" s="66" t="str">
        <f t="shared" si="26"/>
        <v>고수</v>
      </c>
      <c r="AJ10" s="66" t="str">
        <f t="shared" si="27"/>
        <v>고수</v>
      </c>
      <c r="AK10" s="66" t="str">
        <f t="shared" si="28"/>
        <v>고수</v>
      </c>
      <c r="AL10" s="58" t="str">
        <f t="shared" si="29"/>
        <v>2 : 4</v>
      </c>
      <c r="AM10" s="66">
        <f t="shared" si="30"/>
        <v>2</v>
      </c>
      <c r="AN10" s="66">
        <f t="shared" si="31"/>
        <v>4</v>
      </c>
      <c r="AO10" s="66">
        <f t="shared" si="32"/>
        <v>24</v>
      </c>
      <c r="AP10" s="66" t="str">
        <f t="shared" si="33"/>
        <v>X</v>
      </c>
      <c r="AQ10" s="66" t="str">
        <f t="shared" si="34"/>
        <v>X</v>
      </c>
      <c r="AR10" s="66" t="str">
        <f t="shared" si="35"/>
        <v>X</v>
      </c>
      <c r="AS10" s="66" t="str">
        <f t="shared" si="36"/>
        <v>X</v>
      </c>
      <c r="AT10" s="66" t="str">
        <f t="shared" si="37"/>
        <v>X</v>
      </c>
      <c r="AU10" s="66" t="str">
        <f t="shared" si="38"/>
        <v>X</v>
      </c>
      <c r="AV10" s="66" t="str">
        <f t="shared" si="39"/>
        <v>X</v>
      </c>
      <c r="AW10" s="66" t="str">
        <f t="shared" si="40"/>
        <v>X</v>
      </c>
      <c r="AX10" s="66" t="str">
        <f t="shared" si="41"/>
        <v>X</v>
      </c>
      <c r="AY10" s="66" t="str">
        <f t="shared" si="42"/>
        <v>X</v>
      </c>
      <c r="AZ10" s="66" t="str">
        <f t="shared" si="43"/>
        <v>X</v>
      </c>
      <c r="BA10" s="66" t="str">
        <f t="shared" si="44"/>
        <v>X</v>
      </c>
      <c r="BB10" s="66">
        <f t="shared" si="45"/>
        <v>0</v>
      </c>
      <c r="BC10" s="127" t="str">
        <f t="shared" si="7"/>
        <v>1G</v>
      </c>
      <c r="BD10" s="127" t="str">
        <f t="shared" si="8"/>
        <v>1G</v>
      </c>
      <c r="BE10" s="127" t="str">
        <f t="shared" si="9"/>
        <v>2G</v>
      </c>
      <c r="BF10" s="127" t="str">
        <f t="shared" si="10"/>
        <v>2G</v>
      </c>
      <c r="BG10" s="127" t="str">
        <f t="shared" si="11"/>
        <v>3G</v>
      </c>
      <c r="BH10" s="127" t="str">
        <f t="shared" si="12"/>
        <v>3G</v>
      </c>
      <c r="BI10" s="127">
        <f t="shared" si="46"/>
        <v>2</v>
      </c>
      <c r="BJ10" s="127">
        <f t="shared" si="47"/>
        <v>2</v>
      </c>
      <c r="BK10" s="127">
        <f t="shared" si="48"/>
        <v>2</v>
      </c>
      <c r="BL10" s="127" t="str">
        <f t="shared" si="49"/>
        <v>222</v>
      </c>
      <c r="BO10" s="42">
        <v>43</v>
      </c>
      <c r="BP10" s="43">
        <f t="shared" si="13"/>
        <v>127</v>
      </c>
      <c r="BQ10" s="44">
        <f t="shared" si="14"/>
        <v>4</v>
      </c>
      <c r="BR10" s="145">
        <v>6</v>
      </c>
      <c r="BS10" s="29">
        <f t="shared" si="59"/>
        <v>40</v>
      </c>
      <c r="BT10" s="29">
        <f t="shared" si="50"/>
        <v>40</v>
      </c>
      <c r="BU10" s="57">
        <f t="shared" si="51"/>
        <v>80</v>
      </c>
      <c r="BV10" s="32" t="str">
        <f t="shared" si="52"/>
        <v>당첨</v>
      </c>
      <c r="BW10" s="127" t="s">
        <v>706</v>
      </c>
      <c r="BX10" s="153">
        <v>4</v>
      </c>
      <c r="BY10" s="30">
        <v>18</v>
      </c>
      <c r="BZ10" s="30">
        <v>16</v>
      </c>
      <c r="CA10" s="30">
        <v>34</v>
      </c>
      <c r="CB10" s="130" t="s">
        <v>530</v>
      </c>
      <c r="CC10" s="27" t="str">
        <f t="shared" si="15"/>
        <v>짝수</v>
      </c>
      <c r="CD10" s="28">
        <f t="shared" si="16"/>
        <v>5</v>
      </c>
      <c r="CF10" s="97">
        <v>6</v>
      </c>
      <c r="CG10" s="85">
        <v>21</v>
      </c>
      <c r="CH10" s="85">
        <f t="shared" si="17"/>
        <v>35</v>
      </c>
      <c r="CI10" s="90">
        <f t="shared" si="18"/>
        <v>4.8814504881450491E-2</v>
      </c>
      <c r="CJ10" s="85">
        <f t="shared" si="19"/>
        <v>8</v>
      </c>
      <c r="CL10" s="28">
        <v>66</v>
      </c>
      <c r="CM10" s="28">
        <v>60</v>
      </c>
      <c r="CO10" s="83">
        <v>110</v>
      </c>
      <c r="CP10" s="83">
        <f t="shared" si="20"/>
        <v>37</v>
      </c>
      <c r="CQ10" s="138">
        <f t="shared" si="21"/>
        <v>7.4747474747474743E-2</v>
      </c>
    </row>
    <row r="11" spans="1:95" ht="12.75" thickBot="1">
      <c r="B11" s="17">
        <v>7</v>
      </c>
      <c r="C11" s="363" t="s">
        <v>37</v>
      </c>
      <c r="D11" s="18">
        <v>0</v>
      </c>
      <c r="E11" s="18">
        <v>0</v>
      </c>
      <c r="F11" s="18">
        <v>9</v>
      </c>
      <c r="G11" s="20">
        <v>48165000</v>
      </c>
      <c r="H11" s="18">
        <v>270</v>
      </c>
      <c r="I11" s="20">
        <v>1605500</v>
      </c>
      <c r="J11" s="20">
        <v>13229</v>
      </c>
      <c r="K11" s="20">
        <v>65500</v>
      </c>
      <c r="L11" s="20">
        <v>206259</v>
      </c>
      <c r="M11" s="20">
        <v>10000</v>
      </c>
      <c r="N11" s="167">
        <v>2</v>
      </c>
      <c r="O11" s="167">
        <v>9</v>
      </c>
      <c r="P11" s="167">
        <v>16</v>
      </c>
      <c r="Q11" s="167">
        <v>25</v>
      </c>
      <c r="R11" s="167">
        <v>26</v>
      </c>
      <c r="S11" s="167">
        <v>40</v>
      </c>
      <c r="T11" s="167">
        <v>42</v>
      </c>
      <c r="U11" s="28">
        <f t="shared" si="22"/>
        <v>118</v>
      </c>
      <c r="W11" s="66" t="str">
        <f t="shared" si="0"/>
        <v>짝수</v>
      </c>
      <c r="X11" s="66" t="str">
        <f t="shared" si="1"/>
        <v>홀수</v>
      </c>
      <c r="Y11" s="66" t="str">
        <f t="shared" si="2"/>
        <v>짝수</v>
      </c>
      <c r="Z11" s="66" t="str">
        <f t="shared" si="53"/>
        <v>홀수</v>
      </c>
      <c r="AA11" s="66" t="str">
        <f t="shared" si="54"/>
        <v>짝수</v>
      </c>
      <c r="AB11" s="66" t="str">
        <f t="shared" si="55"/>
        <v>짝수</v>
      </c>
      <c r="AC11" s="58" t="str">
        <f t="shared" si="56"/>
        <v>2 : 4</v>
      </c>
      <c r="AD11" s="66">
        <f t="shared" si="57"/>
        <v>2</v>
      </c>
      <c r="AE11" s="66">
        <f t="shared" si="58"/>
        <v>4</v>
      </c>
      <c r="AF11" s="66" t="str">
        <f t="shared" si="23"/>
        <v>저수</v>
      </c>
      <c r="AG11" s="66" t="str">
        <f t="shared" si="24"/>
        <v>저수</v>
      </c>
      <c r="AH11" s="66" t="str">
        <f t="shared" si="25"/>
        <v>저수</v>
      </c>
      <c r="AI11" s="66" t="str">
        <f t="shared" si="26"/>
        <v>고수</v>
      </c>
      <c r="AJ11" s="66" t="str">
        <f t="shared" si="27"/>
        <v>고수</v>
      </c>
      <c r="AK11" s="66" t="str">
        <f t="shared" si="28"/>
        <v>고수</v>
      </c>
      <c r="AL11" s="58" t="str">
        <f t="shared" si="29"/>
        <v>3 : 3</v>
      </c>
      <c r="AM11" s="66">
        <f t="shared" si="30"/>
        <v>3</v>
      </c>
      <c r="AN11" s="66">
        <f t="shared" si="31"/>
        <v>3</v>
      </c>
      <c r="AO11" s="66">
        <f t="shared" si="32"/>
        <v>28</v>
      </c>
      <c r="AP11" s="66" t="str">
        <f t="shared" si="33"/>
        <v>O</v>
      </c>
      <c r="AQ11" s="66" t="str">
        <f t="shared" si="34"/>
        <v>X</v>
      </c>
      <c r="AR11" s="66" t="str">
        <f t="shared" si="35"/>
        <v>X</v>
      </c>
      <c r="AS11" s="66" t="str">
        <f t="shared" si="36"/>
        <v>X</v>
      </c>
      <c r="AT11" s="66" t="str">
        <f t="shared" si="37"/>
        <v>X</v>
      </c>
      <c r="AU11" s="66" t="str">
        <f t="shared" si="38"/>
        <v>X</v>
      </c>
      <c r="AV11" s="66" t="str">
        <f t="shared" si="39"/>
        <v>X</v>
      </c>
      <c r="AW11" s="66" t="str">
        <f t="shared" si="40"/>
        <v>X</v>
      </c>
      <c r="AX11" s="66" t="str">
        <f t="shared" si="41"/>
        <v>X</v>
      </c>
      <c r="AY11" s="66" t="str">
        <f t="shared" si="42"/>
        <v>X</v>
      </c>
      <c r="AZ11" s="66" t="str">
        <f t="shared" si="43"/>
        <v>X</v>
      </c>
      <c r="BA11" s="66" t="str">
        <f t="shared" si="44"/>
        <v>X</v>
      </c>
      <c r="BB11" s="66">
        <f t="shared" si="45"/>
        <v>1</v>
      </c>
      <c r="BC11" s="127" t="str">
        <f t="shared" si="7"/>
        <v>1G</v>
      </c>
      <c r="BD11" s="127" t="str">
        <f t="shared" si="8"/>
        <v>1G</v>
      </c>
      <c r="BE11" s="127" t="str">
        <f t="shared" si="9"/>
        <v>2G</v>
      </c>
      <c r="BF11" s="127" t="str">
        <f t="shared" si="10"/>
        <v>2G</v>
      </c>
      <c r="BG11" s="127" t="str">
        <f t="shared" si="11"/>
        <v>2G</v>
      </c>
      <c r="BH11" s="127" t="str">
        <f t="shared" si="12"/>
        <v>3G</v>
      </c>
      <c r="BI11" s="127">
        <f t="shared" si="46"/>
        <v>2</v>
      </c>
      <c r="BJ11" s="127">
        <f t="shared" si="47"/>
        <v>3</v>
      </c>
      <c r="BK11" s="127">
        <f t="shared" si="48"/>
        <v>1</v>
      </c>
      <c r="BL11" s="127" t="str">
        <f t="shared" si="49"/>
        <v>231</v>
      </c>
      <c r="BO11" s="36">
        <v>34</v>
      </c>
      <c r="BP11" s="37">
        <f t="shared" si="13"/>
        <v>123</v>
      </c>
      <c r="BQ11" s="38">
        <f t="shared" si="14"/>
        <v>6</v>
      </c>
      <c r="BR11" s="145">
        <v>7</v>
      </c>
      <c r="BS11" s="29">
        <f t="shared" si="59"/>
        <v>42</v>
      </c>
      <c r="BT11" s="29">
        <f t="shared" si="50"/>
        <v>41</v>
      </c>
      <c r="BU11" s="57">
        <f t="shared" si="51"/>
        <v>83</v>
      </c>
      <c r="BV11" s="32" t="str">
        <f t="shared" si="52"/>
        <v>당첨</v>
      </c>
      <c r="BW11" s="127" t="s">
        <v>706</v>
      </c>
      <c r="BX11" s="153">
        <v>40</v>
      </c>
      <c r="BY11" s="30">
        <v>18</v>
      </c>
      <c r="BZ11" s="30">
        <v>16</v>
      </c>
      <c r="CA11" s="30">
        <v>34</v>
      </c>
      <c r="CB11" s="130" t="s">
        <v>530</v>
      </c>
      <c r="CC11" s="27" t="str">
        <f t="shared" si="15"/>
        <v>짝수</v>
      </c>
      <c r="CD11" s="28">
        <f t="shared" si="16"/>
        <v>5</v>
      </c>
      <c r="CF11" s="97">
        <v>7</v>
      </c>
      <c r="CG11" s="85">
        <v>29</v>
      </c>
      <c r="CH11" s="85">
        <f t="shared" si="17"/>
        <v>39</v>
      </c>
      <c r="CI11" s="90">
        <f t="shared" si="18"/>
        <v>5.4393305439330547E-2</v>
      </c>
      <c r="CJ11" s="85">
        <f t="shared" si="19"/>
        <v>6</v>
      </c>
      <c r="CL11" s="28">
        <v>69</v>
      </c>
      <c r="CM11" s="28">
        <v>60</v>
      </c>
      <c r="CO11" s="141">
        <v>170</v>
      </c>
      <c r="CP11" s="141">
        <f t="shared" si="20"/>
        <v>35</v>
      </c>
      <c r="CQ11" s="142">
        <f t="shared" si="21"/>
        <v>7.0707070707070704E-2</v>
      </c>
    </row>
    <row r="12" spans="1:95">
      <c r="B12" s="17">
        <v>8</v>
      </c>
      <c r="C12" s="363" t="s">
        <v>38</v>
      </c>
      <c r="D12" s="18">
        <v>0</v>
      </c>
      <c r="E12" s="18">
        <v>0</v>
      </c>
      <c r="F12" s="18">
        <v>6</v>
      </c>
      <c r="G12" s="20">
        <v>131555000</v>
      </c>
      <c r="H12" s="18">
        <v>348</v>
      </c>
      <c r="I12" s="20">
        <v>2268100</v>
      </c>
      <c r="J12" s="20">
        <v>14279</v>
      </c>
      <c r="K12" s="20">
        <v>110500</v>
      </c>
      <c r="L12" s="20">
        <v>248242</v>
      </c>
      <c r="M12" s="20">
        <v>10000</v>
      </c>
      <c r="N12" s="167">
        <v>8</v>
      </c>
      <c r="O12" s="167">
        <v>19</v>
      </c>
      <c r="P12" s="167">
        <v>25</v>
      </c>
      <c r="Q12" s="167">
        <v>34</v>
      </c>
      <c r="R12" s="167">
        <v>37</v>
      </c>
      <c r="S12" s="167">
        <v>39</v>
      </c>
      <c r="T12" s="167">
        <v>9</v>
      </c>
      <c r="U12" s="28">
        <f t="shared" si="22"/>
        <v>162</v>
      </c>
      <c r="W12" s="66" t="str">
        <f t="shared" si="0"/>
        <v>짝수</v>
      </c>
      <c r="X12" s="66" t="str">
        <f t="shared" si="1"/>
        <v>홀수</v>
      </c>
      <c r="Y12" s="66" t="str">
        <f t="shared" si="2"/>
        <v>홀수</v>
      </c>
      <c r="Z12" s="66" t="str">
        <f t="shared" si="53"/>
        <v>짝수</v>
      </c>
      <c r="AA12" s="66" t="str">
        <f t="shared" si="54"/>
        <v>홀수</v>
      </c>
      <c r="AB12" s="66" t="str">
        <f t="shared" si="55"/>
        <v>홀수</v>
      </c>
      <c r="AC12" s="58" t="str">
        <f t="shared" si="56"/>
        <v>4 : 2</v>
      </c>
      <c r="AD12" s="66">
        <f t="shared" si="57"/>
        <v>4</v>
      </c>
      <c r="AE12" s="66">
        <f t="shared" si="58"/>
        <v>2</v>
      </c>
      <c r="AF12" s="66" t="str">
        <f t="shared" si="23"/>
        <v>저수</v>
      </c>
      <c r="AG12" s="66" t="str">
        <f t="shared" si="24"/>
        <v>저수</v>
      </c>
      <c r="AH12" s="66" t="str">
        <f t="shared" si="25"/>
        <v>고수</v>
      </c>
      <c r="AI12" s="66" t="str">
        <f t="shared" si="26"/>
        <v>고수</v>
      </c>
      <c r="AJ12" s="66" t="str">
        <f t="shared" si="27"/>
        <v>고수</v>
      </c>
      <c r="AK12" s="66" t="str">
        <f t="shared" si="28"/>
        <v>고수</v>
      </c>
      <c r="AL12" s="58" t="str">
        <f t="shared" si="29"/>
        <v>2 : 4</v>
      </c>
      <c r="AM12" s="66">
        <f t="shared" si="30"/>
        <v>2</v>
      </c>
      <c r="AN12" s="66">
        <f t="shared" si="31"/>
        <v>4</v>
      </c>
      <c r="AO12" s="66">
        <f t="shared" si="32"/>
        <v>42</v>
      </c>
      <c r="AP12" s="66" t="str">
        <f t="shared" si="33"/>
        <v>X</v>
      </c>
      <c r="AQ12" s="66" t="str">
        <f t="shared" si="34"/>
        <v>O</v>
      </c>
      <c r="AR12" s="66" t="str">
        <f t="shared" si="35"/>
        <v>X</v>
      </c>
      <c r="AS12" s="66" t="str">
        <f t="shared" si="36"/>
        <v>X</v>
      </c>
      <c r="AT12" s="66" t="str">
        <f t="shared" si="37"/>
        <v>X</v>
      </c>
      <c r="AU12" s="66" t="str">
        <f t="shared" si="38"/>
        <v>X</v>
      </c>
      <c r="AV12" s="66" t="str">
        <f t="shared" si="39"/>
        <v>X</v>
      </c>
      <c r="AW12" s="66" t="str">
        <f t="shared" si="40"/>
        <v>X</v>
      </c>
      <c r="AX12" s="66" t="str">
        <f t="shared" si="41"/>
        <v>X</v>
      </c>
      <c r="AY12" s="66" t="str">
        <f t="shared" si="42"/>
        <v>X</v>
      </c>
      <c r="AZ12" s="66" t="str">
        <f t="shared" si="43"/>
        <v>O</v>
      </c>
      <c r="BA12" s="66" t="str">
        <f t="shared" si="44"/>
        <v>X</v>
      </c>
      <c r="BB12" s="66">
        <f t="shared" si="45"/>
        <v>2</v>
      </c>
      <c r="BC12" s="127" t="str">
        <f t="shared" si="7"/>
        <v>1G</v>
      </c>
      <c r="BD12" s="127" t="str">
        <f t="shared" si="8"/>
        <v>2G</v>
      </c>
      <c r="BE12" s="127" t="str">
        <f t="shared" si="9"/>
        <v>2G</v>
      </c>
      <c r="BF12" s="127" t="str">
        <f t="shared" si="10"/>
        <v>3G</v>
      </c>
      <c r="BG12" s="127" t="str">
        <f t="shared" si="11"/>
        <v>3G</v>
      </c>
      <c r="BH12" s="127" t="str">
        <f t="shared" si="12"/>
        <v>3G</v>
      </c>
      <c r="BI12" s="127">
        <f t="shared" si="46"/>
        <v>1</v>
      </c>
      <c r="BJ12" s="127">
        <f t="shared" si="47"/>
        <v>2</v>
      </c>
      <c r="BK12" s="127">
        <f t="shared" si="48"/>
        <v>3</v>
      </c>
      <c r="BL12" s="127" t="str">
        <f t="shared" si="49"/>
        <v>123</v>
      </c>
      <c r="BO12" s="36">
        <v>17</v>
      </c>
      <c r="BP12" s="37">
        <f t="shared" si="13"/>
        <v>121</v>
      </c>
      <c r="BQ12" s="38">
        <f t="shared" si="14"/>
        <v>9</v>
      </c>
      <c r="BR12" s="145">
        <v>8</v>
      </c>
      <c r="BS12" s="29">
        <f t="shared" si="59"/>
        <v>42</v>
      </c>
      <c r="BT12" s="29">
        <f t="shared" si="50"/>
        <v>39</v>
      </c>
      <c r="BU12" s="57">
        <f t="shared" si="51"/>
        <v>81</v>
      </c>
      <c r="BV12" s="32" t="str">
        <f t="shared" si="52"/>
        <v>당첨</v>
      </c>
      <c r="BW12" s="127" t="s">
        <v>706</v>
      </c>
      <c r="BX12" s="152">
        <v>32</v>
      </c>
      <c r="BY12" s="30">
        <v>17</v>
      </c>
      <c r="BZ12" s="30">
        <v>17</v>
      </c>
      <c r="CA12" s="30">
        <v>34</v>
      </c>
      <c r="CB12" s="130" t="s">
        <v>530</v>
      </c>
      <c r="CC12" s="27" t="str">
        <f t="shared" si="15"/>
        <v>짝수</v>
      </c>
      <c r="CD12" s="28">
        <f t="shared" si="16"/>
        <v>8</v>
      </c>
      <c r="CF12" s="97">
        <v>8</v>
      </c>
      <c r="CG12" s="85">
        <v>32</v>
      </c>
      <c r="CH12" s="85">
        <f t="shared" si="17"/>
        <v>35</v>
      </c>
      <c r="CI12" s="90">
        <f t="shared" si="18"/>
        <v>4.8814504881450491E-2</v>
      </c>
      <c r="CJ12" s="85">
        <f t="shared" si="19"/>
        <v>8</v>
      </c>
      <c r="CL12" s="28">
        <v>70</v>
      </c>
      <c r="CM12" s="28">
        <v>70</v>
      </c>
      <c r="CO12" s="190">
        <v>100</v>
      </c>
      <c r="CP12" s="192">
        <f t="shared" si="20"/>
        <v>33</v>
      </c>
      <c r="CQ12" s="196">
        <f t="shared" si="21"/>
        <v>6.6666666666666666E-2</v>
      </c>
    </row>
    <row r="13" spans="1:95">
      <c r="B13" s="17">
        <v>9</v>
      </c>
      <c r="C13" s="363" t="s">
        <v>39</v>
      </c>
      <c r="D13" s="18">
        <v>0</v>
      </c>
      <c r="E13" s="18">
        <v>0</v>
      </c>
      <c r="F13" s="18">
        <v>4</v>
      </c>
      <c r="G13" s="20">
        <v>769456500</v>
      </c>
      <c r="H13" s="18">
        <v>352</v>
      </c>
      <c r="I13" s="20">
        <v>8743800</v>
      </c>
      <c r="J13" s="20">
        <v>23672</v>
      </c>
      <c r="K13" s="20">
        <v>260000</v>
      </c>
      <c r="L13" s="20">
        <v>603375</v>
      </c>
      <c r="M13" s="20">
        <v>10000</v>
      </c>
      <c r="N13" s="167">
        <v>2</v>
      </c>
      <c r="O13" s="167">
        <v>4</v>
      </c>
      <c r="P13" s="167">
        <v>16</v>
      </c>
      <c r="Q13" s="167">
        <v>17</v>
      </c>
      <c r="R13" s="167">
        <v>36</v>
      </c>
      <c r="S13" s="167">
        <v>39</v>
      </c>
      <c r="T13" s="167">
        <v>14</v>
      </c>
      <c r="U13" s="28">
        <f t="shared" si="22"/>
        <v>114</v>
      </c>
      <c r="W13" s="66" t="str">
        <f t="shared" si="0"/>
        <v>짝수</v>
      </c>
      <c r="X13" s="66" t="str">
        <f t="shared" si="1"/>
        <v>짝수</v>
      </c>
      <c r="Y13" s="66" t="str">
        <f t="shared" si="2"/>
        <v>짝수</v>
      </c>
      <c r="Z13" s="66" t="str">
        <f t="shared" si="53"/>
        <v>홀수</v>
      </c>
      <c r="AA13" s="66" t="str">
        <f t="shared" si="54"/>
        <v>짝수</v>
      </c>
      <c r="AB13" s="66" t="str">
        <f t="shared" si="55"/>
        <v>홀수</v>
      </c>
      <c r="AC13" s="58" t="str">
        <f t="shared" si="56"/>
        <v>2 : 4</v>
      </c>
      <c r="AD13" s="66">
        <f t="shared" si="57"/>
        <v>2</v>
      </c>
      <c r="AE13" s="66">
        <f t="shared" si="58"/>
        <v>4</v>
      </c>
      <c r="AF13" s="66" t="str">
        <f t="shared" si="23"/>
        <v>저수</v>
      </c>
      <c r="AG13" s="66" t="str">
        <f t="shared" si="24"/>
        <v>저수</v>
      </c>
      <c r="AH13" s="66" t="str">
        <f t="shared" si="25"/>
        <v>저수</v>
      </c>
      <c r="AI13" s="66" t="str">
        <f t="shared" si="26"/>
        <v>저수</v>
      </c>
      <c r="AJ13" s="66" t="str">
        <f t="shared" si="27"/>
        <v>고수</v>
      </c>
      <c r="AK13" s="66" t="str">
        <f t="shared" si="28"/>
        <v>고수</v>
      </c>
      <c r="AL13" s="58" t="str">
        <f t="shared" si="29"/>
        <v>4 : 2</v>
      </c>
      <c r="AM13" s="66">
        <f t="shared" si="30"/>
        <v>4</v>
      </c>
      <c r="AN13" s="66">
        <f t="shared" si="31"/>
        <v>2</v>
      </c>
      <c r="AO13" s="66">
        <f t="shared" si="32"/>
        <v>34</v>
      </c>
      <c r="AP13" s="66" t="str">
        <f t="shared" si="33"/>
        <v>O</v>
      </c>
      <c r="AQ13" s="66" t="str">
        <f t="shared" si="34"/>
        <v>X</v>
      </c>
      <c r="AR13" s="66" t="str">
        <f t="shared" si="35"/>
        <v>X</v>
      </c>
      <c r="AS13" s="66" t="str">
        <f t="shared" si="36"/>
        <v>O</v>
      </c>
      <c r="AT13" s="66" t="str">
        <f t="shared" si="37"/>
        <v>X</v>
      </c>
      <c r="AU13" s="66" t="str">
        <f t="shared" si="38"/>
        <v>X</v>
      </c>
      <c r="AV13" s="66" t="str">
        <f t="shared" si="39"/>
        <v>X</v>
      </c>
      <c r="AW13" s="66" t="str">
        <f t="shared" si="40"/>
        <v>X</v>
      </c>
      <c r="AX13" s="66" t="str">
        <f t="shared" si="41"/>
        <v>X</v>
      </c>
      <c r="AY13" s="66" t="str">
        <f t="shared" si="42"/>
        <v>X</v>
      </c>
      <c r="AZ13" s="66" t="str">
        <f t="shared" si="43"/>
        <v>X</v>
      </c>
      <c r="BA13" s="66" t="str">
        <f t="shared" si="44"/>
        <v>X</v>
      </c>
      <c r="BB13" s="66">
        <f t="shared" si="45"/>
        <v>2</v>
      </c>
      <c r="BC13" s="127" t="str">
        <f t="shared" si="7"/>
        <v>1G</v>
      </c>
      <c r="BD13" s="127" t="str">
        <f t="shared" si="8"/>
        <v>1G</v>
      </c>
      <c r="BE13" s="127" t="str">
        <f t="shared" si="9"/>
        <v>2G</v>
      </c>
      <c r="BF13" s="127" t="str">
        <f t="shared" si="10"/>
        <v>2G</v>
      </c>
      <c r="BG13" s="127" t="str">
        <f t="shared" si="11"/>
        <v>3G</v>
      </c>
      <c r="BH13" s="127" t="str">
        <f t="shared" si="12"/>
        <v>3G</v>
      </c>
      <c r="BI13" s="127">
        <f t="shared" si="46"/>
        <v>2</v>
      </c>
      <c r="BJ13" s="127">
        <f t="shared" si="47"/>
        <v>2</v>
      </c>
      <c r="BK13" s="127">
        <f t="shared" si="48"/>
        <v>2</v>
      </c>
      <c r="BL13" s="127" t="str">
        <f t="shared" si="49"/>
        <v>222</v>
      </c>
      <c r="BO13" s="42">
        <v>4</v>
      </c>
      <c r="BP13" s="43">
        <f t="shared" si="13"/>
        <v>122</v>
      </c>
      <c r="BQ13" s="44">
        <f t="shared" si="14"/>
        <v>8</v>
      </c>
      <c r="BR13" s="145">
        <v>9</v>
      </c>
      <c r="BS13" s="29">
        <f t="shared" si="59"/>
        <v>22</v>
      </c>
      <c r="BT13" s="29">
        <f t="shared" si="50"/>
        <v>22</v>
      </c>
      <c r="BU13" s="57">
        <f t="shared" si="51"/>
        <v>44</v>
      </c>
      <c r="BV13" s="32" t="str">
        <f t="shared" si="52"/>
        <v>당첨</v>
      </c>
      <c r="BW13" s="127" t="s">
        <v>706</v>
      </c>
      <c r="BX13" s="153">
        <v>41</v>
      </c>
      <c r="BY13" s="30">
        <v>15</v>
      </c>
      <c r="BZ13" s="30">
        <v>14</v>
      </c>
      <c r="CA13" s="30">
        <v>29</v>
      </c>
      <c r="CB13" s="130" t="s">
        <v>530</v>
      </c>
      <c r="CC13" s="27" t="str">
        <f>IF(RIGHT(BX12,1)="1","홀수",IF(RIGHT(BX12,1)="3","홀수",IF(RIGHT(BX12,1)="5","홀수",IF(RIGHT(BX12,1)="7","홀수",IF(RIGHT(BX12,1)="9","홀수","짝수")))))</f>
        <v>짝수</v>
      </c>
      <c r="CD13" s="28">
        <f>IF(CB13="당첨",RANK(BY12,$BY$5:$BY$49),"")</f>
        <v>8</v>
      </c>
      <c r="CF13" s="97">
        <v>9</v>
      </c>
      <c r="CG13" s="85">
        <v>22</v>
      </c>
      <c r="CH13" s="85">
        <f t="shared" si="17"/>
        <v>33</v>
      </c>
      <c r="CI13" s="90">
        <f t="shared" si="18"/>
        <v>4.6025104602510462E-2</v>
      </c>
      <c r="CJ13" s="85">
        <f t="shared" si="19"/>
        <v>10</v>
      </c>
      <c r="CL13" s="28">
        <v>71</v>
      </c>
      <c r="CM13" s="28">
        <v>70</v>
      </c>
      <c r="CO13" s="188">
        <v>90</v>
      </c>
      <c r="CP13" s="83">
        <f t="shared" si="20"/>
        <v>23</v>
      </c>
      <c r="CQ13" s="194">
        <f t="shared" si="21"/>
        <v>4.6464646464646465E-2</v>
      </c>
    </row>
    <row r="14" spans="1:95">
      <c r="B14" s="17">
        <v>10</v>
      </c>
      <c r="C14" s="363" t="s">
        <v>40</v>
      </c>
      <c r="D14" s="18">
        <v>13</v>
      </c>
      <c r="E14" s="20">
        <v>6430437900</v>
      </c>
      <c r="F14" s="18">
        <v>236</v>
      </c>
      <c r="G14" s="20">
        <v>40813400</v>
      </c>
      <c r="H14" s="20">
        <v>11247</v>
      </c>
      <c r="I14" s="20">
        <v>856400</v>
      </c>
      <c r="J14" s="20">
        <v>703234</v>
      </c>
      <c r="K14" s="20">
        <v>27300</v>
      </c>
      <c r="L14" s="20">
        <v>3410846</v>
      </c>
      <c r="M14" s="20">
        <v>10000</v>
      </c>
      <c r="N14" s="167">
        <v>9</v>
      </c>
      <c r="O14" s="167">
        <v>25</v>
      </c>
      <c r="P14" s="167">
        <v>30</v>
      </c>
      <c r="Q14" s="167">
        <v>33</v>
      </c>
      <c r="R14" s="167">
        <v>41</v>
      </c>
      <c r="S14" s="167">
        <v>44</v>
      </c>
      <c r="T14" s="167">
        <v>6</v>
      </c>
      <c r="U14" s="28">
        <f t="shared" si="22"/>
        <v>182</v>
      </c>
      <c r="W14" s="66" t="str">
        <f t="shared" si="0"/>
        <v>홀수</v>
      </c>
      <c r="X14" s="66" t="str">
        <f t="shared" si="1"/>
        <v>홀수</v>
      </c>
      <c r="Y14" s="66" t="str">
        <f t="shared" si="2"/>
        <v>짝수</v>
      </c>
      <c r="Z14" s="66" t="str">
        <f t="shared" si="53"/>
        <v>홀수</v>
      </c>
      <c r="AA14" s="66" t="str">
        <f t="shared" si="54"/>
        <v>홀수</v>
      </c>
      <c r="AB14" s="66" t="str">
        <f t="shared" si="55"/>
        <v>짝수</v>
      </c>
      <c r="AC14" s="58" t="str">
        <f t="shared" si="56"/>
        <v>4 : 2</v>
      </c>
      <c r="AD14" s="66">
        <f t="shared" si="57"/>
        <v>4</v>
      </c>
      <c r="AE14" s="66">
        <f t="shared" si="58"/>
        <v>2</v>
      </c>
      <c r="AF14" s="66" t="str">
        <f t="shared" si="23"/>
        <v>저수</v>
      </c>
      <c r="AG14" s="66" t="str">
        <f t="shared" si="24"/>
        <v>고수</v>
      </c>
      <c r="AH14" s="66" t="str">
        <f t="shared" si="25"/>
        <v>고수</v>
      </c>
      <c r="AI14" s="66" t="str">
        <f t="shared" si="26"/>
        <v>고수</v>
      </c>
      <c r="AJ14" s="66" t="str">
        <f t="shared" si="27"/>
        <v>고수</v>
      </c>
      <c r="AK14" s="66" t="str">
        <f t="shared" si="28"/>
        <v>고수</v>
      </c>
      <c r="AL14" s="58" t="str">
        <f t="shared" si="29"/>
        <v>1 : 5</v>
      </c>
      <c r="AM14" s="66">
        <f t="shared" si="30"/>
        <v>1</v>
      </c>
      <c r="AN14" s="66">
        <f t="shared" si="31"/>
        <v>5</v>
      </c>
      <c r="AO14" s="66">
        <f t="shared" si="32"/>
        <v>22</v>
      </c>
      <c r="AP14" s="66" t="str">
        <f t="shared" si="33"/>
        <v>X</v>
      </c>
      <c r="AQ14" s="66" t="str">
        <f t="shared" si="34"/>
        <v>X</v>
      </c>
      <c r="AR14" s="66" t="str">
        <f t="shared" si="35"/>
        <v>X</v>
      </c>
      <c r="AS14" s="66" t="str">
        <f t="shared" si="36"/>
        <v>X</v>
      </c>
      <c r="AT14" s="66" t="str">
        <f t="shared" si="37"/>
        <v>X</v>
      </c>
      <c r="AU14" s="66" t="str">
        <f t="shared" si="38"/>
        <v>X</v>
      </c>
      <c r="AV14" s="66" t="str">
        <f t="shared" si="39"/>
        <v>X</v>
      </c>
      <c r="AW14" s="66" t="str">
        <f t="shared" si="40"/>
        <v>X</v>
      </c>
      <c r="AX14" s="66" t="str">
        <f t="shared" si="41"/>
        <v>X</v>
      </c>
      <c r="AY14" s="66" t="str">
        <f t="shared" si="42"/>
        <v>X</v>
      </c>
      <c r="AZ14" s="66" t="str">
        <f t="shared" si="43"/>
        <v>O</v>
      </c>
      <c r="BA14" s="66" t="str">
        <f t="shared" si="44"/>
        <v>X</v>
      </c>
      <c r="BB14" s="66">
        <f t="shared" si="45"/>
        <v>1</v>
      </c>
      <c r="BC14" s="127" t="str">
        <f t="shared" si="7"/>
        <v>1G</v>
      </c>
      <c r="BD14" s="127" t="str">
        <f t="shared" si="8"/>
        <v>2G</v>
      </c>
      <c r="BE14" s="127" t="str">
        <f t="shared" si="9"/>
        <v>2G</v>
      </c>
      <c r="BF14" s="127" t="str">
        <f t="shared" si="10"/>
        <v>3G</v>
      </c>
      <c r="BG14" s="127" t="str">
        <f t="shared" si="11"/>
        <v>3G</v>
      </c>
      <c r="BH14" s="127" t="str">
        <f t="shared" si="12"/>
        <v>3G</v>
      </c>
      <c r="BI14" s="127">
        <f t="shared" si="46"/>
        <v>1</v>
      </c>
      <c r="BJ14" s="127">
        <f t="shared" si="47"/>
        <v>2</v>
      </c>
      <c r="BK14" s="127">
        <f t="shared" si="48"/>
        <v>3</v>
      </c>
      <c r="BL14" s="127" t="str">
        <f t="shared" si="49"/>
        <v>123</v>
      </c>
      <c r="BO14" s="39">
        <v>26</v>
      </c>
      <c r="BP14" s="40">
        <f t="shared" si="13"/>
        <v>117</v>
      </c>
      <c r="BQ14" s="41">
        <f t="shared" si="14"/>
        <v>13</v>
      </c>
      <c r="BR14" s="145">
        <v>10</v>
      </c>
      <c r="BS14" s="29">
        <f t="shared" si="59"/>
        <v>32</v>
      </c>
      <c r="BT14" s="29">
        <f t="shared" si="50"/>
        <v>32</v>
      </c>
      <c r="BU14" s="57">
        <f t="shared" si="51"/>
        <v>64</v>
      </c>
      <c r="BV14" s="32" t="str">
        <f t="shared" si="52"/>
        <v>당첨</v>
      </c>
      <c r="BW14" s="127" t="s">
        <v>706</v>
      </c>
      <c r="BX14" s="153">
        <v>34</v>
      </c>
      <c r="BY14" s="30">
        <v>16</v>
      </c>
      <c r="BZ14" s="30">
        <v>16</v>
      </c>
      <c r="CA14" s="30">
        <v>32</v>
      </c>
      <c r="CB14" s="130" t="s">
        <v>530</v>
      </c>
      <c r="CC14" s="27" t="str">
        <f t="shared" ref="CC14:CC35" si="60">IF(RIGHT(BX14,1)="1","홀수",IF(RIGHT(BX14,1)="3","홀수",IF(RIGHT(BX14,1)="5","홀수",IF(RIGHT(BX14,1)="7","홀수",IF(RIGHT(BX14,1)="9","홀수","짝수")))))</f>
        <v>짝수</v>
      </c>
      <c r="CD14" s="28">
        <f t="shared" ref="CD14:CD35" si="61">IF(CB14="당첨",RANK(BY14,$BY$5:$BY$49),"")</f>
        <v>9</v>
      </c>
      <c r="CF14" s="97">
        <v>10</v>
      </c>
      <c r="CG14" s="85">
        <v>30</v>
      </c>
      <c r="CH14" s="85">
        <f t="shared" si="17"/>
        <v>30</v>
      </c>
      <c r="CI14" s="90">
        <f t="shared" si="18"/>
        <v>4.1841004184100417E-2</v>
      </c>
      <c r="CJ14" s="85">
        <f t="shared" si="19"/>
        <v>12</v>
      </c>
      <c r="CL14" s="28">
        <v>72</v>
      </c>
      <c r="CM14" s="28">
        <v>70</v>
      </c>
      <c r="CO14" s="188">
        <v>180</v>
      </c>
      <c r="CP14" s="83">
        <f t="shared" si="20"/>
        <v>23</v>
      </c>
      <c r="CQ14" s="194">
        <f t="shared" si="21"/>
        <v>4.6464646464646465E-2</v>
      </c>
    </row>
    <row r="15" spans="1:95">
      <c r="B15" s="17">
        <v>11</v>
      </c>
      <c r="C15" s="363" t="s">
        <v>41</v>
      </c>
      <c r="D15" s="18">
        <v>5</v>
      </c>
      <c r="E15" s="20">
        <v>4780152300</v>
      </c>
      <c r="F15" s="18">
        <v>11</v>
      </c>
      <c r="G15" s="20">
        <v>362132700</v>
      </c>
      <c r="H15" s="18">
        <v>428</v>
      </c>
      <c r="I15" s="20">
        <v>9307100</v>
      </c>
      <c r="J15" s="20">
        <v>38515</v>
      </c>
      <c r="K15" s="20">
        <v>206800</v>
      </c>
      <c r="L15" s="20">
        <v>612805</v>
      </c>
      <c r="M15" s="20">
        <v>10000</v>
      </c>
      <c r="N15" s="167">
        <v>1</v>
      </c>
      <c r="O15" s="167">
        <v>7</v>
      </c>
      <c r="P15" s="167">
        <v>36</v>
      </c>
      <c r="Q15" s="167">
        <v>37</v>
      </c>
      <c r="R15" s="167">
        <v>41</v>
      </c>
      <c r="S15" s="167">
        <v>42</v>
      </c>
      <c r="T15" s="167">
        <v>14</v>
      </c>
      <c r="U15" s="28">
        <f t="shared" si="22"/>
        <v>164</v>
      </c>
      <c r="W15" s="66" t="str">
        <f t="shared" si="0"/>
        <v>홀수</v>
      </c>
      <c r="X15" s="66" t="str">
        <f t="shared" si="1"/>
        <v>홀수</v>
      </c>
      <c r="Y15" s="66" t="str">
        <f t="shared" si="2"/>
        <v>짝수</v>
      </c>
      <c r="Z15" s="66" t="str">
        <f t="shared" si="53"/>
        <v>홀수</v>
      </c>
      <c r="AA15" s="66" t="str">
        <f t="shared" si="54"/>
        <v>홀수</v>
      </c>
      <c r="AB15" s="66" t="str">
        <f t="shared" si="55"/>
        <v>짝수</v>
      </c>
      <c r="AC15" s="58" t="str">
        <f t="shared" si="56"/>
        <v>4 : 2</v>
      </c>
      <c r="AD15" s="66">
        <f t="shared" si="57"/>
        <v>4</v>
      </c>
      <c r="AE15" s="66">
        <f t="shared" si="58"/>
        <v>2</v>
      </c>
      <c r="AF15" s="66" t="str">
        <f t="shared" si="23"/>
        <v>저수</v>
      </c>
      <c r="AG15" s="66" t="str">
        <f t="shared" si="24"/>
        <v>저수</v>
      </c>
      <c r="AH15" s="66" t="str">
        <f t="shared" si="25"/>
        <v>고수</v>
      </c>
      <c r="AI15" s="66" t="str">
        <f t="shared" si="26"/>
        <v>고수</v>
      </c>
      <c r="AJ15" s="66" t="str">
        <f t="shared" si="27"/>
        <v>고수</v>
      </c>
      <c r="AK15" s="66" t="str">
        <f t="shared" si="28"/>
        <v>고수</v>
      </c>
      <c r="AL15" s="58" t="str">
        <f t="shared" si="29"/>
        <v>2 : 4</v>
      </c>
      <c r="AM15" s="66">
        <f t="shared" si="30"/>
        <v>2</v>
      </c>
      <c r="AN15" s="66">
        <f t="shared" si="31"/>
        <v>4</v>
      </c>
      <c r="AO15" s="66">
        <f t="shared" si="32"/>
        <v>24</v>
      </c>
      <c r="AP15" s="66" t="str">
        <f t="shared" si="33"/>
        <v>X</v>
      </c>
      <c r="AQ15" s="66" t="str">
        <f t="shared" si="34"/>
        <v>O</v>
      </c>
      <c r="AR15" s="66" t="str">
        <f t="shared" si="35"/>
        <v>X</v>
      </c>
      <c r="AS15" s="66" t="str">
        <f t="shared" si="36"/>
        <v>X</v>
      </c>
      <c r="AT15" s="66" t="str">
        <f t="shared" si="37"/>
        <v>X</v>
      </c>
      <c r="AU15" s="66" t="str">
        <f t="shared" si="38"/>
        <v>X</v>
      </c>
      <c r="AV15" s="66" t="str">
        <f t="shared" si="39"/>
        <v>X</v>
      </c>
      <c r="AW15" s="66" t="str">
        <f t="shared" si="40"/>
        <v>X</v>
      </c>
      <c r="AX15" s="66" t="str">
        <f t="shared" si="41"/>
        <v>X</v>
      </c>
      <c r="AY15" s="66" t="str">
        <f t="shared" si="42"/>
        <v>O</v>
      </c>
      <c r="AZ15" s="66" t="str">
        <f t="shared" si="43"/>
        <v>O</v>
      </c>
      <c r="BA15" s="66" t="str">
        <f t="shared" si="44"/>
        <v>X</v>
      </c>
      <c r="BB15" s="66">
        <f t="shared" si="45"/>
        <v>3</v>
      </c>
      <c r="BC15" s="127" t="str">
        <f t="shared" si="7"/>
        <v>1G</v>
      </c>
      <c r="BD15" s="127" t="str">
        <f t="shared" si="8"/>
        <v>1G</v>
      </c>
      <c r="BE15" s="127" t="str">
        <f t="shared" si="9"/>
        <v>3G</v>
      </c>
      <c r="BF15" s="127" t="str">
        <f t="shared" si="10"/>
        <v>3G</v>
      </c>
      <c r="BG15" s="127" t="str">
        <f t="shared" si="11"/>
        <v>3G</v>
      </c>
      <c r="BH15" s="127" t="str">
        <f t="shared" si="12"/>
        <v>3G</v>
      </c>
      <c r="BI15" s="127">
        <f t="shared" si="46"/>
        <v>2</v>
      </c>
      <c r="BJ15" s="127">
        <f t="shared" si="47"/>
        <v>0</v>
      </c>
      <c r="BK15" s="127">
        <f t="shared" si="48"/>
        <v>4</v>
      </c>
      <c r="BL15" s="127" t="str">
        <f t="shared" si="49"/>
        <v>204</v>
      </c>
      <c r="BO15" s="45">
        <v>13</v>
      </c>
      <c r="BP15" s="46">
        <f t="shared" si="13"/>
        <v>121</v>
      </c>
      <c r="BQ15" s="47">
        <f t="shared" si="14"/>
        <v>9</v>
      </c>
      <c r="BR15" s="145">
        <v>11</v>
      </c>
      <c r="BS15" s="29">
        <f t="shared" si="59"/>
        <v>39</v>
      </c>
      <c r="BT15" s="29">
        <f t="shared" si="50"/>
        <v>38</v>
      </c>
      <c r="BU15" s="57">
        <f t="shared" si="51"/>
        <v>77</v>
      </c>
      <c r="BV15" s="32" t="str">
        <f t="shared" si="52"/>
        <v>당첨</v>
      </c>
      <c r="BW15" s="127" t="s">
        <v>706</v>
      </c>
      <c r="BX15" s="153">
        <v>1</v>
      </c>
      <c r="BY15" s="30">
        <v>16</v>
      </c>
      <c r="BZ15" s="30">
        <v>15</v>
      </c>
      <c r="CA15" s="30">
        <v>31</v>
      </c>
      <c r="CB15" s="130" t="s">
        <v>530</v>
      </c>
      <c r="CC15" s="27" t="str">
        <f t="shared" si="60"/>
        <v>홀수</v>
      </c>
      <c r="CD15" s="28">
        <f t="shared" si="61"/>
        <v>9</v>
      </c>
      <c r="CF15" s="97">
        <v>11</v>
      </c>
      <c r="CG15" s="85">
        <v>20</v>
      </c>
      <c r="CH15" s="85">
        <f t="shared" si="17"/>
        <v>29</v>
      </c>
      <c r="CI15" s="90">
        <f t="shared" si="18"/>
        <v>4.0446304044630406E-2</v>
      </c>
      <c r="CJ15" s="85">
        <f t="shared" si="19"/>
        <v>13</v>
      </c>
      <c r="CL15" s="28">
        <v>73</v>
      </c>
      <c r="CM15" s="28">
        <v>70</v>
      </c>
      <c r="CO15" s="188">
        <v>70</v>
      </c>
      <c r="CP15" s="83">
        <f t="shared" si="20"/>
        <v>17</v>
      </c>
      <c r="CQ15" s="194">
        <f t="shared" si="21"/>
        <v>3.4343434343434343E-2</v>
      </c>
    </row>
    <row r="16" spans="1:95" ht="12.75" thickBot="1">
      <c r="B16" s="17">
        <v>12</v>
      </c>
      <c r="C16" s="363" t="s">
        <v>42</v>
      </c>
      <c r="D16" s="18">
        <v>12</v>
      </c>
      <c r="E16" s="20">
        <v>1348845700</v>
      </c>
      <c r="F16" s="18">
        <v>27</v>
      </c>
      <c r="G16" s="20">
        <v>99914400</v>
      </c>
      <c r="H16" s="20">
        <v>1903</v>
      </c>
      <c r="I16" s="20">
        <v>1417500</v>
      </c>
      <c r="J16" s="20">
        <v>76845</v>
      </c>
      <c r="K16" s="20">
        <v>70200</v>
      </c>
      <c r="L16" s="20">
        <v>1115084</v>
      </c>
      <c r="M16" s="20">
        <v>10000</v>
      </c>
      <c r="N16" s="167">
        <v>2</v>
      </c>
      <c r="O16" s="167">
        <v>11</v>
      </c>
      <c r="P16" s="167">
        <v>21</v>
      </c>
      <c r="Q16" s="167">
        <v>25</v>
      </c>
      <c r="R16" s="167">
        <v>39</v>
      </c>
      <c r="S16" s="167">
        <v>45</v>
      </c>
      <c r="T16" s="167">
        <v>44</v>
      </c>
      <c r="U16" s="28">
        <f t="shared" si="22"/>
        <v>143</v>
      </c>
      <c r="W16" s="66" t="str">
        <f t="shared" si="0"/>
        <v>짝수</v>
      </c>
      <c r="X16" s="66" t="str">
        <f t="shared" si="1"/>
        <v>홀수</v>
      </c>
      <c r="Y16" s="66" t="str">
        <f t="shared" si="2"/>
        <v>홀수</v>
      </c>
      <c r="Z16" s="66" t="str">
        <f t="shared" si="53"/>
        <v>홀수</v>
      </c>
      <c r="AA16" s="66" t="str">
        <f t="shared" si="54"/>
        <v>홀수</v>
      </c>
      <c r="AB16" s="66" t="str">
        <f t="shared" si="55"/>
        <v>홀수</v>
      </c>
      <c r="AC16" s="58" t="str">
        <f t="shared" si="56"/>
        <v>5 : 1</v>
      </c>
      <c r="AD16" s="66">
        <f t="shared" si="57"/>
        <v>5</v>
      </c>
      <c r="AE16" s="66">
        <f t="shared" si="58"/>
        <v>1</v>
      </c>
      <c r="AF16" s="66" t="str">
        <f t="shared" si="23"/>
        <v>저수</v>
      </c>
      <c r="AG16" s="66" t="str">
        <f t="shared" si="24"/>
        <v>저수</v>
      </c>
      <c r="AH16" s="66" t="str">
        <f t="shared" si="25"/>
        <v>저수</v>
      </c>
      <c r="AI16" s="66" t="str">
        <f t="shared" si="26"/>
        <v>고수</v>
      </c>
      <c r="AJ16" s="66" t="str">
        <f t="shared" si="27"/>
        <v>고수</v>
      </c>
      <c r="AK16" s="66" t="str">
        <f t="shared" si="28"/>
        <v>고수</v>
      </c>
      <c r="AL16" s="58" t="str">
        <f t="shared" si="29"/>
        <v>3 : 3</v>
      </c>
      <c r="AM16" s="66">
        <f t="shared" si="30"/>
        <v>3</v>
      </c>
      <c r="AN16" s="66">
        <f t="shared" si="31"/>
        <v>3</v>
      </c>
      <c r="AO16" s="66">
        <f t="shared" si="32"/>
        <v>23</v>
      </c>
      <c r="AP16" s="66" t="str">
        <f t="shared" si="33"/>
        <v>O</v>
      </c>
      <c r="AQ16" s="66" t="str">
        <f t="shared" si="34"/>
        <v>O</v>
      </c>
      <c r="AR16" s="66" t="str">
        <f t="shared" si="35"/>
        <v>X</v>
      </c>
      <c r="AS16" s="66" t="str">
        <f t="shared" si="36"/>
        <v>X</v>
      </c>
      <c r="AT16" s="66" t="str">
        <f t="shared" si="37"/>
        <v>X</v>
      </c>
      <c r="AU16" s="66" t="str">
        <f t="shared" si="38"/>
        <v>X</v>
      </c>
      <c r="AV16" s="66" t="str">
        <f t="shared" si="39"/>
        <v>X</v>
      </c>
      <c r="AW16" s="66" t="str">
        <f t="shared" si="40"/>
        <v>X</v>
      </c>
      <c r="AX16" s="66" t="str">
        <f t="shared" si="41"/>
        <v>X</v>
      </c>
      <c r="AY16" s="66" t="str">
        <f t="shared" si="42"/>
        <v>X</v>
      </c>
      <c r="AZ16" s="66" t="str">
        <f t="shared" si="43"/>
        <v>X</v>
      </c>
      <c r="BA16" s="66" t="str">
        <f t="shared" si="44"/>
        <v>X</v>
      </c>
      <c r="BB16" s="66">
        <f t="shared" si="45"/>
        <v>2</v>
      </c>
      <c r="BC16" s="127" t="str">
        <f t="shared" si="7"/>
        <v>1G</v>
      </c>
      <c r="BD16" s="127" t="str">
        <f t="shared" si="8"/>
        <v>1G</v>
      </c>
      <c r="BE16" s="127" t="str">
        <f t="shared" si="9"/>
        <v>2G</v>
      </c>
      <c r="BF16" s="127" t="str">
        <f t="shared" si="10"/>
        <v>2G</v>
      </c>
      <c r="BG16" s="127" t="str">
        <f t="shared" si="11"/>
        <v>3G</v>
      </c>
      <c r="BH16" s="127" t="str">
        <f t="shared" si="12"/>
        <v>3G</v>
      </c>
      <c r="BI16" s="127">
        <f t="shared" si="46"/>
        <v>2</v>
      </c>
      <c r="BJ16" s="127">
        <f t="shared" si="47"/>
        <v>2</v>
      </c>
      <c r="BK16" s="127">
        <f t="shared" si="48"/>
        <v>2</v>
      </c>
      <c r="BL16" s="127" t="str">
        <f t="shared" si="49"/>
        <v>222</v>
      </c>
      <c r="BO16" s="45">
        <v>8</v>
      </c>
      <c r="BP16" s="46">
        <f t="shared" si="13"/>
        <v>120</v>
      </c>
      <c r="BQ16" s="47">
        <f t="shared" si="14"/>
        <v>11</v>
      </c>
      <c r="BR16" s="145">
        <v>12</v>
      </c>
      <c r="BS16" s="29">
        <f t="shared" si="59"/>
        <v>43</v>
      </c>
      <c r="BT16" s="29">
        <f t="shared" si="50"/>
        <v>43</v>
      </c>
      <c r="BU16" s="57">
        <f t="shared" si="51"/>
        <v>86</v>
      </c>
      <c r="BV16" s="32" t="str">
        <f t="shared" si="52"/>
        <v>당첨</v>
      </c>
      <c r="BW16" s="127" t="s">
        <v>706</v>
      </c>
      <c r="BX16" s="153">
        <v>17</v>
      </c>
      <c r="BY16" s="30">
        <v>16</v>
      </c>
      <c r="BZ16" s="30">
        <v>15</v>
      </c>
      <c r="CA16" s="30">
        <v>31</v>
      </c>
      <c r="CB16" s="130" t="s">
        <v>530</v>
      </c>
      <c r="CC16" s="27" t="str">
        <f t="shared" si="60"/>
        <v>홀수</v>
      </c>
      <c r="CD16" s="28">
        <f t="shared" si="61"/>
        <v>9</v>
      </c>
      <c r="CF16" s="97">
        <v>12</v>
      </c>
      <c r="CG16" s="85">
        <v>19</v>
      </c>
      <c r="CH16" s="85">
        <f t="shared" si="17"/>
        <v>31</v>
      </c>
      <c r="CI16" s="90">
        <f t="shared" si="18"/>
        <v>4.3235704323570434E-2</v>
      </c>
      <c r="CJ16" s="85">
        <f t="shared" si="19"/>
        <v>11</v>
      </c>
      <c r="CL16" s="28">
        <v>73</v>
      </c>
      <c r="CM16" s="28">
        <v>70</v>
      </c>
      <c r="CO16" s="189">
        <v>190</v>
      </c>
      <c r="CP16" s="191">
        <f t="shared" si="20"/>
        <v>15</v>
      </c>
      <c r="CQ16" s="195">
        <f t="shared" si="21"/>
        <v>3.0303030303030304E-2</v>
      </c>
    </row>
    <row r="17" spans="2:95">
      <c r="B17" s="17">
        <v>13</v>
      </c>
      <c r="C17" s="363" t="s">
        <v>43</v>
      </c>
      <c r="D17" s="18">
        <v>0</v>
      </c>
      <c r="E17" s="18">
        <v>0</v>
      </c>
      <c r="F17" s="18">
        <v>6</v>
      </c>
      <c r="G17" s="20">
        <v>433309300</v>
      </c>
      <c r="H17" s="18">
        <v>450</v>
      </c>
      <c r="I17" s="20">
        <v>5777400</v>
      </c>
      <c r="J17" s="20">
        <v>29601</v>
      </c>
      <c r="K17" s="20">
        <v>175600</v>
      </c>
      <c r="L17" s="20">
        <v>726751</v>
      </c>
      <c r="M17" s="20">
        <v>10000</v>
      </c>
      <c r="N17" s="167">
        <v>22</v>
      </c>
      <c r="O17" s="167">
        <v>23</v>
      </c>
      <c r="P17" s="167">
        <v>25</v>
      </c>
      <c r="Q17" s="167">
        <v>37</v>
      </c>
      <c r="R17" s="167">
        <v>38</v>
      </c>
      <c r="S17" s="167">
        <v>42</v>
      </c>
      <c r="T17" s="167">
        <v>26</v>
      </c>
      <c r="U17" s="28">
        <f t="shared" si="22"/>
        <v>187</v>
      </c>
      <c r="W17" s="66" t="str">
        <f t="shared" si="0"/>
        <v>짝수</v>
      </c>
      <c r="X17" s="66" t="str">
        <f t="shared" si="1"/>
        <v>홀수</v>
      </c>
      <c r="Y17" s="66" t="str">
        <f t="shared" si="2"/>
        <v>홀수</v>
      </c>
      <c r="Z17" s="66" t="str">
        <f t="shared" si="53"/>
        <v>홀수</v>
      </c>
      <c r="AA17" s="66" t="str">
        <f t="shared" si="54"/>
        <v>짝수</v>
      </c>
      <c r="AB17" s="66" t="str">
        <f t="shared" si="55"/>
        <v>짝수</v>
      </c>
      <c r="AC17" s="58" t="str">
        <f t="shared" si="56"/>
        <v>3 : 3</v>
      </c>
      <c r="AD17" s="66">
        <f t="shared" si="57"/>
        <v>3</v>
      </c>
      <c r="AE17" s="66">
        <f t="shared" si="58"/>
        <v>3</v>
      </c>
      <c r="AF17" s="66" t="str">
        <f t="shared" si="23"/>
        <v>저수</v>
      </c>
      <c r="AG17" s="66" t="str">
        <f t="shared" si="24"/>
        <v>고수</v>
      </c>
      <c r="AH17" s="66" t="str">
        <f t="shared" si="25"/>
        <v>고수</v>
      </c>
      <c r="AI17" s="66" t="str">
        <f t="shared" si="26"/>
        <v>고수</v>
      </c>
      <c r="AJ17" s="66" t="str">
        <f t="shared" si="27"/>
        <v>고수</v>
      </c>
      <c r="AK17" s="66" t="str">
        <f t="shared" si="28"/>
        <v>고수</v>
      </c>
      <c r="AL17" s="58" t="str">
        <f t="shared" si="29"/>
        <v>1 : 5</v>
      </c>
      <c r="AM17" s="66">
        <f t="shared" si="30"/>
        <v>1</v>
      </c>
      <c r="AN17" s="66">
        <f t="shared" si="31"/>
        <v>5</v>
      </c>
      <c r="AO17" s="66">
        <f t="shared" si="32"/>
        <v>27</v>
      </c>
      <c r="AP17" s="66" t="str">
        <f t="shared" si="33"/>
        <v>X</v>
      </c>
      <c r="AQ17" s="66" t="str">
        <f t="shared" si="34"/>
        <v>X</v>
      </c>
      <c r="AR17" s="66" t="str">
        <f t="shared" si="35"/>
        <v>X</v>
      </c>
      <c r="AS17" s="66" t="str">
        <f t="shared" si="36"/>
        <v>X</v>
      </c>
      <c r="AT17" s="66" t="str">
        <f t="shared" si="37"/>
        <v>X</v>
      </c>
      <c r="AU17" s="66" t="str">
        <f t="shared" si="38"/>
        <v>X</v>
      </c>
      <c r="AV17" s="66" t="str">
        <f t="shared" si="39"/>
        <v>X</v>
      </c>
      <c r="AW17" s="66" t="str">
        <f t="shared" si="40"/>
        <v>O</v>
      </c>
      <c r="AX17" s="66" t="str">
        <f t="shared" si="41"/>
        <v>X</v>
      </c>
      <c r="AY17" s="66" t="str">
        <f t="shared" si="42"/>
        <v>O</v>
      </c>
      <c r="AZ17" s="66" t="str">
        <f t="shared" si="43"/>
        <v>X</v>
      </c>
      <c r="BA17" s="66" t="str">
        <f t="shared" si="44"/>
        <v>X</v>
      </c>
      <c r="BB17" s="66">
        <f t="shared" si="45"/>
        <v>2</v>
      </c>
      <c r="BC17" s="127" t="str">
        <f t="shared" si="7"/>
        <v>2G</v>
      </c>
      <c r="BD17" s="127" t="str">
        <f t="shared" si="8"/>
        <v>2G</v>
      </c>
      <c r="BE17" s="127" t="str">
        <f t="shared" si="9"/>
        <v>2G</v>
      </c>
      <c r="BF17" s="127" t="str">
        <f t="shared" si="10"/>
        <v>3G</v>
      </c>
      <c r="BG17" s="127" t="str">
        <f t="shared" si="11"/>
        <v>3G</v>
      </c>
      <c r="BH17" s="127" t="str">
        <f t="shared" si="12"/>
        <v>3G</v>
      </c>
      <c r="BI17" s="127">
        <f t="shared" si="46"/>
        <v>0</v>
      </c>
      <c r="BJ17" s="127">
        <f t="shared" si="47"/>
        <v>3</v>
      </c>
      <c r="BK17" s="127">
        <f t="shared" si="48"/>
        <v>3</v>
      </c>
      <c r="BL17" s="127" t="str">
        <f t="shared" si="49"/>
        <v>033</v>
      </c>
      <c r="BO17" s="36">
        <v>14</v>
      </c>
      <c r="BP17" s="37">
        <f t="shared" si="13"/>
        <v>117</v>
      </c>
      <c r="BQ17" s="38">
        <f t="shared" si="14"/>
        <v>13</v>
      </c>
      <c r="BR17" s="145">
        <v>13</v>
      </c>
      <c r="BS17" s="29">
        <f t="shared" si="59"/>
        <v>45</v>
      </c>
      <c r="BT17" s="29">
        <f t="shared" si="50"/>
        <v>45</v>
      </c>
      <c r="BU17" s="57">
        <f t="shared" si="51"/>
        <v>90</v>
      </c>
      <c r="BV17" s="32" t="str">
        <f t="shared" si="52"/>
        <v>당첨</v>
      </c>
      <c r="BW17" s="127" t="s">
        <v>706</v>
      </c>
      <c r="BX17" s="152">
        <v>23</v>
      </c>
      <c r="BY17" s="30">
        <v>16</v>
      </c>
      <c r="BZ17" s="30">
        <v>15</v>
      </c>
      <c r="CA17" s="30">
        <v>31</v>
      </c>
      <c r="CB17" s="130" t="s">
        <v>530</v>
      </c>
      <c r="CC17" s="27" t="str">
        <f t="shared" si="60"/>
        <v>홀수</v>
      </c>
      <c r="CD17" s="28">
        <f t="shared" si="61"/>
        <v>9</v>
      </c>
      <c r="CF17" s="97">
        <v>13</v>
      </c>
      <c r="CG17" s="85">
        <v>27</v>
      </c>
      <c r="CH17" s="85">
        <f t="shared" si="17"/>
        <v>39</v>
      </c>
      <c r="CI17" s="90">
        <f t="shared" si="18"/>
        <v>5.4393305439330547E-2</v>
      </c>
      <c r="CJ17" s="85">
        <f t="shared" si="19"/>
        <v>6</v>
      </c>
      <c r="CL17" s="28">
        <v>75</v>
      </c>
      <c r="CM17" s="28">
        <v>70</v>
      </c>
      <c r="CO17" s="143">
        <v>80</v>
      </c>
      <c r="CP17" s="143">
        <f t="shared" si="20"/>
        <v>13</v>
      </c>
      <c r="CQ17" s="144">
        <f t="shared" si="21"/>
        <v>2.6262626262626262E-2</v>
      </c>
    </row>
    <row r="18" spans="2:95">
      <c r="B18" s="17">
        <v>14</v>
      </c>
      <c r="C18" s="363" t="s">
        <v>44</v>
      </c>
      <c r="D18" s="18">
        <v>4</v>
      </c>
      <c r="E18" s="20">
        <v>9375048300</v>
      </c>
      <c r="F18" s="18">
        <v>28</v>
      </c>
      <c r="G18" s="20">
        <v>130363400</v>
      </c>
      <c r="H18" s="20">
        <v>1421</v>
      </c>
      <c r="I18" s="20">
        <v>2568700</v>
      </c>
      <c r="J18" s="20">
        <v>77736</v>
      </c>
      <c r="K18" s="20">
        <v>93900</v>
      </c>
      <c r="L18" s="20">
        <v>1341756</v>
      </c>
      <c r="M18" s="20">
        <v>10000</v>
      </c>
      <c r="N18" s="167">
        <v>2</v>
      </c>
      <c r="O18" s="167">
        <v>6</v>
      </c>
      <c r="P18" s="167">
        <v>12</v>
      </c>
      <c r="Q18" s="167">
        <v>31</v>
      </c>
      <c r="R18" s="167">
        <v>33</v>
      </c>
      <c r="S18" s="167">
        <v>40</v>
      </c>
      <c r="T18" s="167">
        <v>15</v>
      </c>
      <c r="U18" s="28">
        <f t="shared" si="22"/>
        <v>124</v>
      </c>
      <c r="W18" s="66" t="str">
        <f t="shared" si="0"/>
        <v>짝수</v>
      </c>
      <c r="X18" s="66" t="str">
        <f t="shared" si="1"/>
        <v>짝수</v>
      </c>
      <c r="Y18" s="66" t="str">
        <f t="shared" si="2"/>
        <v>짝수</v>
      </c>
      <c r="Z18" s="66" t="str">
        <f t="shared" si="53"/>
        <v>홀수</v>
      </c>
      <c r="AA18" s="66" t="str">
        <f t="shared" si="54"/>
        <v>홀수</v>
      </c>
      <c r="AB18" s="66" t="str">
        <f t="shared" si="55"/>
        <v>짝수</v>
      </c>
      <c r="AC18" s="58" t="str">
        <f t="shared" si="56"/>
        <v>2 : 4</v>
      </c>
      <c r="AD18" s="66">
        <f t="shared" si="57"/>
        <v>2</v>
      </c>
      <c r="AE18" s="66">
        <f t="shared" si="58"/>
        <v>4</v>
      </c>
      <c r="AF18" s="66" t="str">
        <f t="shared" si="23"/>
        <v>저수</v>
      </c>
      <c r="AG18" s="66" t="str">
        <f t="shared" si="24"/>
        <v>저수</v>
      </c>
      <c r="AH18" s="66" t="str">
        <f t="shared" si="25"/>
        <v>저수</v>
      </c>
      <c r="AI18" s="66" t="str">
        <f t="shared" si="26"/>
        <v>고수</v>
      </c>
      <c r="AJ18" s="66" t="str">
        <f t="shared" si="27"/>
        <v>고수</v>
      </c>
      <c r="AK18" s="66" t="str">
        <f t="shared" si="28"/>
        <v>고수</v>
      </c>
      <c r="AL18" s="58" t="str">
        <f t="shared" si="29"/>
        <v>3 : 3</v>
      </c>
      <c r="AM18" s="66">
        <f t="shared" si="30"/>
        <v>3</v>
      </c>
      <c r="AN18" s="66">
        <f t="shared" si="31"/>
        <v>3</v>
      </c>
      <c r="AO18" s="66">
        <f t="shared" si="32"/>
        <v>14</v>
      </c>
      <c r="AP18" s="66" t="str">
        <f t="shared" si="33"/>
        <v>O</v>
      </c>
      <c r="AQ18" s="66" t="str">
        <f t="shared" si="34"/>
        <v>X</v>
      </c>
      <c r="AR18" s="66" t="str">
        <f t="shared" si="35"/>
        <v>X</v>
      </c>
      <c r="AS18" s="66" t="str">
        <f t="shared" si="36"/>
        <v>X</v>
      </c>
      <c r="AT18" s="66" t="str">
        <f t="shared" si="37"/>
        <v>X</v>
      </c>
      <c r="AU18" s="66" t="str">
        <f t="shared" si="38"/>
        <v>X</v>
      </c>
      <c r="AV18" s="66" t="str">
        <f t="shared" si="39"/>
        <v>X</v>
      </c>
      <c r="AW18" s="66" t="str">
        <f t="shared" si="40"/>
        <v>X</v>
      </c>
      <c r="AX18" s="66" t="str">
        <f t="shared" si="41"/>
        <v>X</v>
      </c>
      <c r="AY18" s="66" t="str">
        <f t="shared" si="42"/>
        <v>O</v>
      </c>
      <c r="AZ18" s="66" t="str">
        <f t="shared" si="43"/>
        <v>X</v>
      </c>
      <c r="BA18" s="66" t="str">
        <f t="shared" si="44"/>
        <v>X</v>
      </c>
      <c r="BB18" s="66">
        <f t="shared" si="45"/>
        <v>2</v>
      </c>
      <c r="BC18" s="127" t="str">
        <f t="shared" si="7"/>
        <v>1G</v>
      </c>
      <c r="BD18" s="127" t="str">
        <f t="shared" si="8"/>
        <v>1G</v>
      </c>
      <c r="BE18" s="127" t="str">
        <f t="shared" si="9"/>
        <v>1G</v>
      </c>
      <c r="BF18" s="127" t="str">
        <f t="shared" si="10"/>
        <v>3G</v>
      </c>
      <c r="BG18" s="127" t="str">
        <f t="shared" si="11"/>
        <v>3G</v>
      </c>
      <c r="BH18" s="127" t="str">
        <f t="shared" si="12"/>
        <v>3G</v>
      </c>
      <c r="BI18" s="127">
        <f t="shared" si="46"/>
        <v>3</v>
      </c>
      <c r="BJ18" s="127">
        <f t="shared" si="47"/>
        <v>0</v>
      </c>
      <c r="BK18" s="127">
        <f t="shared" si="48"/>
        <v>3</v>
      </c>
      <c r="BL18" s="127" t="str">
        <f t="shared" si="49"/>
        <v>303</v>
      </c>
      <c r="BO18" s="36">
        <v>5</v>
      </c>
      <c r="BP18" s="37">
        <f t="shared" si="13"/>
        <v>115</v>
      </c>
      <c r="BQ18" s="38">
        <f t="shared" si="14"/>
        <v>16</v>
      </c>
      <c r="BR18" s="145">
        <v>14</v>
      </c>
      <c r="BS18" s="29">
        <f t="shared" si="59"/>
        <v>38</v>
      </c>
      <c r="BT18" s="29">
        <f t="shared" si="50"/>
        <v>38</v>
      </c>
      <c r="BU18" s="57">
        <f t="shared" si="51"/>
        <v>76</v>
      </c>
      <c r="BV18" s="32" t="str">
        <f t="shared" si="52"/>
        <v>당첨</v>
      </c>
      <c r="BW18" s="127" t="s">
        <v>706</v>
      </c>
      <c r="BX18" s="152">
        <v>27</v>
      </c>
      <c r="BY18" s="30">
        <v>16</v>
      </c>
      <c r="BZ18" s="30">
        <v>15</v>
      </c>
      <c r="CA18" s="30">
        <v>31</v>
      </c>
      <c r="CB18" s="130" t="s">
        <v>530</v>
      </c>
      <c r="CC18" s="27" t="str">
        <f t="shared" si="60"/>
        <v>홀수</v>
      </c>
      <c r="CD18" s="28">
        <f t="shared" si="61"/>
        <v>9</v>
      </c>
      <c r="CF18" s="97">
        <v>14</v>
      </c>
      <c r="CG18" s="85">
        <v>18</v>
      </c>
      <c r="CH18" s="85">
        <f t="shared" si="17"/>
        <v>26</v>
      </c>
      <c r="CI18" s="90">
        <f t="shared" si="18"/>
        <v>3.626220362622036E-2</v>
      </c>
      <c r="CJ18" s="85">
        <f t="shared" si="19"/>
        <v>15</v>
      </c>
      <c r="CL18" s="28">
        <v>75</v>
      </c>
      <c r="CM18" s="28">
        <v>70</v>
      </c>
      <c r="CO18" s="83">
        <v>200</v>
      </c>
      <c r="CP18" s="83">
        <f t="shared" si="20"/>
        <v>6</v>
      </c>
      <c r="CQ18" s="138">
        <f t="shared" si="21"/>
        <v>1.2121212121212121E-2</v>
      </c>
    </row>
    <row r="19" spans="2:95">
      <c r="B19" s="17">
        <v>15</v>
      </c>
      <c r="C19" s="363" t="s">
        <v>45</v>
      </c>
      <c r="D19" s="18">
        <v>1</v>
      </c>
      <c r="E19" s="20">
        <v>17014245000</v>
      </c>
      <c r="F19" s="18">
        <v>16</v>
      </c>
      <c r="G19" s="20">
        <v>177231700</v>
      </c>
      <c r="H19" s="18">
        <v>509</v>
      </c>
      <c r="I19" s="20">
        <v>5571100</v>
      </c>
      <c r="J19" s="20">
        <v>39202</v>
      </c>
      <c r="K19" s="20">
        <v>144600</v>
      </c>
      <c r="L19" s="20">
        <v>827538</v>
      </c>
      <c r="M19" s="20">
        <v>10000</v>
      </c>
      <c r="N19" s="167">
        <v>3</v>
      </c>
      <c r="O19" s="167">
        <v>4</v>
      </c>
      <c r="P19" s="167">
        <v>16</v>
      </c>
      <c r="Q19" s="167">
        <v>30</v>
      </c>
      <c r="R19" s="167">
        <v>31</v>
      </c>
      <c r="S19" s="167">
        <v>37</v>
      </c>
      <c r="T19" s="167">
        <v>13</v>
      </c>
      <c r="U19" s="28">
        <f t="shared" si="22"/>
        <v>121</v>
      </c>
      <c r="W19" s="66" t="str">
        <f t="shared" si="0"/>
        <v>홀수</v>
      </c>
      <c r="X19" s="66" t="str">
        <f t="shared" si="1"/>
        <v>짝수</v>
      </c>
      <c r="Y19" s="66" t="str">
        <f t="shared" si="2"/>
        <v>짝수</v>
      </c>
      <c r="Z19" s="66" t="str">
        <f t="shared" si="53"/>
        <v>짝수</v>
      </c>
      <c r="AA19" s="66" t="str">
        <f t="shared" si="54"/>
        <v>홀수</v>
      </c>
      <c r="AB19" s="66" t="str">
        <f t="shared" si="55"/>
        <v>홀수</v>
      </c>
      <c r="AC19" s="58" t="str">
        <f t="shared" si="56"/>
        <v>3 : 3</v>
      </c>
      <c r="AD19" s="66">
        <f t="shared" si="57"/>
        <v>3</v>
      </c>
      <c r="AE19" s="66">
        <f t="shared" si="58"/>
        <v>3</v>
      </c>
      <c r="AF19" s="66" t="str">
        <f t="shared" si="23"/>
        <v>저수</v>
      </c>
      <c r="AG19" s="66" t="str">
        <f t="shared" si="24"/>
        <v>저수</v>
      </c>
      <c r="AH19" s="66" t="str">
        <f t="shared" si="25"/>
        <v>저수</v>
      </c>
      <c r="AI19" s="66" t="str">
        <f t="shared" si="26"/>
        <v>고수</v>
      </c>
      <c r="AJ19" s="66" t="str">
        <f t="shared" si="27"/>
        <v>고수</v>
      </c>
      <c r="AK19" s="66" t="str">
        <f t="shared" si="28"/>
        <v>고수</v>
      </c>
      <c r="AL19" s="58" t="str">
        <f t="shared" si="29"/>
        <v>3 : 3</v>
      </c>
      <c r="AM19" s="66">
        <f t="shared" si="30"/>
        <v>3</v>
      </c>
      <c r="AN19" s="66">
        <f t="shared" si="31"/>
        <v>3</v>
      </c>
      <c r="AO19" s="66">
        <f t="shared" si="32"/>
        <v>21</v>
      </c>
      <c r="AP19" s="66" t="str">
        <f t="shared" si="33"/>
        <v>O</v>
      </c>
      <c r="AQ19" s="66" t="str">
        <f t="shared" si="34"/>
        <v>X</v>
      </c>
      <c r="AR19" s="66" t="str">
        <f t="shared" si="35"/>
        <v>X</v>
      </c>
      <c r="AS19" s="66" t="str">
        <f t="shared" si="36"/>
        <v>X</v>
      </c>
      <c r="AT19" s="66" t="str">
        <f t="shared" si="37"/>
        <v>X</v>
      </c>
      <c r="AU19" s="66" t="str">
        <f t="shared" si="38"/>
        <v>X</v>
      </c>
      <c r="AV19" s="66" t="str">
        <f t="shared" si="39"/>
        <v>X</v>
      </c>
      <c r="AW19" s="66" t="str">
        <f t="shared" si="40"/>
        <v>X</v>
      </c>
      <c r="AX19" s="66" t="str">
        <f t="shared" si="41"/>
        <v>X</v>
      </c>
      <c r="AY19" s="66" t="str">
        <f t="shared" si="42"/>
        <v>X</v>
      </c>
      <c r="AZ19" s="66" t="str">
        <f t="shared" si="43"/>
        <v>O</v>
      </c>
      <c r="BA19" s="66" t="str">
        <f t="shared" si="44"/>
        <v>O</v>
      </c>
      <c r="BB19" s="66">
        <f t="shared" si="45"/>
        <v>3</v>
      </c>
      <c r="BC19" s="127" t="str">
        <f t="shared" si="7"/>
        <v>1G</v>
      </c>
      <c r="BD19" s="127" t="str">
        <f t="shared" si="8"/>
        <v>1G</v>
      </c>
      <c r="BE19" s="127" t="str">
        <f t="shared" si="9"/>
        <v>2G</v>
      </c>
      <c r="BF19" s="127" t="str">
        <f t="shared" si="10"/>
        <v>2G</v>
      </c>
      <c r="BG19" s="127" t="str">
        <f t="shared" si="11"/>
        <v>3G</v>
      </c>
      <c r="BH19" s="127" t="str">
        <f t="shared" si="12"/>
        <v>3G</v>
      </c>
      <c r="BI19" s="127">
        <f t="shared" si="46"/>
        <v>2</v>
      </c>
      <c r="BJ19" s="127">
        <f t="shared" si="47"/>
        <v>2</v>
      </c>
      <c r="BK19" s="127">
        <f t="shared" si="48"/>
        <v>2</v>
      </c>
      <c r="BL19" s="127" t="str">
        <f t="shared" si="49"/>
        <v>222</v>
      </c>
      <c r="BO19" s="42">
        <v>31</v>
      </c>
      <c r="BP19" s="43">
        <f t="shared" si="13"/>
        <v>114</v>
      </c>
      <c r="BQ19" s="44">
        <f t="shared" si="14"/>
        <v>21</v>
      </c>
      <c r="BR19" s="145">
        <v>15</v>
      </c>
      <c r="BS19" s="29">
        <f t="shared" si="59"/>
        <v>38</v>
      </c>
      <c r="BT19" s="29">
        <f t="shared" si="50"/>
        <v>37</v>
      </c>
      <c r="BU19" s="57">
        <f t="shared" si="51"/>
        <v>75</v>
      </c>
      <c r="BV19" s="32" t="str">
        <f t="shared" si="52"/>
        <v>당첨</v>
      </c>
      <c r="BW19" s="127" t="s">
        <v>706</v>
      </c>
      <c r="BX19" s="153">
        <v>44</v>
      </c>
      <c r="BY19" s="30">
        <v>15</v>
      </c>
      <c r="BZ19" s="30">
        <v>14</v>
      </c>
      <c r="CA19" s="30">
        <v>29</v>
      </c>
      <c r="CB19" s="130" t="s">
        <v>530</v>
      </c>
      <c r="CC19" s="27" t="str">
        <f t="shared" si="60"/>
        <v>짝수</v>
      </c>
      <c r="CD19" s="28">
        <f t="shared" si="61"/>
        <v>14</v>
      </c>
      <c r="CF19" s="97">
        <v>15</v>
      </c>
      <c r="CG19" s="53">
        <v>33</v>
      </c>
      <c r="CH19" s="96">
        <f t="shared" si="17"/>
        <v>29</v>
      </c>
      <c r="CI19" s="77">
        <f t="shared" si="18"/>
        <v>4.0446304044630406E-2</v>
      </c>
      <c r="CJ19" s="53">
        <f t="shared" si="19"/>
        <v>13</v>
      </c>
      <c r="CL19" s="28">
        <v>75</v>
      </c>
      <c r="CM19" s="28">
        <v>70</v>
      </c>
      <c r="CO19" s="83">
        <v>60</v>
      </c>
      <c r="CP19" s="83">
        <f t="shared" si="20"/>
        <v>4</v>
      </c>
      <c r="CQ19" s="138">
        <f t="shared" si="21"/>
        <v>8.0808080808080808E-3</v>
      </c>
    </row>
    <row r="20" spans="2:95">
      <c r="B20" s="17">
        <v>16</v>
      </c>
      <c r="C20" s="363" t="s">
        <v>46</v>
      </c>
      <c r="D20" s="18">
        <v>4</v>
      </c>
      <c r="E20" s="20">
        <v>4377146100</v>
      </c>
      <c r="F20" s="18">
        <v>12</v>
      </c>
      <c r="G20" s="20">
        <v>243174700</v>
      </c>
      <c r="H20" s="18">
        <v>862</v>
      </c>
      <c r="I20" s="20">
        <v>3385200</v>
      </c>
      <c r="J20" s="20">
        <v>47255</v>
      </c>
      <c r="K20" s="20">
        <v>123500</v>
      </c>
      <c r="L20" s="20">
        <v>870770</v>
      </c>
      <c r="M20" s="20">
        <v>10000</v>
      </c>
      <c r="N20" s="167">
        <v>6</v>
      </c>
      <c r="O20" s="167">
        <v>7</v>
      </c>
      <c r="P20" s="167">
        <v>24</v>
      </c>
      <c r="Q20" s="167">
        <v>37</v>
      </c>
      <c r="R20" s="167">
        <v>38</v>
      </c>
      <c r="S20" s="167">
        <v>40</v>
      </c>
      <c r="T20" s="167">
        <v>33</v>
      </c>
      <c r="U20" s="28">
        <f t="shared" si="22"/>
        <v>152</v>
      </c>
      <c r="W20" s="66" t="str">
        <f t="shared" si="0"/>
        <v>짝수</v>
      </c>
      <c r="X20" s="66" t="str">
        <f t="shared" si="1"/>
        <v>홀수</v>
      </c>
      <c r="Y20" s="66" t="str">
        <f t="shared" si="2"/>
        <v>짝수</v>
      </c>
      <c r="Z20" s="66" t="str">
        <f t="shared" si="53"/>
        <v>홀수</v>
      </c>
      <c r="AA20" s="66" t="str">
        <f t="shared" si="54"/>
        <v>짝수</v>
      </c>
      <c r="AB20" s="66" t="str">
        <f t="shared" si="55"/>
        <v>짝수</v>
      </c>
      <c r="AC20" s="58" t="str">
        <f t="shared" si="56"/>
        <v>2 : 4</v>
      </c>
      <c r="AD20" s="66">
        <f t="shared" si="57"/>
        <v>2</v>
      </c>
      <c r="AE20" s="66">
        <f t="shared" si="58"/>
        <v>4</v>
      </c>
      <c r="AF20" s="66" t="str">
        <f t="shared" si="23"/>
        <v>저수</v>
      </c>
      <c r="AG20" s="66" t="str">
        <f t="shared" si="24"/>
        <v>저수</v>
      </c>
      <c r="AH20" s="66" t="str">
        <f t="shared" si="25"/>
        <v>고수</v>
      </c>
      <c r="AI20" s="66" t="str">
        <f t="shared" si="26"/>
        <v>고수</v>
      </c>
      <c r="AJ20" s="66" t="str">
        <f t="shared" si="27"/>
        <v>고수</v>
      </c>
      <c r="AK20" s="66" t="str">
        <f t="shared" si="28"/>
        <v>고수</v>
      </c>
      <c r="AL20" s="58" t="str">
        <f t="shared" si="29"/>
        <v>2 : 4</v>
      </c>
      <c r="AM20" s="66">
        <f t="shared" si="30"/>
        <v>2</v>
      </c>
      <c r="AN20" s="66">
        <f t="shared" si="31"/>
        <v>4</v>
      </c>
      <c r="AO20" s="66">
        <f t="shared" si="32"/>
        <v>32</v>
      </c>
      <c r="AP20" s="66" t="str">
        <f t="shared" si="33"/>
        <v>X</v>
      </c>
      <c r="AQ20" s="66" t="str">
        <f t="shared" si="34"/>
        <v>O</v>
      </c>
      <c r="AR20" s="66" t="str">
        <f t="shared" si="35"/>
        <v>X</v>
      </c>
      <c r="AS20" s="66" t="str">
        <f t="shared" si="36"/>
        <v>X</v>
      </c>
      <c r="AT20" s="66" t="str">
        <f t="shared" si="37"/>
        <v>X</v>
      </c>
      <c r="AU20" s="66" t="str">
        <f t="shared" si="38"/>
        <v>X</v>
      </c>
      <c r="AV20" s="66" t="str">
        <f t="shared" si="39"/>
        <v>X</v>
      </c>
      <c r="AW20" s="66" t="str">
        <f t="shared" si="40"/>
        <v>X</v>
      </c>
      <c r="AX20" s="66" t="str">
        <f t="shared" si="41"/>
        <v>X</v>
      </c>
      <c r="AY20" s="66" t="str">
        <f t="shared" si="42"/>
        <v>O</v>
      </c>
      <c r="AZ20" s="66" t="str">
        <f t="shared" si="43"/>
        <v>X</v>
      </c>
      <c r="BA20" s="66" t="str">
        <f t="shared" si="44"/>
        <v>X</v>
      </c>
      <c r="BB20" s="66">
        <f t="shared" si="45"/>
        <v>2</v>
      </c>
      <c r="BC20" s="127" t="str">
        <f t="shared" si="7"/>
        <v>1G</v>
      </c>
      <c r="BD20" s="127" t="str">
        <f t="shared" si="8"/>
        <v>1G</v>
      </c>
      <c r="BE20" s="127" t="str">
        <f t="shared" si="9"/>
        <v>2G</v>
      </c>
      <c r="BF20" s="127" t="str">
        <f t="shared" si="10"/>
        <v>3G</v>
      </c>
      <c r="BG20" s="127" t="str">
        <f t="shared" si="11"/>
        <v>3G</v>
      </c>
      <c r="BH20" s="127" t="str">
        <f t="shared" si="12"/>
        <v>3G</v>
      </c>
      <c r="BI20" s="127">
        <f t="shared" si="46"/>
        <v>2</v>
      </c>
      <c r="BJ20" s="127">
        <f t="shared" si="47"/>
        <v>1</v>
      </c>
      <c r="BK20" s="127">
        <f t="shared" si="48"/>
        <v>3</v>
      </c>
      <c r="BL20" s="127" t="str">
        <f t="shared" si="49"/>
        <v>213</v>
      </c>
      <c r="BO20" s="39">
        <v>39</v>
      </c>
      <c r="BP20" s="40">
        <f t="shared" si="13"/>
        <v>115</v>
      </c>
      <c r="BQ20" s="41">
        <f t="shared" si="14"/>
        <v>16</v>
      </c>
      <c r="BR20" s="73">
        <v>16</v>
      </c>
      <c r="BS20" s="29">
        <f>COUNTIF(최근10회,BR20)</f>
        <v>30</v>
      </c>
      <c r="BT20" s="29">
        <f t="shared" si="50"/>
        <v>30</v>
      </c>
      <c r="BU20" s="57">
        <f t="shared" si="51"/>
        <v>60</v>
      </c>
      <c r="BV20" s="32" t="str">
        <f t="shared" si="52"/>
        <v>당첨</v>
      </c>
      <c r="BW20" s="127" t="s">
        <v>707</v>
      </c>
      <c r="BX20" s="153">
        <v>5</v>
      </c>
      <c r="BY20" s="30">
        <v>14</v>
      </c>
      <c r="BZ20" s="30">
        <v>14</v>
      </c>
      <c r="CA20" s="30">
        <v>28</v>
      </c>
      <c r="CB20" s="130" t="s">
        <v>530</v>
      </c>
      <c r="CC20" s="27" t="str">
        <f t="shared" si="60"/>
        <v>홀수</v>
      </c>
      <c r="CD20" s="28">
        <f t="shared" si="61"/>
        <v>16</v>
      </c>
      <c r="CF20" s="97">
        <v>16</v>
      </c>
      <c r="CG20" s="53">
        <v>31</v>
      </c>
      <c r="CH20" s="96">
        <f t="shared" si="17"/>
        <v>19</v>
      </c>
      <c r="CI20" s="77">
        <f t="shared" si="18"/>
        <v>2.6499302649930265E-2</v>
      </c>
      <c r="CJ20" s="53">
        <f t="shared" si="19"/>
        <v>16</v>
      </c>
      <c r="CL20" s="28">
        <v>76</v>
      </c>
      <c r="CM20" s="28">
        <v>70</v>
      </c>
      <c r="CO20" s="83">
        <v>50</v>
      </c>
      <c r="CP20" s="83">
        <f t="shared" si="20"/>
        <v>3</v>
      </c>
      <c r="CQ20" s="138">
        <f t="shared" si="21"/>
        <v>6.0606060606060606E-3</v>
      </c>
    </row>
    <row r="21" spans="2:95">
      <c r="B21" s="17">
        <v>17</v>
      </c>
      <c r="C21" s="363" t="s">
        <v>47</v>
      </c>
      <c r="D21" s="18">
        <v>3</v>
      </c>
      <c r="E21" s="20">
        <v>5349491200</v>
      </c>
      <c r="F21" s="18">
        <v>9</v>
      </c>
      <c r="G21" s="20">
        <v>297193900</v>
      </c>
      <c r="H21" s="20">
        <v>1142</v>
      </c>
      <c r="I21" s="20">
        <v>2342100</v>
      </c>
      <c r="J21" s="20">
        <v>61651</v>
      </c>
      <c r="K21" s="20">
        <v>86700</v>
      </c>
      <c r="L21" s="20">
        <v>961162</v>
      </c>
      <c r="M21" s="20">
        <v>10000</v>
      </c>
      <c r="N21" s="167">
        <v>3</v>
      </c>
      <c r="O21" s="167">
        <v>4</v>
      </c>
      <c r="P21" s="167">
        <v>9</v>
      </c>
      <c r="Q21" s="167">
        <v>17</v>
      </c>
      <c r="R21" s="167">
        <v>32</v>
      </c>
      <c r="S21" s="167">
        <v>37</v>
      </c>
      <c r="T21" s="167">
        <v>1</v>
      </c>
      <c r="U21" s="28">
        <f t="shared" si="22"/>
        <v>102</v>
      </c>
      <c r="W21" s="66" t="str">
        <f t="shared" si="0"/>
        <v>홀수</v>
      </c>
      <c r="X21" s="66" t="str">
        <f t="shared" si="1"/>
        <v>짝수</v>
      </c>
      <c r="Y21" s="66" t="str">
        <f t="shared" si="2"/>
        <v>홀수</v>
      </c>
      <c r="Z21" s="66" t="str">
        <f t="shared" si="53"/>
        <v>홀수</v>
      </c>
      <c r="AA21" s="66" t="str">
        <f t="shared" si="54"/>
        <v>짝수</v>
      </c>
      <c r="AB21" s="66" t="str">
        <f t="shared" si="55"/>
        <v>홀수</v>
      </c>
      <c r="AC21" s="58" t="str">
        <f t="shared" si="56"/>
        <v>4 : 2</v>
      </c>
      <c r="AD21" s="66">
        <f t="shared" si="57"/>
        <v>4</v>
      </c>
      <c r="AE21" s="66">
        <f t="shared" si="58"/>
        <v>2</v>
      </c>
      <c r="AF21" s="66" t="str">
        <f t="shared" si="23"/>
        <v>저수</v>
      </c>
      <c r="AG21" s="66" t="str">
        <f t="shared" si="24"/>
        <v>저수</v>
      </c>
      <c r="AH21" s="66" t="str">
        <f t="shared" si="25"/>
        <v>저수</v>
      </c>
      <c r="AI21" s="66" t="str">
        <f t="shared" si="26"/>
        <v>저수</v>
      </c>
      <c r="AJ21" s="66" t="str">
        <f t="shared" si="27"/>
        <v>고수</v>
      </c>
      <c r="AK21" s="66" t="str">
        <f t="shared" si="28"/>
        <v>고수</v>
      </c>
      <c r="AL21" s="58" t="str">
        <f t="shared" si="29"/>
        <v>4 : 2</v>
      </c>
      <c r="AM21" s="66">
        <f t="shared" si="30"/>
        <v>4</v>
      </c>
      <c r="AN21" s="66">
        <f t="shared" si="31"/>
        <v>2</v>
      </c>
      <c r="AO21" s="66">
        <f t="shared" si="32"/>
        <v>32</v>
      </c>
      <c r="AP21" s="66" t="str">
        <f t="shared" si="33"/>
        <v>O</v>
      </c>
      <c r="AQ21" s="66" t="str">
        <f t="shared" si="34"/>
        <v>X</v>
      </c>
      <c r="AR21" s="66" t="str">
        <f t="shared" si="35"/>
        <v>X</v>
      </c>
      <c r="AS21" s="66" t="str">
        <f t="shared" si="36"/>
        <v>O</v>
      </c>
      <c r="AT21" s="66" t="str">
        <f t="shared" si="37"/>
        <v>X</v>
      </c>
      <c r="AU21" s="66" t="str">
        <f t="shared" si="38"/>
        <v>X</v>
      </c>
      <c r="AV21" s="66" t="str">
        <f t="shared" si="39"/>
        <v>X</v>
      </c>
      <c r="AW21" s="66" t="str">
        <f t="shared" si="40"/>
        <v>X</v>
      </c>
      <c r="AX21" s="66" t="str">
        <f t="shared" si="41"/>
        <v>X</v>
      </c>
      <c r="AY21" s="66" t="str">
        <f t="shared" si="42"/>
        <v>X</v>
      </c>
      <c r="AZ21" s="66" t="str">
        <f t="shared" si="43"/>
        <v>X</v>
      </c>
      <c r="BA21" s="66" t="str">
        <f t="shared" si="44"/>
        <v>O</v>
      </c>
      <c r="BB21" s="66">
        <f t="shared" si="45"/>
        <v>3</v>
      </c>
      <c r="BC21" s="127" t="str">
        <f t="shared" si="7"/>
        <v>1G</v>
      </c>
      <c r="BD21" s="127" t="str">
        <f t="shared" si="8"/>
        <v>1G</v>
      </c>
      <c r="BE21" s="127" t="str">
        <f t="shared" si="9"/>
        <v>1G</v>
      </c>
      <c r="BF21" s="127" t="str">
        <f t="shared" si="10"/>
        <v>2G</v>
      </c>
      <c r="BG21" s="127" t="str">
        <f t="shared" si="11"/>
        <v>3G</v>
      </c>
      <c r="BH21" s="127" t="str">
        <f t="shared" si="12"/>
        <v>3G</v>
      </c>
      <c r="BI21" s="127">
        <f t="shared" si="46"/>
        <v>3</v>
      </c>
      <c r="BJ21" s="127">
        <f t="shared" si="47"/>
        <v>1</v>
      </c>
      <c r="BK21" s="127">
        <f t="shared" si="48"/>
        <v>2</v>
      </c>
      <c r="BL21" s="127" t="str">
        <f t="shared" si="49"/>
        <v>312</v>
      </c>
      <c r="BO21" s="42">
        <v>33</v>
      </c>
      <c r="BP21" s="43">
        <f t="shared" si="13"/>
        <v>120</v>
      </c>
      <c r="BQ21" s="44">
        <f t="shared" si="14"/>
        <v>11</v>
      </c>
      <c r="BR21" s="73">
        <v>17</v>
      </c>
      <c r="BS21" s="29">
        <f t="shared" si="59"/>
        <v>36</v>
      </c>
      <c r="BT21" s="29">
        <f t="shared" si="50"/>
        <v>35</v>
      </c>
      <c r="BU21" s="57">
        <f t="shared" si="51"/>
        <v>71</v>
      </c>
      <c r="BV21" s="32" t="str">
        <f t="shared" si="52"/>
        <v>당첨</v>
      </c>
      <c r="BW21" s="127" t="s">
        <v>707</v>
      </c>
      <c r="BX21" s="153">
        <v>29</v>
      </c>
      <c r="BY21" s="30">
        <v>14</v>
      </c>
      <c r="BZ21" s="30">
        <v>13</v>
      </c>
      <c r="CA21" s="30">
        <v>27</v>
      </c>
      <c r="CB21" s="130" t="s">
        <v>530</v>
      </c>
      <c r="CC21" s="27" t="str">
        <f t="shared" si="60"/>
        <v>홀수</v>
      </c>
      <c r="CD21" s="28">
        <f t="shared" si="61"/>
        <v>16</v>
      </c>
      <c r="CF21" s="97">
        <v>17</v>
      </c>
      <c r="CG21" s="53">
        <v>35</v>
      </c>
      <c r="CH21" s="96">
        <f t="shared" si="17"/>
        <v>18</v>
      </c>
      <c r="CI21" s="77">
        <f t="shared" si="18"/>
        <v>2.5104602510460251E-2</v>
      </c>
      <c r="CJ21" s="53">
        <f t="shared" si="19"/>
        <v>17</v>
      </c>
      <c r="CL21" s="28">
        <v>77</v>
      </c>
      <c r="CM21" s="28">
        <v>70</v>
      </c>
      <c r="CO21" s="83">
        <v>210</v>
      </c>
      <c r="CP21" s="83">
        <f t="shared" si="20"/>
        <v>2</v>
      </c>
      <c r="CQ21" s="138">
        <f t="shared" si="21"/>
        <v>4.0404040404040404E-3</v>
      </c>
    </row>
    <row r="22" spans="2:95">
      <c r="B22" s="17">
        <v>18</v>
      </c>
      <c r="C22" s="363" t="s">
        <v>48</v>
      </c>
      <c r="D22" s="18">
        <v>0</v>
      </c>
      <c r="E22" s="18">
        <v>0</v>
      </c>
      <c r="F22" s="18">
        <v>15</v>
      </c>
      <c r="G22" s="20">
        <v>175017300</v>
      </c>
      <c r="H22" s="18">
        <v>664</v>
      </c>
      <c r="I22" s="20">
        <v>3953700</v>
      </c>
      <c r="J22" s="20">
        <v>38453</v>
      </c>
      <c r="K22" s="20">
        <v>136500</v>
      </c>
      <c r="L22" s="20">
        <v>693323</v>
      </c>
      <c r="M22" s="20">
        <v>10000</v>
      </c>
      <c r="N22" s="167">
        <v>3</v>
      </c>
      <c r="O22" s="167">
        <v>12</v>
      </c>
      <c r="P22" s="167">
        <v>13</v>
      </c>
      <c r="Q22" s="167">
        <v>19</v>
      </c>
      <c r="R22" s="167">
        <v>32</v>
      </c>
      <c r="S22" s="167">
        <v>35</v>
      </c>
      <c r="T22" s="167">
        <v>29</v>
      </c>
      <c r="U22" s="28">
        <f t="shared" si="22"/>
        <v>114</v>
      </c>
      <c r="W22" s="66" t="str">
        <f t="shared" si="0"/>
        <v>홀수</v>
      </c>
      <c r="X22" s="66" t="str">
        <f t="shared" si="1"/>
        <v>짝수</v>
      </c>
      <c r="Y22" s="66" t="str">
        <f t="shared" si="2"/>
        <v>홀수</v>
      </c>
      <c r="Z22" s="66" t="str">
        <f t="shared" si="53"/>
        <v>홀수</v>
      </c>
      <c r="AA22" s="66" t="str">
        <f t="shared" si="54"/>
        <v>짝수</v>
      </c>
      <c r="AB22" s="66" t="str">
        <f t="shared" si="55"/>
        <v>홀수</v>
      </c>
      <c r="AC22" s="58" t="str">
        <f t="shared" si="56"/>
        <v>4 : 2</v>
      </c>
      <c r="AD22" s="66">
        <f t="shared" si="57"/>
        <v>4</v>
      </c>
      <c r="AE22" s="66">
        <f t="shared" si="58"/>
        <v>2</v>
      </c>
      <c r="AF22" s="66" t="str">
        <f t="shared" si="23"/>
        <v>저수</v>
      </c>
      <c r="AG22" s="66" t="str">
        <f t="shared" si="24"/>
        <v>저수</v>
      </c>
      <c r="AH22" s="66" t="str">
        <f t="shared" si="25"/>
        <v>저수</v>
      </c>
      <c r="AI22" s="66" t="str">
        <f t="shared" si="26"/>
        <v>저수</v>
      </c>
      <c r="AJ22" s="66" t="str">
        <f t="shared" si="27"/>
        <v>고수</v>
      </c>
      <c r="AK22" s="66" t="str">
        <f t="shared" si="28"/>
        <v>고수</v>
      </c>
      <c r="AL22" s="58" t="str">
        <f t="shared" si="29"/>
        <v>4 : 2</v>
      </c>
      <c r="AM22" s="66">
        <f t="shared" si="30"/>
        <v>4</v>
      </c>
      <c r="AN22" s="66">
        <f t="shared" si="31"/>
        <v>2</v>
      </c>
      <c r="AO22" s="66">
        <f t="shared" si="32"/>
        <v>24</v>
      </c>
      <c r="AP22" s="66" t="str">
        <f t="shared" si="33"/>
        <v>O</v>
      </c>
      <c r="AQ22" s="66" t="str">
        <f t="shared" si="34"/>
        <v>X</v>
      </c>
      <c r="AR22" s="66" t="str">
        <f t="shared" si="35"/>
        <v>O</v>
      </c>
      <c r="AS22" s="66" t="str">
        <f t="shared" si="36"/>
        <v>O</v>
      </c>
      <c r="AT22" s="66" t="str">
        <f t="shared" si="37"/>
        <v>X</v>
      </c>
      <c r="AU22" s="66" t="str">
        <f t="shared" si="38"/>
        <v>X</v>
      </c>
      <c r="AV22" s="66" t="str">
        <f t="shared" si="39"/>
        <v>X</v>
      </c>
      <c r="AW22" s="66" t="str">
        <f t="shared" si="40"/>
        <v>X</v>
      </c>
      <c r="AX22" s="66" t="str">
        <f t="shared" si="41"/>
        <v>X</v>
      </c>
      <c r="AY22" s="66" t="str">
        <f t="shared" si="42"/>
        <v>X</v>
      </c>
      <c r="AZ22" s="66" t="str">
        <f t="shared" si="43"/>
        <v>X</v>
      </c>
      <c r="BA22" s="66" t="str">
        <f t="shared" si="44"/>
        <v>X</v>
      </c>
      <c r="BB22" s="66">
        <f t="shared" si="45"/>
        <v>3</v>
      </c>
      <c r="BC22" s="127" t="str">
        <f t="shared" si="7"/>
        <v>1G</v>
      </c>
      <c r="BD22" s="127" t="str">
        <f t="shared" si="8"/>
        <v>1G</v>
      </c>
      <c r="BE22" s="127" t="str">
        <f t="shared" si="9"/>
        <v>1G</v>
      </c>
      <c r="BF22" s="127" t="str">
        <f t="shared" si="10"/>
        <v>2G</v>
      </c>
      <c r="BG22" s="127" t="str">
        <f t="shared" si="11"/>
        <v>3G</v>
      </c>
      <c r="BH22" s="127" t="str">
        <f t="shared" si="12"/>
        <v>3G</v>
      </c>
      <c r="BI22" s="127">
        <f t="shared" si="46"/>
        <v>3</v>
      </c>
      <c r="BJ22" s="127">
        <f t="shared" si="47"/>
        <v>1</v>
      </c>
      <c r="BK22" s="127">
        <f t="shared" si="48"/>
        <v>2</v>
      </c>
      <c r="BL22" s="127" t="str">
        <f t="shared" si="49"/>
        <v>312</v>
      </c>
      <c r="BO22" s="39">
        <v>2</v>
      </c>
      <c r="BP22" s="40">
        <f t="shared" si="13"/>
        <v>115</v>
      </c>
      <c r="BQ22" s="41">
        <f t="shared" si="14"/>
        <v>16</v>
      </c>
      <c r="BR22" s="73">
        <v>18</v>
      </c>
      <c r="BS22" s="29">
        <f t="shared" si="59"/>
        <v>34</v>
      </c>
      <c r="BT22" s="29">
        <f t="shared" si="50"/>
        <v>34</v>
      </c>
      <c r="BU22" s="57">
        <f t="shared" si="51"/>
        <v>68</v>
      </c>
      <c r="BV22" s="32" t="str">
        <f t="shared" si="52"/>
        <v>당첨</v>
      </c>
      <c r="BW22" s="127" t="s">
        <v>707</v>
      </c>
      <c r="BX22" s="153">
        <v>37</v>
      </c>
      <c r="BY22" s="30">
        <v>14</v>
      </c>
      <c r="BZ22" s="30">
        <v>13</v>
      </c>
      <c r="CA22" s="30">
        <v>27</v>
      </c>
      <c r="CB22" s="130" t="s">
        <v>530</v>
      </c>
      <c r="CC22" s="27" t="str">
        <f t="shared" si="60"/>
        <v>홀수</v>
      </c>
      <c r="CD22" s="28">
        <f t="shared" si="61"/>
        <v>16</v>
      </c>
      <c r="CF22" s="97">
        <v>18</v>
      </c>
      <c r="CG22" s="53">
        <v>36</v>
      </c>
      <c r="CH22" s="96">
        <f t="shared" si="17"/>
        <v>13</v>
      </c>
      <c r="CI22" s="77">
        <f t="shared" si="18"/>
        <v>1.813110181311018E-2</v>
      </c>
      <c r="CJ22" s="53">
        <f t="shared" si="19"/>
        <v>20</v>
      </c>
      <c r="CL22" s="28">
        <v>78</v>
      </c>
      <c r="CM22" s="28">
        <v>70</v>
      </c>
      <c r="CO22" s="83">
        <v>230</v>
      </c>
      <c r="CP22" s="83">
        <f t="shared" si="20"/>
        <v>2</v>
      </c>
      <c r="CQ22" s="138">
        <f t="shared" si="21"/>
        <v>4.0404040404040404E-3</v>
      </c>
    </row>
    <row r="23" spans="2:95" ht="16.5">
      <c r="B23" s="17">
        <v>19</v>
      </c>
      <c r="C23" s="363" t="s">
        <v>49</v>
      </c>
      <c r="D23" s="18">
        <v>1</v>
      </c>
      <c r="E23" s="20">
        <v>40722959400</v>
      </c>
      <c r="F23" s="18">
        <v>14</v>
      </c>
      <c r="G23" s="20">
        <v>297278500</v>
      </c>
      <c r="H23" s="18">
        <v>697</v>
      </c>
      <c r="I23" s="20">
        <v>5971100</v>
      </c>
      <c r="J23" s="20">
        <v>55154</v>
      </c>
      <c r="K23" s="20">
        <v>150900</v>
      </c>
      <c r="L23" s="20">
        <v>1135991</v>
      </c>
      <c r="M23" s="20">
        <v>10000</v>
      </c>
      <c r="N23" s="167">
        <v>6</v>
      </c>
      <c r="O23" s="167">
        <v>30</v>
      </c>
      <c r="P23" s="167">
        <v>38</v>
      </c>
      <c r="Q23" s="167">
        <v>39</v>
      </c>
      <c r="R23" s="167">
        <v>40</v>
      </c>
      <c r="S23" s="167">
        <v>43</v>
      </c>
      <c r="T23" s="167">
        <v>26</v>
      </c>
      <c r="U23" s="28">
        <f t="shared" si="22"/>
        <v>196</v>
      </c>
      <c r="W23" s="66" t="str">
        <f t="shared" si="0"/>
        <v>짝수</v>
      </c>
      <c r="X23" s="66" t="str">
        <f t="shared" si="1"/>
        <v>짝수</v>
      </c>
      <c r="Y23" s="66" t="str">
        <f t="shared" si="2"/>
        <v>짝수</v>
      </c>
      <c r="Z23" s="66" t="str">
        <f t="shared" si="53"/>
        <v>홀수</v>
      </c>
      <c r="AA23" s="66" t="str">
        <f t="shared" si="54"/>
        <v>짝수</v>
      </c>
      <c r="AB23" s="66" t="str">
        <f t="shared" si="55"/>
        <v>홀수</v>
      </c>
      <c r="AC23" s="58" t="str">
        <f t="shared" si="56"/>
        <v>2 : 4</v>
      </c>
      <c r="AD23" s="66">
        <f t="shared" si="57"/>
        <v>2</v>
      </c>
      <c r="AE23" s="66">
        <f t="shared" si="58"/>
        <v>4</v>
      </c>
      <c r="AF23" s="66" t="str">
        <f t="shared" si="23"/>
        <v>저수</v>
      </c>
      <c r="AG23" s="66" t="str">
        <f t="shared" si="24"/>
        <v>고수</v>
      </c>
      <c r="AH23" s="66" t="str">
        <f t="shared" si="25"/>
        <v>고수</v>
      </c>
      <c r="AI23" s="66" t="str">
        <f t="shared" si="26"/>
        <v>고수</v>
      </c>
      <c r="AJ23" s="66" t="str">
        <f t="shared" si="27"/>
        <v>고수</v>
      </c>
      <c r="AK23" s="66" t="str">
        <f t="shared" si="28"/>
        <v>고수</v>
      </c>
      <c r="AL23" s="58" t="str">
        <f t="shared" si="29"/>
        <v>1 : 5</v>
      </c>
      <c r="AM23" s="66">
        <f t="shared" si="30"/>
        <v>1</v>
      </c>
      <c r="AN23" s="66">
        <f t="shared" si="31"/>
        <v>5</v>
      </c>
      <c r="AO23" s="66">
        <f t="shared" si="32"/>
        <v>26</v>
      </c>
      <c r="AP23" s="66" t="str">
        <f t="shared" si="33"/>
        <v>X</v>
      </c>
      <c r="AQ23" s="66" t="str">
        <f t="shared" si="34"/>
        <v>X</v>
      </c>
      <c r="AR23" s="66" t="str">
        <f t="shared" si="35"/>
        <v>X</v>
      </c>
      <c r="AS23" s="66" t="str">
        <f t="shared" si="36"/>
        <v>X</v>
      </c>
      <c r="AT23" s="66" t="str">
        <f t="shared" si="37"/>
        <v>X</v>
      </c>
      <c r="AU23" s="66" t="str">
        <f t="shared" si="38"/>
        <v>X</v>
      </c>
      <c r="AV23" s="66" t="str">
        <f t="shared" si="39"/>
        <v>X</v>
      </c>
      <c r="AW23" s="66" t="str">
        <f t="shared" si="40"/>
        <v>X</v>
      </c>
      <c r="AX23" s="66" t="str">
        <f t="shared" si="41"/>
        <v>X</v>
      </c>
      <c r="AY23" s="66" t="str">
        <f t="shared" si="42"/>
        <v>X</v>
      </c>
      <c r="AZ23" s="66" t="str">
        <f t="shared" si="43"/>
        <v>X</v>
      </c>
      <c r="BA23" s="66" t="str">
        <f t="shared" si="44"/>
        <v>O</v>
      </c>
      <c r="BB23" s="66">
        <f t="shared" si="45"/>
        <v>1</v>
      </c>
      <c r="BC23" s="127" t="str">
        <f t="shared" si="7"/>
        <v>1G</v>
      </c>
      <c r="BD23" s="127" t="str">
        <f t="shared" si="8"/>
        <v>2G</v>
      </c>
      <c r="BE23" s="127" t="str">
        <f t="shared" si="9"/>
        <v>3G</v>
      </c>
      <c r="BF23" s="127" t="str">
        <f t="shared" si="10"/>
        <v>3G</v>
      </c>
      <c r="BG23" s="127" t="str">
        <f t="shared" si="11"/>
        <v>3G</v>
      </c>
      <c r="BH23" s="127" t="str">
        <f t="shared" si="12"/>
        <v>3G</v>
      </c>
      <c r="BI23" s="127">
        <f t="shared" si="46"/>
        <v>1</v>
      </c>
      <c r="BJ23" s="127">
        <f t="shared" si="47"/>
        <v>1</v>
      </c>
      <c r="BK23" s="127">
        <f t="shared" si="48"/>
        <v>4</v>
      </c>
      <c r="BL23" s="127" t="str">
        <f t="shared" si="49"/>
        <v>114</v>
      </c>
      <c r="BO23" s="39">
        <v>3</v>
      </c>
      <c r="BP23" s="40">
        <f t="shared" si="13"/>
        <v>112</v>
      </c>
      <c r="BQ23" s="41">
        <f t="shared" si="14"/>
        <v>22</v>
      </c>
      <c r="BR23" s="73">
        <v>19</v>
      </c>
      <c r="BS23" s="29">
        <f t="shared" si="59"/>
        <v>28</v>
      </c>
      <c r="BT23" s="29">
        <f t="shared" si="50"/>
        <v>28</v>
      </c>
      <c r="BU23" s="57">
        <f t="shared" si="51"/>
        <v>56</v>
      </c>
      <c r="BV23" s="32" t="str">
        <f t="shared" si="52"/>
        <v>당첨</v>
      </c>
      <c r="BW23" s="127" t="s">
        <v>707</v>
      </c>
      <c r="BX23" s="153">
        <v>6</v>
      </c>
      <c r="BY23" s="30">
        <v>13</v>
      </c>
      <c r="BZ23" s="30">
        <v>13</v>
      </c>
      <c r="CA23" s="30">
        <v>26</v>
      </c>
      <c r="CB23" s="130" t="s">
        <v>530</v>
      </c>
      <c r="CC23" s="27" t="str">
        <f t="shared" si="60"/>
        <v>짝수</v>
      </c>
      <c r="CD23" s="28">
        <f t="shared" si="61"/>
        <v>20</v>
      </c>
      <c r="CF23" s="97">
        <v>19</v>
      </c>
      <c r="CG23" s="53">
        <v>16</v>
      </c>
      <c r="CH23" s="96">
        <f t="shared" si="17"/>
        <v>16</v>
      </c>
      <c r="CI23" s="77">
        <f t="shared" si="18"/>
        <v>2.2315202231520222E-2</v>
      </c>
      <c r="CJ23" s="53">
        <f t="shared" si="19"/>
        <v>18</v>
      </c>
      <c r="CL23" s="28">
        <v>78</v>
      </c>
      <c r="CM23" s="28">
        <v>70</v>
      </c>
      <c r="CO23" s="139" t="s">
        <v>770</v>
      </c>
      <c r="CP23" s="83">
        <f>SUM(CP5:CP22)</f>
        <v>495</v>
      </c>
      <c r="CQ23" s="138">
        <f>CP23/$CP$23</f>
        <v>1</v>
      </c>
    </row>
    <row r="24" spans="2:95" ht="16.5">
      <c r="B24" s="17">
        <v>20</v>
      </c>
      <c r="C24" s="363" t="s">
        <v>50</v>
      </c>
      <c r="D24" s="18">
        <v>1</v>
      </c>
      <c r="E24" s="20">
        <v>19352212800</v>
      </c>
      <c r="F24" s="18">
        <v>14</v>
      </c>
      <c r="G24" s="20">
        <v>230383400</v>
      </c>
      <c r="H24" s="18">
        <v>888</v>
      </c>
      <c r="I24" s="20">
        <v>3632100</v>
      </c>
      <c r="J24" s="20">
        <v>48158</v>
      </c>
      <c r="K24" s="20">
        <v>133900</v>
      </c>
      <c r="L24" s="20">
        <v>827470</v>
      </c>
      <c r="M24" s="20">
        <v>10000</v>
      </c>
      <c r="N24" s="167">
        <v>10</v>
      </c>
      <c r="O24" s="221">
        <v>14</v>
      </c>
      <c r="P24" s="167">
        <v>18</v>
      </c>
      <c r="Q24" s="167">
        <v>20</v>
      </c>
      <c r="R24" s="167">
        <v>23</v>
      </c>
      <c r="S24" s="167">
        <v>30</v>
      </c>
      <c r="T24" s="167">
        <v>41</v>
      </c>
      <c r="U24" s="28">
        <f t="shared" si="22"/>
        <v>115</v>
      </c>
      <c r="W24" s="66" t="str">
        <f t="shared" si="0"/>
        <v>짝수</v>
      </c>
      <c r="X24" s="66" t="str">
        <f t="shared" si="1"/>
        <v>짝수</v>
      </c>
      <c r="Y24" s="66" t="str">
        <f t="shared" si="2"/>
        <v>짝수</v>
      </c>
      <c r="Z24" s="66" t="str">
        <f t="shared" si="53"/>
        <v>짝수</v>
      </c>
      <c r="AA24" s="66" t="str">
        <f t="shared" si="54"/>
        <v>홀수</v>
      </c>
      <c r="AB24" s="66" t="str">
        <f t="shared" si="55"/>
        <v>짝수</v>
      </c>
      <c r="AC24" s="58" t="str">
        <f t="shared" si="56"/>
        <v>1 : 5</v>
      </c>
      <c r="AD24" s="66">
        <f t="shared" si="57"/>
        <v>1</v>
      </c>
      <c r="AE24" s="66">
        <f t="shared" si="58"/>
        <v>5</v>
      </c>
      <c r="AF24" s="66" t="str">
        <f t="shared" si="23"/>
        <v>저수</v>
      </c>
      <c r="AG24" s="66" t="str">
        <f t="shared" si="24"/>
        <v>저수</v>
      </c>
      <c r="AH24" s="66" t="str">
        <f t="shared" si="25"/>
        <v>저수</v>
      </c>
      <c r="AI24" s="66" t="str">
        <f t="shared" si="26"/>
        <v>저수</v>
      </c>
      <c r="AJ24" s="66" t="str">
        <f t="shared" si="27"/>
        <v>고수</v>
      </c>
      <c r="AK24" s="66" t="str">
        <f t="shared" si="28"/>
        <v>고수</v>
      </c>
      <c r="AL24" s="58" t="str">
        <f t="shared" si="29"/>
        <v>4 : 2</v>
      </c>
      <c r="AM24" s="66">
        <f t="shared" si="30"/>
        <v>4</v>
      </c>
      <c r="AN24" s="66">
        <f t="shared" si="31"/>
        <v>2</v>
      </c>
      <c r="AO24" s="66">
        <f t="shared" si="32"/>
        <v>15</v>
      </c>
      <c r="AP24" s="66" t="str">
        <f t="shared" si="33"/>
        <v>X</v>
      </c>
      <c r="AQ24" s="66" t="str">
        <f t="shared" si="34"/>
        <v>X</v>
      </c>
      <c r="AR24" s="66" t="str">
        <f t="shared" si="35"/>
        <v>X</v>
      </c>
      <c r="AS24" s="66" t="str">
        <f t="shared" si="36"/>
        <v>X</v>
      </c>
      <c r="AT24" s="66" t="str">
        <f t="shared" si="37"/>
        <v>X</v>
      </c>
      <c r="AU24" s="66" t="str">
        <f t="shared" si="38"/>
        <v>X</v>
      </c>
      <c r="AV24" s="66" t="str">
        <f t="shared" si="39"/>
        <v>X</v>
      </c>
      <c r="AW24" s="66" t="str">
        <f t="shared" si="40"/>
        <v>X</v>
      </c>
      <c r="AX24" s="66" t="str">
        <f t="shared" si="41"/>
        <v>X</v>
      </c>
      <c r="AY24" s="66" t="str">
        <f t="shared" si="42"/>
        <v>X</v>
      </c>
      <c r="AZ24" s="66" t="str">
        <f t="shared" si="43"/>
        <v>O</v>
      </c>
      <c r="BA24" s="66" t="str">
        <f t="shared" si="44"/>
        <v>X</v>
      </c>
      <c r="BB24" s="66">
        <f t="shared" si="45"/>
        <v>1</v>
      </c>
      <c r="BC24" s="127" t="str">
        <f t="shared" si="7"/>
        <v>1G</v>
      </c>
      <c r="BD24" s="127" t="str">
        <f t="shared" si="8"/>
        <v>1G</v>
      </c>
      <c r="BE24" s="127" t="str">
        <f t="shared" si="9"/>
        <v>2G</v>
      </c>
      <c r="BF24" s="127" t="str">
        <f t="shared" si="10"/>
        <v>2G</v>
      </c>
      <c r="BG24" s="127" t="str">
        <f t="shared" si="11"/>
        <v>2G</v>
      </c>
      <c r="BH24" s="127" t="str">
        <f t="shared" si="12"/>
        <v>2G</v>
      </c>
      <c r="BI24" s="127">
        <f t="shared" si="46"/>
        <v>2</v>
      </c>
      <c r="BJ24" s="127">
        <f t="shared" si="47"/>
        <v>4</v>
      </c>
      <c r="BK24" s="127">
        <f t="shared" si="48"/>
        <v>0</v>
      </c>
      <c r="BL24" s="127" t="str">
        <f t="shared" si="49"/>
        <v>240</v>
      </c>
      <c r="BO24" s="39">
        <v>11</v>
      </c>
      <c r="BP24" s="40">
        <f t="shared" si="13"/>
        <v>115</v>
      </c>
      <c r="BQ24" s="41">
        <f t="shared" si="14"/>
        <v>16</v>
      </c>
      <c r="BR24" s="73">
        <v>20</v>
      </c>
      <c r="BS24" s="29">
        <f t="shared" si="59"/>
        <v>43</v>
      </c>
      <c r="BT24" s="29">
        <f t="shared" si="50"/>
        <v>42</v>
      </c>
      <c r="BU24" s="57">
        <f t="shared" si="51"/>
        <v>85</v>
      </c>
      <c r="BV24" s="32" t="str">
        <f t="shared" si="52"/>
        <v>당첨</v>
      </c>
      <c r="BW24" s="127" t="s">
        <v>707</v>
      </c>
      <c r="BX24" s="153">
        <v>13</v>
      </c>
      <c r="BY24" s="30">
        <v>13</v>
      </c>
      <c r="BZ24" s="30">
        <v>13</v>
      </c>
      <c r="CA24" s="30">
        <v>26</v>
      </c>
      <c r="CB24" s="130" t="s">
        <v>530</v>
      </c>
      <c r="CC24" s="27" t="str">
        <f t="shared" si="60"/>
        <v>홀수</v>
      </c>
      <c r="CD24" s="28">
        <f t="shared" si="61"/>
        <v>20</v>
      </c>
      <c r="CF24" s="97">
        <v>20</v>
      </c>
      <c r="CG24" s="53">
        <v>34</v>
      </c>
      <c r="CH24" s="96">
        <f t="shared" si="17"/>
        <v>16</v>
      </c>
      <c r="CI24" s="77">
        <f t="shared" si="18"/>
        <v>2.2315202231520222E-2</v>
      </c>
      <c r="CJ24" s="53">
        <f t="shared" si="19"/>
        <v>18</v>
      </c>
      <c r="CL24" s="28">
        <v>79</v>
      </c>
      <c r="CM24" s="28">
        <v>70</v>
      </c>
      <c r="CO24"/>
    </row>
    <row r="25" spans="2:95" ht="16.5">
      <c r="B25" s="17">
        <v>21</v>
      </c>
      <c r="C25" s="363" t="s">
        <v>51</v>
      </c>
      <c r="D25" s="18">
        <v>23</v>
      </c>
      <c r="E25" s="20">
        <v>797475400</v>
      </c>
      <c r="F25" s="18">
        <v>26</v>
      </c>
      <c r="G25" s="20">
        <v>117576500</v>
      </c>
      <c r="H25" s="20">
        <v>2008</v>
      </c>
      <c r="I25" s="20">
        <v>1522400</v>
      </c>
      <c r="J25" s="20">
        <v>82996</v>
      </c>
      <c r="K25" s="20">
        <v>73600</v>
      </c>
      <c r="L25" s="20">
        <v>1155368</v>
      </c>
      <c r="M25" s="20">
        <v>10000</v>
      </c>
      <c r="N25" s="167">
        <v>6</v>
      </c>
      <c r="O25" s="167">
        <v>12</v>
      </c>
      <c r="P25" s="167">
        <v>17</v>
      </c>
      <c r="Q25" s="167">
        <v>18</v>
      </c>
      <c r="R25" s="167">
        <v>31</v>
      </c>
      <c r="S25" s="167">
        <v>32</v>
      </c>
      <c r="T25" s="167">
        <v>21</v>
      </c>
      <c r="U25" s="28">
        <f t="shared" si="22"/>
        <v>116</v>
      </c>
      <c r="W25" s="66" t="str">
        <f t="shared" si="0"/>
        <v>짝수</v>
      </c>
      <c r="X25" s="66" t="str">
        <f t="shared" si="1"/>
        <v>짝수</v>
      </c>
      <c r="Y25" s="66" t="str">
        <f t="shared" si="2"/>
        <v>홀수</v>
      </c>
      <c r="Z25" s="66" t="str">
        <f t="shared" si="53"/>
        <v>짝수</v>
      </c>
      <c r="AA25" s="66" t="str">
        <f t="shared" si="54"/>
        <v>홀수</v>
      </c>
      <c r="AB25" s="66" t="str">
        <f t="shared" si="55"/>
        <v>짝수</v>
      </c>
      <c r="AC25" s="58" t="str">
        <f t="shared" si="56"/>
        <v>2 : 4</v>
      </c>
      <c r="AD25" s="66">
        <f t="shared" si="57"/>
        <v>2</v>
      </c>
      <c r="AE25" s="66">
        <f t="shared" si="58"/>
        <v>4</v>
      </c>
      <c r="AF25" s="66" t="str">
        <f t="shared" si="23"/>
        <v>저수</v>
      </c>
      <c r="AG25" s="66" t="str">
        <f t="shared" si="24"/>
        <v>저수</v>
      </c>
      <c r="AH25" s="66" t="str">
        <f t="shared" si="25"/>
        <v>저수</v>
      </c>
      <c r="AI25" s="66" t="str">
        <f t="shared" si="26"/>
        <v>저수</v>
      </c>
      <c r="AJ25" s="66" t="str">
        <f t="shared" si="27"/>
        <v>고수</v>
      </c>
      <c r="AK25" s="66" t="str">
        <f t="shared" si="28"/>
        <v>고수</v>
      </c>
      <c r="AL25" s="58" t="str">
        <f t="shared" si="29"/>
        <v>4 : 2</v>
      </c>
      <c r="AM25" s="66">
        <f t="shared" si="30"/>
        <v>4</v>
      </c>
      <c r="AN25" s="66">
        <f t="shared" si="31"/>
        <v>2</v>
      </c>
      <c r="AO25" s="66">
        <f t="shared" si="32"/>
        <v>26</v>
      </c>
      <c r="AP25" s="66" t="str">
        <f t="shared" si="33"/>
        <v>X</v>
      </c>
      <c r="AQ25" s="66" t="str">
        <f t="shared" si="34"/>
        <v>X</v>
      </c>
      <c r="AR25" s="66" t="str">
        <f t="shared" si="35"/>
        <v>O</v>
      </c>
      <c r="AS25" s="66" t="str">
        <f t="shared" si="36"/>
        <v>X</v>
      </c>
      <c r="AT25" s="66" t="str">
        <f t="shared" si="37"/>
        <v>X</v>
      </c>
      <c r="AU25" s="66" t="str">
        <f t="shared" si="38"/>
        <v>X</v>
      </c>
      <c r="AV25" s="66" t="str">
        <f t="shared" si="39"/>
        <v>X</v>
      </c>
      <c r="AW25" s="66" t="str">
        <f t="shared" si="40"/>
        <v>X</v>
      </c>
      <c r="AX25" s="66" t="str">
        <f t="shared" si="41"/>
        <v>X</v>
      </c>
      <c r="AY25" s="66" t="str">
        <f t="shared" si="42"/>
        <v>X</v>
      </c>
      <c r="AZ25" s="66" t="str">
        <f t="shared" si="43"/>
        <v>O</v>
      </c>
      <c r="BA25" s="66" t="str">
        <f t="shared" si="44"/>
        <v>X</v>
      </c>
      <c r="BB25" s="66">
        <f t="shared" si="45"/>
        <v>2</v>
      </c>
      <c r="BC25" s="127" t="str">
        <f t="shared" si="7"/>
        <v>1G</v>
      </c>
      <c r="BD25" s="127" t="str">
        <f t="shared" si="8"/>
        <v>1G</v>
      </c>
      <c r="BE25" s="127" t="str">
        <f t="shared" si="9"/>
        <v>2G</v>
      </c>
      <c r="BF25" s="127" t="str">
        <f t="shared" si="10"/>
        <v>2G</v>
      </c>
      <c r="BG25" s="127" t="str">
        <f t="shared" si="11"/>
        <v>3G</v>
      </c>
      <c r="BH25" s="127" t="str">
        <f t="shared" si="12"/>
        <v>3G</v>
      </c>
      <c r="BI25" s="127">
        <f t="shared" si="46"/>
        <v>2</v>
      </c>
      <c r="BJ25" s="127">
        <f t="shared" si="47"/>
        <v>2</v>
      </c>
      <c r="BK25" s="127">
        <f t="shared" si="48"/>
        <v>2</v>
      </c>
      <c r="BL25" s="127" t="str">
        <f t="shared" si="49"/>
        <v>222</v>
      </c>
      <c r="BO25" s="45">
        <v>44</v>
      </c>
      <c r="BP25" s="46">
        <f t="shared" si="13"/>
        <v>115</v>
      </c>
      <c r="BQ25" s="47">
        <f t="shared" si="14"/>
        <v>16</v>
      </c>
      <c r="BR25" s="73">
        <v>21</v>
      </c>
      <c r="BS25" s="29">
        <f t="shared" si="59"/>
        <v>31</v>
      </c>
      <c r="BT25" s="29">
        <f t="shared" si="50"/>
        <v>30</v>
      </c>
      <c r="BU25" s="57">
        <f t="shared" si="51"/>
        <v>61</v>
      </c>
      <c r="BV25" s="32" t="str">
        <f t="shared" si="52"/>
        <v>당첨</v>
      </c>
      <c r="BW25" s="127" t="s">
        <v>707</v>
      </c>
      <c r="BX25" s="153">
        <v>14</v>
      </c>
      <c r="BY25" s="30">
        <v>13</v>
      </c>
      <c r="BZ25" s="30">
        <v>13</v>
      </c>
      <c r="CA25" s="30">
        <v>26</v>
      </c>
      <c r="CB25" s="130" t="s">
        <v>530</v>
      </c>
      <c r="CC25" s="27" t="str">
        <f t="shared" si="60"/>
        <v>짝수</v>
      </c>
      <c r="CD25" s="28">
        <f t="shared" si="61"/>
        <v>20</v>
      </c>
      <c r="CF25" s="97">
        <v>21</v>
      </c>
      <c r="CG25" s="53">
        <v>15</v>
      </c>
      <c r="CH25" s="96">
        <f t="shared" si="17"/>
        <v>13</v>
      </c>
      <c r="CI25" s="77">
        <f t="shared" si="18"/>
        <v>1.813110181311018E-2</v>
      </c>
      <c r="CJ25" s="53">
        <f t="shared" si="19"/>
        <v>20</v>
      </c>
      <c r="CL25" s="28">
        <v>79</v>
      </c>
      <c r="CM25" s="28">
        <v>70</v>
      </c>
      <c r="CO25"/>
    </row>
    <row r="26" spans="2:95" ht="16.5">
      <c r="B26" s="17">
        <v>22</v>
      </c>
      <c r="C26" s="363" t="s">
        <v>52</v>
      </c>
      <c r="D26" s="18">
        <v>4</v>
      </c>
      <c r="E26" s="20">
        <v>4552194900</v>
      </c>
      <c r="F26" s="18">
        <v>32</v>
      </c>
      <c r="G26" s="20">
        <v>94837300</v>
      </c>
      <c r="H26" s="18">
        <v>827</v>
      </c>
      <c r="I26" s="20">
        <v>3669600</v>
      </c>
      <c r="J26" s="20">
        <v>53248</v>
      </c>
      <c r="K26" s="20">
        <v>113900</v>
      </c>
      <c r="L26" s="20">
        <v>937961</v>
      </c>
      <c r="M26" s="20">
        <v>10000</v>
      </c>
      <c r="N26" s="167">
        <v>4</v>
      </c>
      <c r="O26" s="167">
        <v>5</v>
      </c>
      <c r="P26" s="167">
        <v>6</v>
      </c>
      <c r="Q26" s="167">
        <v>8</v>
      </c>
      <c r="R26" s="167">
        <v>17</v>
      </c>
      <c r="S26" s="167">
        <v>39</v>
      </c>
      <c r="T26" s="167">
        <v>25</v>
      </c>
      <c r="U26" s="28">
        <f t="shared" si="22"/>
        <v>79</v>
      </c>
      <c r="W26" s="66" t="str">
        <f t="shared" si="0"/>
        <v>짝수</v>
      </c>
      <c r="X26" s="66" t="str">
        <f t="shared" si="1"/>
        <v>홀수</v>
      </c>
      <c r="Y26" s="66" t="str">
        <f t="shared" si="2"/>
        <v>짝수</v>
      </c>
      <c r="Z26" s="66" t="str">
        <f t="shared" si="53"/>
        <v>짝수</v>
      </c>
      <c r="AA26" s="66" t="str">
        <f t="shared" si="54"/>
        <v>홀수</v>
      </c>
      <c r="AB26" s="66" t="str">
        <f t="shared" si="55"/>
        <v>홀수</v>
      </c>
      <c r="AC26" s="58" t="str">
        <f t="shared" si="56"/>
        <v>3 : 3</v>
      </c>
      <c r="AD26" s="66">
        <f t="shared" si="57"/>
        <v>3</v>
      </c>
      <c r="AE26" s="66">
        <f t="shared" si="58"/>
        <v>3</v>
      </c>
      <c r="AF26" s="66" t="str">
        <f t="shared" si="23"/>
        <v>저수</v>
      </c>
      <c r="AG26" s="66" t="str">
        <f t="shared" si="24"/>
        <v>저수</v>
      </c>
      <c r="AH26" s="66" t="str">
        <f t="shared" si="25"/>
        <v>저수</v>
      </c>
      <c r="AI26" s="66" t="str">
        <f t="shared" si="26"/>
        <v>저수</v>
      </c>
      <c r="AJ26" s="66" t="str">
        <f t="shared" si="27"/>
        <v>저수</v>
      </c>
      <c r="AK26" s="66" t="str">
        <f t="shared" si="28"/>
        <v>고수</v>
      </c>
      <c r="AL26" s="58" t="str">
        <f t="shared" si="29"/>
        <v>5 : 1</v>
      </c>
      <c r="AM26" s="66">
        <f t="shared" si="30"/>
        <v>5</v>
      </c>
      <c r="AN26" s="66">
        <f t="shared" si="31"/>
        <v>1</v>
      </c>
      <c r="AO26" s="66">
        <f t="shared" si="32"/>
        <v>39</v>
      </c>
      <c r="AP26" s="66" t="str">
        <f t="shared" si="33"/>
        <v>X</v>
      </c>
      <c r="AQ26" s="66" t="str">
        <f t="shared" si="34"/>
        <v>O</v>
      </c>
      <c r="AR26" s="66" t="str">
        <f t="shared" si="35"/>
        <v>X</v>
      </c>
      <c r="AS26" s="66" t="str">
        <f t="shared" si="36"/>
        <v>X</v>
      </c>
      <c r="AT26" s="66" t="str">
        <f t="shared" si="37"/>
        <v>O</v>
      </c>
      <c r="AU26" s="66" t="str">
        <f t="shared" si="38"/>
        <v>X</v>
      </c>
      <c r="AV26" s="66" t="str">
        <f t="shared" si="39"/>
        <v>X</v>
      </c>
      <c r="AW26" s="66" t="str">
        <f t="shared" si="40"/>
        <v>X</v>
      </c>
      <c r="AX26" s="66" t="str">
        <f t="shared" si="41"/>
        <v>X</v>
      </c>
      <c r="AY26" s="66" t="str">
        <f t="shared" si="42"/>
        <v>X</v>
      </c>
      <c r="AZ26" s="66" t="str">
        <f t="shared" si="43"/>
        <v>X</v>
      </c>
      <c r="BA26" s="66" t="str">
        <f t="shared" si="44"/>
        <v>X</v>
      </c>
      <c r="BB26" s="66">
        <f t="shared" si="45"/>
        <v>2</v>
      </c>
      <c r="BC26" s="127" t="str">
        <f t="shared" si="7"/>
        <v>1G</v>
      </c>
      <c r="BD26" s="127" t="str">
        <f t="shared" si="8"/>
        <v>1G</v>
      </c>
      <c r="BE26" s="127" t="str">
        <f t="shared" si="9"/>
        <v>1G</v>
      </c>
      <c r="BF26" s="127" t="str">
        <f t="shared" si="10"/>
        <v>1G</v>
      </c>
      <c r="BG26" s="127" t="str">
        <f t="shared" si="11"/>
        <v>2G</v>
      </c>
      <c r="BH26" s="127" t="str">
        <f t="shared" si="12"/>
        <v>3G</v>
      </c>
      <c r="BI26" s="127">
        <f t="shared" si="46"/>
        <v>4</v>
      </c>
      <c r="BJ26" s="127">
        <f t="shared" si="47"/>
        <v>1</v>
      </c>
      <c r="BK26" s="127">
        <f t="shared" si="48"/>
        <v>1</v>
      </c>
      <c r="BL26" s="127" t="str">
        <f t="shared" si="49"/>
        <v>411</v>
      </c>
      <c r="BO26" s="42">
        <v>7</v>
      </c>
      <c r="BP26" s="43">
        <f t="shared" si="13"/>
        <v>116</v>
      </c>
      <c r="BQ26" s="44">
        <f t="shared" si="14"/>
        <v>15</v>
      </c>
      <c r="BR26" s="73">
        <v>22</v>
      </c>
      <c r="BS26" s="29">
        <f t="shared" si="59"/>
        <v>30</v>
      </c>
      <c r="BT26" s="29">
        <f t="shared" si="50"/>
        <v>30</v>
      </c>
      <c r="BU26" s="57">
        <f t="shared" si="51"/>
        <v>60</v>
      </c>
      <c r="BV26" s="32" t="str">
        <f t="shared" si="52"/>
        <v>당첨</v>
      </c>
      <c r="BW26" s="127" t="s">
        <v>707</v>
      </c>
      <c r="BX26" s="153">
        <v>42</v>
      </c>
      <c r="BY26" s="30">
        <v>13</v>
      </c>
      <c r="BZ26" s="30">
        <v>12</v>
      </c>
      <c r="CA26" s="30">
        <v>25</v>
      </c>
      <c r="CB26" s="130" t="s">
        <v>530</v>
      </c>
      <c r="CC26" s="27" t="str">
        <f t="shared" si="60"/>
        <v>짝수</v>
      </c>
      <c r="CD26" s="28">
        <f t="shared" si="61"/>
        <v>20</v>
      </c>
      <c r="CF26" s="97">
        <v>22</v>
      </c>
      <c r="CG26" s="53">
        <v>14</v>
      </c>
      <c r="CH26" s="96">
        <f t="shared" si="17"/>
        <v>12</v>
      </c>
      <c r="CI26" s="77">
        <f t="shared" si="18"/>
        <v>1.6736401673640166E-2</v>
      </c>
      <c r="CJ26" s="53">
        <f t="shared" si="19"/>
        <v>22</v>
      </c>
      <c r="CL26" s="28">
        <v>79</v>
      </c>
      <c r="CM26" s="28">
        <v>70</v>
      </c>
      <c r="CO26"/>
    </row>
    <row r="27" spans="2:95" ht="16.5">
      <c r="B27" s="17">
        <v>23</v>
      </c>
      <c r="C27" s="363" t="s">
        <v>53</v>
      </c>
      <c r="D27" s="18">
        <v>4</v>
      </c>
      <c r="E27" s="20">
        <v>4317947700</v>
      </c>
      <c r="F27" s="18">
        <v>23</v>
      </c>
      <c r="G27" s="20">
        <v>125157900</v>
      </c>
      <c r="H27" s="20">
        <v>1372</v>
      </c>
      <c r="I27" s="20">
        <v>2098100</v>
      </c>
      <c r="J27" s="20">
        <v>63717</v>
      </c>
      <c r="K27" s="20">
        <v>90300</v>
      </c>
      <c r="L27" s="20">
        <v>990081</v>
      </c>
      <c r="M27" s="20">
        <v>10000</v>
      </c>
      <c r="N27" s="167">
        <v>5</v>
      </c>
      <c r="O27" s="167">
        <v>13</v>
      </c>
      <c r="P27" s="167">
        <v>17</v>
      </c>
      <c r="Q27" s="167">
        <v>18</v>
      </c>
      <c r="R27" s="167">
        <v>33</v>
      </c>
      <c r="S27" s="167">
        <v>42</v>
      </c>
      <c r="T27" s="167">
        <v>44</v>
      </c>
      <c r="U27" s="28">
        <f t="shared" si="22"/>
        <v>128</v>
      </c>
      <c r="W27" s="66" t="str">
        <f t="shared" si="0"/>
        <v>홀수</v>
      </c>
      <c r="X27" s="66" t="str">
        <f t="shared" si="1"/>
        <v>홀수</v>
      </c>
      <c r="Y27" s="66" t="str">
        <f t="shared" si="2"/>
        <v>홀수</v>
      </c>
      <c r="Z27" s="66" t="str">
        <f t="shared" si="53"/>
        <v>짝수</v>
      </c>
      <c r="AA27" s="66" t="str">
        <f t="shared" si="54"/>
        <v>홀수</v>
      </c>
      <c r="AB27" s="66" t="str">
        <f t="shared" si="55"/>
        <v>짝수</v>
      </c>
      <c r="AC27" s="58" t="str">
        <f t="shared" si="56"/>
        <v>4 : 2</v>
      </c>
      <c r="AD27" s="66">
        <f t="shared" si="57"/>
        <v>4</v>
      </c>
      <c r="AE27" s="66">
        <f t="shared" si="58"/>
        <v>2</v>
      </c>
      <c r="AF27" s="66" t="str">
        <f t="shared" si="23"/>
        <v>저수</v>
      </c>
      <c r="AG27" s="66" t="str">
        <f t="shared" si="24"/>
        <v>저수</v>
      </c>
      <c r="AH27" s="66" t="str">
        <f t="shared" si="25"/>
        <v>저수</v>
      </c>
      <c r="AI27" s="66" t="str">
        <f t="shared" si="26"/>
        <v>저수</v>
      </c>
      <c r="AJ27" s="66" t="str">
        <f t="shared" si="27"/>
        <v>고수</v>
      </c>
      <c r="AK27" s="66" t="str">
        <f t="shared" si="28"/>
        <v>고수</v>
      </c>
      <c r="AL27" s="58" t="str">
        <f t="shared" si="29"/>
        <v>4 : 2</v>
      </c>
      <c r="AM27" s="66">
        <f t="shared" si="30"/>
        <v>4</v>
      </c>
      <c r="AN27" s="66">
        <f t="shared" si="31"/>
        <v>2</v>
      </c>
      <c r="AO27" s="66">
        <f t="shared" si="32"/>
        <v>28</v>
      </c>
      <c r="AP27" s="66" t="str">
        <f t="shared" si="33"/>
        <v>O</v>
      </c>
      <c r="AQ27" s="66" t="str">
        <f t="shared" si="34"/>
        <v>O</v>
      </c>
      <c r="AR27" s="66" t="str">
        <f t="shared" si="35"/>
        <v>O</v>
      </c>
      <c r="AS27" s="66" t="str">
        <f t="shared" si="36"/>
        <v>X</v>
      </c>
      <c r="AT27" s="66" t="str">
        <f t="shared" si="37"/>
        <v>X</v>
      </c>
      <c r="AU27" s="66" t="str">
        <f t="shared" si="38"/>
        <v>X</v>
      </c>
      <c r="AV27" s="66" t="str">
        <f t="shared" si="39"/>
        <v>X</v>
      </c>
      <c r="AW27" s="66" t="str">
        <f t="shared" si="40"/>
        <v>X</v>
      </c>
      <c r="AX27" s="66" t="str">
        <f t="shared" si="41"/>
        <v>X</v>
      </c>
      <c r="AY27" s="66" t="str">
        <f t="shared" si="42"/>
        <v>X</v>
      </c>
      <c r="AZ27" s="66" t="str">
        <f t="shared" si="43"/>
        <v>X</v>
      </c>
      <c r="BA27" s="66" t="str">
        <f t="shared" si="44"/>
        <v>X</v>
      </c>
      <c r="BB27" s="66">
        <f t="shared" si="45"/>
        <v>3</v>
      </c>
      <c r="BC27" s="127" t="str">
        <f t="shared" si="7"/>
        <v>1G</v>
      </c>
      <c r="BD27" s="127" t="str">
        <f t="shared" si="8"/>
        <v>1G</v>
      </c>
      <c r="BE27" s="127" t="str">
        <f t="shared" si="9"/>
        <v>2G</v>
      </c>
      <c r="BF27" s="127" t="str">
        <f t="shared" si="10"/>
        <v>2G</v>
      </c>
      <c r="BG27" s="127" t="str">
        <f t="shared" si="11"/>
        <v>3G</v>
      </c>
      <c r="BH27" s="127" t="str">
        <f t="shared" si="12"/>
        <v>3G</v>
      </c>
      <c r="BI27" s="127">
        <f t="shared" si="46"/>
        <v>2</v>
      </c>
      <c r="BJ27" s="127">
        <f t="shared" si="47"/>
        <v>2</v>
      </c>
      <c r="BK27" s="127">
        <f t="shared" si="48"/>
        <v>2</v>
      </c>
      <c r="BL27" s="127" t="str">
        <f t="shared" si="49"/>
        <v>222</v>
      </c>
      <c r="BO27" s="39">
        <v>25</v>
      </c>
      <c r="BP27" s="40">
        <f t="shared" si="13"/>
        <v>112</v>
      </c>
      <c r="BQ27" s="41">
        <f t="shared" si="14"/>
        <v>22</v>
      </c>
      <c r="BR27" s="73">
        <v>23</v>
      </c>
      <c r="BS27" s="29">
        <f t="shared" si="59"/>
        <v>39</v>
      </c>
      <c r="BT27" s="29">
        <f t="shared" si="50"/>
        <v>38</v>
      </c>
      <c r="BU27" s="57">
        <f t="shared" si="51"/>
        <v>77</v>
      </c>
      <c r="BV27" s="32" t="str">
        <f t="shared" si="52"/>
        <v>당첨</v>
      </c>
      <c r="BW27" s="127" t="s">
        <v>707</v>
      </c>
      <c r="BX27" s="153">
        <v>25</v>
      </c>
      <c r="BY27" s="30">
        <v>13</v>
      </c>
      <c r="BZ27" s="30">
        <v>10</v>
      </c>
      <c r="CA27" s="30">
        <v>23</v>
      </c>
      <c r="CB27" s="130" t="s">
        <v>530</v>
      </c>
      <c r="CC27" s="27" t="str">
        <f t="shared" si="60"/>
        <v>홀수</v>
      </c>
      <c r="CD27" s="28">
        <f t="shared" si="61"/>
        <v>20</v>
      </c>
      <c r="CF27" s="97">
        <v>23</v>
      </c>
      <c r="CG27" s="53">
        <v>37</v>
      </c>
      <c r="CH27" s="96">
        <f t="shared" si="17"/>
        <v>10</v>
      </c>
      <c r="CI27" s="77">
        <f t="shared" si="18"/>
        <v>1.3947001394700139E-2</v>
      </c>
      <c r="CJ27" s="53">
        <f t="shared" si="19"/>
        <v>24</v>
      </c>
      <c r="CL27" s="28">
        <v>79</v>
      </c>
      <c r="CM27" s="28">
        <v>70</v>
      </c>
      <c r="CO27"/>
    </row>
    <row r="28" spans="2:95" ht="16.5">
      <c r="B28" s="17">
        <v>24</v>
      </c>
      <c r="C28" s="363" t="s">
        <v>54</v>
      </c>
      <c r="D28" s="18">
        <v>0</v>
      </c>
      <c r="E28" s="18">
        <v>0</v>
      </c>
      <c r="F28" s="18">
        <v>18</v>
      </c>
      <c r="G28" s="20">
        <v>176023700</v>
      </c>
      <c r="H28" s="18">
        <v>925</v>
      </c>
      <c r="I28" s="20">
        <v>3425300</v>
      </c>
      <c r="J28" s="20">
        <v>52777</v>
      </c>
      <c r="K28" s="20">
        <v>120000</v>
      </c>
      <c r="L28" s="20">
        <v>755905</v>
      </c>
      <c r="M28" s="20">
        <v>10000</v>
      </c>
      <c r="N28" s="167">
        <v>7</v>
      </c>
      <c r="O28" s="167">
        <v>8</v>
      </c>
      <c r="P28" s="167">
        <v>27</v>
      </c>
      <c r="Q28" s="167">
        <v>29</v>
      </c>
      <c r="R28" s="167">
        <v>36</v>
      </c>
      <c r="S28" s="167">
        <v>43</v>
      </c>
      <c r="T28" s="167">
        <v>6</v>
      </c>
      <c r="U28" s="28">
        <f t="shared" si="22"/>
        <v>150</v>
      </c>
      <c r="W28" s="66" t="str">
        <f t="shared" si="0"/>
        <v>홀수</v>
      </c>
      <c r="X28" s="66" t="str">
        <f t="shared" si="1"/>
        <v>짝수</v>
      </c>
      <c r="Y28" s="66" t="str">
        <f t="shared" si="2"/>
        <v>홀수</v>
      </c>
      <c r="Z28" s="66" t="str">
        <f t="shared" si="53"/>
        <v>홀수</v>
      </c>
      <c r="AA28" s="66" t="str">
        <f t="shared" si="54"/>
        <v>짝수</v>
      </c>
      <c r="AB28" s="66" t="str">
        <f t="shared" si="55"/>
        <v>홀수</v>
      </c>
      <c r="AC28" s="58" t="str">
        <f t="shared" si="56"/>
        <v>4 : 2</v>
      </c>
      <c r="AD28" s="66">
        <f t="shared" si="57"/>
        <v>4</v>
      </c>
      <c r="AE28" s="66">
        <f t="shared" si="58"/>
        <v>2</v>
      </c>
      <c r="AF28" s="66" t="str">
        <f t="shared" si="23"/>
        <v>저수</v>
      </c>
      <c r="AG28" s="66" t="str">
        <f t="shared" si="24"/>
        <v>저수</v>
      </c>
      <c r="AH28" s="66" t="str">
        <f t="shared" si="25"/>
        <v>고수</v>
      </c>
      <c r="AI28" s="66" t="str">
        <f t="shared" si="26"/>
        <v>고수</v>
      </c>
      <c r="AJ28" s="66" t="str">
        <f t="shared" si="27"/>
        <v>고수</v>
      </c>
      <c r="AK28" s="66" t="str">
        <f t="shared" si="28"/>
        <v>고수</v>
      </c>
      <c r="AL28" s="58" t="str">
        <f t="shared" si="29"/>
        <v>2 : 4</v>
      </c>
      <c r="AM28" s="66">
        <f t="shared" si="30"/>
        <v>2</v>
      </c>
      <c r="AN28" s="66">
        <f t="shared" si="31"/>
        <v>4</v>
      </c>
      <c r="AO28" s="66">
        <f t="shared" si="32"/>
        <v>40</v>
      </c>
      <c r="AP28" s="66" t="str">
        <f t="shared" si="33"/>
        <v>O</v>
      </c>
      <c r="AQ28" s="66" t="str">
        <f t="shared" si="34"/>
        <v>X</v>
      </c>
      <c r="AR28" s="66" t="str">
        <f t="shared" si="35"/>
        <v>X</v>
      </c>
      <c r="AS28" s="66" t="str">
        <f t="shared" si="36"/>
        <v>X</v>
      </c>
      <c r="AT28" s="66" t="str">
        <f t="shared" si="37"/>
        <v>X</v>
      </c>
      <c r="AU28" s="66" t="str">
        <f t="shared" si="38"/>
        <v>X</v>
      </c>
      <c r="AV28" s="66" t="str">
        <f t="shared" si="39"/>
        <v>X</v>
      </c>
      <c r="AW28" s="66" t="str">
        <f t="shared" si="40"/>
        <v>X</v>
      </c>
      <c r="AX28" s="66" t="str">
        <f t="shared" si="41"/>
        <v>X</v>
      </c>
      <c r="AY28" s="66" t="str">
        <f t="shared" si="42"/>
        <v>O</v>
      </c>
      <c r="AZ28" s="66" t="str">
        <f t="shared" si="43"/>
        <v>X</v>
      </c>
      <c r="BA28" s="66" t="str">
        <f t="shared" si="44"/>
        <v>O</v>
      </c>
      <c r="BB28" s="66">
        <f t="shared" si="45"/>
        <v>3</v>
      </c>
      <c r="BC28" s="127" t="str">
        <f t="shared" si="7"/>
        <v>1G</v>
      </c>
      <c r="BD28" s="127" t="str">
        <f t="shared" si="8"/>
        <v>1G</v>
      </c>
      <c r="BE28" s="127" t="str">
        <f t="shared" si="9"/>
        <v>2G</v>
      </c>
      <c r="BF28" s="127" t="str">
        <f t="shared" si="10"/>
        <v>2G</v>
      </c>
      <c r="BG28" s="127" t="str">
        <f t="shared" si="11"/>
        <v>3G</v>
      </c>
      <c r="BH28" s="127" t="str">
        <f t="shared" si="12"/>
        <v>3G</v>
      </c>
      <c r="BI28" s="127">
        <f t="shared" si="46"/>
        <v>2</v>
      </c>
      <c r="BJ28" s="127">
        <f t="shared" si="47"/>
        <v>2</v>
      </c>
      <c r="BK28" s="127">
        <f t="shared" si="48"/>
        <v>2</v>
      </c>
      <c r="BL28" s="127" t="str">
        <f t="shared" si="49"/>
        <v>222</v>
      </c>
      <c r="BO28" s="45">
        <v>6</v>
      </c>
      <c r="BP28" s="46">
        <f t="shared" si="13"/>
        <v>109</v>
      </c>
      <c r="BQ28" s="47">
        <f t="shared" si="14"/>
        <v>30</v>
      </c>
      <c r="BR28" s="73">
        <v>24</v>
      </c>
      <c r="BS28" s="29">
        <f t="shared" si="59"/>
        <v>36</v>
      </c>
      <c r="BT28" s="29">
        <f t="shared" si="50"/>
        <v>36</v>
      </c>
      <c r="BU28" s="57">
        <f t="shared" si="51"/>
        <v>72</v>
      </c>
      <c r="BV28" s="32" t="str">
        <f t="shared" si="52"/>
        <v>당첨</v>
      </c>
      <c r="BW28" s="127" t="s">
        <v>707</v>
      </c>
      <c r="BX28" s="152">
        <v>24</v>
      </c>
      <c r="BY28" s="30">
        <v>12</v>
      </c>
      <c r="BZ28" s="30">
        <v>12</v>
      </c>
      <c r="CA28" s="30">
        <v>24</v>
      </c>
      <c r="CB28" s="130" t="s">
        <v>530</v>
      </c>
      <c r="CC28" s="27" t="str">
        <f t="shared" si="60"/>
        <v>짝수</v>
      </c>
      <c r="CD28" s="28">
        <f t="shared" si="61"/>
        <v>25</v>
      </c>
      <c r="CF28" s="97">
        <v>24</v>
      </c>
      <c r="CG28" s="53">
        <v>17</v>
      </c>
      <c r="CH28" s="96">
        <f t="shared" si="17"/>
        <v>12</v>
      </c>
      <c r="CI28" s="77">
        <f t="shared" si="18"/>
        <v>1.6736401673640166E-2</v>
      </c>
      <c r="CJ28" s="53">
        <f t="shared" si="19"/>
        <v>22</v>
      </c>
      <c r="CL28" s="28">
        <v>79</v>
      </c>
      <c r="CM28" s="28">
        <v>70</v>
      </c>
      <c r="CO28"/>
    </row>
    <row r="29" spans="2:95" ht="16.5">
      <c r="B29" s="17">
        <v>25</v>
      </c>
      <c r="C29" s="363" t="s">
        <v>55</v>
      </c>
      <c r="D29" s="18">
        <v>2</v>
      </c>
      <c r="E29" s="20">
        <v>24227745300</v>
      </c>
      <c r="F29" s="18">
        <v>28</v>
      </c>
      <c r="G29" s="20">
        <v>175267400</v>
      </c>
      <c r="H29" s="20">
        <v>1111</v>
      </c>
      <c r="I29" s="20">
        <v>4417100</v>
      </c>
      <c r="J29" s="20">
        <v>58903</v>
      </c>
      <c r="K29" s="20">
        <v>166600</v>
      </c>
      <c r="L29" s="20">
        <v>1096200</v>
      </c>
      <c r="M29" s="20">
        <v>10000</v>
      </c>
      <c r="N29" s="167">
        <v>2</v>
      </c>
      <c r="O29" s="167">
        <v>4</v>
      </c>
      <c r="P29" s="167">
        <v>21</v>
      </c>
      <c r="Q29" s="167">
        <v>26</v>
      </c>
      <c r="R29" s="167">
        <v>43</v>
      </c>
      <c r="S29" s="167">
        <v>44</v>
      </c>
      <c r="T29" s="167">
        <v>16</v>
      </c>
      <c r="U29" s="28">
        <f t="shared" si="22"/>
        <v>140</v>
      </c>
      <c r="W29" s="66" t="str">
        <f t="shared" si="0"/>
        <v>짝수</v>
      </c>
      <c r="X29" s="66" t="str">
        <f t="shared" si="1"/>
        <v>짝수</v>
      </c>
      <c r="Y29" s="66" t="str">
        <f t="shared" si="2"/>
        <v>홀수</v>
      </c>
      <c r="Z29" s="66" t="str">
        <f t="shared" si="53"/>
        <v>짝수</v>
      </c>
      <c r="AA29" s="66" t="str">
        <f t="shared" si="54"/>
        <v>홀수</v>
      </c>
      <c r="AB29" s="66" t="str">
        <f t="shared" si="55"/>
        <v>짝수</v>
      </c>
      <c r="AC29" s="58" t="str">
        <f t="shared" si="56"/>
        <v>2 : 4</v>
      </c>
      <c r="AD29" s="66">
        <f t="shared" si="57"/>
        <v>2</v>
      </c>
      <c r="AE29" s="66">
        <f t="shared" si="58"/>
        <v>4</v>
      </c>
      <c r="AF29" s="66" t="str">
        <f t="shared" si="23"/>
        <v>저수</v>
      </c>
      <c r="AG29" s="66" t="str">
        <f t="shared" si="24"/>
        <v>저수</v>
      </c>
      <c r="AH29" s="66" t="str">
        <f t="shared" si="25"/>
        <v>저수</v>
      </c>
      <c r="AI29" s="66" t="str">
        <f t="shared" si="26"/>
        <v>고수</v>
      </c>
      <c r="AJ29" s="66" t="str">
        <f t="shared" si="27"/>
        <v>고수</v>
      </c>
      <c r="AK29" s="66" t="str">
        <f t="shared" si="28"/>
        <v>고수</v>
      </c>
      <c r="AL29" s="58" t="str">
        <f t="shared" si="29"/>
        <v>3 : 3</v>
      </c>
      <c r="AM29" s="66">
        <f t="shared" si="30"/>
        <v>3</v>
      </c>
      <c r="AN29" s="66">
        <f t="shared" si="31"/>
        <v>3</v>
      </c>
      <c r="AO29" s="66">
        <f t="shared" si="32"/>
        <v>20</v>
      </c>
      <c r="AP29" s="66" t="str">
        <f t="shared" si="33"/>
        <v>O</v>
      </c>
      <c r="AQ29" s="66" t="str">
        <f t="shared" si="34"/>
        <v>X</v>
      </c>
      <c r="AR29" s="66" t="str">
        <f t="shared" si="35"/>
        <v>X</v>
      </c>
      <c r="AS29" s="66" t="str">
        <f t="shared" si="36"/>
        <v>X</v>
      </c>
      <c r="AT29" s="66" t="str">
        <f t="shared" si="37"/>
        <v>X</v>
      </c>
      <c r="AU29" s="66" t="str">
        <f t="shared" si="38"/>
        <v>X</v>
      </c>
      <c r="AV29" s="66" t="str">
        <f t="shared" si="39"/>
        <v>X</v>
      </c>
      <c r="AW29" s="66" t="str">
        <f t="shared" si="40"/>
        <v>X</v>
      </c>
      <c r="AX29" s="66" t="str">
        <f t="shared" si="41"/>
        <v>X</v>
      </c>
      <c r="AY29" s="66" t="str">
        <f t="shared" si="42"/>
        <v>X</v>
      </c>
      <c r="AZ29" s="66" t="str">
        <f t="shared" si="43"/>
        <v>O</v>
      </c>
      <c r="BA29" s="66" t="str">
        <f t="shared" si="44"/>
        <v>X</v>
      </c>
      <c r="BB29" s="66">
        <f t="shared" si="45"/>
        <v>2</v>
      </c>
      <c r="BC29" s="127" t="str">
        <f t="shared" si="7"/>
        <v>1G</v>
      </c>
      <c r="BD29" s="127" t="str">
        <f t="shared" si="8"/>
        <v>1G</v>
      </c>
      <c r="BE29" s="127" t="str">
        <f t="shared" si="9"/>
        <v>2G</v>
      </c>
      <c r="BF29" s="127" t="str">
        <f t="shared" si="10"/>
        <v>2G</v>
      </c>
      <c r="BG29" s="127" t="str">
        <f t="shared" si="11"/>
        <v>3G</v>
      </c>
      <c r="BH29" s="127" t="str">
        <f t="shared" si="12"/>
        <v>3G</v>
      </c>
      <c r="BI29" s="127">
        <f t="shared" si="46"/>
        <v>2</v>
      </c>
      <c r="BJ29" s="127">
        <f t="shared" si="47"/>
        <v>2</v>
      </c>
      <c r="BK29" s="127">
        <f t="shared" si="48"/>
        <v>2</v>
      </c>
      <c r="BL29" s="127" t="str">
        <f t="shared" si="49"/>
        <v>222</v>
      </c>
      <c r="BO29" s="42">
        <v>24</v>
      </c>
      <c r="BP29" s="43">
        <f t="shared" si="13"/>
        <v>111</v>
      </c>
      <c r="BQ29" s="44">
        <f t="shared" si="14"/>
        <v>24</v>
      </c>
      <c r="BR29" s="73">
        <v>25</v>
      </c>
      <c r="BS29" s="29">
        <f t="shared" si="59"/>
        <v>37</v>
      </c>
      <c r="BT29" s="29">
        <f t="shared" si="50"/>
        <v>34</v>
      </c>
      <c r="BU29" s="57">
        <f t="shared" si="51"/>
        <v>71</v>
      </c>
      <c r="BV29" s="32" t="str">
        <f t="shared" si="52"/>
        <v>당첨</v>
      </c>
      <c r="BW29" s="127" t="s">
        <v>707</v>
      </c>
      <c r="BX29" s="153">
        <v>35</v>
      </c>
      <c r="BY29" s="30">
        <v>12</v>
      </c>
      <c r="BZ29" s="30">
        <v>12</v>
      </c>
      <c r="CA29" s="30">
        <v>24</v>
      </c>
      <c r="CB29" s="130" t="s">
        <v>530</v>
      </c>
      <c r="CC29" s="27" t="str">
        <f t="shared" si="60"/>
        <v>홀수</v>
      </c>
      <c r="CD29" s="28">
        <f t="shared" si="61"/>
        <v>25</v>
      </c>
      <c r="CF29" s="97">
        <v>25</v>
      </c>
      <c r="CG29" s="53">
        <v>38</v>
      </c>
      <c r="CH29" s="96">
        <f t="shared" si="17"/>
        <v>9</v>
      </c>
      <c r="CI29" s="77">
        <f t="shared" si="18"/>
        <v>1.2552301255230125E-2</v>
      </c>
      <c r="CJ29" s="53">
        <f t="shared" si="19"/>
        <v>25</v>
      </c>
      <c r="CL29" s="28">
        <v>83</v>
      </c>
      <c r="CM29" s="28">
        <v>80</v>
      </c>
      <c r="CO29"/>
    </row>
    <row r="30" spans="2:95" ht="16.5">
      <c r="B30" s="17">
        <v>26</v>
      </c>
      <c r="C30" s="363" t="s">
        <v>56</v>
      </c>
      <c r="D30" s="18">
        <v>5</v>
      </c>
      <c r="E30" s="20">
        <v>3495069900</v>
      </c>
      <c r="F30" s="18">
        <v>39</v>
      </c>
      <c r="G30" s="20">
        <v>74680900</v>
      </c>
      <c r="H30" s="20">
        <v>1340</v>
      </c>
      <c r="I30" s="20">
        <v>2173500</v>
      </c>
      <c r="J30" s="20">
        <v>72252</v>
      </c>
      <c r="K30" s="20">
        <v>80600</v>
      </c>
      <c r="L30" s="20">
        <v>1097093</v>
      </c>
      <c r="M30" s="20">
        <v>10000</v>
      </c>
      <c r="N30" s="167">
        <v>4</v>
      </c>
      <c r="O30" s="167">
        <v>5</v>
      </c>
      <c r="P30" s="167">
        <v>7</v>
      </c>
      <c r="Q30" s="167">
        <v>18</v>
      </c>
      <c r="R30" s="167">
        <v>20</v>
      </c>
      <c r="S30" s="167">
        <v>25</v>
      </c>
      <c r="T30" s="167">
        <v>31</v>
      </c>
      <c r="U30" s="28">
        <f t="shared" si="22"/>
        <v>79</v>
      </c>
      <c r="W30" s="66" t="str">
        <f t="shared" si="0"/>
        <v>짝수</v>
      </c>
      <c r="X30" s="66" t="str">
        <f t="shared" si="1"/>
        <v>홀수</v>
      </c>
      <c r="Y30" s="66" t="str">
        <f t="shared" si="2"/>
        <v>홀수</v>
      </c>
      <c r="Z30" s="66" t="str">
        <f t="shared" si="53"/>
        <v>짝수</v>
      </c>
      <c r="AA30" s="66" t="str">
        <f t="shared" si="54"/>
        <v>짝수</v>
      </c>
      <c r="AB30" s="66" t="str">
        <f t="shared" si="55"/>
        <v>홀수</v>
      </c>
      <c r="AC30" s="58" t="str">
        <f t="shared" si="56"/>
        <v>3 : 3</v>
      </c>
      <c r="AD30" s="66">
        <f t="shared" si="57"/>
        <v>3</v>
      </c>
      <c r="AE30" s="66">
        <f t="shared" si="58"/>
        <v>3</v>
      </c>
      <c r="AF30" s="66" t="str">
        <f t="shared" si="23"/>
        <v>저수</v>
      </c>
      <c r="AG30" s="66" t="str">
        <f t="shared" si="24"/>
        <v>저수</v>
      </c>
      <c r="AH30" s="66" t="str">
        <f t="shared" si="25"/>
        <v>저수</v>
      </c>
      <c r="AI30" s="66" t="str">
        <f t="shared" si="26"/>
        <v>저수</v>
      </c>
      <c r="AJ30" s="66" t="str">
        <f t="shared" si="27"/>
        <v>저수</v>
      </c>
      <c r="AK30" s="66" t="str">
        <f t="shared" si="28"/>
        <v>고수</v>
      </c>
      <c r="AL30" s="58" t="str">
        <f t="shared" si="29"/>
        <v>5 : 1</v>
      </c>
      <c r="AM30" s="66">
        <f t="shared" si="30"/>
        <v>5</v>
      </c>
      <c r="AN30" s="66">
        <f t="shared" si="31"/>
        <v>1</v>
      </c>
      <c r="AO30" s="66">
        <f t="shared" si="32"/>
        <v>29</v>
      </c>
      <c r="AP30" s="66" t="str">
        <f t="shared" si="33"/>
        <v>X</v>
      </c>
      <c r="AQ30" s="66" t="str">
        <f t="shared" si="34"/>
        <v>O</v>
      </c>
      <c r="AR30" s="66" t="str">
        <f t="shared" si="35"/>
        <v>O</v>
      </c>
      <c r="AS30" s="66" t="str">
        <f t="shared" si="36"/>
        <v>X</v>
      </c>
      <c r="AT30" s="66" t="str">
        <f t="shared" si="37"/>
        <v>X</v>
      </c>
      <c r="AU30" s="66" t="str">
        <f t="shared" si="38"/>
        <v>X</v>
      </c>
      <c r="AV30" s="66" t="str">
        <f t="shared" si="39"/>
        <v>X</v>
      </c>
      <c r="AW30" s="66" t="str">
        <f t="shared" si="40"/>
        <v>X</v>
      </c>
      <c r="AX30" s="66" t="str">
        <f t="shared" si="41"/>
        <v>X</v>
      </c>
      <c r="AY30" s="66" t="str">
        <f t="shared" si="42"/>
        <v>X</v>
      </c>
      <c r="AZ30" s="66" t="str">
        <f t="shared" si="43"/>
        <v>X</v>
      </c>
      <c r="BA30" s="66" t="str">
        <f t="shared" si="44"/>
        <v>X</v>
      </c>
      <c r="BB30" s="66">
        <f t="shared" si="45"/>
        <v>2</v>
      </c>
      <c r="BC30" s="127" t="str">
        <f t="shared" si="7"/>
        <v>1G</v>
      </c>
      <c r="BD30" s="127" t="str">
        <f t="shared" si="8"/>
        <v>1G</v>
      </c>
      <c r="BE30" s="127" t="str">
        <f t="shared" si="9"/>
        <v>1G</v>
      </c>
      <c r="BF30" s="127" t="str">
        <f t="shared" si="10"/>
        <v>2G</v>
      </c>
      <c r="BG30" s="127" t="str">
        <f t="shared" si="11"/>
        <v>2G</v>
      </c>
      <c r="BH30" s="127" t="str">
        <f t="shared" si="12"/>
        <v>2G</v>
      </c>
      <c r="BI30" s="127">
        <f t="shared" si="46"/>
        <v>3</v>
      </c>
      <c r="BJ30" s="127">
        <f t="shared" si="47"/>
        <v>3</v>
      </c>
      <c r="BK30" s="127">
        <f t="shared" si="48"/>
        <v>0</v>
      </c>
      <c r="BL30" s="127" t="str">
        <f t="shared" si="49"/>
        <v>330</v>
      </c>
      <c r="BO30" s="36">
        <v>19</v>
      </c>
      <c r="BP30" s="37">
        <f t="shared" si="13"/>
        <v>109</v>
      </c>
      <c r="BQ30" s="38">
        <f t="shared" si="14"/>
        <v>30</v>
      </c>
      <c r="BR30" s="73">
        <v>26</v>
      </c>
      <c r="BS30" s="29">
        <f t="shared" si="59"/>
        <v>37</v>
      </c>
      <c r="BT30" s="29">
        <f t="shared" si="50"/>
        <v>36</v>
      </c>
      <c r="BU30" s="57">
        <f t="shared" si="51"/>
        <v>73</v>
      </c>
      <c r="BV30" s="32" t="str">
        <f t="shared" si="52"/>
        <v>당첨</v>
      </c>
      <c r="BW30" s="127" t="s">
        <v>707</v>
      </c>
      <c r="BX30" s="153">
        <v>7</v>
      </c>
      <c r="BY30" s="30">
        <v>12</v>
      </c>
      <c r="BZ30" s="30">
        <v>11</v>
      </c>
      <c r="CA30" s="30">
        <v>23</v>
      </c>
      <c r="CB30" s="130" t="s">
        <v>530</v>
      </c>
      <c r="CC30" s="27" t="str">
        <f t="shared" si="60"/>
        <v>홀수</v>
      </c>
      <c r="CD30" s="28">
        <f t="shared" si="61"/>
        <v>25</v>
      </c>
      <c r="CF30" s="97">
        <v>26</v>
      </c>
      <c r="CG30" s="53">
        <v>39</v>
      </c>
      <c r="CH30" s="96">
        <f t="shared" si="17"/>
        <v>5</v>
      </c>
      <c r="CI30" s="77">
        <f t="shared" si="18"/>
        <v>6.9735006973500697E-3</v>
      </c>
      <c r="CJ30" s="53">
        <f t="shared" si="19"/>
        <v>27</v>
      </c>
      <c r="CL30" s="28">
        <v>84</v>
      </c>
      <c r="CM30" s="28">
        <v>80</v>
      </c>
      <c r="CO30"/>
    </row>
    <row r="31" spans="2:95" ht="16.5">
      <c r="B31" s="17">
        <v>27</v>
      </c>
      <c r="C31" s="363" t="s">
        <v>57</v>
      </c>
      <c r="D31" s="18">
        <v>2</v>
      </c>
      <c r="E31" s="20">
        <v>9543982500</v>
      </c>
      <c r="F31" s="18">
        <v>16</v>
      </c>
      <c r="G31" s="20">
        <v>198832900</v>
      </c>
      <c r="H31" s="18">
        <v>579</v>
      </c>
      <c r="I31" s="20">
        <v>5494500</v>
      </c>
      <c r="J31" s="20">
        <v>33509</v>
      </c>
      <c r="K31" s="20">
        <v>189800</v>
      </c>
      <c r="L31" s="20">
        <v>625925</v>
      </c>
      <c r="M31" s="20">
        <v>10000</v>
      </c>
      <c r="N31" s="167">
        <v>1</v>
      </c>
      <c r="O31" s="167">
        <v>20</v>
      </c>
      <c r="P31" s="167">
        <v>26</v>
      </c>
      <c r="Q31" s="167">
        <v>28</v>
      </c>
      <c r="R31" s="167">
        <v>37</v>
      </c>
      <c r="S31" s="167">
        <v>43</v>
      </c>
      <c r="T31" s="167">
        <v>27</v>
      </c>
      <c r="U31" s="28">
        <f t="shared" si="22"/>
        <v>155</v>
      </c>
      <c r="W31" s="66" t="str">
        <f t="shared" si="0"/>
        <v>홀수</v>
      </c>
      <c r="X31" s="66" t="str">
        <f t="shared" si="1"/>
        <v>짝수</v>
      </c>
      <c r="Y31" s="66" t="str">
        <f t="shared" si="2"/>
        <v>짝수</v>
      </c>
      <c r="Z31" s="66" t="str">
        <f t="shared" si="53"/>
        <v>짝수</v>
      </c>
      <c r="AA31" s="66" t="str">
        <f t="shared" si="54"/>
        <v>홀수</v>
      </c>
      <c r="AB31" s="66" t="str">
        <f t="shared" si="55"/>
        <v>홀수</v>
      </c>
      <c r="AC31" s="58" t="str">
        <f t="shared" si="56"/>
        <v>3 : 3</v>
      </c>
      <c r="AD31" s="66">
        <f t="shared" si="57"/>
        <v>3</v>
      </c>
      <c r="AE31" s="66">
        <f t="shared" si="58"/>
        <v>3</v>
      </c>
      <c r="AF31" s="66" t="str">
        <f t="shared" si="23"/>
        <v>저수</v>
      </c>
      <c r="AG31" s="66" t="str">
        <f t="shared" si="24"/>
        <v>저수</v>
      </c>
      <c r="AH31" s="66" t="str">
        <f t="shared" si="25"/>
        <v>고수</v>
      </c>
      <c r="AI31" s="66" t="str">
        <f t="shared" si="26"/>
        <v>고수</v>
      </c>
      <c r="AJ31" s="66" t="str">
        <f t="shared" si="27"/>
        <v>고수</v>
      </c>
      <c r="AK31" s="66" t="str">
        <f t="shared" si="28"/>
        <v>고수</v>
      </c>
      <c r="AL31" s="58" t="str">
        <f t="shared" si="29"/>
        <v>2 : 4</v>
      </c>
      <c r="AM31" s="66">
        <f t="shared" si="30"/>
        <v>2</v>
      </c>
      <c r="AN31" s="66">
        <f t="shared" si="31"/>
        <v>4</v>
      </c>
      <c r="AO31" s="66">
        <f t="shared" si="32"/>
        <v>25</v>
      </c>
      <c r="AP31" s="66" t="str">
        <f t="shared" si="33"/>
        <v>X</v>
      </c>
      <c r="AQ31" s="66" t="str">
        <f t="shared" si="34"/>
        <v>X</v>
      </c>
      <c r="AR31" s="66" t="str">
        <f t="shared" si="35"/>
        <v>X</v>
      </c>
      <c r="AS31" s="66" t="str">
        <f t="shared" si="36"/>
        <v>X</v>
      </c>
      <c r="AT31" s="66" t="str">
        <f t="shared" si="37"/>
        <v>X</v>
      </c>
      <c r="AU31" s="66" t="str">
        <f t="shared" si="38"/>
        <v>X</v>
      </c>
      <c r="AV31" s="66" t="str">
        <f t="shared" si="39"/>
        <v>X</v>
      </c>
      <c r="AW31" s="66" t="str">
        <f t="shared" si="40"/>
        <v>X</v>
      </c>
      <c r="AX31" s="66" t="str">
        <f t="shared" si="41"/>
        <v>X</v>
      </c>
      <c r="AY31" s="66" t="str">
        <f t="shared" si="42"/>
        <v>X</v>
      </c>
      <c r="AZ31" s="66" t="str">
        <f t="shared" si="43"/>
        <v>O</v>
      </c>
      <c r="BA31" s="66" t="str">
        <f t="shared" si="44"/>
        <v>O</v>
      </c>
      <c r="BB31" s="66">
        <f t="shared" si="45"/>
        <v>2</v>
      </c>
      <c r="BC31" s="127" t="str">
        <f t="shared" si="7"/>
        <v>1G</v>
      </c>
      <c r="BD31" s="127" t="str">
        <f t="shared" si="8"/>
        <v>2G</v>
      </c>
      <c r="BE31" s="127" t="str">
        <f t="shared" si="9"/>
        <v>2G</v>
      </c>
      <c r="BF31" s="127" t="str">
        <f t="shared" si="10"/>
        <v>2G</v>
      </c>
      <c r="BG31" s="127" t="str">
        <f t="shared" si="11"/>
        <v>3G</v>
      </c>
      <c r="BH31" s="127" t="str">
        <f t="shared" si="12"/>
        <v>3G</v>
      </c>
      <c r="BI31" s="127">
        <f t="shared" si="46"/>
        <v>1</v>
      </c>
      <c r="BJ31" s="127">
        <f t="shared" si="47"/>
        <v>3</v>
      </c>
      <c r="BK31" s="127">
        <f t="shared" si="48"/>
        <v>2</v>
      </c>
      <c r="BL31" s="127" t="str">
        <f t="shared" si="49"/>
        <v>132</v>
      </c>
      <c r="BO31" s="45">
        <v>35</v>
      </c>
      <c r="BP31" s="46">
        <f t="shared" si="13"/>
        <v>110</v>
      </c>
      <c r="BQ31" s="47">
        <f t="shared" si="14"/>
        <v>26</v>
      </c>
      <c r="BR31" s="73">
        <v>27</v>
      </c>
      <c r="BS31" s="29">
        <f t="shared" si="59"/>
        <v>41</v>
      </c>
      <c r="BT31" s="29">
        <f t="shared" si="50"/>
        <v>40</v>
      </c>
      <c r="BU31" s="57">
        <f t="shared" si="51"/>
        <v>81</v>
      </c>
      <c r="BV31" s="32" t="str">
        <f t="shared" si="52"/>
        <v>당첨</v>
      </c>
      <c r="BW31" s="127" t="s">
        <v>707</v>
      </c>
      <c r="BX31" s="152">
        <v>11</v>
      </c>
      <c r="BY31" s="30">
        <v>12</v>
      </c>
      <c r="BZ31" s="30">
        <v>11</v>
      </c>
      <c r="CA31" s="30">
        <v>23</v>
      </c>
      <c r="CB31" s="130" t="s">
        <v>530</v>
      </c>
      <c r="CC31" s="27" t="str">
        <f t="shared" si="60"/>
        <v>홀수</v>
      </c>
      <c r="CD31" s="28">
        <f t="shared" si="61"/>
        <v>25</v>
      </c>
      <c r="CF31" s="97">
        <v>27</v>
      </c>
      <c r="CG31" s="53">
        <v>13</v>
      </c>
      <c r="CH31" s="96">
        <f t="shared" si="17"/>
        <v>3</v>
      </c>
      <c r="CI31" s="77">
        <f t="shared" si="18"/>
        <v>4.1841004184100415E-3</v>
      </c>
      <c r="CJ31" s="53">
        <f t="shared" si="19"/>
        <v>29</v>
      </c>
      <c r="CL31" s="28">
        <v>85</v>
      </c>
      <c r="CM31" s="28">
        <v>80</v>
      </c>
      <c r="CO31"/>
    </row>
    <row r="32" spans="2:95" ht="16.5">
      <c r="B32" s="17">
        <v>28</v>
      </c>
      <c r="C32" s="363" t="s">
        <v>58</v>
      </c>
      <c r="D32" s="18">
        <v>10</v>
      </c>
      <c r="E32" s="20">
        <v>1700361100</v>
      </c>
      <c r="F32" s="18">
        <v>22</v>
      </c>
      <c r="G32" s="20">
        <v>128815200</v>
      </c>
      <c r="H32" s="20">
        <v>1164</v>
      </c>
      <c r="I32" s="20">
        <v>2434600</v>
      </c>
      <c r="J32" s="20">
        <v>57870</v>
      </c>
      <c r="K32" s="20">
        <v>97900</v>
      </c>
      <c r="L32" s="20">
        <v>938483</v>
      </c>
      <c r="M32" s="20">
        <v>10000</v>
      </c>
      <c r="N32" s="167">
        <v>9</v>
      </c>
      <c r="O32" s="167">
        <v>18</v>
      </c>
      <c r="P32" s="167">
        <v>23</v>
      </c>
      <c r="Q32" s="167">
        <v>25</v>
      </c>
      <c r="R32" s="167">
        <v>35</v>
      </c>
      <c r="S32" s="167">
        <v>37</v>
      </c>
      <c r="T32" s="167">
        <v>1</v>
      </c>
      <c r="U32" s="28">
        <f t="shared" si="22"/>
        <v>147</v>
      </c>
      <c r="W32" s="66" t="str">
        <f t="shared" si="0"/>
        <v>홀수</v>
      </c>
      <c r="X32" s="66" t="str">
        <f t="shared" si="1"/>
        <v>짝수</v>
      </c>
      <c r="Y32" s="66" t="str">
        <f t="shared" si="2"/>
        <v>홀수</v>
      </c>
      <c r="Z32" s="66" t="str">
        <f t="shared" si="53"/>
        <v>홀수</v>
      </c>
      <c r="AA32" s="66" t="str">
        <f t="shared" si="54"/>
        <v>홀수</v>
      </c>
      <c r="AB32" s="66" t="str">
        <f t="shared" si="55"/>
        <v>홀수</v>
      </c>
      <c r="AC32" s="58" t="str">
        <f t="shared" si="56"/>
        <v>5 : 1</v>
      </c>
      <c r="AD32" s="66">
        <f t="shared" si="57"/>
        <v>5</v>
      </c>
      <c r="AE32" s="66">
        <f t="shared" si="58"/>
        <v>1</v>
      </c>
      <c r="AF32" s="66" t="str">
        <f t="shared" si="23"/>
        <v>저수</v>
      </c>
      <c r="AG32" s="66" t="str">
        <f t="shared" si="24"/>
        <v>저수</v>
      </c>
      <c r="AH32" s="66" t="str">
        <f t="shared" si="25"/>
        <v>고수</v>
      </c>
      <c r="AI32" s="66" t="str">
        <f t="shared" si="26"/>
        <v>고수</v>
      </c>
      <c r="AJ32" s="66" t="str">
        <f t="shared" si="27"/>
        <v>고수</v>
      </c>
      <c r="AK32" s="66" t="str">
        <f t="shared" si="28"/>
        <v>고수</v>
      </c>
      <c r="AL32" s="58" t="str">
        <f t="shared" si="29"/>
        <v>2 : 4</v>
      </c>
      <c r="AM32" s="66">
        <f t="shared" si="30"/>
        <v>2</v>
      </c>
      <c r="AN32" s="66">
        <f t="shared" si="31"/>
        <v>4</v>
      </c>
      <c r="AO32" s="66">
        <f t="shared" si="32"/>
        <v>37</v>
      </c>
      <c r="AP32" s="66" t="str">
        <f t="shared" si="33"/>
        <v>X</v>
      </c>
      <c r="AQ32" s="66" t="str">
        <f t="shared" si="34"/>
        <v>X</v>
      </c>
      <c r="AR32" s="66" t="str">
        <f t="shared" si="35"/>
        <v>X</v>
      </c>
      <c r="AS32" s="66" t="str">
        <f t="shared" si="36"/>
        <v>X</v>
      </c>
      <c r="AT32" s="66" t="str">
        <f t="shared" si="37"/>
        <v>X</v>
      </c>
      <c r="AU32" s="66" t="str">
        <f t="shared" si="38"/>
        <v>X</v>
      </c>
      <c r="AV32" s="66" t="str">
        <f t="shared" si="39"/>
        <v>X</v>
      </c>
      <c r="AW32" s="66" t="str">
        <f t="shared" si="40"/>
        <v>X</v>
      </c>
      <c r="AX32" s="66" t="str">
        <f t="shared" si="41"/>
        <v>O</v>
      </c>
      <c r="AY32" s="66" t="str">
        <f t="shared" si="42"/>
        <v>X</v>
      </c>
      <c r="AZ32" s="66" t="str">
        <f t="shared" si="43"/>
        <v>X</v>
      </c>
      <c r="BA32" s="66" t="str">
        <f t="shared" si="44"/>
        <v>O</v>
      </c>
      <c r="BB32" s="66">
        <f t="shared" si="45"/>
        <v>2</v>
      </c>
      <c r="BC32" s="127" t="str">
        <f t="shared" si="7"/>
        <v>1G</v>
      </c>
      <c r="BD32" s="127" t="str">
        <f t="shared" si="8"/>
        <v>2G</v>
      </c>
      <c r="BE32" s="127" t="str">
        <f t="shared" si="9"/>
        <v>2G</v>
      </c>
      <c r="BF32" s="127" t="str">
        <f t="shared" si="10"/>
        <v>2G</v>
      </c>
      <c r="BG32" s="127" t="str">
        <f t="shared" si="11"/>
        <v>3G</v>
      </c>
      <c r="BH32" s="127" t="str">
        <f t="shared" si="12"/>
        <v>3G</v>
      </c>
      <c r="BI32" s="127">
        <f t="shared" si="46"/>
        <v>1</v>
      </c>
      <c r="BJ32" s="127">
        <f t="shared" si="47"/>
        <v>3</v>
      </c>
      <c r="BK32" s="127">
        <f t="shared" si="48"/>
        <v>2</v>
      </c>
      <c r="BL32" s="127" t="str">
        <f t="shared" si="49"/>
        <v>132</v>
      </c>
      <c r="BO32" s="45">
        <v>12</v>
      </c>
      <c r="BP32" s="46">
        <f t="shared" si="13"/>
        <v>110</v>
      </c>
      <c r="BQ32" s="47">
        <f t="shared" si="14"/>
        <v>26</v>
      </c>
      <c r="BR32" s="73">
        <v>28</v>
      </c>
      <c r="BS32" s="29">
        <f t="shared" si="59"/>
        <v>35</v>
      </c>
      <c r="BT32" s="29">
        <f t="shared" si="50"/>
        <v>35</v>
      </c>
      <c r="BU32" s="57">
        <f t="shared" si="51"/>
        <v>70</v>
      </c>
      <c r="BV32" s="32" t="str">
        <f t="shared" si="52"/>
        <v>당첨</v>
      </c>
      <c r="BW32" s="127" t="s">
        <v>707</v>
      </c>
      <c r="BX32" s="153">
        <v>8</v>
      </c>
      <c r="BY32" s="30">
        <v>12</v>
      </c>
      <c r="BZ32" s="30">
        <v>9</v>
      </c>
      <c r="CA32" s="30">
        <v>21</v>
      </c>
      <c r="CB32" s="130" t="s">
        <v>530</v>
      </c>
      <c r="CC32" s="27" t="str">
        <f t="shared" si="60"/>
        <v>짝수</v>
      </c>
      <c r="CD32" s="28">
        <f t="shared" si="61"/>
        <v>25</v>
      </c>
      <c r="CF32" s="97">
        <v>28</v>
      </c>
      <c r="CG32" s="53">
        <v>40</v>
      </c>
      <c r="CH32" s="96">
        <f t="shared" si="17"/>
        <v>4</v>
      </c>
      <c r="CI32" s="77">
        <f t="shared" si="18"/>
        <v>5.5788005578800556E-3</v>
      </c>
      <c r="CJ32" s="53">
        <f t="shared" si="19"/>
        <v>28</v>
      </c>
      <c r="CL32" s="28">
        <v>86</v>
      </c>
      <c r="CM32" s="28">
        <v>80</v>
      </c>
      <c r="CO32"/>
    </row>
    <row r="33" spans="2:93" ht="16.5">
      <c r="B33" s="17">
        <v>29</v>
      </c>
      <c r="C33" s="363" t="s">
        <v>59</v>
      </c>
      <c r="D33" s="18">
        <v>5</v>
      </c>
      <c r="E33" s="20">
        <v>3552594000</v>
      </c>
      <c r="F33" s="18">
        <v>17</v>
      </c>
      <c r="G33" s="20">
        <v>174146700</v>
      </c>
      <c r="H33" s="18">
        <v>752</v>
      </c>
      <c r="I33" s="20">
        <v>3936800</v>
      </c>
      <c r="J33" s="20">
        <v>42347</v>
      </c>
      <c r="K33" s="20">
        <v>139800</v>
      </c>
      <c r="L33" s="20">
        <v>765661</v>
      </c>
      <c r="M33" s="20">
        <v>10000</v>
      </c>
      <c r="N33" s="167">
        <v>1</v>
      </c>
      <c r="O33" s="167">
        <v>5</v>
      </c>
      <c r="P33" s="167">
        <v>13</v>
      </c>
      <c r="Q33" s="167">
        <v>34</v>
      </c>
      <c r="R33" s="167">
        <v>39</v>
      </c>
      <c r="S33" s="167">
        <v>40</v>
      </c>
      <c r="T33" s="167">
        <v>11</v>
      </c>
      <c r="U33" s="28">
        <f t="shared" si="22"/>
        <v>132</v>
      </c>
      <c r="W33" s="66" t="str">
        <f t="shared" si="0"/>
        <v>홀수</v>
      </c>
      <c r="X33" s="66" t="str">
        <f t="shared" si="1"/>
        <v>홀수</v>
      </c>
      <c r="Y33" s="66" t="str">
        <f t="shared" si="2"/>
        <v>홀수</v>
      </c>
      <c r="Z33" s="66" t="str">
        <f t="shared" si="53"/>
        <v>짝수</v>
      </c>
      <c r="AA33" s="66" t="str">
        <f t="shared" si="54"/>
        <v>홀수</v>
      </c>
      <c r="AB33" s="66" t="str">
        <f t="shared" si="55"/>
        <v>짝수</v>
      </c>
      <c r="AC33" s="58" t="str">
        <f t="shared" si="56"/>
        <v>4 : 2</v>
      </c>
      <c r="AD33" s="66">
        <f t="shared" si="57"/>
        <v>4</v>
      </c>
      <c r="AE33" s="66">
        <f t="shared" si="58"/>
        <v>2</v>
      </c>
      <c r="AF33" s="66" t="str">
        <f t="shared" si="23"/>
        <v>저수</v>
      </c>
      <c r="AG33" s="66" t="str">
        <f t="shared" si="24"/>
        <v>저수</v>
      </c>
      <c r="AH33" s="66" t="str">
        <f t="shared" si="25"/>
        <v>저수</v>
      </c>
      <c r="AI33" s="66" t="str">
        <f t="shared" si="26"/>
        <v>고수</v>
      </c>
      <c r="AJ33" s="66" t="str">
        <f t="shared" si="27"/>
        <v>고수</v>
      </c>
      <c r="AK33" s="66" t="str">
        <f t="shared" si="28"/>
        <v>고수</v>
      </c>
      <c r="AL33" s="58" t="str">
        <f t="shared" si="29"/>
        <v>3 : 3</v>
      </c>
      <c r="AM33" s="66">
        <f t="shared" si="30"/>
        <v>3</v>
      </c>
      <c r="AN33" s="66">
        <f t="shared" si="31"/>
        <v>3</v>
      </c>
      <c r="AO33" s="66">
        <f t="shared" si="32"/>
        <v>22</v>
      </c>
      <c r="AP33" s="66" t="str">
        <f t="shared" si="33"/>
        <v>X</v>
      </c>
      <c r="AQ33" s="66" t="str">
        <f t="shared" si="34"/>
        <v>O</v>
      </c>
      <c r="AR33" s="66" t="str">
        <f t="shared" si="35"/>
        <v>O</v>
      </c>
      <c r="AS33" s="66" t="str">
        <f t="shared" si="36"/>
        <v>X</v>
      </c>
      <c r="AT33" s="66" t="str">
        <f t="shared" si="37"/>
        <v>X</v>
      </c>
      <c r="AU33" s="66" t="str">
        <f t="shared" si="38"/>
        <v>X</v>
      </c>
      <c r="AV33" s="66" t="str">
        <f t="shared" si="39"/>
        <v>X</v>
      </c>
      <c r="AW33" s="66" t="str">
        <f t="shared" si="40"/>
        <v>X</v>
      </c>
      <c r="AX33" s="66" t="str">
        <f t="shared" si="41"/>
        <v>X</v>
      </c>
      <c r="AY33" s="66" t="str">
        <f t="shared" si="42"/>
        <v>X</v>
      </c>
      <c r="AZ33" s="66" t="str">
        <f t="shared" si="43"/>
        <v>X</v>
      </c>
      <c r="BA33" s="66" t="str">
        <f t="shared" si="44"/>
        <v>X</v>
      </c>
      <c r="BB33" s="66">
        <f t="shared" si="45"/>
        <v>2</v>
      </c>
      <c r="BC33" s="127" t="str">
        <f t="shared" si="7"/>
        <v>1G</v>
      </c>
      <c r="BD33" s="127" t="str">
        <f t="shared" si="8"/>
        <v>1G</v>
      </c>
      <c r="BE33" s="127" t="str">
        <f t="shared" si="9"/>
        <v>1G</v>
      </c>
      <c r="BF33" s="127" t="str">
        <f t="shared" si="10"/>
        <v>3G</v>
      </c>
      <c r="BG33" s="127" t="str">
        <f t="shared" si="11"/>
        <v>3G</v>
      </c>
      <c r="BH33" s="127" t="str">
        <f t="shared" si="12"/>
        <v>3G</v>
      </c>
      <c r="BI33" s="127">
        <f t="shared" si="46"/>
        <v>3</v>
      </c>
      <c r="BJ33" s="127">
        <f t="shared" si="47"/>
        <v>0</v>
      </c>
      <c r="BK33" s="127">
        <f t="shared" si="48"/>
        <v>3</v>
      </c>
      <c r="BL33" s="127" t="str">
        <f t="shared" si="49"/>
        <v>303</v>
      </c>
      <c r="BO33" s="39">
        <v>18</v>
      </c>
      <c r="BP33" s="40">
        <f t="shared" si="13"/>
        <v>109</v>
      </c>
      <c r="BQ33" s="41">
        <f t="shared" si="14"/>
        <v>30</v>
      </c>
      <c r="BR33" s="73">
        <v>29</v>
      </c>
      <c r="BS33" s="29">
        <f t="shared" si="59"/>
        <v>32</v>
      </c>
      <c r="BT33" s="29">
        <f t="shared" si="50"/>
        <v>31</v>
      </c>
      <c r="BU33" s="57">
        <f t="shared" si="51"/>
        <v>63</v>
      </c>
      <c r="BV33" s="32" t="str">
        <f t="shared" si="52"/>
        <v>당첨</v>
      </c>
      <c r="BW33" s="127" t="s">
        <v>707</v>
      </c>
      <c r="BX33" s="153">
        <v>10</v>
      </c>
      <c r="BY33" s="30">
        <v>11</v>
      </c>
      <c r="BZ33" s="30">
        <v>11</v>
      </c>
      <c r="CA33" s="30">
        <v>22</v>
      </c>
      <c r="CB33" s="130" t="s">
        <v>530</v>
      </c>
      <c r="CC33" s="27" t="str">
        <f t="shared" si="60"/>
        <v>짝수</v>
      </c>
      <c r="CD33" s="28">
        <f t="shared" si="61"/>
        <v>30</v>
      </c>
      <c r="CF33" s="97">
        <v>29</v>
      </c>
      <c r="CG33" s="53">
        <v>11</v>
      </c>
      <c r="CH33" s="96">
        <f t="shared" si="17"/>
        <v>3</v>
      </c>
      <c r="CI33" s="77">
        <f t="shared" si="18"/>
        <v>4.1841004184100415E-3</v>
      </c>
      <c r="CJ33" s="53">
        <f t="shared" si="19"/>
        <v>29</v>
      </c>
      <c r="CL33" s="28">
        <v>86</v>
      </c>
      <c r="CM33" s="28">
        <v>80</v>
      </c>
      <c r="CO33"/>
    </row>
    <row r="34" spans="2:93" ht="16.5">
      <c r="B34" s="17">
        <v>30</v>
      </c>
      <c r="C34" s="363" t="s">
        <v>60</v>
      </c>
      <c r="D34" s="18">
        <v>2</v>
      </c>
      <c r="E34" s="20">
        <v>8728555500</v>
      </c>
      <c r="F34" s="18">
        <v>22</v>
      </c>
      <c r="G34" s="20">
        <v>132250800</v>
      </c>
      <c r="H34" s="18">
        <v>872</v>
      </c>
      <c r="I34" s="20">
        <v>3336600</v>
      </c>
      <c r="J34" s="20">
        <v>42319</v>
      </c>
      <c r="K34" s="20">
        <v>137500</v>
      </c>
      <c r="L34" s="20">
        <v>710466</v>
      </c>
      <c r="M34" s="20">
        <v>10000</v>
      </c>
      <c r="N34" s="167">
        <v>8</v>
      </c>
      <c r="O34" s="167">
        <v>17</v>
      </c>
      <c r="P34" s="167">
        <v>20</v>
      </c>
      <c r="Q34" s="167">
        <v>35</v>
      </c>
      <c r="R34" s="167">
        <v>36</v>
      </c>
      <c r="S34" s="167">
        <v>44</v>
      </c>
      <c r="T34" s="167">
        <v>4</v>
      </c>
      <c r="U34" s="28">
        <f t="shared" si="22"/>
        <v>160</v>
      </c>
      <c r="W34" s="66" t="str">
        <f t="shared" si="0"/>
        <v>짝수</v>
      </c>
      <c r="X34" s="66" t="str">
        <f t="shared" si="1"/>
        <v>홀수</v>
      </c>
      <c r="Y34" s="66" t="str">
        <f t="shared" si="2"/>
        <v>짝수</v>
      </c>
      <c r="Z34" s="66" t="str">
        <f t="shared" si="53"/>
        <v>홀수</v>
      </c>
      <c r="AA34" s="66" t="str">
        <f t="shared" si="54"/>
        <v>짝수</v>
      </c>
      <c r="AB34" s="66" t="str">
        <f t="shared" si="55"/>
        <v>짝수</v>
      </c>
      <c r="AC34" s="58" t="str">
        <f t="shared" si="56"/>
        <v>2 : 4</v>
      </c>
      <c r="AD34" s="66">
        <f t="shared" si="57"/>
        <v>2</v>
      </c>
      <c r="AE34" s="66">
        <f t="shared" si="58"/>
        <v>4</v>
      </c>
      <c r="AF34" s="66" t="str">
        <f t="shared" si="23"/>
        <v>저수</v>
      </c>
      <c r="AG34" s="66" t="str">
        <f t="shared" si="24"/>
        <v>저수</v>
      </c>
      <c r="AH34" s="66" t="str">
        <f t="shared" si="25"/>
        <v>저수</v>
      </c>
      <c r="AI34" s="66" t="str">
        <f t="shared" si="26"/>
        <v>고수</v>
      </c>
      <c r="AJ34" s="66" t="str">
        <f t="shared" si="27"/>
        <v>고수</v>
      </c>
      <c r="AK34" s="66" t="str">
        <f t="shared" si="28"/>
        <v>고수</v>
      </c>
      <c r="AL34" s="58" t="str">
        <f t="shared" si="29"/>
        <v>3 : 3</v>
      </c>
      <c r="AM34" s="66">
        <f t="shared" si="30"/>
        <v>3</v>
      </c>
      <c r="AN34" s="66">
        <f t="shared" si="31"/>
        <v>3</v>
      </c>
      <c r="AO34" s="66">
        <f t="shared" si="32"/>
        <v>30</v>
      </c>
      <c r="AP34" s="66" t="str">
        <f t="shared" si="33"/>
        <v>X</v>
      </c>
      <c r="AQ34" s="66" t="str">
        <f t="shared" si="34"/>
        <v>O</v>
      </c>
      <c r="AR34" s="66" t="str">
        <f t="shared" si="35"/>
        <v>X</v>
      </c>
      <c r="AS34" s="66" t="str">
        <f t="shared" si="36"/>
        <v>X</v>
      </c>
      <c r="AT34" s="66" t="str">
        <f t="shared" si="37"/>
        <v>X</v>
      </c>
      <c r="AU34" s="66" t="str">
        <f t="shared" si="38"/>
        <v>X</v>
      </c>
      <c r="AV34" s="66" t="str">
        <f t="shared" si="39"/>
        <v>X</v>
      </c>
      <c r="AW34" s="66" t="str">
        <f t="shared" si="40"/>
        <v>X</v>
      </c>
      <c r="AX34" s="66" t="str">
        <f t="shared" si="41"/>
        <v>X</v>
      </c>
      <c r="AY34" s="66" t="str">
        <f t="shared" si="42"/>
        <v>X</v>
      </c>
      <c r="AZ34" s="66" t="str">
        <f t="shared" si="43"/>
        <v>X</v>
      </c>
      <c r="BA34" s="66" t="str">
        <f t="shared" si="44"/>
        <v>X</v>
      </c>
      <c r="BB34" s="66">
        <f t="shared" si="45"/>
        <v>1</v>
      </c>
      <c r="BC34" s="127" t="str">
        <f t="shared" si="7"/>
        <v>1G</v>
      </c>
      <c r="BD34" s="127" t="str">
        <f t="shared" si="8"/>
        <v>2G</v>
      </c>
      <c r="BE34" s="127" t="str">
        <f t="shared" si="9"/>
        <v>2G</v>
      </c>
      <c r="BF34" s="127" t="str">
        <f t="shared" si="10"/>
        <v>3G</v>
      </c>
      <c r="BG34" s="127" t="str">
        <f t="shared" si="11"/>
        <v>3G</v>
      </c>
      <c r="BH34" s="127" t="str">
        <f t="shared" si="12"/>
        <v>3G</v>
      </c>
      <c r="BI34" s="127">
        <f t="shared" si="46"/>
        <v>1</v>
      </c>
      <c r="BJ34" s="127">
        <f t="shared" si="47"/>
        <v>2</v>
      </c>
      <c r="BK34" s="127">
        <f t="shared" si="48"/>
        <v>3</v>
      </c>
      <c r="BL34" s="127" t="str">
        <f t="shared" si="49"/>
        <v>123</v>
      </c>
      <c r="BO34" s="45">
        <v>38</v>
      </c>
      <c r="BP34" s="46">
        <f t="shared" si="13"/>
        <v>108</v>
      </c>
      <c r="BQ34" s="47">
        <f t="shared" si="14"/>
        <v>33</v>
      </c>
      <c r="BR34" s="73">
        <v>30</v>
      </c>
      <c r="BS34" s="29">
        <f t="shared" si="59"/>
        <v>30</v>
      </c>
      <c r="BT34" s="29">
        <f t="shared" si="50"/>
        <v>29</v>
      </c>
      <c r="BU34" s="57">
        <f t="shared" si="51"/>
        <v>59</v>
      </c>
      <c r="BV34" s="32" t="str">
        <f t="shared" si="52"/>
        <v>당첨</v>
      </c>
      <c r="BW34" s="127" t="s">
        <v>707</v>
      </c>
      <c r="BX34" s="153">
        <v>39</v>
      </c>
      <c r="BY34" s="30">
        <v>11</v>
      </c>
      <c r="BZ34" s="30">
        <v>11</v>
      </c>
      <c r="CA34" s="30">
        <v>22</v>
      </c>
      <c r="CB34" s="130" t="s">
        <v>530</v>
      </c>
      <c r="CC34" s="27" t="str">
        <f t="shared" si="60"/>
        <v>홀수</v>
      </c>
      <c r="CD34" s="28">
        <f t="shared" si="61"/>
        <v>30</v>
      </c>
      <c r="CF34" s="97">
        <v>30</v>
      </c>
      <c r="CG34" s="53">
        <v>42</v>
      </c>
      <c r="CH34" s="96">
        <f t="shared" si="17"/>
        <v>6</v>
      </c>
      <c r="CI34" s="77">
        <f t="shared" si="18"/>
        <v>8.368200836820083E-3</v>
      </c>
      <c r="CJ34" s="53">
        <f t="shared" si="19"/>
        <v>26</v>
      </c>
      <c r="CL34" s="28">
        <v>87</v>
      </c>
      <c r="CM34" s="28">
        <v>80</v>
      </c>
      <c r="CO34"/>
    </row>
    <row r="35" spans="2:93" ht="16.5">
      <c r="B35" s="17">
        <v>31</v>
      </c>
      <c r="C35" s="363" t="s">
        <v>61</v>
      </c>
      <c r="D35" s="18">
        <v>2</v>
      </c>
      <c r="E35" s="20">
        <v>8106672900</v>
      </c>
      <c r="F35" s="18">
        <v>29</v>
      </c>
      <c r="G35" s="20">
        <v>93180100</v>
      </c>
      <c r="H35" s="20">
        <v>1130</v>
      </c>
      <c r="I35" s="20">
        <v>2391300</v>
      </c>
      <c r="J35" s="20">
        <v>58406</v>
      </c>
      <c r="K35" s="20">
        <v>92500</v>
      </c>
      <c r="L35" s="20">
        <v>863641</v>
      </c>
      <c r="M35" s="20">
        <v>10000</v>
      </c>
      <c r="N35" s="167">
        <v>7</v>
      </c>
      <c r="O35" s="167">
        <v>9</v>
      </c>
      <c r="P35" s="167">
        <v>18</v>
      </c>
      <c r="Q35" s="167">
        <v>23</v>
      </c>
      <c r="R35" s="167">
        <v>28</v>
      </c>
      <c r="S35" s="167">
        <v>35</v>
      </c>
      <c r="T35" s="167">
        <v>32</v>
      </c>
      <c r="U35" s="28">
        <f t="shared" si="22"/>
        <v>120</v>
      </c>
      <c r="W35" s="66" t="str">
        <f t="shared" si="0"/>
        <v>홀수</v>
      </c>
      <c r="X35" s="66" t="str">
        <f t="shared" si="1"/>
        <v>홀수</v>
      </c>
      <c r="Y35" s="66" t="str">
        <f t="shared" si="2"/>
        <v>짝수</v>
      </c>
      <c r="Z35" s="66" t="str">
        <f t="shared" si="53"/>
        <v>홀수</v>
      </c>
      <c r="AA35" s="66" t="str">
        <f t="shared" si="54"/>
        <v>짝수</v>
      </c>
      <c r="AB35" s="66" t="str">
        <f t="shared" si="55"/>
        <v>홀수</v>
      </c>
      <c r="AC35" s="58" t="str">
        <f t="shared" si="56"/>
        <v>4 : 2</v>
      </c>
      <c r="AD35" s="66">
        <f t="shared" si="57"/>
        <v>4</v>
      </c>
      <c r="AE35" s="66">
        <f t="shared" si="58"/>
        <v>2</v>
      </c>
      <c r="AF35" s="66" t="str">
        <f t="shared" si="23"/>
        <v>저수</v>
      </c>
      <c r="AG35" s="66" t="str">
        <f t="shared" si="24"/>
        <v>저수</v>
      </c>
      <c r="AH35" s="66" t="str">
        <f t="shared" si="25"/>
        <v>저수</v>
      </c>
      <c r="AI35" s="66" t="str">
        <f t="shared" si="26"/>
        <v>고수</v>
      </c>
      <c r="AJ35" s="66" t="str">
        <f t="shared" si="27"/>
        <v>고수</v>
      </c>
      <c r="AK35" s="66" t="str">
        <f t="shared" si="28"/>
        <v>고수</v>
      </c>
      <c r="AL35" s="58" t="str">
        <f t="shared" si="29"/>
        <v>3 : 3</v>
      </c>
      <c r="AM35" s="66">
        <f t="shared" si="30"/>
        <v>3</v>
      </c>
      <c r="AN35" s="66">
        <f t="shared" si="31"/>
        <v>3</v>
      </c>
      <c r="AO35" s="66">
        <f t="shared" si="32"/>
        <v>40</v>
      </c>
      <c r="AP35" s="66" t="str">
        <f t="shared" si="33"/>
        <v>O</v>
      </c>
      <c r="AQ35" s="66" t="str">
        <f t="shared" si="34"/>
        <v>X</v>
      </c>
      <c r="AR35" s="66" t="str">
        <f t="shared" si="35"/>
        <v>X</v>
      </c>
      <c r="AS35" s="66" t="str">
        <f t="shared" si="36"/>
        <v>X</v>
      </c>
      <c r="AT35" s="66" t="str">
        <f t="shared" si="37"/>
        <v>X</v>
      </c>
      <c r="AU35" s="66" t="str">
        <f t="shared" si="38"/>
        <v>X</v>
      </c>
      <c r="AV35" s="66" t="str">
        <f t="shared" si="39"/>
        <v>X</v>
      </c>
      <c r="AW35" s="66" t="str">
        <f t="shared" si="40"/>
        <v>X</v>
      </c>
      <c r="AX35" s="66" t="str">
        <f t="shared" si="41"/>
        <v>X</v>
      </c>
      <c r="AY35" s="66" t="str">
        <f t="shared" si="42"/>
        <v>O</v>
      </c>
      <c r="AZ35" s="66" t="str">
        <f t="shared" si="43"/>
        <v>X</v>
      </c>
      <c r="BA35" s="66" t="str">
        <f t="shared" si="44"/>
        <v>X</v>
      </c>
      <c r="BB35" s="66">
        <f t="shared" si="45"/>
        <v>2</v>
      </c>
      <c r="BC35" s="127" t="str">
        <f t="shared" si="7"/>
        <v>1G</v>
      </c>
      <c r="BD35" s="127" t="str">
        <f t="shared" si="8"/>
        <v>1G</v>
      </c>
      <c r="BE35" s="127" t="str">
        <f t="shared" si="9"/>
        <v>2G</v>
      </c>
      <c r="BF35" s="127" t="str">
        <f t="shared" si="10"/>
        <v>2G</v>
      </c>
      <c r="BG35" s="127" t="str">
        <f t="shared" si="11"/>
        <v>2G</v>
      </c>
      <c r="BH35" s="127" t="str">
        <f t="shared" si="12"/>
        <v>3G</v>
      </c>
      <c r="BI35" s="127">
        <f t="shared" si="46"/>
        <v>2</v>
      </c>
      <c r="BJ35" s="127">
        <f t="shared" si="47"/>
        <v>3</v>
      </c>
      <c r="BK35" s="127">
        <f t="shared" si="48"/>
        <v>1</v>
      </c>
      <c r="BL35" s="127" t="str">
        <f t="shared" si="49"/>
        <v>231</v>
      </c>
      <c r="BO35" s="42">
        <v>10</v>
      </c>
      <c r="BP35" s="43">
        <f t="shared" si="13"/>
        <v>111</v>
      </c>
      <c r="BQ35" s="44">
        <f t="shared" si="14"/>
        <v>24</v>
      </c>
      <c r="BR35" s="146">
        <v>31</v>
      </c>
      <c r="BS35" s="29">
        <f t="shared" si="59"/>
        <v>39</v>
      </c>
      <c r="BT35" s="29">
        <f t="shared" si="50"/>
        <v>38</v>
      </c>
      <c r="BU35" s="57">
        <f t="shared" si="51"/>
        <v>77</v>
      </c>
      <c r="BV35" s="32" t="str">
        <f t="shared" si="52"/>
        <v>당첨</v>
      </c>
      <c r="BW35" s="127" t="s">
        <v>708</v>
      </c>
      <c r="BX35" s="338">
        <v>38</v>
      </c>
      <c r="BY35" s="30">
        <v>11</v>
      </c>
      <c r="BZ35" s="30">
        <v>9</v>
      </c>
      <c r="CA35" s="30">
        <v>20</v>
      </c>
      <c r="CB35" s="130" t="s">
        <v>530</v>
      </c>
      <c r="CC35" s="27" t="str">
        <f t="shared" si="60"/>
        <v>짝수</v>
      </c>
      <c r="CD35" s="28">
        <f t="shared" si="61"/>
        <v>30</v>
      </c>
      <c r="CF35" s="97">
        <v>31</v>
      </c>
      <c r="CG35" s="53">
        <v>9</v>
      </c>
      <c r="CH35" s="96">
        <f t="shared" si="17"/>
        <v>1</v>
      </c>
      <c r="CI35" s="77">
        <f t="shared" si="18"/>
        <v>1.3947001394700139E-3</v>
      </c>
      <c r="CJ35" s="53">
        <f t="shared" si="19"/>
        <v>32</v>
      </c>
      <c r="CL35" s="28">
        <v>87</v>
      </c>
      <c r="CM35" s="28">
        <v>80</v>
      </c>
      <c r="CO35"/>
    </row>
    <row r="36" spans="2:93" ht="16.5">
      <c r="B36" s="17">
        <v>32</v>
      </c>
      <c r="C36" s="363" t="s">
        <v>62</v>
      </c>
      <c r="D36" s="18">
        <v>10</v>
      </c>
      <c r="E36" s="20">
        <v>1634528300</v>
      </c>
      <c r="F36" s="18">
        <v>49</v>
      </c>
      <c r="G36" s="20">
        <v>55596200</v>
      </c>
      <c r="H36" s="20">
        <v>1203</v>
      </c>
      <c r="I36" s="20">
        <v>2264500</v>
      </c>
      <c r="J36" s="20">
        <v>52704</v>
      </c>
      <c r="K36" s="20">
        <v>103300</v>
      </c>
      <c r="L36" s="20">
        <v>834746</v>
      </c>
      <c r="M36" s="20">
        <v>10000</v>
      </c>
      <c r="N36" s="167">
        <v>6</v>
      </c>
      <c r="O36" s="167">
        <v>14</v>
      </c>
      <c r="P36" s="167">
        <v>19</v>
      </c>
      <c r="Q36" s="167">
        <v>25</v>
      </c>
      <c r="R36" s="167">
        <v>34</v>
      </c>
      <c r="S36" s="167">
        <v>44</v>
      </c>
      <c r="T36" s="167">
        <v>11</v>
      </c>
      <c r="U36" s="28">
        <f t="shared" si="22"/>
        <v>142</v>
      </c>
      <c r="W36" s="66" t="str">
        <f t="shared" si="0"/>
        <v>짝수</v>
      </c>
      <c r="X36" s="66" t="str">
        <f t="shared" si="1"/>
        <v>짝수</v>
      </c>
      <c r="Y36" s="66" t="str">
        <f t="shared" si="2"/>
        <v>홀수</v>
      </c>
      <c r="Z36" s="66" t="str">
        <f t="shared" si="53"/>
        <v>홀수</v>
      </c>
      <c r="AA36" s="66" t="str">
        <f t="shared" si="54"/>
        <v>짝수</v>
      </c>
      <c r="AB36" s="66" t="str">
        <f t="shared" si="55"/>
        <v>짝수</v>
      </c>
      <c r="AC36" s="58" t="str">
        <f t="shared" si="56"/>
        <v>2 : 4</v>
      </c>
      <c r="AD36" s="66">
        <f t="shared" si="57"/>
        <v>2</v>
      </c>
      <c r="AE36" s="66">
        <f t="shared" si="58"/>
        <v>4</v>
      </c>
      <c r="AF36" s="66" t="str">
        <f t="shared" si="23"/>
        <v>저수</v>
      </c>
      <c r="AG36" s="66" t="str">
        <f t="shared" si="24"/>
        <v>저수</v>
      </c>
      <c r="AH36" s="66" t="str">
        <f t="shared" si="25"/>
        <v>저수</v>
      </c>
      <c r="AI36" s="66" t="str">
        <f t="shared" si="26"/>
        <v>고수</v>
      </c>
      <c r="AJ36" s="66" t="str">
        <f t="shared" si="27"/>
        <v>고수</v>
      </c>
      <c r="AK36" s="66" t="str">
        <f t="shared" si="28"/>
        <v>고수</v>
      </c>
      <c r="AL36" s="58" t="str">
        <f t="shared" si="29"/>
        <v>3 : 3</v>
      </c>
      <c r="AM36" s="66">
        <f t="shared" si="30"/>
        <v>3</v>
      </c>
      <c r="AN36" s="66">
        <f t="shared" si="31"/>
        <v>3</v>
      </c>
      <c r="AO36" s="66">
        <f t="shared" si="32"/>
        <v>32</v>
      </c>
      <c r="AP36" s="66" t="str">
        <f t="shared" si="33"/>
        <v>X</v>
      </c>
      <c r="AQ36" s="66" t="str">
        <f t="shared" si="34"/>
        <v>X</v>
      </c>
      <c r="AR36" s="66" t="str">
        <f t="shared" si="35"/>
        <v>O</v>
      </c>
      <c r="AS36" s="66" t="str">
        <f t="shared" si="36"/>
        <v>X</v>
      </c>
      <c r="AT36" s="66" t="str">
        <f t="shared" si="37"/>
        <v>X</v>
      </c>
      <c r="AU36" s="66" t="str">
        <f t="shared" si="38"/>
        <v>X</v>
      </c>
      <c r="AV36" s="66" t="str">
        <f t="shared" si="39"/>
        <v>X</v>
      </c>
      <c r="AW36" s="66" t="str">
        <f t="shared" si="40"/>
        <v>X</v>
      </c>
      <c r="AX36" s="66" t="str">
        <f t="shared" si="41"/>
        <v>X</v>
      </c>
      <c r="AY36" s="66" t="str">
        <f t="shared" si="42"/>
        <v>X</v>
      </c>
      <c r="AZ36" s="66" t="str">
        <f t="shared" si="43"/>
        <v>X</v>
      </c>
      <c r="BA36" s="66" t="str">
        <f t="shared" si="44"/>
        <v>X</v>
      </c>
      <c r="BB36" s="66">
        <f t="shared" si="45"/>
        <v>1</v>
      </c>
      <c r="BC36" s="127" t="str">
        <f t="shared" si="7"/>
        <v>1G</v>
      </c>
      <c r="BD36" s="127" t="str">
        <f t="shared" si="8"/>
        <v>1G</v>
      </c>
      <c r="BE36" s="127" t="str">
        <f t="shared" si="9"/>
        <v>2G</v>
      </c>
      <c r="BF36" s="127" t="str">
        <f t="shared" si="10"/>
        <v>2G</v>
      </c>
      <c r="BG36" s="127" t="str">
        <f t="shared" si="11"/>
        <v>3G</v>
      </c>
      <c r="BH36" s="127" t="str">
        <f t="shared" si="12"/>
        <v>3G</v>
      </c>
      <c r="BI36" s="127">
        <f t="shared" si="46"/>
        <v>2</v>
      </c>
      <c r="BJ36" s="127">
        <f t="shared" si="47"/>
        <v>2</v>
      </c>
      <c r="BK36" s="127">
        <f t="shared" si="48"/>
        <v>2</v>
      </c>
      <c r="BL36" s="127" t="str">
        <f t="shared" si="49"/>
        <v>222</v>
      </c>
      <c r="BO36" s="42">
        <v>16</v>
      </c>
      <c r="BP36" s="43">
        <f t="shared" si="13"/>
        <v>106</v>
      </c>
      <c r="BQ36" s="44">
        <f t="shared" si="14"/>
        <v>34</v>
      </c>
      <c r="BR36" s="146">
        <v>32</v>
      </c>
      <c r="BS36" s="29">
        <f t="shared" si="59"/>
        <v>33</v>
      </c>
      <c r="BT36" s="29">
        <f t="shared" si="50"/>
        <v>33</v>
      </c>
      <c r="BU36" s="57">
        <f t="shared" si="51"/>
        <v>66</v>
      </c>
      <c r="BV36" s="32" t="str">
        <f t="shared" si="52"/>
        <v>당첨</v>
      </c>
      <c r="BW36" s="127" t="s">
        <v>708</v>
      </c>
      <c r="BX36" s="147">
        <v>33</v>
      </c>
      <c r="BY36" s="30">
        <v>8</v>
      </c>
      <c r="BZ36" s="30">
        <v>8</v>
      </c>
      <c r="CA36" s="30">
        <v>16</v>
      </c>
      <c r="CB36" s="130" t="s">
        <v>530</v>
      </c>
      <c r="CC36" s="27" t="str">
        <f>IF(RIGHT(BX39,1)="1","홀수",IF(RIGHT(BX39,1)="3","홀수",IF(RIGHT(BX39,1)="5","홀수",IF(RIGHT(BX39,1)="7","홀수",IF(RIGHT(BX39,1)="9","홀수","짝수")))))</f>
        <v>짝수</v>
      </c>
      <c r="CD36" s="28">
        <f>IF(CB36="당첨",RANK(BY39,$BY$5:$BY$49),"")</f>
        <v>33</v>
      </c>
      <c r="CF36" s="97">
        <v>32</v>
      </c>
      <c r="CG36" s="53">
        <v>41</v>
      </c>
      <c r="CH36" s="96">
        <f t="shared" si="17"/>
        <v>3</v>
      </c>
      <c r="CI36" s="77">
        <f t="shared" si="18"/>
        <v>4.1841004184100415E-3</v>
      </c>
      <c r="CJ36" s="53">
        <f t="shared" si="19"/>
        <v>29</v>
      </c>
      <c r="CL36" s="28">
        <v>87</v>
      </c>
      <c r="CM36" s="28">
        <v>80</v>
      </c>
      <c r="CO36"/>
    </row>
    <row r="37" spans="2:93" ht="16.5">
      <c r="B37" s="17">
        <v>33</v>
      </c>
      <c r="C37" s="363" t="s">
        <v>63</v>
      </c>
      <c r="D37" s="18">
        <v>1</v>
      </c>
      <c r="E37" s="20">
        <v>14903517600</v>
      </c>
      <c r="F37" s="18">
        <v>41</v>
      </c>
      <c r="G37" s="20">
        <v>60583400</v>
      </c>
      <c r="H37" s="20">
        <v>1063</v>
      </c>
      <c r="I37" s="20">
        <v>2336700</v>
      </c>
      <c r="J37" s="20">
        <v>52142</v>
      </c>
      <c r="K37" s="20">
        <v>95200</v>
      </c>
      <c r="L37" s="20">
        <v>888943</v>
      </c>
      <c r="M37" s="20">
        <v>10000</v>
      </c>
      <c r="N37" s="167">
        <v>4</v>
      </c>
      <c r="O37" s="167">
        <v>7</v>
      </c>
      <c r="P37" s="167">
        <v>32</v>
      </c>
      <c r="Q37" s="167">
        <v>33</v>
      </c>
      <c r="R37" s="167">
        <v>40</v>
      </c>
      <c r="S37" s="167">
        <v>41</v>
      </c>
      <c r="T37" s="167">
        <v>9</v>
      </c>
      <c r="U37" s="28">
        <f t="shared" si="22"/>
        <v>157</v>
      </c>
      <c r="W37" s="66" t="str">
        <f t="shared" si="0"/>
        <v>짝수</v>
      </c>
      <c r="X37" s="66" t="str">
        <f t="shared" si="1"/>
        <v>홀수</v>
      </c>
      <c r="Y37" s="66" t="str">
        <f t="shared" si="2"/>
        <v>짝수</v>
      </c>
      <c r="Z37" s="66" t="str">
        <f t="shared" si="53"/>
        <v>홀수</v>
      </c>
      <c r="AA37" s="66" t="str">
        <f t="shared" si="54"/>
        <v>짝수</v>
      </c>
      <c r="AB37" s="66" t="str">
        <f t="shared" si="55"/>
        <v>홀수</v>
      </c>
      <c r="AC37" s="58" t="str">
        <f t="shared" si="56"/>
        <v>3 : 3</v>
      </c>
      <c r="AD37" s="66">
        <f t="shared" si="57"/>
        <v>3</v>
      </c>
      <c r="AE37" s="66">
        <f t="shared" si="58"/>
        <v>3</v>
      </c>
      <c r="AF37" s="66" t="str">
        <f t="shared" si="23"/>
        <v>저수</v>
      </c>
      <c r="AG37" s="66" t="str">
        <f t="shared" si="24"/>
        <v>저수</v>
      </c>
      <c r="AH37" s="66" t="str">
        <f t="shared" si="25"/>
        <v>고수</v>
      </c>
      <c r="AI37" s="66" t="str">
        <f t="shared" si="26"/>
        <v>고수</v>
      </c>
      <c r="AJ37" s="66" t="str">
        <f t="shared" si="27"/>
        <v>고수</v>
      </c>
      <c r="AK37" s="66" t="str">
        <f t="shared" si="28"/>
        <v>고수</v>
      </c>
      <c r="AL37" s="58" t="str">
        <f t="shared" si="29"/>
        <v>2 : 4</v>
      </c>
      <c r="AM37" s="66">
        <f t="shared" si="30"/>
        <v>2</v>
      </c>
      <c r="AN37" s="66">
        <f t="shared" si="31"/>
        <v>4</v>
      </c>
      <c r="AO37" s="66">
        <f t="shared" si="32"/>
        <v>17</v>
      </c>
      <c r="AP37" s="66" t="str">
        <f t="shared" si="33"/>
        <v>X</v>
      </c>
      <c r="AQ37" s="66" t="str">
        <f t="shared" si="34"/>
        <v>O</v>
      </c>
      <c r="AR37" s="66" t="str">
        <f t="shared" si="35"/>
        <v>X</v>
      </c>
      <c r="AS37" s="66" t="str">
        <f t="shared" si="36"/>
        <v>X</v>
      </c>
      <c r="AT37" s="66" t="str">
        <f t="shared" si="37"/>
        <v>X</v>
      </c>
      <c r="AU37" s="66" t="str">
        <f t="shared" si="38"/>
        <v>X</v>
      </c>
      <c r="AV37" s="66" t="str">
        <f t="shared" si="39"/>
        <v>X</v>
      </c>
      <c r="AW37" s="66" t="str">
        <f t="shared" si="40"/>
        <v>X</v>
      </c>
      <c r="AX37" s="66" t="str">
        <f t="shared" si="41"/>
        <v>X</v>
      </c>
      <c r="AY37" s="66" t="str">
        <f t="shared" si="42"/>
        <v>X</v>
      </c>
      <c r="AZ37" s="66" t="str">
        <f t="shared" si="43"/>
        <v>X</v>
      </c>
      <c r="BA37" s="66" t="str">
        <f t="shared" si="44"/>
        <v>O</v>
      </c>
      <c r="BB37" s="66">
        <f t="shared" si="45"/>
        <v>2</v>
      </c>
      <c r="BC37" s="127" t="str">
        <f t="shared" si="7"/>
        <v>1G</v>
      </c>
      <c r="BD37" s="127" t="str">
        <f t="shared" si="8"/>
        <v>1G</v>
      </c>
      <c r="BE37" s="127" t="str">
        <f t="shared" si="9"/>
        <v>3G</v>
      </c>
      <c r="BF37" s="127" t="str">
        <f t="shared" si="10"/>
        <v>3G</v>
      </c>
      <c r="BG37" s="127" t="str">
        <f t="shared" si="11"/>
        <v>3G</v>
      </c>
      <c r="BH37" s="127" t="str">
        <f t="shared" si="12"/>
        <v>3G</v>
      </c>
      <c r="BI37" s="127">
        <f t="shared" si="46"/>
        <v>2</v>
      </c>
      <c r="BJ37" s="127">
        <f t="shared" si="47"/>
        <v>0</v>
      </c>
      <c r="BK37" s="127">
        <f t="shared" si="48"/>
        <v>4</v>
      </c>
      <c r="BL37" s="127" t="str">
        <f t="shared" si="49"/>
        <v>204</v>
      </c>
      <c r="BO37" s="36">
        <v>45</v>
      </c>
      <c r="BP37" s="37">
        <f t="shared" si="13"/>
        <v>110</v>
      </c>
      <c r="BQ37" s="38">
        <f t="shared" si="14"/>
        <v>26</v>
      </c>
      <c r="BR37" s="146">
        <v>33</v>
      </c>
      <c r="BS37" s="29">
        <f t="shared" si="59"/>
        <v>43</v>
      </c>
      <c r="BT37" s="29">
        <f t="shared" si="50"/>
        <v>43</v>
      </c>
      <c r="BU37" s="57">
        <f t="shared" si="51"/>
        <v>86</v>
      </c>
      <c r="BV37" s="32" t="str">
        <f t="shared" si="52"/>
        <v>당첨</v>
      </c>
      <c r="BW37" s="127" t="s">
        <v>708</v>
      </c>
      <c r="BX37" s="147">
        <v>3</v>
      </c>
      <c r="BY37" s="30">
        <v>10</v>
      </c>
      <c r="BZ37" s="30">
        <v>10</v>
      </c>
      <c r="CA37" s="30">
        <v>20</v>
      </c>
      <c r="CB37" s="130" t="s">
        <v>530</v>
      </c>
      <c r="CC37" s="27" t="str">
        <f t="shared" ref="CC37:CC43" si="62">IF(RIGHT(BX37,1)="1","홀수",IF(RIGHT(BX37,1)="3","홀수",IF(RIGHT(BX37,1)="5","홀수",IF(RIGHT(BX37,1)="7","홀수",IF(RIGHT(BX37,1)="9","홀수","짝수")))))</f>
        <v>홀수</v>
      </c>
      <c r="CD37" s="28">
        <f t="shared" ref="CD37:CD43" si="63">IF(CB37="당첨",RANK(BY37,$BY$5:$BY$49),"")</f>
        <v>33</v>
      </c>
      <c r="CF37" s="97">
        <v>33</v>
      </c>
      <c r="CG37" s="53">
        <v>43</v>
      </c>
      <c r="CH37" s="96">
        <f t="shared" si="17"/>
        <v>1</v>
      </c>
      <c r="CI37" s="77">
        <f t="shared" si="18"/>
        <v>1.3947001394700139E-3</v>
      </c>
      <c r="CJ37" s="53">
        <f t="shared" si="19"/>
        <v>32</v>
      </c>
      <c r="CL37" s="28">
        <v>88</v>
      </c>
      <c r="CM37" s="28">
        <v>80</v>
      </c>
      <c r="CO37"/>
    </row>
    <row r="38" spans="2:93" ht="16.5">
      <c r="B38" s="17">
        <v>34</v>
      </c>
      <c r="C38" s="363" t="s">
        <v>64</v>
      </c>
      <c r="D38" s="18">
        <v>5</v>
      </c>
      <c r="E38" s="20">
        <v>3056918000</v>
      </c>
      <c r="F38" s="18">
        <v>45</v>
      </c>
      <c r="G38" s="20">
        <v>56609500</v>
      </c>
      <c r="H38" s="20">
        <v>1264</v>
      </c>
      <c r="I38" s="20">
        <v>2015300</v>
      </c>
      <c r="J38" s="20">
        <v>68519</v>
      </c>
      <c r="K38" s="20">
        <v>74300</v>
      </c>
      <c r="L38" s="20">
        <v>922063</v>
      </c>
      <c r="M38" s="20">
        <v>10000</v>
      </c>
      <c r="N38" s="167">
        <v>9</v>
      </c>
      <c r="O38" s="167">
        <v>26</v>
      </c>
      <c r="P38" s="167">
        <v>35</v>
      </c>
      <c r="Q38" s="167">
        <v>37</v>
      </c>
      <c r="R38" s="167">
        <v>40</v>
      </c>
      <c r="S38" s="167">
        <v>42</v>
      </c>
      <c r="T38" s="167">
        <v>2</v>
      </c>
      <c r="U38" s="28">
        <f t="shared" si="22"/>
        <v>189</v>
      </c>
      <c r="W38" s="66" t="str">
        <f t="shared" si="0"/>
        <v>홀수</v>
      </c>
      <c r="X38" s="66" t="str">
        <f t="shared" si="1"/>
        <v>짝수</v>
      </c>
      <c r="Y38" s="66" t="str">
        <f t="shared" si="2"/>
        <v>홀수</v>
      </c>
      <c r="Z38" s="66" t="str">
        <f t="shared" si="53"/>
        <v>홀수</v>
      </c>
      <c r="AA38" s="66" t="str">
        <f t="shared" si="54"/>
        <v>짝수</v>
      </c>
      <c r="AB38" s="66" t="str">
        <f t="shared" si="55"/>
        <v>짝수</v>
      </c>
      <c r="AC38" s="58" t="str">
        <f t="shared" si="56"/>
        <v>3 : 3</v>
      </c>
      <c r="AD38" s="66">
        <f t="shared" si="57"/>
        <v>3</v>
      </c>
      <c r="AE38" s="66">
        <f t="shared" si="58"/>
        <v>3</v>
      </c>
      <c r="AF38" s="66" t="str">
        <f t="shared" si="23"/>
        <v>저수</v>
      </c>
      <c r="AG38" s="66" t="str">
        <f t="shared" si="24"/>
        <v>고수</v>
      </c>
      <c r="AH38" s="66" t="str">
        <f t="shared" si="25"/>
        <v>고수</v>
      </c>
      <c r="AI38" s="66" t="str">
        <f t="shared" si="26"/>
        <v>고수</v>
      </c>
      <c r="AJ38" s="66" t="str">
        <f t="shared" si="27"/>
        <v>고수</v>
      </c>
      <c r="AK38" s="66" t="str">
        <f t="shared" si="28"/>
        <v>고수</v>
      </c>
      <c r="AL38" s="58" t="str">
        <f t="shared" si="29"/>
        <v>1 : 5</v>
      </c>
      <c r="AM38" s="66">
        <f t="shared" si="30"/>
        <v>1</v>
      </c>
      <c r="AN38" s="66">
        <f t="shared" si="31"/>
        <v>5</v>
      </c>
      <c r="AO38" s="66">
        <f t="shared" si="32"/>
        <v>29</v>
      </c>
      <c r="AP38" s="66" t="str">
        <f t="shared" si="33"/>
        <v>X</v>
      </c>
      <c r="AQ38" s="66" t="str">
        <f t="shared" si="34"/>
        <v>X</v>
      </c>
      <c r="AR38" s="66" t="str">
        <f t="shared" si="35"/>
        <v>X</v>
      </c>
      <c r="AS38" s="66" t="str">
        <f t="shared" si="36"/>
        <v>X</v>
      </c>
      <c r="AT38" s="66" t="str">
        <f t="shared" si="37"/>
        <v>X</v>
      </c>
      <c r="AU38" s="66" t="str">
        <f t="shared" si="38"/>
        <v>X</v>
      </c>
      <c r="AV38" s="66" t="str">
        <f t="shared" si="39"/>
        <v>X</v>
      </c>
      <c r="AW38" s="66" t="str">
        <f t="shared" si="40"/>
        <v>X</v>
      </c>
      <c r="AX38" s="66" t="str">
        <f t="shared" si="41"/>
        <v>X</v>
      </c>
      <c r="AY38" s="66" t="str">
        <f t="shared" si="42"/>
        <v>O</v>
      </c>
      <c r="AZ38" s="66" t="str">
        <f t="shared" si="43"/>
        <v>X</v>
      </c>
      <c r="BA38" s="66" t="str">
        <f t="shared" si="44"/>
        <v>X</v>
      </c>
      <c r="BB38" s="66">
        <f t="shared" si="45"/>
        <v>1</v>
      </c>
      <c r="BC38" s="127" t="str">
        <f t="shared" si="7"/>
        <v>1G</v>
      </c>
      <c r="BD38" s="127" t="str">
        <f t="shared" si="8"/>
        <v>2G</v>
      </c>
      <c r="BE38" s="127" t="str">
        <f t="shared" si="9"/>
        <v>3G</v>
      </c>
      <c r="BF38" s="127" t="str">
        <f t="shared" si="10"/>
        <v>3G</v>
      </c>
      <c r="BG38" s="127" t="str">
        <f t="shared" si="11"/>
        <v>3G</v>
      </c>
      <c r="BH38" s="127" t="str">
        <f t="shared" si="12"/>
        <v>3G</v>
      </c>
      <c r="BI38" s="127">
        <f t="shared" si="46"/>
        <v>1</v>
      </c>
      <c r="BJ38" s="127">
        <f t="shared" si="47"/>
        <v>1</v>
      </c>
      <c r="BK38" s="127">
        <f t="shared" si="48"/>
        <v>4</v>
      </c>
      <c r="BL38" s="127" t="str">
        <f t="shared" si="49"/>
        <v>114</v>
      </c>
      <c r="BO38" s="39">
        <v>36</v>
      </c>
      <c r="BP38" s="40">
        <f t="shared" si="13"/>
        <v>104</v>
      </c>
      <c r="BQ38" s="41">
        <f t="shared" si="14"/>
        <v>36</v>
      </c>
      <c r="BR38" s="146">
        <v>34</v>
      </c>
      <c r="BS38" s="29">
        <f t="shared" si="59"/>
        <v>38</v>
      </c>
      <c r="BT38" s="29">
        <f t="shared" si="50"/>
        <v>38</v>
      </c>
      <c r="BU38" s="57">
        <f t="shared" si="51"/>
        <v>76</v>
      </c>
      <c r="BV38" s="32" t="str">
        <f t="shared" si="52"/>
        <v>당첨</v>
      </c>
      <c r="BW38" s="127" t="s">
        <v>708</v>
      </c>
      <c r="BX38" s="147">
        <v>28</v>
      </c>
      <c r="BY38" s="30">
        <v>10</v>
      </c>
      <c r="BZ38" s="30">
        <v>10</v>
      </c>
      <c r="CA38" s="30">
        <v>20</v>
      </c>
      <c r="CB38" s="130" t="s">
        <v>530</v>
      </c>
      <c r="CC38" s="27" t="str">
        <f t="shared" si="62"/>
        <v>짝수</v>
      </c>
      <c r="CD38" s="28">
        <f t="shared" si="63"/>
        <v>33</v>
      </c>
      <c r="CG38" s="53" t="s">
        <v>652</v>
      </c>
      <c r="CH38" s="53">
        <f>SUM(CH5:CH37)</f>
        <v>717</v>
      </c>
      <c r="CI38" s="77">
        <f>SUM(CI5:CI37)</f>
        <v>0.99999999999999978</v>
      </c>
      <c r="CL38" s="28">
        <v>88</v>
      </c>
      <c r="CM38" s="28">
        <v>80</v>
      </c>
      <c r="CO38"/>
    </row>
    <row r="39" spans="2:93" ht="16.5">
      <c r="B39" s="17">
        <v>35</v>
      </c>
      <c r="C39" s="363" t="s">
        <v>65</v>
      </c>
      <c r="D39" s="18">
        <v>3</v>
      </c>
      <c r="E39" s="20">
        <v>5054598200</v>
      </c>
      <c r="F39" s="18">
        <v>24</v>
      </c>
      <c r="G39" s="20">
        <v>105304100</v>
      </c>
      <c r="H39" s="18">
        <v>933</v>
      </c>
      <c r="I39" s="20">
        <v>2708700</v>
      </c>
      <c r="J39" s="20">
        <v>46866</v>
      </c>
      <c r="K39" s="20">
        <v>107800</v>
      </c>
      <c r="L39" s="20">
        <v>779854</v>
      </c>
      <c r="M39" s="20">
        <v>10000</v>
      </c>
      <c r="N39" s="167">
        <v>2</v>
      </c>
      <c r="O39" s="167">
        <v>3</v>
      </c>
      <c r="P39" s="167">
        <v>11</v>
      </c>
      <c r="Q39" s="167">
        <v>26</v>
      </c>
      <c r="R39" s="167">
        <v>37</v>
      </c>
      <c r="S39" s="167">
        <v>43</v>
      </c>
      <c r="T39" s="167">
        <v>39</v>
      </c>
      <c r="U39" s="28">
        <f t="shared" si="22"/>
        <v>122</v>
      </c>
      <c r="W39" s="66" t="str">
        <f t="shared" si="0"/>
        <v>짝수</v>
      </c>
      <c r="X39" s="66" t="str">
        <f t="shared" si="1"/>
        <v>홀수</v>
      </c>
      <c r="Y39" s="66" t="str">
        <f t="shared" si="2"/>
        <v>홀수</v>
      </c>
      <c r="Z39" s="66" t="str">
        <f t="shared" si="53"/>
        <v>짝수</v>
      </c>
      <c r="AA39" s="66" t="str">
        <f t="shared" si="54"/>
        <v>홀수</v>
      </c>
      <c r="AB39" s="66" t="str">
        <f t="shared" si="55"/>
        <v>홀수</v>
      </c>
      <c r="AC39" s="58" t="str">
        <f t="shared" si="56"/>
        <v>4 : 2</v>
      </c>
      <c r="AD39" s="66">
        <f t="shared" si="57"/>
        <v>4</v>
      </c>
      <c r="AE39" s="66">
        <f t="shared" si="58"/>
        <v>2</v>
      </c>
      <c r="AF39" s="66" t="str">
        <f t="shared" si="23"/>
        <v>저수</v>
      </c>
      <c r="AG39" s="66" t="str">
        <f t="shared" si="24"/>
        <v>저수</v>
      </c>
      <c r="AH39" s="66" t="str">
        <f t="shared" si="25"/>
        <v>저수</v>
      </c>
      <c r="AI39" s="66" t="str">
        <f t="shared" si="26"/>
        <v>고수</v>
      </c>
      <c r="AJ39" s="66" t="str">
        <f t="shared" si="27"/>
        <v>고수</v>
      </c>
      <c r="AK39" s="66" t="str">
        <f t="shared" si="28"/>
        <v>고수</v>
      </c>
      <c r="AL39" s="58" t="str">
        <f t="shared" si="29"/>
        <v>3 : 3</v>
      </c>
      <c r="AM39" s="66">
        <f t="shared" si="30"/>
        <v>3</v>
      </c>
      <c r="AN39" s="66">
        <f t="shared" si="31"/>
        <v>3</v>
      </c>
      <c r="AO39" s="66">
        <f t="shared" si="32"/>
        <v>22</v>
      </c>
      <c r="AP39" s="66" t="str">
        <f t="shared" si="33"/>
        <v>O</v>
      </c>
      <c r="AQ39" s="66" t="str">
        <f t="shared" si="34"/>
        <v>O</v>
      </c>
      <c r="AR39" s="66" t="str">
        <f t="shared" si="35"/>
        <v>O</v>
      </c>
      <c r="AS39" s="66" t="str">
        <f t="shared" si="36"/>
        <v>X</v>
      </c>
      <c r="AT39" s="66" t="str">
        <f t="shared" si="37"/>
        <v>X</v>
      </c>
      <c r="AU39" s="66" t="str">
        <f t="shared" si="38"/>
        <v>X</v>
      </c>
      <c r="AV39" s="66" t="str">
        <f t="shared" si="39"/>
        <v>X</v>
      </c>
      <c r="AW39" s="66" t="str">
        <f t="shared" si="40"/>
        <v>X</v>
      </c>
      <c r="AX39" s="66" t="str">
        <f t="shared" si="41"/>
        <v>X</v>
      </c>
      <c r="AY39" s="66" t="str">
        <f t="shared" si="42"/>
        <v>X</v>
      </c>
      <c r="AZ39" s="66" t="str">
        <f t="shared" si="43"/>
        <v>O</v>
      </c>
      <c r="BA39" s="66" t="str">
        <f t="shared" si="44"/>
        <v>O</v>
      </c>
      <c r="BB39" s="66">
        <f t="shared" si="45"/>
        <v>5</v>
      </c>
      <c r="BC39" s="127" t="str">
        <f t="shared" si="7"/>
        <v>1G</v>
      </c>
      <c r="BD39" s="127" t="str">
        <f t="shared" si="8"/>
        <v>1G</v>
      </c>
      <c r="BE39" s="127" t="str">
        <f t="shared" si="9"/>
        <v>1G</v>
      </c>
      <c r="BF39" s="127" t="str">
        <f t="shared" si="10"/>
        <v>2G</v>
      </c>
      <c r="BG39" s="127" t="str">
        <f t="shared" si="11"/>
        <v>3G</v>
      </c>
      <c r="BH39" s="127" t="str">
        <f t="shared" si="12"/>
        <v>3G</v>
      </c>
      <c r="BI39" s="127">
        <f t="shared" si="46"/>
        <v>3</v>
      </c>
      <c r="BJ39" s="127">
        <f t="shared" si="47"/>
        <v>1</v>
      </c>
      <c r="BK39" s="127">
        <f t="shared" si="48"/>
        <v>2</v>
      </c>
      <c r="BL39" s="127" t="str">
        <f t="shared" si="49"/>
        <v>312</v>
      </c>
      <c r="BO39" s="42">
        <v>21</v>
      </c>
      <c r="BP39" s="43">
        <f t="shared" si="13"/>
        <v>105</v>
      </c>
      <c r="BQ39" s="44">
        <f t="shared" si="14"/>
        <v>35</v>
      </c>
      <c r="BR39" s="146">
        <v>35</v>
      </c>
      <c r="BS39" s="29">
        <f t="shared" si="59"/>
        <v>36</v>
      </c>
      <c r="BT39" s="29">
        <f t="shared" si="50"/>
        <v>36</v>
      </c>
      <c r="BU39" s="57">
        <f t="shared" si="51"/>
        <v>72</v>
      </c>
      <c r="BV39" s="32" t="str">
        <f t="shared" si="52"/>
        <v>당첨</v>
      </c>
      <c r="BW39" s="127" t="s">
        <v>708</v>
      </c>
      <c r="BX39" s="147">
        <v>36</v>
      </c>
      <c r="BY39" s="30">
        <v>10</v>
      </c>
      <c r="BZ39" s="30">
        <v>10</v>
      </c>
      <c r="CA39" s="30">
        <v>20</v>
      </c>
      <c r="CB39" s="130" t="s">
        <v>530</v>
      </c>
      <c r="CC39" s="27" t="str">
        <f t="shared" si="62"/>
        <v>짝수</v>
      </c>
      <c r="CD39" s="28">
        <f t="shared" si="63"/>
        <v>33</v>
      </c>
      <c r="CI39" s="237">
        <f>SUM(CI5:CI22)</f>
        <v>0.84100418410041844</v>
      </c>
      <c r="CL39" s="28">
        <v>89</v>
      </c>
      <c r="CM39" s="28">
        <v>80</v>
      </c>
      <c r="CO39"/>
    </row>
    <row r="40" spans="2:93" ht="16.5">
      <c r="B40" s="17">
        <v>36</v>
      </c>
      <c r="C40" s="363" t="s">
        <v>66</v>
      </c>
      <c r="D40" s="18">
        <v>1</v>
      </c>
      <c r="E40" s="20">
        <v>16014475800</v>
      </c>
      <c r="F40" s="18">
        <v>19</v>
      </c>
      <c r="G40" s="20">
        <v>140477800</v>
      </c>
      <c r="H40" s="18">
        <v>768</v>
      </c>
      <c r="I40" s="20">
        <v>3475300</v>
      </c>
      <c r="J40" s="20">
        <v>38321</v>
      </c>
      <c r="K40" s="20">
        <v>139300</v>
      </c>
      <c r="L40" s="20">
        <v>673755</v>
      </c>
      <c r="M40" s="20">
        <v>10000</v>
      </c>
      <c r="N40" s="167">
        <v>1</v>
      </c>
      <c r="O40" s="167">
        <v>10</v>
      </c>
      <c r="P40" s="167">
        <v>23</v>
      </c>
      <c r="Q40" s="167">
        <v>26</v>
      </c>
      <c r="R40" s="167">
        <v>28</v>
      </c>
      <c r="S40" s="167">
        <v>40</v>
      </c>
      <c r="T40" s="167">
        <v>31</v>
      </c>
      <c r="U40" s="28">
        <f t="shared" si="22"/>
        <v>128</v>
      </c>
      <c r="W40" s="66" t="str">
        <f t="shared" si="0"/>
        <v>홀수</v>
      </c>
      <c r="X40" s="66" t="str">
        <f t="shared" si="1"/>
        <v>짝수</v>
      </c>
      <c r="Y40" s="66" t="str">
        <f t="shared" si="2"/>
        <v>홀수</v>
      </c>
      <c r="Z40" s="66" t="str">
        <f t="shared" si="53"/>
        <v>짝수</v>
      </c>
      <c r="AA40" s="66" t="str">
        <f t="shared" si="54"/>
        <v>짝수</v>
      </c>
      <c r="AB40" s="66" t="str">
        <f t="shared" si="55"/>
        <v>짝수</v>
      </c>
      <c r="AC40" s="58" t="str">
        <f t="shared" si="56"/>
        <v>2 : 4</v>
      </c>
      <c r="AD40" s="66">
        <f t="shared" si="57"/>
        <v>2</v>
      </c>
      <c r="AE40" s="66">
        <f t="shared" si="58"/>
        <v>4</v>
      </c>
      <c r="AF40" s="66" t="str">
        <f t="shared" si="23"/>
        <v>저수</v>
      </c>
      <c r="AG40" s="66" t="str">
        <f t="shared" si="24"/>
        <v>저수</v>
      </c>
      <c r="AH40" s="66" t="str">
        <f t="shared" si="25"/>
        <v>고수</v>
      </c>
      <c r="AI40" s="66" t="str">
        <f t="shared" si="26"/>
        <v>고수</v>
      </c>
      <c r="AJ40" s="66" t="str">
        <f t="shared" si="27"/>
        <v>고수</v>
      </c>
      <c r="AK40" s="66" t="str">
        <f t="shared" si="28"/>
        <v>고수</v>
      </c>
      <c r="AL40" s="58" t="str">
        <f t="shared" si="29"/>
        <v>2 : 4</v>
      </c>
      <c r="AM40" s="66">
        <f t="shared" si="30"/>
        <v>2</v>
      </c>
      <c r="AN40" s="66">
        <f t="shared" si="31"/>
        <v>4</v>
      </c>
      <c r="AO40" s="66">
        <f t="shared" si="32"/>
        <v>18</v>
      </c>
      <c r="AP40" s="66" t="str">
        <f t="shared" si="33"/>
        <v>X</v>
      </c>
      <c r="AQ40" s="66" t="str">
        <f t="shared" si="34"/>
        <v>X</v>
      </c>
      <c r="AR40" s="66" t="str">
        <f t="shared" si="35"/>
        <v>X</v>
      </c>
      <c r="AS40" s="66" t="str">
        <f t="shared" si="36"/>
        <v>X</v>
      </c>
      <c r="AT40" s="66" t="str">
        <f t="shared" si="37"/>
        <v>X</v>
      </c>
      <c r="AU40" s="66" t="str">
        <f t="shared" si="38"/>
        <v>X</v>
      </c>
      <c r="AV40" s="66" t="str">
        <f t="shared" si="39"/>
        <v>X</v>
      </c>
      <c r="AW40" s="66" t="str">
        <f t="shared" si="40"/>
        <v>X</v>
      </c>
      <c r="AX40" s="66" t="str">
        <f t="shared" si="41"/>
        <v>O</v>
      </c>
      <c r="AY40" s="66" t="str">
        <f t="shared" si="42"/>
        <v>X</v>
      </c>
      <c r="AZ40" s="66" t="str">
        <f t="shared" si="43"/>
        <v>X</v>
      </c>
      <c r="BA40" s="66" t="str">
        <f t="shared" si="44"/>
        <v>X</v>
      </c>
      <c r="BB40" s="66">
        <f t="shared" si="45"/>
        <v>1</v>
      </c>
      <c r="BC40" s="127" t="str">
        <f>VLOOKUP(N40,삼그룹,6,FALSE)</f>
        <v>1G</v>
      </c>
      <c r="BD40" s="127" t="str">
        <f t="shared" si="8"/>
        <v>1G</v>
      </c>
      <c r="BE40" s="127" t="str">
        <f t="shared" si="9"/>
        <v>2G</v>
      </c>
      <c r="BF40" s="127" t="str">
        <f t="shared" si="10"/>
        <v>2G</v>
      </c>
      <c r="BG40" s="127" t="str">
        <f t="shared" si="11"/>
        <v>2G</v>
      </c>
      <c r="BH40" s="127" t="str">
        <f t="shared" si="12"/>
        <v>3G</v>
      </c>
      <c r="BI40" s="127">
        <f t="shared" si="46"/>
        <v>2</v>
      </c>
      <c r="BJ40" s="127">
        <f t="shared" si="47"/>
        <v>3</v>
      </c>
      <c r="BK40" s="127">
        <f t="shared" si="48"/>
        <v>1</v>
      </c>
      <c r="BL40" s="127" t="str">
        <f t="shared" si="49"/>
        <v>231</v>
      </c>
      <c r="BO40" s="42">
        <v>15</v>
      </c>
      <c r="BP40" s="43">
        <f t="shared" si="13"/>
        <v>110</v>
      </c>
      <c r="BQ40" s="44">
        <f t="shared" si="14"/>
        <v>26</v>
      </c>
      <c r="BR40" s="146">
        <v>36</v>
      </c>
      <c r="BS40" s="29">
        <f t="shared" si="59"/>
        <v>28</v>
      </c>
      <c r="BT40" s="29">
        <f t="shared" si="50"/>
        <v>28</v>
      </c>
      <c r="BU40" s="57">
        <f t="shared" si="51"/>
        <v>56</v>
      </c>
      <c r="BV40" s="32" t="str">
        <f t="shared" si="52"/>
        <v>당첨</v>
      </c>
      <c r="BW40" s="127" t="s">
        <v>708</v>
      </c>
      <c r="BX40" s="147">
        <v>15</v>
      </c>
      <c r="BY40" s="30">
        <v>10</v>
      </c>
      <c r="BZ40" s="30">
        <v>9</v>
      </c>
      <c r="CA40" s="30">
        <v>19</v>
      </c>
      <c r="CB40" s="130" t="s">
        <v>530</v>
      </c>
      <c r="CC40" s="27" t="str">
        <f t="shared" si="62"/>
        <v>홀수</v>
      </c>
      <c r="CD40" s="28">
        <f t="shared" si="63"/>
        <v>33</v>
      </c>
      <c r="CF40" s="542" t="s">
        <v>753</v>
      </c>
      <c r="CG40" s="542"/>
      <c r="CH40" s="542"/>
      <c r="CL40" s="28">
        <v>89</v>
      </c>
      <c r="CM40" s="28">
        <v>80</v>
      </c>
      <c r="CO40"/>
    </row>
    <row r="41" spans="2:93" ht="16.5">
      <c r="B41" s="17">
        <v>37</v>
      </c>
      <c r="C41" s="363" t="s">
        <v>67</v>
      </c>
      <c r="D41" s="18">
        <v>3</v>
      </c>
      <c r="E41" s="20">
        <v>4985999400</v>
      </c>
      <c r="F41" s="18">
        <v>20</v>
      </c>
      <c r="G41" s="20">
        <v>124649900</v>
      </c>
      <c r="H41" s="18">
        <v>857</v>
      </c>
      <c r="I41" s="20">
        <v>2908900</v>
      </c>
      <c r="J41" s="20">
        <v>46334</v>
      </c>
      <c r="K41" s="20">
        <v>107600</v>
      </c>
      <c r="L41" s="20">
        <v>782490</v>
      </c>
      <c r="M41" s="20">
        <v>10000</v>
      </c>
      <c r="N41" s="167">
        <v>7</v>
      </c>
      <c r="O41" s="167">
        <v>27</v>
      </c>
      <c r="P41" s="167">
        <v>30</v>
      </c>
      <c r="Q41" s="167">
        <v>33</v>
      </c>
      <c r="R41" s="167">
        <v>35</v>
      </c>
      <c r="S41" s="167">
        <v>37</v>
      </c>
      <c r="T41" s="167">
        <v>42</v>
      </c>
      <c r="U41" s="28">
        <f t="shared" si="22"/>
        <v>169</v>
      </c>
      <c r="W41" s="66" t="str">
        <f t="shared" si="0"/>
        <v>홀수</v>
      </c>
      <c r="X41" s="66" t="str">
        <f t="shared" si="1"/>
        <v>홀수</v>
      </c>
      <c r="Y41" s="66" t="str">
        <f t="shared" si="2"/>
        <v>짝수</v>
      </c>
      <c r="Z41" s="66" t="str">
        <f t="shared" si="53"/>
        <v>홀수</v>
      </c>
      <c r="AA41" s="66" t="str">
        <f t="shared" si="54"/>
        <v>홀수</v>
      </c>
      <c r="AB41" s="66" t="str">
        <f t="shared" si="55"/>
        <v>홀수</v>
      </c>
      <c r="AC41" s="58" t="str">
        <f t="shared" si="56"/>
        <v>5 : 1</v>
      </c>
      <c r="AD41" s="66">
        <f t="shared" si="57"/>
        <v>5</v>
      </c>
      <c r="AE41" s="66">
        <f t="shared" si="58"/>
        <v>1</v>
      </c>
      <c r="AF41" s="66" t="str">
        <f t="shared" si="23"/>
        <v>저수</v>
      </c>
      <c r="AG41" s="66" t="str">
        <f t="shared" si="24"/>
        <v>고수</v>
      </c>
      <c r="AH41" s="66" t="str">
        <f t="shared" si="25"/>
        <v>고수</v>
      </c>
      <c r="AI41" s="66" t="str">
        <f t="shared" si="26"/>
        <v>고수</v>
      </c>
      <c r="AJ41" s="66" t="str">
        <f t="shared" si="27"/>
        <v>고수</v>
      </c>
      <c r="AK41" s="66" t="str">
        <f t="shared" si="28"/>
        <v>고수</v>
      </c>
      <c r="AL41" s="58" t="str">
        <f t="shared" si="29"/>
        <v>1 : 5</v>
      </c>
      <c r="AM41" s="66">
        <f t="shared" si="30"/>
        <v>1</v>
      </c>
      <c r="AN41" s="66">
        <f t="shared" si="31"/>
        <v>5</v>
      </c>
      <c r="AO41" s="66">
        <f t="shared" si="32"/>
        <v>29</v>
      </c>
      <c r="AP41" s="66" t="str">
        <f t="shared" si="33"/>
        <v>O</v>
      </c>
      <c r="AQ41" s="66" t="str">
        <f t="shared" si="34"/>
        <v>X</v>
      </c>
      <c r="AR41" s="66" t="str">
        <f t="shared" si="35"/>
        <v>X</v>
      </c>
      <c r="AS41" s="66" t="str">
        <f t="shared" si="36"/>
        <v>X</v>
      </c>
      <c r="AT41" s="66" t="str">
        <f t="shared" si="37"/>
        <v>X</v>
      </c>
      <c r="AU41" s="66" t="str">
        <f t="shared" si="38"/>
        <v>X</v>
      </c>
      <c r="AV41" s="66" t="str">
        <f t="shared" si="39"/>
        <v>X</v>
      </c>
      <c r="AW41" s="66" t="str">
        <f t="shared" si="40"/>
        <v>X</v>
      </c>
      <c r="AX41" s="66" t="str">
        <f t="shared" si="41"/>
        <v>X</v>
      </c>
      <c r="AY41" s="66" t="str">
        <f t="shared" si="42"/>
        <v>X</v>
      </c>
      <c r="AZ41" s="66" t="str">
        <f t="shared" si="43"/>
        <v>X</v>
      </c>
      <c r="BA41" s="66" t="str">
        <f t="shared" si="44"/>
        <v>O</v>
      </c>
      <c r="BB41" s="66">
        <f t="shared" si="45"/>
        <v>2</v>
      </c>
      <c r="BC41" s="127" t="str">
        <f t="shared" si="7"/>
        <v>1G</v>
      </c>
      <c r="BD41" s="127" t="str">
        <f t="shared" si="8"/>
        <v>2G</v>
      </c>
      <c r="BE41" s="127" t="str">
        <f t="shared" si="9"/>
        <v>2G</v>
      </c>
      <c r="BF41" s="127" t="str">
        <f t="shared" si="10"/>
        <v>3G</v>
      </c>
      <c r="BG41" s="127" t="str">
        <f t="shared" si="11"/>
        <v>3G</v>
      </c>
      <c r="BH41" s="127" t="str">
        <f t="shared" si="12"/>
        <v>3G</v>
      </c>
      <c r="BI41" s="127">
        <f t="shared" si="46"/>
        <v>1</v>
      </c>
      <c r="BJ41" s="127">
        <f t="shared" si="47"/>
        <v>2</v>
      </c>
      <c r="BK41" s="127">
        <f t="shared" si="48"/>
        <v>3</v>
      </c>
      <c r="BL41" s="127" t="str">
        <f t="shared" si="49"/>
        <v>123</v>
      </c>
      <c r="BO41" s="39">
        <v>42</v>
      </c>
      <c r="BP41" s="40">
        <f t="shared" si="13"/>
        <v>103</v>
      </c>
      <c r="BQ41" s="41">
        <f t="shared" si="14"/>
        <v>37</v>
      </c>
      <c r="BR41" s="146">
        <v>37</v>
      </c>
      <c r="BS41" s="29">
        <f t="shared" si="59"/>
        <v>35</v>
      </c>
      <c r="BT41" s="29">
        <f t="shared" si="50"/>
        <v>34</v>
      </c>
      <c r="BU41" s="57">
        <f t="shared" si="51"/>
        <v>69</v>
      </c>
      <c r="BV41" s="32" t="str">
        <f t="shared" si="52"/>
        <v>당첨</v>
      </c>
      <c r="BW41" s="127" t="s">
        <v>708</v>
      </c>
      <c r="BX41" s="147">
        <v>2</v>
      </c>
      <c r="BY41" s="30">
        <v>10</v>
      </c>
      <c r="BZ41" s="30">
        <v>6</v>
      </c>
      <c r="CA41" s="30">
        <v>16</v>
      </c>
      <c r="CB41" s="130" t="s">
        <v>530</v>
      </c>
      <c r="CC41" s="27" t="str">
        <f t="shared" si="62"/>
        <v>짝수</v>
      </c>
      <c r="CD41" s="28">
        <f t="shared" si="63"/>
        <v>33</v>
      </c>
      <c r="CF41" s="97" t="s">
        <v>754</v>
      </c>
      <c r="CG41" s="97" t="s">
        <v>755</v>
      </c>
      <c r="CH41" s="97" t="s">
        <v>756</v>
      </c>
      <c r="CL41" s="28">
        <v>89</v>
      </c>
      <c r="CM41" s="28">
        <v>80</v>
      </c>
      <c r="CO41"/>
    </row>
    <row r="42" spans="2:93" ht="16.5">
      <c r="B42" s="17">
        <v>38</v>
      </c>
      <c r="C42" s="363" t="s">
        <v>68</v>
      </c>
      <c r="D42" s="18">
        <v>3</v>
      </c>
      <c r="E42" s="20">
        <v>5374866400</v>
      </c>
      <c r="F42" s="18">
        <v>18</v>
      </c>
      <c r="G42" s="20">
        <v>149301800</v>
      </c>
      <c r="H42" s="18">
        <v>679</v>
      </c>
      <c r="I42" s="20">
        <v>3957900</v>
      </c>
      <c r="J42" s="20">
        <v>36377</v>
      </c>
      <c r="K42" s="20">
        <v>147700</v>
      </c>
      <c r="L42" s="20">
        <v>681031</v>
      </c>
      <c r="M42" s="20">
        <v>10000</v>
      </c>
      <c r="N42" s="167">
        <v>16</v>
      </c>
      <c r="O42" s="167">
        <v>17</v>
      </c>
      <c r="P42" s="167">
        <v>22</v>
      </c>
      <c r="Q42" s="167">
        <v>30</v>
      </c>
      <c r="R42" s="167">
        <v>37</v>
      </c>
      <c r="S42" s="167">
        <v>43</v>
      </c>
      <c r="T42" s="167">
        <v>36</v>
      </c>
      <c r="U42" s="28">
        <f t="shared" si="22"/>
        <v>165</v>
      </c>
      <c r="W42" s="66" t="str">
        <f t="shared" si="0"/>
        <v>짝수</v>
      </c>
      <c r="X42" s="66" t="str">
        <f t="shared" si="1"/>
        <v>홀수</v>
      </c>
      <c r="Y42" s="66" t="str">
        <f t="shared" si="2"/>
        <v>짝수</v>
      </c>
      <c r="Z42" s="66" t="str">
        <f t="shared" si="53"/>
        <v>짝수</v>
      </c>
      <c r="AA42" s="66" t="str">
        <f t="shared" si="54"/>
        <v>홀수</v>
      </c>
      <c r="AB42" s="66" t="str">
        <f t="shared" si="55"/>
        <v>홀수</v>
      </c>
      <c r="AC42" s="58" t="str">
        <f t="shared" si="56"/>
        <v>3 : 3</v>
      </c>
      <c r="AD42" s="66">
        <f t="shared" si="57"/>
        <v>3</v>
      </c>
      <c r="AE42" s="66">
        <f t="shared" si="58"/>
        <v>3</v>
      </c>
      <c r="AF42" s="66" t="str">
        <f t="shared" si="23"/>
        <v>저수</v>
      </c>
      <c r="AG42" s="66" t="str">
        <f t="shared" si="24"/>
        <v>저수</v>
      </c>
      <c r="AH42" s="66" t="str">
        <f t="shared" si="25"/>
        <v>저수</v>
      </c>
      <c r="AI42" s="66" t="str">
        <f t="shared" si="26"/>
        <v>고수</v>
      </c>
      <c r="AJ42" s="66" t="str">
        <f t="shared" si="27"/>
        <v>고수</v>
      </c>
      <c r="AK42" s="66" t="str">
        <f t="shared" si="28"/>
        <v>고수</v>
      </c>
      <c r="AL42" s="58" t="str">
        <f t="shared" si="29"/>
        <v>3 : 3</v>
      </c>
      <c r="AM42" s="66">
        <f t="shared" si="30"/>
        <v>3</v>
      </c>
      <c r="AN42" s="66">
        <f t="shared" si="31"/>
        <v>3</v>
      </c>
      <c r="AO42" s="66">
        <f t="shared" si="32"/>
        <v>25</v>
      </c>
      <c r="AP42" s="66" t="str">
        <f t="shared" si="33"/>
        <v>X</v>
      </c>
      <c r="AQ42" s="66" t="str">
        <f t="shared" si="34"/>
        <v>O</v>
      </c>
      <c r="AR42" s="66" t="str">
        <f t="shared" si="35"/>
        <v>X</v>
      </c>
      <c r="AS42" s="66" t="str">
        <f t="shared" si="36"/>
        <v>X</v>
      </c>
      <c r="AT42" s="66" t="str">
        <f t="shared" si="37"/>
        <v>X</v>
      </c>
      <c r="AU42" s="66" t="str">
        <f t="shared" si="38"/>
        <v>X</v>
      </c>
      <c r="AV42" s="66" t="str">
        <f t="shared" si="39"/>
        <v>X</v>
      </c>
      <c r="AW42" s="66" t="str">
        <f t="shared" si="40"/>
        <v>X</v>
      </c>
      <c r="AX42" s="66" t="str">
        <f t="shared" si="41"/>
        <v>X</v>
      </c>
      <c r="AY42" s="66" t="str">
        <f t="shared" si="42"/>
        <v>X</v>
      </c>
      <c r="AZ42" s="66" t="str">
        <f t="shared" si="43"/>
        <v>O</v>
      </c>
      <c r="BA42" s="66" t="str">
        <f t="shared" si="44"/>
        <v>O</v>
      </c>
      <c r="BB42" s="66">
        <f t="shared" si="45"/>
        <v>3</v>
      </c>
      <c r="BC42" s="127" t="str">
        <f t="shared" si="7"/>
        <v>2G</v>
      </c>
      <c r="BD42" s="127" t="str">
        <f t="shared" si="8"/>
        <v>2G</v>
      </c>
      <c r="BE42" s="127" t="str">
        <f t="shared" si="9"/>
        <v>2G</v>
      </c>
      <c r="BF42" s="127" t="str">
        <f t="shared" si="10"/>
        <v>2G</v>
      </c>
      <c r="BG42" s="127" t="str">
        <f t="shared" si="11"/>
        <v>3G</v>
      </c>
      <c r="BH42" s="127" t="str">
        <f t="shared" si="12"/>
        <v>3G</v>
      </c>
      <c r="BI42" s="127">
        <f t="shared" si="46"/>
        <v>0</v>
      </c>
      <c r="BJ42" s="127">
        <f t="shared" si="47"/>
        <v>4</v>
      </c>
      <c r="BK42" s="127">
        <f t="shared" si="48"/>
        <v>2</v>
      </c>
      <c r="BL42" s="127" t="str">
        <f t="shared" si="49"/>
        <v>042</v>
      </c>
      <c r="BO42" s="45">
        <v>23</v>
      </c>
      <c r="BP42" s="46">
        <f t="shared" si="13"/>
        <v>102</v>
      </c>
      <c r="BQ42" s="47">
        <f t="shared" si="14"/>
        <v>39</v>
      </c>
      <c r="BR42" s="146">
        <v>38</v>
      </c>
      <c r="BS42" s="29">
        <f t="shared" si="59"/>
        <v>39</v>
      </c>
      <c r="BT42" s="29">
        <f t="shared" si="50"/>
        <v>37</v>
      </c>
      <c r="BU42" s="57">
        <f t="shared" si="51"/>
        <v>76</v>
      </c>
      <c r="BV42" s="32" t="str">
        <f t="shared" si="52"/>
        <v>당첨</v>
      </c>
      <c r="BW42" s="127" t="s">
        <v>708</v>
      </c>
      <c r="BX42" s="148">
        <v>45</v>
      </c>
      <c r="BY42" s="30">
        <v>9</v>
      </c>
      <c r="BZ42" s="30">
        <v>9</v>
      </c>
      <c r="CA42" s="30">
        <v>18</v>
      </c>
      <c r="CB42" s="130" t="s">
        <v>530</v>
      </c>
      <c r="CC42" s="27" t="str">
        <f t="shared" si="62"/>
        <v>홀수</v>
      </c>
      <c r="CD42" s="28">
        <f t="shared" si="63"/>
        <v>38</v>
      </c>
      <c r="CF42" s="53">
        <v>8</v>
      </c>
      <c r="CG42" s="53">
        <v>170</v>
      </c>
      <c r="CH42" s="136">
        <v>0.34343434343434343</v>
      </c>
      <c r="CL42" s="28">
        <v>90</v>
      </c>
      <c r="CM42" s="28">
        <v>90</v>
      </c>
      <c r="CO42"/>
    </row>
    <row r="43" spans="2:93" ht="16.5">
      <c r="B43" s="17">
        <v>39</v>
      </c>
      <c r="C43" s="363" t="s">
        <v>69</v>
      </c>
      <c r="D43" s="18">
        <v>6</v>
      </c>
      <c r="E43" s="20">
        <v>2623748800</v>
      </c>
      <c r="F43" s="18">
        <v>25</v>
      </c>
      <c r="G43" s="20">
        <v>104949900</v>
      </c>
      <c r="H43" s="18">
        <v>699</v>
      </c>
      <c r="I43" s="20">
        <v>3753500</v>
      </c>
      <c r="J43" s="20">
        <v>38752</v>
      </c>
      <c r="K43" s="20">
        <v>135400</v>
      </c>
      <c r="L43" s="20">
        <v>680975</v>
      </c>
      <c r="M43" s="20">
        <v>10000</v>
      </c>
      <c r="N43" s="167">
        <v>6</v>
      </c>
      <c r="O43" s="167">
        <v>7</v>
      </c>
      <c r="P43" s="167">
        <v>13</v>
      </c>
      <c r="Q43" s="167">
        <v>15</v>
      </c>
      <c r="R43" s="167">
        <v>21</v>
      </c>
      <c r="S43" s="167">
        <v>43</v>
      </c>
      <c r="T43" s="167">
        <v>8</v>
      </c>
      <c r="U43" s="28">
        <f t="shared" si="22"/>
        <v>105</v>
      </c>
      <c r="W43" s="66" t="str">
        <f t="shared" si="0"/>
        <v>짝수</v>
      </c>
      <c r="X43" s="66" t="str">
        <f t="shared" si="1"/>
        <v>홀수</v>
      </c>
      <c r="Y43" s="66" t="str">
        <f t="shared" si="2"/>
        <v>홀수</v>
      </c>
      <c r="Z43" s="66" t="str">
        <f t="shared" si="53"/>
        <v>홀수</v>
      </c>
      <c r="AA43" s="66" t="str">
        <f t="shared" si="54"/>
        <v>홀수</v>
      </c>
      <c r="AB43" s="66" t="str">
        <f t="shared" si="55"/>
        <v>홀수</v>
      </c>
      <c r="AC43" s="58" t="str">
        <f t="shared" si="56"/>
        <v>5 : 1</v>
      </c>
      <c r="AD43" s="66">
        <f t="shared" si="57"/>
        <v>5</v>
      </c>
      <c r="AE43" s="66">
        <f t="shared" si="58"/>
        <v>1</v>
      </c>
      <c r="AF43" s="66" t="str">
        <f t="shared" si="23"/>
        <v>저수</v>
      </c>
      <c r="AG43" s="66" t="str">
        <f t="shared" si="24"/>
        <v>저수</v>
      </c>
      <c r="AH43" s="66" t="str">
        <f t="shared" si="25"/>
        <v>저수</v>
      </c>
      <c r="AI43" s="66" t="str">
        <f t="shared" si="26"/>
        <v>저수</v>
      </c>
      <c r="AJ43" s="66" t="str">
        <f t="shared" si="27"/>
        <v>저수</v>
      </c>
      <c r="AK43" s="66" t="str">
        <f t="shared" si="28"/>
        <v>고수</v>
      </c>
      <c r="AL43" s="58" t="str">
        <f t="shared" si="29"/>
        <v>5 : 1</v>
      </c>
      <c r="AM43" s="66">
        <f t="shared" si="30"/>
        <v>5</v>
      </c>
      <c r="AN43" s="66">
        <f t="shared" si="31"/>
        <v>1</v>
      </c>
      <c r="AO43" s="66">
        <f t="shared" si="32"/>
        <v>25</v>
      </c>
      <c r="AP43" s="66" t="str">
        <f t="shared" si="33"/>
        <v>X</v>
      </c>
      <c r="AQ43" s="66" t="str">
        <f t="shared" si="34"/>
        <v>O</v>
      </c>
      <c r="AR43" s="66" t="str">
        <f t="shared" si="35"/>
        <v>O</v>
      </c>
      <c r="AS43" s="66" t="str">
        <f t="shared" si="36"/>
        <v>X</v>
      </c>
      <c r="AT43" s="66" t="str">
        <f t="shared" si="37"/>
        <v>X</v>
      </c>
      <c r="AU43" s="66" t="str">
        <f t="shared" si="38"/>
        <v>X</v>
      </c>
      <c r="AV43" s="66" t="str">
        <f t="shared" si="39"/>
        <v>X</v>
      </c>
      <c r="AW43" s="66" t="str">
        <f t="shared" si="40"/>
        <v>X</v>
      </c>
      <c r="AX43" s="66" t="str">
        <f t="shared" si="41"/>
        <v>X</v>
      </c>
      <c r="AY43" s="66" t="str">
        <f t="shared" si="42"/>
        <v>X</v>
      </c>
      <c r="AZ43" s="66" t="str">
        <f t="shared" si="43"/>
        <v>X</v>
      </c>
      <c r="BA43" s="66" t="str">
        <f t="shared" si="44"/>
        <v>O</v>
      </c>
      <c r="BB43" s="66">
        <f t="shared" si="45"/>
        <v>3</v>
      </c>
      <c r="BC43" s="127" t="str">
        <f t="shared" si="7"/>
        <v>1G</v>
      </c>
      <c r="BD43" s="127" t="str">
        <f t="shared" si="8"/>
        <v>1G</v>
      </c>
      <c r="BE43" s="127" t="str">
        <f t="shared" si="9"/>
        <v>1G</v>
      </c>
      <c r="BF43" s="127" t="str">
        <f t="shared" si="10"/>
        <v>1G</v>
      </c>
      <c r="BG43" s="127" t="str">
        <f t="shared" si="11"/>
        <v>2G</v>
      </c>
      <c r="BH43" s="127" t="str">
        <f t="shared" si="12"/>
        <v>3G</v>
      </c>
      <c r="BI43" s="127">
        <f t="shared" si="46"/>
        <v>4</v>
      </c>
      <c r="BJ43" s="127">
        <f t="shared" si="47"/>
        <v>1</v>
      </c>
      <c r="BK43" s="127">
        <f t="shared" si="48"/>
        <v>1</v>
      </c>
      <c r="BL43" s="127" t="str">
        <f t="shared" si="49"/>
        <v>411</v>
      </c>
      <c r="BO43" s="45">
        <v>30</v>
      </c>
      <c r="BP43" s="46">
        <f t="shared" si="13"/>
        <v>103</v>
      </c>
      <c r="BQ43" s="47">
        <f t="shared" si="14"/>
        <v>37</v>
      </c>
      <c r="BR43" s="146">
        <v>39</v>
      </c>
      <c r="BS43" s="29">
        <f t="shared" si="59"/>
        <v>38</v>
      </c>
      <c r="BT43" s="29">
        <f t="shared" si="50"/>
        <v>38</v>
      </c>
      <c r="BU43" s="57">
        <f t="shared" si="51"/>
        <v>76</v>
      </c>
      <c r="BV43" s="32" t="str">
        <f t="shared" si="52"/>
        <v>당첨</v>
      </c>
      <c r="BW43" s="127" t="s">
        <v>708</v>
      </c>
      <c r="BX43" s="147">
        <v>30</v>
      </c>
      <c r="BY43" s="30">
        <v>9</v>
      </c>
      <c r="BZ43" s="30">
        <v>8</v>
      </c>
      <c r="CA43" s="30">
        <v>17</v>
      </c>
      <c r="CB43" s="130" t="s">
        <v>530</v>
      </c>
      <c r="CC43" s="27" t="str">
        <f t="shared" si="62"/>
        <v>짝수</v>
      </c>
      <c r="CD43" s="28">
        <f t="shared" si="63"/>
        <v>38</v>
      </c>
      <c r="CF43" s="53">
        <v>10</v>
      </c>
      <c r="CG43" s="53">
        <v>98</v>
      </c>
      <c r="CH43" s="136">
        <v>0.19797979797979798</v>
      </c>
      <c r="CL43" s="28">
        <v>90</v>
      </c>
      <c r="CM43" s="28">
        <v>90</v>
      </c>
      <c r="CO43"/>
    </row>
    <row r="44" spans="2:93" ht="16.5">
      <c r="B44" s="17">
        <v>40</v>
      </c>
      <c r="C44" s="363" t="s">
        <v>70</v>
      </c>
      <c r="D44" s="18">
        <v>13</v>
      </c>
      <c r="E44" s="20">
        <v>1147652400</v>
      </c>
      <c r="F44" s="18">
        <v>44</v>
      </c>
      <c r="G44" s="20">
        <v>56513100</v>
      </c>
      <c r="H44" s="20">
        <v>1055</v>
      </c>
      <c r="I44" s="20">
        <v>2356900</v>
      </c>
      <c r="J44" s="20">
        <v>65081</v>
      </c>
      <c r="K44" s="20">
        <v>76400</v>
      </c>
      <c r="L44" s="20">
        <v>798374</v>
      </c>
      <c r="M44" s="20">
        <v>10000</v>
      </c>
      <c r="N44" s="167">
        <v>7</v>
      </c>
      <c r="O44" s="167">
        <v>13</v>
      </c>
      <c r="P44" s="167">
        <v>18</v>
      </c>
      <c r="Q44" s="167">
        <v>19</v>
      </c>
      <c r="R44" s="167">
        <v>25</v>
      </c>
      <c r="S44" s="167">
        <v>26</v>
      </c>
      <c r="T44" s="167">
        <v>6</v>
      </c>
      <c r="U44" s="28">
        <f t="shared" si="22"/>
        <v>108</v>
      </c>
      <c r="W44" s="66" t="str">
        <f t="shared" si="0"/>
        <v>홀수</v>
      </c>
      <c r="X44" s="66" t="str">
        <f t="shared" si="1"/>
        <v>홀수</v>
      </c>
      <c r="Y44" s="66" t="str">
        <f t="shared" si="2"/>
        <v>짝수</v>
      </c>
      <c r="Z44" s="66" t="str">
        <f t="shared" si="53"/>
        <v>홀수</v>
      </c>
      <c r="AA44" s="66" t="str">
        <f t="shared" si="54"/>
        <v>홀수</v>
      </c>
      <c r="AB44" s="66" t="str">
        <f t="shared" si="55"/>
        <v>짝수</v>
      </c>
      <c r="AC44" s="58" t="str">
        <f t="shared" si="56"/>
        <v>4 : 2</v>
      </c>
      <c r="AD44" s="66">
        <f t="shared" si="57"/>
        <v>4</v>
      </c>
      <c r="AE44" s="66">
        <f t="shared" si="58"/>
        <v>2</v>
      </c>
      <c r="AF44" s="66" t="str">
        <f t="shared" si="23"/>
        <v>저수</v>
      </c>
      <c r="AG44" s="66" t="str">
        <f t="shared" si="24"/>
        <v>저수</v>
      </c>
      <c r="AH44" s="66" t="str">
        <f t="shared" si="25"/>
        <v>저수</v>
      </c>
      <c r="AI44" s="66" t="str">
        <f t="shared" si="26"/>
        <v>저수</v>
      </c>
      <c r="AJ44" s="66" t="str">
        <f t="shared" si="27"/>
        <v>고수</v>
      </c>
      <c r="AK44" s="66" t="str">
        <f t="shared" si="28"/>
        <v>고수</v>
      </c>
      <c r="AL44" s="58" t="str">
        <f t="shared" si="29"/>
        <v>4 : 2</v>
      </c>
      <c r="AM44" s="66">
        <f t="shared" si="30"/>
        <v>4</v>
      </c>
      <c r="AN44" s="66">
        <f t="shared" si="31"/>
        <v>2</v>
      </c>
      <c r="AO44" s="66">
        <f t="shared" si="32"/>
        <v>38</v>
      </c>
      <c r="AP44" s="66" t="str">
        <f t="shared" si="33"/>
        <v>O</v>
      </c>
      <c r="AQ44" s="66" t="str">
        <f t="shared" si="34"/>
        <v>O</v>
      </c>
      <c r="AR44" s="66" t="str">
        <f t="shared" si="35"/>
        <v>X</v>
      </c>
      <c r="AS44" s="66" t="str">
        <f t="shared" si="36"/>
        <v>O</v>
      </c>
      <c r="AT44" s="66" t="str">
        <f t="shared" si="37"/>
        <v>X</v>
      </c>
      <c r="AU44" s="66" t="str">
        <f t="shared" si="38"/>
        <v>X</v>
      </c>
      <c r="AV44" s="66" t="str">
        <f t="shared" si="39"/>
        <v>X</v>
      </c>
      <c r="AW44" s="66" t="str">
        <f t="shared" si="40"/>
        <v>X</v>
      </c>
      <c r="AX44" s="66" t="str">
        <f t="shared" si="41"/>
        <v>X</v>
      </c>
      <c r="AY44" s="66" t="str">
        <f t="shared" si="42"/>
        <v>X</v>
      </c>
      <c r="AZ44" s="66" t="str">
        <f t="shared" si="43"/>
        <v>X</v>
      </c>
      <c r="BA44" s="66" t="str">
        <f t="shared" si="44"/>
        <v>X</v>
      </c>
      <c r="BB44" s="66">
        <f t="shared" si="45"/>
        <v>3</v>
      </c>
      <c r="BC44" s="127" t="str">
        <f t="shared" si="7"/>
        <v>1G</v>
      </c>
      <c r="BD44" s="127" t="str">
        <f t="shared" si="8"/>
        <v>1G</v>
      </c>
      <c r="BE44" s="127" t="str">
        <f t="shared" si="9"/>
        <v>2G</v>
      </c>
      <c r="BF44" s="127" t="str">
        <f t="shared" si="10"/>
        <v>2G</v>
      </c>
      <c r="BG44" s="127" t="str">
        <f t="shared" si="11"/>
        <v>2G</v>
      </c>
      <c r="BH44" s="127" t="str">
        <f t="shared" si="12"/>
        <v>2G</v>
      </c>
      <c r="BI44" s="127">
        <f t="shared" si="46"/>
        <v>2</v>
      </c>
      <c r="BJ44" s="127">
        <f t="shared" si="47"/>
        <v>4</v>
      </c>
      <c r="BK44" s="127">
        <f t="shared" si="48"/>
        <v>0</v>
      </c>
      <c r="BL44" s="127" t="str">
        <f t="shared" si="49"/>
        <v>240</v>
      </c>
      <c r="BO44" s="45">
        <v>32</v>
      </c>
      <c r="BP44" s="46">
        <f t="shared" si="13"/>
        <v>99</v>
      </c>
      <c r="BQ44" s="47">
        <f t="shared" si="14"/>
        <v>40</v>
      </c>
      <c r="BR44" s="146">
        <v>40</v>
      </c>
      <c r="BS44" s="29">
        <f t="shared" si="59"/>
        <v>43</v>
      </c>
      <c r="BT44" s="29">
        <f t="shared" si="50"/>
        <v>41</v>
      </c>
      <c r="BU44" s="57">
        <f t="shared" si="51"/>
        <v>84</v>
      </c>
      <c r="BV44" s="32" t="str">
        <f t="shared" si="52"/>
        <v>당첨</v>
      </c>
      <c r="BW44" s="127" t="s">
        <v>708</v>
      </c>
      <c r="BX44" s="148">
        <v>16</v>
      </c>
      <c r="BY44" s="30">
        <v>5</v>
      </c>
      <c r="BZ44" s="30">
        <v>5</v>
      </c>
      <c r="CA44" s="30">
        <v>10</v>
      </c>
      <c r="CB44" s="130" t="s">
        <v>530</v>
      </c>
      <c r="CC44" s="27" t="str">
        <f>IF(RIGHT(BX43,1)="1","홀수",IF(RIGHT(BX43,1)="3","홀수",IF(RIGHT(BX43,1)="5","홀수",IF(RIGHT(BX43,1)="7","홀수",IF(RIGHT(BX43,1)="9","홀수","짝수")))))</f>
        <v>짝수</v>
      </c>
      <c r="CD44" s="28">
        <f>IF(CB44="당첨",RANK(BY43,$BY$5:$BY$49),"")</f>
        <v>38</v>
      </c>
      <c r="CF44" s="53">
        <v>9</v>
      </c>
      <c r="CG44" s="53">
        <v>85</v>
      </c>
      <c r="CH44" s="136">
        <v>0.17171717171717171</v>
      </c>
      <c r="CL44" s="28">
        <v>90</v>
      </c>
      <c r="CM44" s="28">
        <v>90</v>
      </c>
      <c r="CO44"/>
    </row>
    <row r="45" spans="2:93" ht="16.5">
      <c r="B45" s="17">
        <v>41</v>
      </c>
      <c r="C45" s="363" t="s">
        <v>71</v>
      </c>
      <c r="D45" s="18">
        <v>0</v>
      </c>
      <c r="E45" s="18">
        <v>0</v>
      </c>
      <c r="F45" s="18">
        <v>21</v>
      </c>
      <c r="G45" s="20">
        <v>109404000</v>
      </c>
      <c r="H45" s="18">
        <v>700</v>
      </c>
      <c r="I45" s="20">
        <v>3282100</v>
      </c>
      <c r="J45" s="20">
        <v>33805</v>
      </c>
      <c r="K45" s="20">
        <v>135900</v>
      </c>
      <c r="L45" s="20">
        <v>583744</v>
      </c>
      <c r="M45" s="20">
        <v>10000</v>
      </c>
      <c r="N45" s="167">
        <v>13</v>
      </c>
      <c r="O45" s="167">
        <v>20</v>
      </c>
      <c r="P45" s="167">
        <v>23</v>
      </c>
      <c r="Q45" s="167">
        <v>35</v>
      </c>
      <c r="R45" s="167">
        <v>38</v>
      </c>
      <c r="S45" s="167">
        <v>43</v>
      </c>
      <c r="T45" s="167">
        <v>34</v>
      </c>
      <c r="U45" s="28">
        <f t="shared" si="22"/>
        <v>172</v>
      </c>
      <c r="W45" s="66" t="str">
        <f t="shared" si="0"/>
        <v>홀수</v>
      </c>
      <c r="X45" s="66" t="str">
        <f t="shared" si="1"/>
        <v>짝수</v>
      </c>
      <c r="Y45" s="66" t="str">
        <f t="shared" si="2"/>
        <v>홀수</v>
      </c>
      <c r="Z45" s="66" t="str">
        <f t="shared" si="53"/>
        <v>홀수</v>
      </c>
      <c r="AA45" s="66" t="str">
        <f t="shared" si="54"/>
        <v>짝수</v>
      </c>
      <c r="AB45" s="66" t="str">
        <f t="shared" si="55"/>
        <v>홀수</v>
      </c>
      <c r="AC45" s="58" t="str">
        <f t="shared" si="56"/>
        <v>4 : 2</v>
      </c>
      <c r="AD45" s="66">
        <f t="shared" si="57"/>
        <v>4</v>
      </c>
      <c r="AE45" s="66">
        <f t="shared" si="58"/>
        <v>2</v>
      </c>
      <c r="AF45" s="66" t="str">
        <f t="shared" si="23"/>
        <v>저수</v>
      </c>
      <c r="AG45" s="66" t="str">
        <f t="shared" si="24"/>
        <v>저수</v>
      </c>
      <c r="AH45" s="66" t="str">
        <f t="shared" si="25"/>
        <v>고수</v>
      </c>
      <c r="AI45" s="66" t="str">
        <f t="shared" si="26"/>
        <v>고수</v>
      </c>
      <c r="AJ45" s="66" t="str">
        <f t="shared" si="27"/>
        <v>고수</v>
      </c>
      <c r="AK45" s="66" t="str">
        <f t="shared" si="28"/>
        <v>고수</v>
      </c>
      <c r="AL45" s="58" t="str">
        <f t="shared" si="29"/>
        <v>2 : 4</v>
      </c>
      <c r="AM45" s="66">
        <f t="shared" si="30"/>
        <v>2</v>
      </c>
      <c r="AN45" s="66">
        <f t="shared" si="31"/>
        <v>4</v>
      </c>
      <c r="AO45" s="66">
        <f t="shared" si="32"/>
        <v>22</v>
      </c>
      <c r="AP45" s="66" t="str">
        <f t="shared" si="33"/>
        <v>O</v>
      </c>
      <c r="AQ45" s="66" t="str">
        <f t="shared" si="34"/>
        <v>X</v>
      </c>
      <c r="AR45" s="66" t="str">
        <f t="shared" si="35"/>
        <v>X</v>
      </c>
      <c r="AS45" s="66" t="str">
        <f t="shared" si="36"/>
        <v>X</v>
      </c>
      <c r="AT45" s="66" t="str">
        <f t="shared" si="37"/>
        <v>X</v>
      </c>
      <c r="AU45" s="66" t="str">
        <f t="shared" si="38"/>
        <v>X</v>
      </c>
      <c r="AV45" s="66" t="str">
        <f t="shared" si="39"/>
        <v>X</v>
      </c>
      <c r="AW45" s="66" t="str">
        <f t="shared" si="40"/>
        <v>X</v>
      </c>
      <c r="AX45" s="66" t="str">
        <f t="shared" si="41"/>
        <v>O</v>
      </c>
      <c r="AY45" s="66" t="str">
        <f t="shared" si="42"/>
        <v>X</v>
      </c>
      <c r="AZ45" s="66" t="str">
        <f t="shared" si="43"/>
        <v>X</v>
      </c>
      <c r="BA45" s="66" t="str">
        <f t="shared" si="44"/>
        <v>O</v>
      </c>
      <c r="BB45" s="66">
        <f t="shared" si="45"/>
        <v>3</v>
      </c>
      <c r="BC45" s="127" t="str">
        <f t="shared" si="7"/>
        <v>1G</v>
      </c>
      <c r="BD45" s="127" t="str">
        <f t="shared" si="8"/>
        <v>2G</v>
      </c>
      <c r="BE45" s="127" t="str">
        <f t="shared" si="9"/>
        <v>2G</v>
      </c>
      <c r="BF45" s="127" t="str">
        <f t="shared" si="10"/>
        <v>3G</v>
      </c>
      <c r="BG45" s="127" t="str">
        <f t="shared" si="11"/>
        <v>3G</v>
      </c>
      <c r="BH45" s="127" t="str">
        <f t="shared" si="12"/>
        <v>3G</v>
      </c>
      <c r="BI45" s="127">
        <f t="shared" si="46"/>
        <v>1</v>
      </c>
      <c r="BJ45" s="127">
        <f t="shared" si="47"/>
        <v>2</v>
      </c>
      <c r="BK45" s="127">
        <f t="shared" si="48"/>
        <v>3</v>
      </c>
      <c r="BL45" s="127" t="str">
        <f t="shared" si="49"/>
        <v>123</v>
      </c>
      <c r="BO45" s="45">
        <v>29</v>
      </c>
      <c r="BP45" s="46">
        <f t="shared" si="13"/>
        <v>98</v>
      </c>
      <c r="BQ45" s="47">
        <f t="shared" si="14"/>
        <v>42</v>
      </c>
      <c r="BR45" s="146">
        <v>41</v>
      </c>
      <c r="BS45" s="29">
        <f t="shared" si="59"/>
        <v>37</v>
      </c>
      <c r="BT45" s="29">
        <f t="shared" si="50"/>
        <v>36</v>
      </c>
      <c r="BU45" s="57">
        <f t="shared" si="51"/>
        <v>73</v>
      </c>
      <c r="BV45" s="32" t="str">
        <f t="shared" si="52"/>
        <v>당첨</v>
      </c>
      <c r="BW45" s="127" t="s">
        <v>708</v>
      </c>
      <c r="BX45" s="147">
        <v>18</v>
      </c>
      <c r="BY45" s="30">
        <v>8</v>
      </c>
      <c r="BZ45" s="30">
        <v>8</v>
      </c>
      <c r="CA45" s="30">
        <v>16</v>
      </c>
      <c r="CB45" s="130" t="s">
        <v>530</v>
      </c>
      <c r="CC45" s="27" t="str">
        <f>IF(RIGHT(BX45,1)="1","홀수",IF(RIGHT(BX45,1)="3","홀수",IF(RIGHT(BX45,1)="5","홀수",IF(RIGHT(BX45,1)="7","홀수",IF(RIGHT(BX45,1)="9","홀수","짝수")))))</f>
        <v>짝수</v>
      </c>
      <c r="CD45" s="28">
        <f>IF(CB45="당첨",RANK(BY45,$BY$5:$BY$49),"")</f>
        <v>40</v>
      </c>
      <c r="CF45" s="53">
        <v>7</v>
      </c>
      <c r="CG45" s="53">
        <v>71</v>
      </c>
      <c r="CH45" s="136">
        <v>0.14343434343434344</v>
      </c>
      <c r="CL45" s="28">
        <v>91</v>
      </c>
      <c r="CM45" s="28">
        <v>90</v>
      </c>
      <c r="CO45"/>
    </row>
    <row r="46" spans="2:93" ht="16.5">
      <c r="B46" s="17">
        <v>42</v>
      </c>
      <c r="C46" s="363" t="s">
        <v>72</v>
      </c>
      <c r="D46" s="18">
        <v>6</v>
      </c>
      <c r="E46" s="20">
        <v>6899280100</v>
      </c>
      <c r="F46" s="18">
        <v>35</v>
      </c>
      <c r="G46" s="20">
        <v>131479800</v>
      </c>
      <c r="H46" s="20">
        <v>1405</v>
      </c>
      <c r="I46" s="20">
        <v>3275200</v>
      </c>
      <c r="J46" s="20">
        <v>79543</v>
      </c>
      <c r="K46" s="20">
        <v>115700</v>
      </c>
      <c r="L46" s="20">
        <v>1393691</v>
      </c>
      <c r="M46" s="20">
        <v>10000</v>
      </c>
      <c r="N46" s="167">
        <v>17</v>
      </c>
      <c r="O46" s="167">
        <v>18</v>
      </c>
      <c r="P46" s="167">
        <v>19</v>
      </c>
      <c r="Q46" s="167">
        <v>21</v>
      </c>
      <c r="R46" s="167">
        <v>23</v>
      </c>
      <c r="S46" s="167">
        <v>32</v>
      </c>
      <c r="T46" s="167">
        <v>1</v>
      </c>
      <c r="U46" s="28">
        <f t="shared" si="22"/>
        <v>130</v>
      </c>
      <c r="W46" s="66" t="str">
        <f t="shared" si="0"/>
        <v>홀수</v>
      </c>
      <c r="X46" s="66" t="str">
        <f t="shared" si="1"/>
        <v>짝수</v>
      </c>
      <c r="Y46" s="66" t="str">
        <f t="shared" si="2"/>
        <v>홀수</v>
      </c>
      <c r="Z46" s="66" t="str">
        <f t="shared" si="53"/>
        <v>홀수</v>
      </c>
      <c r="AA46" s="66" t="str">
        <f t="shared" si="54"/>
        <v>홀수</v>
      </c>
      <c r="AB46" s="66" t="str">
        <f t="shared" si="55"/>
        <v>짝수</v>
      </c>
      <c r="AC46" s="58" t="str">
        <f t="shared" si="56"/>
        <v>4 : 2</v>
      </c>
      <c r="AD46" s="66">
        <f t="shared" si="57"/>
        <v>4</v>
      </c>
      <c r="AE46" s="66">
        <f t="shared" si="58"/>
        <v>2</v>
      </c>
      <c r="AF46" s="66" t="str">
        <f t="shared" si="23"/>
        <v>저수</v>
      </c>
      <c r="AG46" s="66" t="str">
        <f t="shared" si="24"/>
        <v>저수</v>
      </c>
      <c r="AH46" s="66" t="str">
        <f t="shared" si="25"/>
        <v>저수</v>
      </c>
      <c r="AI46" s="66" t="str">
        <f t="shared" si="26"/>
        <v>저수</v>
      </c>
      <c r="AJ46" s="66" t="str">
        <f t="shared" si="27"/>
        <v>고수</v>
      </c>
      <c r="AK46" s="66" t="str">
        <f t="shared" si="28"/>
        <v>고수</v>
      </c>
      <c r="AL46" s="58" t="str">
        <f t="shared" si="29"/>
        <v>4 : 2</v>
      </c>
      <c r="AM46" s="66">
        <f t="shared" si="30"/>
        <v>4</v>
      </c>
      <c r="AN46" s="66">
        <f t="shared" si="31"/>
        <v>2</v>
      </c>
      <c r="AO46" s="66">
        <f t="shared" si="32"/>
        <v>30</v>
      </c>
      <c r="AP46" s="66" t="str">
        <f t="shared" si="33"/>
        <v>O</v>
      </c>
      <c r="AQ46" s="66" t="str">
        <f t="shared" si="34"/>
        <v>X</v>
      </c>
      <c r="AR46" s="66" t="str">
        <f t="shared" si="35"/>
        <v>O</v>
      </c>
      <c r="AS46" s="66" t="str">
        <f t="shared" si="36"/>
        <v>X</v>
      </c>
      <c r="AT46" s="66" t="str">
        <f t="shared" si="37"/>
        <v>X</v>
      </c>
      <c r="AU46" s="66" t="str">
        <f t="shared" si="38"/>
        <v>X</v>
      </c>
      <c r="AV46" s="66" t="str">
        <f t="shared" si="39"/>
        <v>X</v>
      </c>
      <c r="AW46" s="66" t="str">
        <f t="shared" si="40"/>
        <v>X</v>
      </c>
      <c r="AX46" s="66" t="str">
        <f t="shared" si="41"/>
        <v>X</v>
      </c>
      <c r="AY46" s="66" t="str">
        <f t="shared" si="42"/>
        <v>X</v>
      </c>
      <c r="AZ46" s="66" t="str">
        <f t="shared" si="43"/>
        <v>O</v>
      </c>
      <c r="BA46" s="66" t="str">
        <f t="shared" si="44"/>
        <v>X</v>
      </c>
      <c r="BB46" s="66">
        <f t="shared" si="45"/>
        <v>3</v>
      </c>
      <c r="BC46" s="127" t="str">
        <f t="shared" si="7"/>
        <v>2G</v>
      </c>
      <c r="BD46" s="127" t="str">
        <f t="shared" si="8"/>
        <v>2G</v>
      </c>
      <c r="BE46" s="127" t="str">
        <f t="shared" si="9"/>
        <v>2G</v>
      </c>
      <c r="BF46" s="127" t="str">
        <f t="shared" si="10"/>
        <v>2G</v>
      </c>
      <c r="BG46" s="127" t="str">
        <f t="shared" si="11"/>
        <v>2G</v>
      </c>
      <c r="BH46" s="127" t="str">
        <f t="shared" si="12"/>
        <v>3G</v>
      </c>
      <c r="BI46" s="127">
        <f t="shared" si="46"/>
        <v>0</v>
      </c>
      <c r="BJ46" s="127">
        <f t="shared" si="47"/>
        <v>5</v>
      </c>
      <c r="BK46" s="127">
        <f t="shared" si="48"/>
        <v>1</v>
      </c>
      <c r="BL46" s="127" t="str">
        <f t="shared" si="49"/>
        <v>051</v>
      </c>
      <c r="BO46" s="45">
        <v>41</v>
      </c>
      <c r="BP46" s="46">
        <f t="shared" si="13"/>
        <v>95</v>
      </c>
      <c r="BQ46" s="47">
        <f t="shared" si="14"/>
        <v>43</v>
      </c>
      <c r="BR46" s="146">
        <v>42</v>
      </c>
      <c r="BS46" s="29">
        <f t="shared" si="59"/>
        <v>31</v>
      </c>
      <c r="BT46" s="29">
        <f t="shared" si="50"/>
        <v>30</v>
      </c>
      <c r="BU46" s="57">
        <f t="shared" si="51"/>
        <v>61</v>
      </c>
      <c r="BV46" s="32" t="str">
        <f t="shared" si="52"/>
        <v>당첨</v>
      </c>
      <c r="BW46" s="127" t="s">
        <v>826</v>
      </c>
      <c r="BX46" s="147">
        <v>21</v>
      </c>
      <c r="BY46" s="30">
        <v>8</v>
      </c>
      <c r="BZ46" s="30">
        <v>7</v>
      </c>
      <c r="CA46" s="30">
        <v>15</v>
      </c>
      <c r="CB46" s="130" t="s">
        <v>530</v>
      </c>
      <c r="CC46" s="27" t="str">
        <f>IF(RIGHT(BX46,1)="1","홀수",IF(RIGHT(BX46,1)="3","홀수",IF(RIGHT(BX46,1)="5","홀수",IF(RIGHT(BX46,1)="7","홀수",IF(RIGHT(BX46,1)="9","홀수","짝수")))))</f>
        <v>홀수</v>
      </c>
      <c r="CD46" s="28">
        <f>IF(CB46="당첨",RANK(BY46,$BY$5:$BY$49),"")</f>
        <v>40</v>
      </c>
      <c r="CF46" s="53">
        <v>6</v>
      </c>
      <c r="CG46" s="53">
        <v>45</v>
      </c>
      <c r="CH46" s="136">
        <v>9.0909090909090912E-2</v>
      </c>
      <c r="CL46" s="28">
        <v>91</v>
      </c>
      <c r="CM46" s="28">
        <v>90</v>
      </c>
      <c r="CO46"/>
    </row>
    <row r="47" spans="2:93" ht="16.5">
      <c r="B47" s="17">
        <v>43</v>
      </c>
      <c r="C47" s="363" t="s">
        <v>73</v>
      </c>
      <c r="D47" s="18">
        <v>1</v>
      </c>
      <c r="E47" s="20">
        <v>17749630800</v>
      </c>
      <c r="F47" s="18">
        <v>21</v>
      </c>
      <c r="G47" s="20">
        <v>140870000</v>
      </c>
      <c r="H47" s="18">
        <v>926</v>
      </c>
      <c r="I47" s="20">
        <v>3194600</v>
      </c>
      <c r="J47" s="20">
        <v>45078</v>
      </c>
      <c r="K47" s="20">
        <v>131200</v>
      </c>
      <c r="L47" s="20">
        <v>776043</v>
      </c>
      <c r="M47" s="20">
        <v>10000</v>
      </c>
      <c r="N47" s="167">
        <v>6</v>
      </c>
      <c r="O47" s="167">
        <v>31</v>
      </c>
      <c r="P47" s="167">
        <v>35</v>
      </c>
      <c r="Q47" s="167">
        <v>38</v>
      </c>
      <c r="R47" s="167">
        <v>39</v>
      </c>
      <c r="S47" s="167">
        <v>44</v>
      </c>
      <c r="T47" s="167">
        <v>1</v>
      </c>
      <c r="U47" s="28">
        <f t="shared" si="22"/>
        <v>193</v>
      </c>
      <c r="W47" s="66" t="str">
        <f t="shared" si="0"/>
        <v>짝수</v>
      </c>
      <c r="X47" s="66" t="str">
        <f t="shared" si="1"/>
        <v>홀수</v>
      </c>
      <c r="Y47" s="66" t="str">
        <f t="shared" si="2"/>
        <v>홀수</v>
      </c>
      <c r="Z47" s="66" t="str">
        <f t="shared" si="53"/>
        <v>짝수</v>
      </c>
      <c r="AA47" s="66" t="str">
        <f t="shared" si="54"/>
        <v>홀수</v>
      </c>
      <c r="AB47" s="66" t="str">
        <f t="shared" si="55"/>
        <v>짝수</v>
      </c>
      <c r="AC47" s="58" t="str">
        <f t="shared" si="56"/>
        <v>3 : 3</v>
      </c>
      <c r="AD47" s="66">
        <f t="shared" si="57"/>
        <v>3</v>
      </c>
      <c r="AE47" s="66">
        <f t="shared" si="58"/>
        <v>3</v>
      </c>
      <c r="AF47" s="66" t="str">
        <f t="shared" si="23"/>
        <v>저수</v>
      </c>
      <c r="AG47" s="66" t="str">
        <f t="shared" si="24"/>
        <v>고수</v>
      </c>
      <c r="AH47" s="66" t="str">
        <f t="shared" si="25"/>
        <v>고수</v>
      </c>
      <c r="AI47" s="66" t="str">
        <f t="shared" si="26"/>
        <v>고수</v>
      </c>
      <c r="AJ47" s="66" t="str">
        <f t="shared" si="27"/>
        <v>고수</v>
      </c>
      <c r="AK47" s="66" t="str">
        <f t="shared" si="28"/>
        <v>고수</v>
      </c>
      <c r="AL47" s="58" t="str">
        <f t="shared" si="29"/>
        <v>1 : 5</v>
      </c>
      <c r="AM47" s="66">
        <f t="shared" si="30"/>
        <v>1</v>
      </c>
      <c r="AN47" s="66">
        <f t="shared" si="31"/>
        <v>5</v>
      </c>
      <c r="AO47" s="66">
        <f t="shared" si="32"/>
        <v>33</v>
      </c>
      <c r="AP47" s="66" t="str">
        <f t="shared" si="33"/>
        <v>X</v>
      </c>
      <c r="AQ47" s="66" t="str">
        <f t="shared" si="34"/>
        <v>X</v>
      </c>
      <c r="AR47" s="66" t="str">
        <f t="shared" si="35"/>
        <v>X</v>
      </c>
      <c r="AS47" s="66" t="str">
        <f t="shared" si="36"/>
        <v>X</v>
      </c>
      <c r="AT47" s="66" t="str">
        <f t="shared" si="37"/>
        <v>X</v>
      </c>
      <c r="AU47" s="66" t="str">
        <f t="shared" si="38"/>
        <v>X</v>
      </c>
      <c r="AV47" s="66" t="str">
        <f t="shared" si="39"/>
        <v>X</v>
      </c>
      <c r="AW47" s="66" t="str">
        <f t="shared" si="40"/>
        <v>O</v>
      </c>
      <c r="AX47" s="66" t="str">
        <f t="shared" si="41"/>
        <v>X</v>
      </c>
      <c r="AY47" s="66" t="str">
        <f t="shared" si="42"/>
        <v>X</v>
      </c>
      <c r="AZ47" s="66" t="str">
        <f t="shared" si="43"/>
        <v>X</v>
      </c>
      <c r="BA47" s="66" t="str">
        <f t="shared" si="44"/>
        <v>X</v>
      </c>
      <c r="BB47" s="66">
        <f t="shared" si="45"/>
        <v>1</v>
      </c>
      <c r="BC47" s="127" t="str">
        <f t="shared" si="7"/>
        <v>1G</v>
      </c>
      <c r="BD47" s="127" t="str">
        <f t="shared" si="8"/>
        <v>3G</v>
      </c>
      <c r="BE47" s="127" t="str">
        <f t="shared" si="9"/>
        <v>3G</v>
      </c>
      <c r="BF47" s="127" t="str">
        <f t="shared" si="10"/>
        <v>3G</v>
      </c>
      <c r="BG47" s="127" t="str">
        <f t="shared" si="11"/>
        <v>3G</v>
      </c>
      <c r="BH47" s="127" t="str">
        <f t="shared" si="12"/>
        <v>3G</v>
      </c>
      <c r="BI47" s="127">
        <f t="shared" si="46"/>
        <v>1</v>
      </c>
      <c r="BJ47" s="127">
        <f t="shared" si="47"/>
        <v>0</v>
      </c>
      <c r="BK47" s="127">
        <f t="shared" si="48"/>
        <v>5</v>
      </c>
      <c r="BL47" s="127" t="str">
        <f t="shared" si="49"/>
        <v>105</v>
      </c>
      <c r="BO47" s="45">
        <v>28</v>
      </c>
      <c r="BP47" s="46">
        <f t="shared" si="13"/>
        <v>99</v>
      </c>
      <c r="BQ47" s="47">
        <f t="shared" si="14"/>
        <v>40</v>
      </c>
      <c r="BR47" s="146">
        <v>43</v>
      </c>
      <c r="BS47" s="29">
        <f t="shared" si="59"/>
        <v>44</v>
      </c>
      <c r="BT47" s="29">
        <f t="shared" si="50"/>
        <v>42</v>
      </c>
      <c r="BU47" s="57">
        <f t="shared" si="51"/>
        <v>86</v>
      </c>
      <c r="BV47" s="32" t="str">
        <f t="shared" si="52"/>
        <v>당첨</v>
      </c>
      <c r="BW47" s="127" t="s">
        <v>708</v>
      </c>
      <c r="BX47" s="147">
        <v>22</v>
      </c>
      <c r="BY47" s="30">
        <v>14</v>
      </c>
      <c r="BZ47" s="30">
        <v>14</v>
      </c>
      <c r="CA47" s="30">
        <v>28</v>
      </c>
      <c r="CB47" s="130" t="s">
        <v>530</v>
      </c>
      <c r="CC47" s="27" t="str">
        <f>IF(RIGHT(BX46,1)="1","홀수",IF(RIGHT(BX46,1)="3","홀수",IF(RIGHT(BX46,1)="5","홀수",IF(RIGHT(BX46,1)="7","홀수",IF(RIGHT(BX46,1)="9","홀수","짝수")))))</f>
        <v>홀수</v>
      </c>
      <c r="CD47" s="28">
        <f>IF(CB47="당첨",RANK(BY46,$BY$5:$BY$49),"")</f>
        <v>40</v>
      </c>
      <c r="CF47" s="53">
        <v>5</v>
      </c>
      <c r="CG47" s="53">
        <v>12</v>
      </c>
      <c r="CH47" s="136">
        <v>2.4242424242424242E-2</v>
      </c>
      <c r="CL47" s="28">
        <v>91</v>
      </c>
      <c r="CM47" s="28">
        <v>90</v>
      </c>
      <c r="CO47"/>
    </row>
    <row r="48" spans="2:93" ht="16.5">
      <c r="B48" s="17">
        <v>44</v>
      </c>
      <c r="C48" s="363" t="s">
        <v>74</v>
      </c>
      <c r="D48" s="18">
        <v>5</v>
      </c>
      <c r="E48" s="20">
        <v>3362155800</v>
      </c>
      <c r="F48" s="18">
        <v>23</v>
      </c>
      <c r="G48" s="20">
        <v>121817200</v>
      </c>
      <c r="H48" s="18">
        <v>785</v>
      </c>
      <c r="I48" s="20">
        <v>3569100</v>
      </c>
      <c r="J48" s="20">
        <v>40092</v>
      </c>
      <c r="K48" s="20">
        <v>139700</v>
      </c>
      <c r="L48" s="20">
        <v>696051</v>
      </c>
      <c r="M48" s="20">
        <v>10000</v>
      </c>
      <c r="N48" s="167">
        <v>3</v>
      </c>
      <c r="O48" s="167">
        <v>11</v>
      </c>
      <c r="P48" s="167">
        <v>21</v>
      </c>
      <c r="Q48" s="167">
        <v>30</v>
      </c>
      <c r="R48" s="167">
        <v>38</v>
      </c>
      <c r="S48" s="167">
        <v>45</v>
      </c>
      <c r="T48" s="167">
        <v>39</v>
      </c>
      <c r="U48" s="28">
        <f t="shared" si="22"/>
        <v>148</v>
      </c>
      <c r="W48" s="66" t="str">
        <f t="shared" si="0"/>
        <v>홀수</v>
      </c>
      <c r="X48" s="66" t="str">
        <f t="shared" si="1"/>
        <v>홀수</v>
      </c>
      <c r="Y48" s="66" t="str">
        <f t="shared" si="2"/>
        <v>홀수</v>
      </c>
      <c r="Z48" s="66" t="str">
        <f t="shared" si="53"/>
        <v>짝수</v>
      </c>
      <c r="AA48" s="66" t="str">
        <f t="shared" si="54"/>
        <v>짝수</v>
      </c>
      <c r="AB48" s="66" t="str">
        <f t="shared" si="55"/>
        <v>홀수</v>
      </c>
      <c r="AC48" s="58" t="str">
        <f t="shared" si="56"/>
        <v>4 : 2</v>
      </c>
      <c r="AD48" s="66">
        <f t="shared" si="57"/>
        <v>4</v>
      </c>
      <c r="AE48" s="66">
        <f t="shared" si="58"/>
        <v>2</v>
      </c>
      <c r="AF48" s="66" t="str">
        <f t="shared" si="23"/>
        <v>저수</v>
      </c>
      <c r="AG48" s="66" t="str">
        <f t="shared" si="24"/>
        <v>저수</v>
      </c>
      <c r="AH48" s="66" t="str">
        <f t="shared" si="25"/>
        <v>저수</v>
      </c>
      <c r="AI48" s="66" t="str">
        <f t="shared" si="26"/>
        <v>고수</v>
      </c>
      <c r="AJ48" s="66" t="str">
        <f t="shared" si="27"/>
        <v>고수</v>
      </c>
      <c r="AK48" s="66" t="str">
        <f t="shared" si="28"/>
        <v>고수</v>
      </c>
      <c r="AL48" s="58" t="str">
        <f t="shared" si="29"/>
        <v>3 : 3</v>
      </c>
      <c r="AM48" s="66">
        <f t="shared" si="30"/>
        <v>3</v>
      </c>
      <c r="AN48" s="66">
        <f t="shared" si="31"/>
        <v>3</v>
      </c>
      <c r="AO48" s="66">
        <f t="shared" si="32"/>
        <v>18</v>
      </c>
      <c r="AP48" s="66" t="str">
        <f t="shared" si="33"/>
        <v>O</v>
      </c>
      <c r="AQ48" s="66" t="str">
        <f t="shared" si="34"/>
        <v>O</v>
      </c>
      <c r="AR48" s="66" t="str">
        <f t="shared" si="35"/>
        <v>X</v>
      </c>
      <c r="AS48" s="66" t="str">
        <f t="shared" si="36"/>
        <v>X</v>
      </c>
      <c r="AT48" s="66" t="str">
        <f t="shared" si="37"/>
        <v>X</v>
      </c>
      <c r="AU48" s="66" t="str">
        <f t="shared" si="38"/>
        <v>X</v>
      </c>
      <c r="AV48" s="66" t="str">
        <f t="shared" si="39"/>
        <v>X</v>
      </c>
      <c r="AW48" s="66" t="str">
        <f t="shared" si="40"/>
        <v>X</v>
      </c>
      <c r="AX48" s="66" t="str">
        <f t="shared" si="41"/>
        <v>X</v>
      </c>
      <c r="AY48" s="66" t="str">
        <f t="shared" si="42"/>
        <v>X</v>
      </c>
      <c r="AZ48" s="66" t="str">
        <f t="shared" si="43"/>
        <v>X</v>
      </c>
      <c r="BA48" s="66" t="str">
        <f t="shared" si="44"/>
        <v>X</v>
      </c>
      <c r="BB48" s="66">
        <f t="shared" si="45"/>
        <v>2</v>
      </c>
      <c r="BC48" s="127" t="str">
        <f t="shared" si="7"/>
        <v>1G</v>
      </c>
      <c r="BD48" s="127" t="str">
        <f t="shared" si="8"/>
        <v>1G</v>
      </c>
      <c r="BE48" s="127" t="str">
        <f t="shared" si="9"/>
        <v>2G</v>
      </c>
      <c r="BF48" s="127" t="str">
        <f t="shared" si="10"/>
        <v>2G</v>
      </c>
      <c r="BG48" s="127" t="str">
        <f t="shared" si="11"/>
        <v>3G</v>
      </c>
      <c r="BH48" s="127" t="str">
        <f t="shared" si="12"/>
        <v>3G</v>
      </c>
      <c r="BI48" s="127">
        <f t="shared" si="46"/>
        <v>2</v>
      </c>
      <c r="BJ48" s="127">
        <f t="shared" si="47"/>
        <v>2</v>
      </c>
      <c r="BK48" s="127">
        <f t="shared" si="48"/>
        <v>2</v>
      </c>
      <c r="BL48" s="127" t="str">
        <f t="shared" si="49"/>
        <v>222</v>
      </c>
      <c r="BO48" s="45">
        <v>22</v>
      </c>
      <c r="BP48" s="46">
        <f t="shared" si="13"/>
        <v>90</v>
      </c>
      <c r="BQ48" s="47">
        <f t="shared" si="14"/>
        <v>44</v>
      </c>
      <c r="BR48" s="146">
        <v>44</v>
      </c>
      <c r="BS48" s="29">
        <f t="shared" si="59"/>
        <v>43</v>
      </c>
      <c r="BT48" s="29">
        <f t="shared" si="50"/>
        <v>42</v>
      </c>
      <c r="BU48" s="57">
        <f t="shared" si="51"/>
        <v>85</v>
      </c>
      <c r="BV48" s="32" t="str">
        <f t="shared" si="52"/>
        <v>당첨</v>
      </c>
      <c r="BW48" s="127" t="s">
        <v>708</v>
      </c>
      <c r="BX48" s="147">
        <v>9</v>
      </c>
      <c r="BY48" s="30">
        <v>6</v>
      </c>
      <c r="BZ48" s="30">
        <v>6</v>
      </c>
      <c r="CA48" s="30">
        <v>12</v>
      </c>
      <c r="CB48" s="130" t="s">
        <v>530</v>
      </c>
      <c r="CC48" s="27" t="str">
        <f>IF(RIGHT(BX48,1)="1","홀수",IF(RIGHT(BX48,1)="3","홀수",IF(RIGHT(BX48,1)="5","홀수",IF(RIGHT(BX48,1)="7","홀수",IF(RIGHT(BX48,1)="9","홀수","짝수")))))</f>
        <v>홀수</v>
      </c>
      <c r="CD48" s="28">
        <f>IF(CB48="당첨",RANK(BY48,$BY$5:$BY$49),"")</f>
        <v>43</v>
      </c>
      <c r="CF48" s="53">
        <v>4</v>
      </c>
      <c r="CG48" s="53">
        <v>9</v>
      </c>
      <c r="CH48" s="136">
        <v>1.8181818181818181E-2</v>
      </c>
      <c r="CL48" s="28">
        <v>93</v>
      </c>
      <c r="CM48" s="28">
        <v>90</v>
      </c>
      <c r="CO48"/>
    </row>
    <row r="49" spans="1:93" ht="17.25" thickBot="1">
      <c r="B49" s="17">
        <v>45</v>
      </c>
      <c r="C49" s="363" t="s">
        <v>75</v>
      </c>
      <c r="D49" s="18">
        <v>2</v>
      </c>
      <c r="E49" s="20">
        <v>8356417800</v>
      </c>
      <c r="F49" s="18">
        <v>27</v>
      </c>
      <c r="G49" s="20">
        <v>103165600</v>
      </c>
      <c r="H49" s="18">
        <v>890</v>
      </c>
      <c r="I49" s="20">
        <v>3129700</v>
      </c>
      <c r="J49" s="20">
        <v>45470</v>
      </c>
      <c r="K49" s="20">
        <v>122500</v>
      </c>
      <c r="L49" s="20">
        <v>775339</v>
      </c>
      <c r="M49" s="20">
        <v>10000</v>
      </c>
      <c r="N49" s="167">
        <v>1</v>
      </c>
      <c r="O49" s="167">
        <v>10</v>
      </c>
      <c r="P49" s="167">
        <v>20</v>
      </c>
      <c r="Q49" s="167">
        <v>27</v>
      </c>
      <c r="R49" s="167">
        <v>33</v>
      </c>
      <c r="S49" s="167">
        <v>35</v>
      </c>
      <c r="T49" s="167">
        <v>17</v>
      </c>
      <c r="U49" s="28">
        <f t="shared" si="22"/>
        <v>126</v>
      </c>
      <c r="W49" s="66" t="str">
        <f t="shared" si="0"/>
        <v>홀수</v>
      </c>
      <c r="X49" s="66" t="str">
        <f t="shared" si="1"/>
        <v>짝수</v>
      </c>
      <c r="Y49" s="66" t="str">
        <f t="shared" si="2"/>
        <v>짝수</v>
      </c>
      <c r="Z49" s="66" t="str">
        <f t="shared" si="53"/>
        <v>홀수</v>
      </c>
      <c r="AA49" s="66" t="str">
        <f t="shared" si="54"/>
        <v>홀수</v>
      </c>
      <c r="AB49" s="66" t="str">
        <f t="shared" si="55"/>
        <v>홀수</v>
      </c>
      <c r="AC49" s="58" t="str">
        <f t="shared" si="56"/>
        <v>4 : 2</v>
      </c>
      <c r="AD49" s="66">
        <f t="shared" si="57"/>
        <v>4</v>
      </c>
      <c r="AE49" s="66">
        <f t="shared" si="58"/>
        <v>2</v>
      </c>
      <c r="AF49" s="66" t="str">
        <f t="shared" si="23"/>
        <v>저수</v>
      </c>
      <c r="AG49" s="66" t="str">
        <f t="shared" si="24"/>
        <v>저수</v>
      </c>
      <c r="AH49" s="66" t="str">
        <f t="shared" si="25"/>
        <v>저수</v>
      </c>
      <c r="AI49" s="66" t="str">
        <f t="shared" si="26"/>
        <v>고수</v>
      </c>
      <c r="AJ49" s="66" t="str">
        <f t="shared" si="27"/>
        <v>고수</v>
      </c>
      <c r="AK49" s="66" t="str">
        <f t="shared" si="28"/>
        <v>고수</v>
      </c>
      <c r="AL49" s="58" t="str">
        <f t="shared" si="29"/>
        <v>3 : 3</v>
      </c>
      <c r="AM49" s="66">
        <f t="shared" si="30"/>
        <v>3</v>
      </c>
      <c r="AN49" s="66">
        <f t="shared" si="31"/>
        <v>3</v>
      </c>
      <c r="AO49" s="66">
        <f t="shared" si="32"/>
        <v>16</v>
      </c>
      <c r="AP49" s="66" t="str">
        <f t="shared" si="33"/>
        <v>X</v>
      </c>
      <c r="AQ49" s="66" t="str">
        <f t="shared" si="34"/>
        <v>X</v>
      </c>
      <c r="AR49" s="66" t="str">
        <f t="shared" si="35"/>
        <v>X</v>
      </c>
      <c r="AS49" s="66" t="str">
        <f t="shared" si="36"/>
        <v>X</v>
      </c>
      <c r="AT49" s="66" t="str">
        <f t="shared" si="37"/>
        <v>X</v>
      </c>
      <c r="AU49" s="66" t="str">
        <f t="shared" si="38"/>
        <v>X</v>
      </c>
      <c r="AV49" s="66" t="str">
        <f t="shared" si="39"/>
        <v>X</v>
      </c>
      <c r="AW49" s="66" t="str">
        <f t="shared" si="40"/>
        <v>X</v>
      </c>
      <c r="AX49" s="66" t="str">
        <f t="shared" si="41"/>
        <v>X</v>
      </c>
      <c r="AY49" s="66" t="str">
        <f t="shared" si="42"/>
        <v>X</v>
      </c>
      <c r="AZ49" s="66" t="str">
        <f t="shared" si="43"/>
        <v>X</v>
      </c>
      <c r="BA49" s="66" t="str">
        <f t="shared" si="44"/>
        <v>X</v>
      </c>
      <c r="BB49" s="66">
        <f t="shared" si="45"/>
        <v>0</v>
      </c>
      <c r="BC49" s="127" t="str">
        <f t="shared" si="7"/>
        <v>1G</v>
      </c>
      <c r="BD49" s="127" t="str">
        <f t="shared" si="8"/>
        <v>1G</v>
      </c>
      <c r="BE49" s="127" t="str">
        <f t="shared" si="9"/>
        <v>2G</v>
      </c>
      <c r="BF49" s="127" t="str">
        <f t="shared" si="10"/>
        <v>2G</v>
      </c>
      <c r="BG49" s="127" t="str">
        <f t="shared" si="11"/>
        <v>3G</v>
      </c>
      <c r="BH49" s="127" t="str">
        <f t="shared" si="12"/>
        <v>3G</v>
      </c>
      <c r="BI49" s="127">
        <f t="shared" si="46"/>
        <v>2</v>
      </c>
      <c r="BJ49" s="127">
        <f t="shared" si="47"/>
        <v>2</v>
      </c>
      <c r="BK49" s="127">
        <f t="shared" si="48"/>
        <v>2</v>
      </c>
      <c r="BL49" s="127" t="str">
        <f t="shared" si="49"/>
        <v>222</v>
      </c>
      <c r="BO49" s="48">
        <v>9</v>
      </c>
      <c r="BP49" s="49">
        <f t="shared" si="13"/>
        <v>87</v>
      </c>
      <c r="BQ49" s="50">
        <f t="shared" si="14"/>
        <v>45</v>
      </c>
      <c r="BR49" s="146">
        <v>45</v>
      </c>
      <c r="BS49" s="29">
        <f t="shared" si="59"/>
        <v>31</v>
      </c>
      <c r="BT49" s="29">
        <f t="shared" si="50"/>
        <v>31</v>
      </c>
      <c r="BU49" s="57">
        <f t="shared" si="51"/>
        <v>62</v>
      </c>
      <c r="BV49" s="32" t="str">
        <f t="shared" si="52"/>
        <v>당첨</v>
      </c>
      <c r="BW49" s="127" t="s">
        <v>708</v>
      </c>
      <c r="BX49" s="337">
        <v>19</v>
      </c>
      <c r="BY49" s="30">
        <v>6</v>
      </c>
      <c r="BZ49" s="30">
        <v>6</v>
      </c>
      <c r="CA49" s="30">
        <v>12</v>
      </c>
      <c r="CB49" s="130" t="s">
        <v>530</v>
      </c>
      <c r="CC49" s="27" t="str">
        <f>IF(RIGHT(BX49,1)="1","홀수",IF(RIGHT(BX49,1)="3","홀수",IF(RIGHT(BX49,1)="5","홀수",IF(RIGHT(BX49,1)="7","홀수",IF(RIGHT(BX49,1)="9","홀수","짝수")))))</f>
        <v>홀수</v>
      </c>
      <c r="CD49" s="28">
        <f>IF(CB49="당첨",RANK(BY49,$BY$5:$BY$49),"")</f>
        <v>43</v>
      </c>
      <c r="CF49" s="53">
        <v>3</v>
      </c>
      <c r="CG49" s="53">
        <v>3</v>
      </c>
      <c r="CH49" s="136">
        <v>6.0606060606060606E-3</v>
      </c>
      <c r="CL49" s="28">
        <v>93</v>
      </c>
      <c r="CM49" s="28">
        <v>90</v>
      </c>
      <c r="CO49"/>
    </row>
    <row r="50" spans="1:93" ht="16.5">
      <c r="B50" s="17">
        <v>46</v>
      </c>
      <c r="C50" s="363" t="s">
        <v>76</v>
      </c>
      <c r="D50" s="18">
        <v>3</v>
      </c>
      <c r="E50" s="20">
        <v>5327758800</v>
      </c>
      <c r="F50" s="18">
        <v>39</v>
      </c>
      <c r="G50" s="20">
        <v>68304600</v>
      </c>
      <c r="H50" s="20">
        <v>1043</v>
      </c>
      <c r="I50" s="20">
        <v>2554000</v>
      </c>
      <c r="J50" s="20">
        <v>45243</v>
      </c>
      <c r="K50" s="20">
        <v>117700</v>
      </c>
      <c r="L50" s="20">
        <v>745199</v>
      </c>
      <c r="M50" s="20">
        <v>10000</v>
      </c>
      <c r="N50" s="167">
        <v>8</v>
      </c>
      <c r="O50" s="167">
        <v>13</v>
      </c>
      <c r="P50" s="167">
        <v>15</v>
      </c>
      <c r="Q50" s="167">
        <v>23</v>
      </c>
      <c r="R50" s="167">
        <v>31</v>
      </c>
      <c r="S50" s="167">
        <v>38</v>
      </c>
      <c r="T50" s="167">
        <v>39</v>
      </c>
      <c r="U50" s="28">
        <f t="shared" si="22"/>
        <v>128</v>
      </c>
      <c r="W50" s="66" t="str">
        <f t="shared" ref="W50:Y53" si="64">IF(RIGHT(N50,1)="1","홀수",IF(RIGHT(N50,1)="3","홀수",IF(RIGHT(N50,1)="5","홀수",IF(RIGHT(N50,1)="7","홀수",IF(RIGHT(N50,1)="9","홀수","짝수")))))</f>
        <v>짝수</v>
      </c>
      <c r="X50" s="66" t="str">
        <f t="shared" si="64"/>
        <v>홀수</v>
      </c>
      <c r="Y50" s="66" t="str">
        <f t="shared" si="64"/>
        <v>홀수</v>
      </c>
      <c r="Z50" s="66" t="str">
        <f t="shared" si="53"/>
        <v>홀수</v>
      </c>
      <c r="AA50" s="66" t="str">
        <f t="shared" si="54"/>
        <v>홀수</v>
      </c>
      <c r="AB50" s="66" t="str">
        <f t="shared" si="55"/>
        <v>짝수</v>
      </c>
      <c r="AC50" s="58" t="str">
        <f t="shared" si="56"/>
        <v>4 : 2</v>
      </c>
      <c r="AD50" s="66">
        <f t="shared" si="57"/>
        <v>4</v>
      </c>
      <c r="AE50" s="66">
        <f t="shared" si="58"/>
        <v>2</v>
      </c>
      <c r="AF50" s="66" t="str">
        <f t="shared" si="23"/>
        <v>저수</v>
      </c>
      <c r="AG50" s="66" t="str">
        <f t="shared" si="24"/>
        <v>저수</v>
      </c>
      <c r="AH50" s="66" t="str">
        <f t="shared" si="25"/>
        <v>저수</v>
      </c>
      <c r="AI50" s="66" t="str">
        <f t="shared" si="26"/>
        <v>고수</v>
      </c>
      <c r="AJ50" s="66" t="str">
        <f t="shared" si="27"/>
        <v>고수</v>
      </c>
      <c r="AK50" s="66" t="str">
        <f t="shared" si="28"/>
        <v>고수</v>
      </c>
      <c r="AL50" s="58" t="str">
        <f t="shared" si="29"/>
        <v>3 : 3</v>
      </c>
      <c r="AM50" s="66">
        <f t="shared" si="30"/>
        <v>3</v>
      </c>
      <c r="AN50" s="66">
        <f t="shared" si="31"/>
        <v>3</v>
      </c>
      <c r="AO50" s="66">
        <f t="shared" si="32"/>
        <v>28</v>
      </c>
      <c r="AP50" s="66" t="str">
        <f t="shared" si="33"/>
        <v>X</v>
      </c>
      <c r="AQ50" s="66" t="str">
        <f t="shared" si="34"/>
        <v>O</v>
      </c>
      <c r="AR50" s="66" t="str">
        <f t="shared" si="35"/>
        <v>X</v>
      </c>
      <c r="AS50" s="66" t="str">
        <f t="shared" si="36"/>
        <v>X</v>
      </c>
      <c r="AT50" s="66" t="str">
        <f t="shared" si="37"/>
        <v>X</v>
      </c>
      <c r="AU50" s="66" t="str">
        <f t="shared" si="38"/>
        <v>X</v>
      </c>
      <c r="AV50" s="66" t="str">
        <f t="shared" si="39"/>
        <v>X</v>
      </c>
      <c r="AW50" s="66" t="str">
        <f t="shared" si="40"/>
        <v>X</v>
      </c>
      <c r="AX50" s="66" t="str">
        <f t="shared" si="41"/>
        <v>X</v>
      </c>
      <c r="AY50" s="66" t="str">
        <f t="shared" si="42"/>
        <v>O</v>
      </c>
      <c r="AZ50" s="66" t="str">
        <f t="shared" si="43"/>
        <v>O</v>
      </c>
      <c r="BA50" s="66" t="str">
        <f t="shared" si="44"/>
        <v>X</v>
      </c>
      <c r="BB50" s="66">
        <f t="shared" si="45"/>
        <v>3</v>
      </c>
      <c r="BC50" s="127" t="str">
        <f t="shared" si="7"/>
        <v>1G</v>
      </c>
      <c r="BD50" s="127" t="str">
        <f t="shared" si="8"/>
        <v>1G</v>
      </c>
      <c r="BE50" s="127" t="str">
        <f t="shared" si="9"/>
        <v>1G</v>
      </c>
      <c r="BF50" s="127" t="str">
        <f t="shared" si="10"/>
        <v>2G</v>
      </c>
      <c r="BG50" s="127" t="str">
        <f t="shared" si="11"/>
        <v>3G</v>
      </c>
      <c r="BH50" s="127" t="str">
        <f t="shared" si="12"/>
        <v>3G</v>
      </c>
      <c r="BI50" s="127">
        <f t="shared" si="46"/>
        <v>3</v>
      </c>
      <c r="BJ50" s="127">
        <f t="shared" si="47"/>
        <v>1</v>
      </c>
      <c r="BK50" s="127">
        <f t="shared" si="48"/>
        <v>2</v>
      </c>
      <c r="BL50" s="127" t="str">
        <f t="shared" si="49"/>
        <v>312</v>
      </c>
      <c r="BS50" s="539" t="s">
        <v>746</v>
      </c>
      <c r="BT50" s="539"/>
      <c r="BU50" s="539"/>
      <c r="CF50" s="53">
        <v>2</v>
      </c>
      <c r="CG50" s="53">
        <v>2</v>
      </c>
      <c r="CH50" s="136">
        <v>4.0404040404040404E-3</v>
      </c>
      <c r="CL50" s="28">
        <v>93</v>
      </c>
      <c r="CM50" s="28">
        <v>90</v>
      </c>
      <c r="CO50"/>
    </row>
    <row r="51" spans="1:93" ht="16.5">
      <c r="B51" s="17">
        <v>47</v>
      </c>
      <c r="C51" s="363" t="s">
        <v>77</v>
      </c>
      <c r="D51" s="18">
        <v>5</v>
      </c>
      <c r="E51" s="20">
        <v>3250042400</v>
      </c>
      <c r="F51" s="18">
        <v>11</v>
      </c>
      <c r="G51" s="20">
        <v>246215300</v>
      </c>
      <c r="H51" s="18">
        <v>902</v>
      </c>
      <c r="I51" s="20">
        <v>3002600</v>
      </c>
      <c r="J51" s="20">
        <v>40580</v>
      </c>
      <c r="K51" s="20">
        <v>133400</v>
      </c>
      <c r="L51" s="20">
        <v>679466</v>
      </c>
      <c r="M51" s="20">
        <v>10000</v>
      </c>
      <c r="N51" s="167">
        <v>14</v>
      </c>
      <c r="O51" s="167">
        <v>17</v>
      </c>
      <c r="P51" s="167">
        <v>26</v>
      </c>
      <c r="Q51" s="167">
        <v>31</v>
      </c>
      <c r="R51" s="167">
        <v>36</v>
      </c>
      <c r="S51" s="167">
        <v>45</v>
      </c>
      <c r="T51" s="167">
        <v>27</v>
      </c>
      <c r="U51" s="28">
        <f t="shared" si="22"/>
        <v>169</v>
      </c>
      <c r="W51" s="66" t="str">
        <f t="shared" si="64"/>
        <v>짝수</v>
      </c>
      <c r="X51" s="66" t="str">
        <f t="shared" si="64"/>
        <v>홀수</v>
      </c>
      <c r="Y51" s="66" t="str">
        <f t="shared" si="64"/>
        <v>짝수</v>
      </c>
      <c r="Z51" s="66" t="str">
        <f t="shared" si="53"/>
        <v>홀수</v>
      </c>
      <c r="AA51" s="66" t="str">
        <f t="shared" si="54"/>
        <v>짝수</v>
      </c>
      <c r="AB51" s="66" t="str">
        <f t="shared" si="55"/>
        <v>홀수</v>
      </c>
      <c r="AC51" s="58" t="str">
        <f t="shared" si="56"/>
        <v>3 : 3</v>
      </c>
      <c r="AD51" s="66">
        <f t="shared" si="57"/>
        <v>3</v>
      </c>
      <c r="AE51" s="66">
        <f t="shared" si="58"/>
        <v>3</v>
      </c>
      <c r="AF51" s="66" t="str">
        <f t="shared" si="23"/>
        <v>저수</v>
      </c>
      <c r="AG51" s="66" t="str">
        <f t="shared" si="24"/>
        <v>저수</v>
      </c>
      <c r="AH51" s="66" t="str">
        <f t="shared" si="25"/>
        <v>고수</v>
      </c>
      <c r="AI51" s="66" t="str">
        <f t="shared" si="26"/>
        <v>고수</v>
      </c>
      <c r="AJ51" s="66" t="str">
        <f t="shared" si="27"/>
        <v>고수</v>
      </c>
      <c r="AK51" s="66" t="str">
        <f t="shared" si="28"/>
        <v>고수</v>
      </c>
      <c r="AL51" s="58" t="str">
        <f t="shared" si="29"/>
        <v>2 : 4</v>
      </c>
      <c r="AM51" s="66">
        <f t="shared" si="30"/>
        <v>2</v>
      </c>
      <c r="AN51" s="66">
        <f t="shared" si="31"/>
        <v>4</v>
      </c>
      <c r="AO51" s="66">
        <f t="shared" si="32"/>
        <v>29</v>
      </c>
      <c r="AP51" s="66" t="str">
        <f t="shared" si="33"/>
        <v>X</v>
      </c>
      <c r="AQ51" s="66" t="str">
        <f t="shared" si="34"/>
        <v>O</v>
      </c>
      <c r="AR51" s="66" t="str">
        <f t="shared" si="35"/>
        <v>X</v>
      </c>
      <c r="AS51" s="66" t="str">
        <f t="shared" si="36"/>
        <v>X</v>
      </c>
      <c r="AT51" s="66" t="str">
        <f t="shared" si="37"/>
        <v>X</v>
      </c>
      <c r="AU51" s="66" t="str">
        <f t="shared" si="38"/>
        <v>X</v>
      </c>
      <c r="AV51" s="66" t="str">
        <f t="shared" si="39"/>
        <v>X</v>
      </c>
      <c r="AW51" s="66" t="str">
        <f t="shared" si="40"/>
        <v>X</v>
      </c>
      <c r="AX51" s="66" t="str">
        <f t="shared" si="41"/>
        <v>X</v>
      </c>
      <c r="AY51" s="66" t="str">
        <f t="shared" si="42"/>
        <v>O</v>
      </c>
      <c r="AZ51" s="66" t="str">
        <f t="shared" si="43"/>
        <v>X</v>
      </c>
      <c r="BA51" s="66" t="str">
        <f t="shared" si="44"/>
        <v>X</v>
      </c>
      <c r="BB51" s="66">
        <f t="shared" si="45"/>
        <v>2</v>
      </c>
      <c r="BC51" s="127" t="str">
        <f t="shared" si="7"/>
        <v>1G</v>
      </c>
      <c r="BD51" s="127" t="str">
        <f t="shared" si="8"/>
        <v>2G</v>
      </c>
      <c r="BE51" s="127" t="str">
        <f t="shared" si="9"/>
        <v>2G</v>
      </c>
      <c r="BF51" s="127" t="str">
        <f t="shared" si="10"/>
        <v>3G</v>
      </c>
      <c r="BG51" s="127" t="str">
        <f t="shared" si="11"/>
        <v>3G</v>
      </c>
      <c r="BH51" s="127" t="str">
        <f t="shared" si="12"/>
        <v>3G</v>
      </c>
      <c r="BI51" s="127">
        <f t="shared" si="46"/>
        <v>1</v>
      </c>
      <c r="BJ51" s="127">
        <f t="shared" si="47"/>
        <v>2</v>
      </c>
      <c r="BK51" s="127">
        <f t="shared" si="48"/>
        <v>3</v>
      </c>
      <c r="BL51" s="127" t="str">
        <f t="shared" si="49"/>
        <v>123</v>
      </c>
      <c r="BO51" s="531" t="s">
        <v>619</v>
      </c>
      <c r="BP51" s="531"/>
      <c r="BQ51" s="531"/>
      <c r="BR51" s="127" t="s">
        <v>741</v>
      </c>
      <c r="BS51" s="133" t="s">
        <v>743</v>
      </c>
      <c r="BT51" s="133" t="s">
        <v>744</v>
      </c>
      <c r="BU51" s="133" t="s">
        <v>745</v>
      </c>
      <c r="BZ51" s="28"/>
      <c r="CA51" s="28"/>
      <c r="CB51" s="28"/>
      <c r="CC51" s="28"/>
      <c r="CF51" s="53">
        <v>0</v>
      </c>
      <c r="CG51" s="53">
        <v>0</v>
      </c>
      <c r="CH51" s="136">
        <v>0</v>
      </c>
      <c r="CL51" s="28">
        <v>93</v>
      </c>
      <c r="CM51" s="28">
        <v>90</v>
      </c>
      <c r="CO51"/>
    </row>
    <row r="52" spans="1:93" ht="16.5">
      <c r="B52" s="17">
        <v>48</v>
      </c>
      <c r="C52" s="363" t="s">
        <v>78</v>
      </c>
      <c r="D52" s="18">
        <v>6</v>
      </c>
      <c r="E52" s="20">
        <v>2415673600</v>
      </c>
      <c r="F52" s="18">
        <v>25</v>
      </c>
      <c r="G52" s="20">
        <v>96626900</v>
      </c>
      <c r="H52" s="20">
        <v>1279</v>
      </c>
      <c r="I52" s="20">
        <v>1888700</v>
      </c>
      <c r="J52" s="20">
        <v>58047</v>
      </c>
      <c r="K52" s="20">
        <v>83200</v>
      </c>
      <c r="L52" s="20">
        <v>874668</v>
      </c>
      <c r="M52" s="20">
        <v>10000</v>
      </c>
      <c r="N52" s="167">
        <v>6</v>
      </c>
      <c r="O52" s="167">
        <v>10</v>
      </c>
      <c r="P52" s="167">
        <v>18</v>
      </c>
      <c r="Q52" s="167">
        <v>26</v>
      </c>
      <c r="R52" s="167">
        <v>37</v>
      </c>
      <c r="S52" s="167">
        <v>38</v>
      </c>
      <c r="T52" s="167">
        <v>3</v>
      </c>
      <c r="U52" s="28">
        <f t="shared" si="22"/>
        <v>135</v>
      </c>
      <c r="W52" s="66" t="str">
        <f t="shared" si="64"/>
        <v>짝수</v>
      </c>
      <c r="X52" s="66" t="str">
        <f t="shared" si="64"/>
        <v>짝수</v>
      </c>
      <c r="Y52" s="66" t="str">
        <f t="shared" si="64"/>
        <v>짝수</v>
      </c>
      <c r="Z52" s="66" t="str">
        <f t="shared" si="53"/>
        <v>짝수</v>
      </c>
      <c r="AA52" s="66" t="str">
        <f t="shared" si="54"/>
        <v>홀수</v>
      </c>
      <c r="AB52" s="66" t="str">
        <f t="shared" si="55"/>
        <v>짝수</v>
      </c>
      <c r="AC52" s="58" t="str">
        <f t="shared" si="56"/>
        <v>1 : 5</v>
      </c>
      <c r="AD52" s="66">
        <f t="shared" si="57"/>
        <v>1</v>
      </c>
      <c r="AE52" s="66">
        <f t="shared" si="58"/>
        <v>5</v>
      </c>
      <c r="AF52" s="66" t="str">
        <f t="shared" si="23"/>
        <v>저수</v>
      </c>
      <c r="AG52" s="66" t="str">
        <f t="shared" si="24"/>
        <v>저수</v>
      </c>
      <c r="AH52" s="66" t="str">
        <f t="shared" si="25"/>
        <v>저수</v>
      </c>
      <c r="AI52" s="66" t="str">
        <f t="shared" si="26"/>
        <v>고수</v>
      </c>
      <c r="AJ52" s="66" t="str">
        <f t="shared" si="27"/>
        <v>고수</v>
      </c>
      <c r="AK52" s="66" t="str">
        <f t="shared" si="28"/>
        <v>고수</v>
      </c>
      <c r="AL52" s="58" t="str">
        <f t="shared" si="29"/>
        <v>3 : 3</v>
      </c>
      <c r="AM52" s="66">
        <f t="shared" si="30"/>
        <v>3</v>
      </c>
      <c r="AN52" s="66">
        <f t="shared" si="31"/>
        <v>3</v>
      </c>
      <c r="AO52" s="66">
        <f t="shared" si="32"/>
        <v>35</v>
      </c>
      <c r="AP52" s="66" t="str">
        <f t="shared" si="33"/>
        <v>X</v>
      </c>
      <c r="AQ52" s="66" t="str">
        <f t="shared" si="34"/>
        <v>X</v>
      </c>
      <c r="AR52" s="66" t="str">
        <f t="shared" si="35"/>
        <v>X</v>
      </c>
      <c r="AS52" s="66" t="str">
        <f t="shared" si="36"/>
        <v>X</v>
      </c>
      <c r="AT52" s="66" t="str">
        <f t="shared" si="37"/>
        <v>X</v>
      </c>
      <c r="AU52" s="66" t="str">
        <f t="shared" si="38"/>
        <v>X</v>
      </c>
      <c r="AV52" s="66" t="str">
        <f t="shared" si="39"/>
        <v>X</v>
      </c>
      <c r="AW52" s="66" t="str">
        <f t="shared" si="40"/>
        <v>X</v>
      </c>
      <c r="AX52" s="66" t="str">
        <f t="shared" si="41"/>
        <v>X</v>
      </c>
      <c r="AY52" s="66" t="str">
        <f t="shared" si="42"/>
        <v>X</v>
      </c>
      <c r="AZ52" s="66" t="str">
        <f t="shared" si="43"/>
        <v>O</v>
      </c>
      <c r="BA52" s="66" t="str">
        <f t="shared" si="44"/>
        <v>X</v>
      </c>
      <c r="BB52" s="66">
        <f t="shared" si="45"/>
        <v>1</v>
      </c>
      <c r="BC52" s="127" t="str">
        <f t="shared" si="7"/>
        <v>1G</v>
      </c>
      <c r="BD52" s="127" t="str">
        <f t="shared" si="8"/>
        <v>1G</v>
      </c>
      <c r="BE52" s="127" t="str">
        <f t="shared" si="9"/>
        <v>2G</v>
      </c>
      <c r="BF52" s="127" t="str">
        <f t="shared" si="10"/>
        <v>2G</v>
      </c>
      <c r="BG52" s="127" t="str">
        <f t="shared" si="11"/>
        <v>3G</v>
      </c>
      <c r="BH52" s="127" t="str">
        <f t="shared" si="12"/>
        <v>3G</v>
      </c>
      <c r="BI52" s="127">
        <f t="shared" si="46"/>
        <v>2</v>
      </c>
      <c r="BJ52" s="127">
        <f t="shared" si="47"/>
        <v>2</v>
      </c>
      <c r="BK52" s="127">
        <f t="shared" si="48"/>
        <v>2</v>
      </c>
      <c r="BL52" s="127" t="str">
        <f t="shared" si="49"/>
        <v>222</v>
      </c>
      <c r="BO52" s="53" t="s">
        <v>616</v>
      </c>
      <c r="BP52" s="53" t="s">
        <v>617</v>
      </c>
      <c r="BQ52" s="53" t="s">
        <v>616</v>
      </c>
      <c r="BR52" s="127">
        <v>1</v>
      </c>
      <c r="BS52" s="85" t="s">
        <v>714</v>
      </c>
      <c r="BT52" s="85">
        <f t="shared" ref="BT52:BT78" si="65">COUNTIF($BL$5:$BL$1659,BS52)</f>
        <v>109</v>
      </c>
      <c r="BU52" s="90">
        <f t="shared" ref="BU52:BU79" si="66">BT52/$BT$79</f>
        <v>0.15117891816920942</v>
      </c>
      <c r="CF52" s="53">
        <v>1</v>
      </c>
      <c r="CG52" s="53">
        <v>0</v>
      </c>
      <c r="CH52" s="136">
        <v>0</v>
      </c>
      <c r="CL52" s="28">
        <v>95</v>
      </c>
      <c r="CM52" s="28">
        <v>90</v>
      </c>
      <c r="CO52"/>
    </row>
    <row r="53" spans="1:93" ht="16.5">
      <c r="B53" s="17">
        <v>49</v>
      </c>
      <c r="C53" s="363" t="s">
        <v>79</v>
      </c>
      <c r="D53" s="18">
        <v>7</v>
      </c>
      <c r="E53" s="20">
        <v>1967504600</v>
      </c>
      <c r="F53" s="18">
        <v>49</v>
      </c>
      <c r="G53" s="20">
        <v>46845300</v>
      </c>
      <c r="H53" s="20">
        <v>1487</v>
      </c>
      <c r="I53" s="20">
        <v>1543600</v>
      </c>
      <c r="J53" s="20">
        <v>66451</v>
      </c>
      <c r="K53" s="20">
        <v>69000</v>
      </c>
      <c r="L53" s="20">
        <v>929635</v>
      </c>
      <c r="M53" s="20">
        <v>10000</v>
      </c>
      <c r="N53" s="167">
        <v>4</v>
      </c>
      <c r="O53" s="167">
        <v>7</v>
      </c>
      <c r="P53" s="167">
        <v>16</v>
      </c>
      <c r="Q53" s="167">
        <v>19</v>
      </c>
      <c r="R53" s="167">
        <v>33</v>
      </c>
      <c r="S53" s="167">
        <v>40</v>
      </c>
      <c r="T53" s="167">
        <v>30</v>
      </c>
      <c r="U53" s="28">
        <f t="shared" si="22"/>
        <v>119</v>
      </c>
      <c r="W53" s="32" t="str">
        <f t="shared" si="64"/>
        <v>짝수</v>
      </c>
      <c r="X53" s="32" t="str">
        <f t="shared" si="64"/>
        <v>홀수</v>
      </c>
      <c r="Y53" s="32" t="str">
        <f t="shared" si="64"/>
        <v>짝수</v>
      </c>
      <c r="Z53" s="32" t="str">
        <f>IF(RIGHT(Q53,1)="1","홀수",IF(RIGHT(Q53,1)="3","홀수",IF(RIGHT(Q53,1)="5","홀수",IF(RIGHT(Q53,1)="7","홀수",IF(RIGHT(Q53,1)="9","홀수","짝수")))))</f>
        <v>홀수</v>
      </c>
      <c r="AA53" s="32" t="str">
        <f>IF(RIGHT(R53,1)="1","홀수",IF(RIGHT(R53,1)="3","홀수",IF(RIGHT(R53,1)="5","홀수",IF(RIGHT(R53,1)="7","홀수",IF(RIGHT(R53,1)="9","홀수","짝수")))))</f>
        <v>홀수</v>
      </c>
      <c r="AB53" s="32" t="str">
        <f>IF(RIGHT(S53,1)="1","홀수",IF(RIGHT(S53,1)="3","홀수",IF(RIGHT(S53,1)="5","홀수",IF(RIGHT(S53,1)="7","홀수",IF(RIGHT(S53,1)="9","홀수","짝수")))))</f>
        <v>짝수</v>
      </c>
      <c r="AC53" s="58" t="str">
        <f>AD53&amp;" : "&amp;AE53</f>
        <v>3 : 3</v>
      </c>
      <c r="AD53" s="32">
        <f>COUNTIF(W53:AB53,"홀수")</f>
        <v>3</v>
      </c>
      <c r="AE53" s="32">
        <f>COUNTIF(W53:AB53,"짝수")</f>
        <v>3</v>
      </c>
      <c r="AF53" s="66" t="str">
        <f t="shared" si="23"/>
        <v>저수</v>
      </c>
      <c r="AG53" s="66" t="str">
        <f t="shared" si="24"/>
        <v>저수</v>
      </c>
      <c r="AH53" s="66" t="str">
        <f t="shared" si="25"/>
        <v>저수</v>
      </c>
      <c r="AI53" s="66" t="str">
        <f t="shared" si="26"/>
        <v>저수</v>
      </c>
      <c r="AJ53" s="66" t="str">
        <f t="shared" si="27"/>
        <v>고수</v>
      </c>
      <c r="AK53" s="66" t="str">
        <f t="shared" si="28"/>
        <v>고수</v>
      </c>
      <c r="AL53" s="58" t="str">
        <f t="shared" si="29"/>
        <v>4 : 2</v>
      </c>
      <c r="AM53" s="66">
        <f t="shared" si="30"/>
        <v>4</v>
      </c>
      <c r="AN53" s="66">
        <f t="shared" si="31"/>
        <v>2</v>
      </c>
      <c r="AO53" s="66">
        <f t="shared" si="32"/>
        <v>29</v>
      </c>
      <c r="AP53" s="66" t="str">
        <f t="shared" si="33"/>
        <v>X</v>
      </c>
      <c r="AQ53" s="66" t="str">
        <f t="shared" si="34"/>
        <v>O</v>
      </c>
      <c r="AR53" s="66" t="str">
        <f t="shared" si="35"/>
        <v>X</v>
      </c>
      <c r="AS53" s="66" t="str">
        <f t="shared" si="36"/>
        <v>O</v>
      </c>
      <c r="AT53" s="66" t="str">
        <f t="shared" si="37"/>
        <v>X</v>
      </c>
      <c r="AU53" s="66" t="str">
        <f t="shared" si="38"/>
        <v>X</v>
      </c>
      <c r="AV53" s="66" t="str">
        <f t="shared" si="39"/>
        <v>X</v>
      </c>
      <c r="AW53" s="66" t="str">
        <f t="shared" si="40"/>
        <v>X</v>
      </c>
      <c r="AX53" s="66" t="str">
        <f t="shared" si="41"/>
        <v>X</v>
      </c>
      <c r="AY53" s="66" t="str">
        <f t="shared" si="42"/>
        <v>X</v>
      </c>
      <c r="AZ53" s="66" t="str">
        <f t="shared" si="43"/>
        <v>X</v>
      </c>
      <c r="BA53" s="66" t="str">
        <f t="shared" si="44"/>
        <v>X</v>
      </c>
      <c r="BB53" s="66">
        <f t="shared" si="45"/>
        <v>2</v>
      </c>
      <c r="BC53" s="127" t="str">
        <f t="shared" si="7"/>
        <v>1G</v>
      </c>
      <c r="BD53" s="127" t="str">
        <f t="shared" si="8"/>
        <v>1G</v>
      </c>
      <c r="BE53" s="127" t="str">
        <f t="shared" si="9"/>
        <v>2G</v>
      </c>
      <c r="BF53" s="127" t="str">
        <f t="shared" si="10"/>
        <v>2G</v>
      </c>
      <c r="BG53" s="127" t="str">
        <f t="shared" si="11"/>
        <v>3G</v>
      </c>
      <c r="BH53" s="127" t="str">
        <f t="shared" si="12"/>
        <v>3G</v>
      </c>
      <c r="BI53" s="127">
        <f t="shared" si="46"/>
        <v>2</v>
      </c>
      <c r="BJ53" s="127">
        <f t="shared" si="47"/>
        <v>2</v>
      </c>
      <c r="BK53" s="127">
        <f t="shared" si="48"/>
        <v>2</v>
      </c>
      <c r="BL53" s="127" t="str">
        <f t="shared" si="49"/>
        <v>222</v>
      </c>
      <c r="BO53" s="88" t="s">
        <v>612</v>
      </c>
      <c r="BP53" s="85">
        <f t="shared" ref="BP53:BP59" si="67">COUNTIF($AC$5:$AC$1000,BO53)</f>
        <v>254</v>
      </c>
      <c r="BQ53" s="89">
        <f t="shared" ref="BQ53:BQ59" si="68">BP53/$BP$60</f>
        <v>0.35228848821081832</v>
      </c>
      <c r="BR53" s="127">
        <v>2</v>
      </c>
      <c r="BS53" s="85" t="s">
        <v>713</v>
      </c>
      <c r="BT53" s="85">
        <f t="shared" si="65"/>
        <v>74</v>
      </c>
      <c r="BU53" s="90">
        <f t="shared" si="66"/>
        <v>0.10263522884882108</v>
      </c>
      <c r="CF53" s="53" t="s">
        <v>757</v>
      </c>
      <c r="CG53" s="53">
        <v>495</v>
      </c>
      <c r="CH53" s="53"/>
      <c r="CL53" s="28">
        <v>96</v>
      </c>
      <c r="CM53" s="28">
        <v>90</v>
      </c>
      <c r="CO53"/>
    </row>
    <row r="54" spans="1:93" ht="16.5">
      <c r="B54" s="17">
        <v>50</v>
      </c>
      <c r="C54" s="363" t="s">
        <v>80</v>
      </c>
      <c r="D54" s="18">
        <v>3</v>
      </c>
      <c r="E54" s="20">
        <v>5227061400</v>
      </c>
      <c r="F54" s="18">
        <v>14</v>
      </c>
      <c r="G54" s="20">
        <v>186680700</v>
      </c>
      <c r="H54" s="18">
        <v>826</v>
      </c>
      <c r="I54" s="20">
        <v>3164000</v>
      </c>
      <c r="J54" s="20">
        <v>40296</v>
      </c>
      <c r="K54" s="20">
        <v>129700</v>
      </c>
      <c r="L54" s="20">
        <v>664631</v>
      </c>
      <c r="M54" s="20">
        <v>10000</v>
      </c>
      <c r="N54" s="167">
        <v>2</v>
      </c>
      <c r="O54" s="167">
        <v>10</v>
      </c>
      <c r="P54" s="167">
        <v>12</v>
      </c>
      <c r="Q54" s="167">
        <v>15</v>
      </c>
      <c r="R54" s="167">
        <v>22</v>
      </c>
      <c r="S54" s="167">
        <v>44</v>
      </c>
      <c r="T54" s="167">
        <v>1</v>
      </c>
      <c r="U54" s="28">
        <f t="shared" si="22"/>
        <v>105</v>
      </c>
      <c r="W54" s="32" t="str">
        <f t="shared" ref="W54:W117" si="69">IF(RIGHT(N54,1)="1","홀수",IF(RIGHT(N54,1)="3","홀수",IF(RIGHT(N54,1)="5","홀수",IF(RIGHT(N54,1)="7","홀수",IF(RIGHT(N54,1)="9","홀수","짝수")))))</f>
        <v>짝수</v>
      </c>
      <c r="X54" s="32" t="str">
        <f t="shared" ref="X54:X117" si="70">IF(RIGHT(O54,1)="1","홀수",IF(RIGHT(O54,1)="3","홀수",IF(RIGHT(O54,1)="5","홀수",IF(RIGHT(O54,1)="7","홀수",IF(RIGHT(O54,1)="9","홀수","짝수")))))</f>
        <v>짝수</v>
      </c>
      <c r="Y54" s="32" t="str">
        <f t="shared" ref="Y54:Y117" si="71">IF(RIGHT(P54,1)="1","홀수",IF(RIGHT(P54,1)="3","홀수",IF(RIGHT(P54,1)="5","홀수",IF(RIGHT(P54,1)="7","홀수",IF(RIGHT(P54,1)="9","홀수","짝수")))))</f>
        <v>짝수</v>
      </c>
      <c r="Z54" s="32" t="str">
        <f t="shared" ref="Z54:Z117" si="72">IF(RIGHT(Q54,1)="1","홀수",IF(RIGHT(Q54,1)="3","홀수",IF(RIGHT(Q54,1)="5","홀수",IF(RIGHT(Q54,1)="7","홀수",IF(RIGHT(Q54,1)="9","홀수","짝수")))))</f>
        <v>홀수</v>
      </c>
      <c r="AA54" s="32" t="str">
        <f t="shared" ref="AA54:AA117" si="73">IF(RIGHT(R54,1)="1","홀수",IF(RIGHT(R54,1)="3","홀수",IF(RIGHT(R54,1)="5","홀수",IF(RIGHT(R54,1)="7","홀수",IF(RIGHT(R54,1)="9","홀수","짝수")))))</f>
        <v>짝수</v>
      </c>
      <c r="AB54" s="32" t="str">
        <f t="shared" ref="AB54:AB117" si="74">IF(RIGHT(S54,1)="1","홀수",IF(RIGHT(S54,1)="3","홀수",IF(RIGHT(S54,1)="5","홀수",IF(RIGHT(S54,1)="7","홀수",IF(RIGHT(S54,1)="9","홀수","짝수")))))</f>
        <v>짝수</v>
      </c>
      <c r="AC54" s="58" t="str">
        <f t="shared" ref="AC54:AC117" si="75">AD54&amp;" : "&amp;AE54</f>
        <v>1 : 5</v>
      </c>
      <c r="AD54" s="32">
        <f t="shared" ref="AD54:AD117" si="76">COUNTIF(W54:AB54,"홀수")</f>
        <v>1</v>
      </c>
      <c r="AE54" s="32">
        <f t="shared" ref="AE54:AE117" si="77">COUNTIF(W54:AB54,"짝수")</f>
        <v>5</v>
      </c>
      <c r="AF54" s="66" t="str">
        <f t="shared" si="23"/>
        <v>저수</v>
      </c>
      <c r="AG54" s="66" t="str">
        <f t="shared" si="24"/>
        <v>저수</v>
      </c>
      <c r="AH54" s="66" t="str">
        <f t="shared" si="25"/>
        <v>저수</v>
      </c>
      <c r="AI54" s="66" t="str">
        <f t="shared" si="26"/>
        <v>저수</v>
      </c>
      <c r="AJ54" s="66" t="str">
        <f t="shared" si="27"/>
        <v>저수</v>
      </c>
      <c r="AK54" s="66" t="str">
        <f t="shared" si="28"/>
        <v>고수</v>
      </c>
      <c r="AL54" s="58" t="str">
        <f t="shared" si="29"/>
        <v>5 : 1</v>
      </c>
      <c r="AM54" s="66">
        <f t="shared" si="30"/>
        <v>5</v>
      </c>
      <c r="AN54" s="66">
        <f t="shared" si="31"/>
        <v>1</v>
      </c>
      <c r="AO54" s="66">
        <f t="shared" si="32"/>
        <v>15</v>
      </c>
      <c r="AP54" s="66" t="str">
        <f t="shared" si="33"/>
        <v>O</v>
      </c>
      <c r="AQ54" s="66" t="str">
        <f t="shared" si="34"/>
        <v>X</v>
      </c>
      <c r="AR54" s="66" t="str">
        <f t="shared" si="35"/>
        <v>X</v>
      </c>
      <c r="AS54" s="66" t="str">
        <f t="shared" si="36"/>
        <v>X</v>
      </c>
      <c r="AT54" s="66" t="str">
        <f t="shared" si="37"/>
        <v>X</v>
      </c>
      <c r="AU54" s="66" t="str">
        <f t="shared" si="38"/>
        <v>X</v>
      </c>
      <c r="AV54" s="66" t="str">
        <f t="shared" si="39"/>
        <v>X</v>
      </c>
      <c r="AW54" s="66" t="str">
        <f t="shared" si="40"/>
        <v>X</v>
      </c>
      <c r="AX54" s="66" t="str">
        <f t="shared" si="41"/>
        <v>X</v>
      </c>
      <c r="AY54" s="66" t="str">
        <f t="shared" si="42"/>
        <v>X</v>
      </c>
      <c r="AZ54" s="66" t="str">
        <f t="shared" si="43"/>
        <v>X</v>
      </c>
      <c r="BA54" s="66" t="str">
        <f t="shared" si="44"/>
        <v>X</v>
      </c>
      <c r="BB54" s="66">
        <f t="shared" si="45"/>
        <v>1</v>
      </c>
      <c r="BC54" s="127" t="str">
        <f t="shared" si="7"/>
        <v>1G</v>
      </c>
      <c r="BD54" s="127" t="str">
        <f t="shared" si="8"/>
        <v>1G</v>
      </c>
      <c r="BE54" s="127" t="str">
        <f t="shared" si="9"/>
        <v>1G</v>
      </c>
      <c r="BF54" s="127" t="str">
        <f t="shared" si="10"/>
        <v>1G</v>
      </c>
      <c r="BG54" s="127" t="str">
        <f t="shared" si="11"/>
        <v>2G</v>
      </c>
      <c r="BH54" s="127" t="str">
        <f t="shared" si="12"/>
        <v>3G</v>
      </c>
      <c r="BI54" s="127">
        <f t="shared" si="46"/>
        <v>4</v>
      </c>
      <c r="BJ54" s="127">
        <f t="shared" si="47"/>
        <v>1</v>
      </c>
      <c r="BK54" s="127">
        <f t="shared" si="48"/>
        <v>1</v>
      </c>
      <c r="BL54" s="127" t="str">
        <f t="shared" si="49"/>
        <v>411</v>
      </c>
      <c r="BO54" s="88" t="s">
        <v>613</v>
      </c>
      <c r="BP54" s="85">
        <f t="shared" si="67"/>
        <v>183</v>
      </c>
      <c r="BQ54" s="89">
        <f t="shared" si="68"/>
        <v>0.25381414701803051</v>
      </c>
      <c r="BR54" s="127">
        <v>3</v>
      </c>
      <c r="BS54" s="85" t="s">
        <v>720</v>
      </c>
      <c r="BT54" s="85">
        <f t="shared" si="65"/>
        <v>69</v>
      </c>
      <c r="BU54" s="90">
        <f t="shared" si="66"/>
        <v>9.5700416088765602E-2</v>
      </c>
      <c r="CL54" s="28">
        <v>96</v>
      </c>
      <c r="CM54" s="28">
        <v>90</v>
      </c>
      <c r="CO54"/>
    </row>
    <row r="55" spans="1:93" ht="16.5">
      <c r="B55" s="17">
        <v>51</v>
      </c>
      <c r="C55" s="363" t="s">
        <v>81</v>
      </c>
      <c r="D55" s="18">
        <v>6</v>
      </c>
      <c r="E55" s="20">
        <v>2421117000</v>
      </c>
      <c r="F55" s="18">
        <v>26</v>
      </c>
      <c r="G55" s="20">
        <v>93119800</v>
      </c>
      <c r="H55" s="18">
        <v>961</v>
      </c>
      <c r="I55" s="20">
        <v>2519300</v>
      </c>
      <c r="J55" s="20">
        <v>45707</v>
      </c>
      <c r="K55" s="20">
        <v>105900</v>
      </c>
      <c r="L55" s="20">
        <v>706567</v>
      </c>
      <c r="M55" s="20">
        <v>10000</v>
      </c>
      <c r="N55" s="167">
        <v>2</v>
      </c>
      <c r="O55" s="167">
        <v>3</v>
      </c>
      <c r="P55" s="167">
        <v>11</v>
      </c>
      <c r="Q55" s="167">
        <v>16</v>
      </c>
      <c r="R55" s="167">
        <v>26</v>
      </c>
      <c r="S55" s="167">
        <v>44</v>
      </c>
      <c r="T55" s="167">
        <v>35</v>
      </c>
      <c r="U55" s="28">
        <f t="shared" si="22"/>
        <v>102</v>
      </c>
      <c r="W55" s="32" t="str">
        <f t="shared" si="69"/>
        <v>짝수</v>
      </c>
      <c r="X55" s="32" t="str">
        <f t="shared" si="70"/>
        <v>홀수</v>
      </c>
      <c r="Y55" s="32" t="str">
        <f t="shared" si="71"/>
        <v>홀수</v>
      </c>
      <c r="Z55" s="32" t="str">
        <f t="shared" si="72"/>
        <v>짝수</v>
      </c>
      <c r="AA55" s="32" t="str">
        <f t="shared" si="73"/>
        <v>짝수</v>
      </c>
      <c r="AB55" s="32" t="str">
        <f t="shared" si="74"/>
        <v>짝수</v>
      </c>
      <c r="AC55" s="58" t="str">
        <f t="shared" si="75"/>
        <v>2 : 4</v>
      </c>
      <c r="AD55" s="32">
        <f t="shared" si="76"/>
        <v>2</v>
      </c>
      <c r="AE55" s="32">
        <f t="shared" si="77"/>
        <v>4</v>
      </c>
      <c r="AF55" s="66" t="str">
        <f t="shared" si="23"/>
        <v>저수</v>
      </c>
      <c r="AG55" s="66" t="str">
        <f t="shared" si="24"/>
        <v>저수</v>
      </c>
      <c r="AH55" s="66" t="str">
        <f t="shared" si="25"/>
        <v>저수</v>
      </c>
      <c r="AI55" s="66" t="str">
        <f t="shared" si="26"/>
        <v>저수</v>
      </c>
      <c r="AJ55" s="66" t="str">
        <f t="shared" si="27"/>
        <v>고수</v>
      </c>
      <c r="AK55" s="66" t="str">
        <f t="shared" si="28"/>
        <v>고수</v>
      </c>
      <c r="AL55" s="58" t="str">
        <f t="shared" si="29"/>
        <v>4 : 2</v>
      </c>
      <c r="AM55" s="66">
        <f t="shared" si="30"/>
        <v>4</v>
      </c>
      <c r="AN55" s="66">
        <f t="shared" si="31"/>
        <v>2</v>
      </c>
      <c r="AO55" s="66">
        <f t="shared" si="32"/>
        <v>22</v>
      </c>
      <c r="AP55" s="66" t="str">
        <f t="shared" si="33"/>
        <v>O</v>
      </c>
      <c r="AQ55" s="66" t="str">
        <f t="shared" si="34"/>
        <v>O</v>
      </c>
      <c r="AR55" s="66" t="str">
        <f t="shared" si="35"/>
        <v>O</v>
      </c>
      <c r="AS55" s="66" t="str">
        <f t="shared" si="36"/>
        <v>X</v>
      </c>
      <c r="AT55" s="66" t="str">
        <f t="shared" si="37"/>
        <v>X</v>
      </c>
      <c r="AU55" s="66" t="str">
        <f t="shared" si="38"/>
        <v>X</v>
      </c>
      <c r="AV55" s="66" t="str">
        <f t="shared" si="39"/>
        <v>X</v>
      </c>
      <c r="AW55" s="66" t="str">
        <f t="shared" si="40"/>
        <v>X</v>
      </c>
      <c r="AX55" s="66" t="str">
        <f t="shared" si="41"/>
        <v>X</v>
      </c>
      <c r="AY55" s="66" t="str">
        <f t="shared" si="42"/>
        <v>X</v>
      </c>
      <c r="AZ55" s="66" t="str">
        <f t="shared" si="43"/>
        <v>X</v>
      </c>
      <c r="BA55" s="66" t="str">
        <f t="shared" si="44"/>
        <v>X</v>
      </c>
      <c r="BB55" s="66">
        <f t="shared" si="45"/>
        <v>3</v>
      </c>
      <c r="BC55" s="127" t="str">
        <f t="shared" si="7"/>
        <v>1G</v>
      </c>
      <c r="BD55" s="127" t="str">
        <f t="shared" si="8"/>
        <v>1G</v>
      </c>
      <c r="BE55" s="127" t="str">
        <f t="shared" si="9"/>
        <v>1G</v>
      </c>
      <c r="BF55" s="127" t="str">
        <f t="shared" si="10"/>
        <v>2G</v>
      </c>
      <c r="BG55" s="127" t="str">
        <f t="shared" si="11"/>
        <v>2G</v>
      </c>
      <c r="BH55" s="127" t="str">
        <f t="shared" si="12"/>
        <v>3G</v>
      </c>
      <c r="BI55" s="127">
        <f t="shared" si="46"/>
        <v>3</v>
      </c>
      <c r="BJ55" s="127">
        <f t="shared" si="47"/>
        <v>2</v>
      </c>
      <c r="BK55" s="127">
        <f t="shared" si="48"/>
        <v>1</v>
      </c>
      <c r="BL55" s="127" t="str">
        <f t="shared" si="49"/>
        <v>321</v>
      </c>
      <c r="BO55" s="88" t="s">
        <v>611</v>
      </c>
      <c r="BP55" s="85">
        <f t="shared" si="67"/>
        <v>166</v>
      </c>
      <c r="BQ55" s="89">
        <f t="shared" si="68"/>
        <v>0.2302357836338419</v>
      </c>
      <c r="BR55" s="127">
        <v>4</v>
      </c>
      <c r="BS55" s="85" t="s">
        <v>730</v>
      </c>
      <c r="BT55" s="85">
        <f t="shared" si="65"/>
        <v>64</v>
      </c>
      <c r="BU55" s="90">
        <f t="shared" si="66"/>
        <v>8.8765603328710127E-2</v>
      </c>
      <c r="CL55" s="28">
        <v>96</v>
      </c>
      <c r="CM55" s="28">
        <v>90</v>
      </c>
      <c r="CO55"/>
    </row>
    <row r="56" spans="1:93" ht="16.5">
      <c r="B56" s="17">
        <v>52</v>
      </c>
      <c r="C56" s="363" t="s">
        <v>82</v>
      </c>
      <c r="D56" s="18">
        <v>4</v>
      </c>
      <c r="E56" s="20">
        <v>3900844900</v>
      </c>
      <c r="F56" s="18">
        <v>13</v>
      </c>
      <c r="G56" s="20">
        <v>200043300</v>
      </c>
      <c r="H56" s="18">
        <v>669</v>
      </c>
      <c r="I56" s="20">
        <v>3887200</v>
      </c>
      <c r="J56" s="20">
        <v>34665</v>
      </c>
      <c r="K56" s="20">
        <v>150000</v>
      </c>
      <c r="L56" s="20">
        <v>619109</v>
      </c>
      <c r="M56" s="20">
        <v>10000</v>
      </c>
      <c r="N56" s="167">
        <v>2</v>
      </c>
      <c r="O56" s="167">
        <v>4</v>
      </c>
      <c r="P56" s="167">
        <v>15</v>
      </c>
      <c r="Q56" s="167">
        <v>16</v>
      </c>
      <c r="R56" s="167">
        <v>20</v>
      </c>
      <c r="S56" s="167">
        <v>29</v>
      </c>
      <c r="T56" s="167">
        <v>1</v>
      </c>
      <c r="U56" s="28">
        <f t="shared" si="22"/>
        <v>86</v>
      </c>
      <c r="W56" s="32" t="str">
        <f t="shared" si="69"/>
        <v>짝수</v>
      </c>
      <c r="X56" s="32" t="str">
        <f t="shared" si="70"/>
        <v>짝수</v>
      </c>
      <c r="Y56" s="32" t="str">
        <f t="shared" si="71"/>
        <v>홀수</v>
      </c>
      <c r="Z56" s="32" t="str">
        <f t="shared" si="72"/>
        <v>짝수</v>
      </c>
      <c r="AA56" s="32" t="str">
        <f t="shared" si="73"/>
        <v>짝수</v>
      </c>
      <c r="AB56" s="32" t="str">
        <f t="shared" si="74"/>
        <v>홀수</v>
      </c>
      <c r="AC56" s="58" t="str">
        <f t="shared" si="75"/>
        <v>2 : 4</v>
      </c>
      <c r="AD56" s="32">
        <f t="shared" si="76"/>
        <v>2</v>
      </c>
      <c r="AE56" s="32">
        <f t="shared" si="77"/>
        <v>4</v>
      </c>
      <c r="AF56" s="66" t="str">
        <f t="shared" si="23"/>
        <v>저수</v>
      </c>
      <c r="AG56" s="66" t="str">
        <f t="shared" si="24"/>
        <v>저수</v>
      </c>
      <c r="AH56" s="66" t="str">
        <f t="shared" si="25"/>
        <v>저수</v>
      </c>
      <c r="AI56" s="66" t="str">
        <f t="shared" si="26"/>
        <v>저수</v>
      </c>
      <c r="AJ56" s="66" t="str">
        <f t="shared" si="27"/>
        <v>저수</v>
      </c>
      <c r="AK56" s="66" t="str">
        <f t="shared" si="28"/>
        <v>고수</v>
      </c>
      <c r="AL56" s="58" t="str">
        <f t="shared" si="29"/>
        <v>5 : 1</v>
      </c>
      <c r="AM56" s="66">
        <f t="shared" si="30"/>
        <v>5</v>
      </c>
      <c r="AN56" s="66">
        <f t="shared" si="31"/>
        <v>1</v>
      </c>
      <c r="AO56" s="66">
        <f t="shared" si="32"/>
        <v>26</v>
      </c>
      <c r="AP56" s="66" t="str">
        <f t="shared" si="33"/>
        <v>O</v>
      </c>
      <c r="AQ56" s="66" t="str">
        <f t="shared" si="34"/>
        <v>X</v>
      </c>
      <c r="AR56" s="66" t="str">
        <f t="shared" si="35"/>
        <v>X</v>
      </c>
      <c r="AS56" s="66" t="str">
        <f t="shared" si="36"/>
        <v>X</v>
      </c>
      <c r="AT56" s="66" t="str">
        <f t="shared" si="37"/>
        <v>X</v>
      </c>
      <c r="AU56" s="66" t="str">
        <f t="shared" si="38"/>
        <v>X</v>
      </c>
      <c r="AV56" s="66" t="str">
        <f t="shared" si="39"/>
        <v>X</v>
      </c>
      <c r="AW56" s="66" t="str">
        <f t="shared" si="40"/>
        <v>X</v>
      </c>
      <c r="AX56" s="66" t="str">
        <f t="shared" si="41"/>
        <v>X</v>
      </c>
      <c r="AY56" s="66" t="str">
        <f t="shared" si="42"/>
        <v>X</v>
      </c>
      <c r="AZ56" s="66" t="str">
        <f t="shared" si="43"/>
        <v>X</v>
      </c>
      <c r="BA56" s="66" t="str">
        <f t="shared" si="44"/>
        <v>O</v>
      </c>
      <c r="BB56" s="66">
        <f t="shared" si="45"/>
        <v>2</v>
      </c>
      <c r="BC56" s="127" t="str">
        <f t="shared" si="7"/>
        <v>1G</v>
      </c>
      <c r="BD56" s="127" t="str">
        <f t="shared" si="8"/>
        <v>1G</v>
      </c>
      <c r="BE56" s="127" t="str">
        <f t="shared" si="9"/>
        <v>1G</v>
      </c>
      <c r="BF56" s="127" t="str">
        <f t="shared" si="10"/>
        <v>2G</v>
      </c>
      <c r="BG56" s="127" t="str">
        <f t="shared" si="11"/>
        <v>2G</v>
      </c>
      <c r="BH56" s="127" t="str">
        <f t="shared" si="12"/>
        <v>2G</v>
      </c>
      <c r="BI56" s="127">
        <f t="shared" si="46"/>
        <v>3</v>
      </c>
      <c r="BJ56" s="127">
        <f t="shared" si="47"/>
        <v>3</v>
      </c>
      <c r="BK56" s="127">
        <f t="shared" si="48"/>
        <v>0</v>
      </c>
      <c r="BL56" s="127" t="str">
        <f t="shared" si="49"/>
        <v>330</v>
      </c>
      <c r="BO56" s="74" t="s">
        <v>614</v>
      </c>
      <c r="BP56" s="53">
        <f t="shared" si="67"/>
        <v>52</v>
      </c>
      <c r="BQ56" s="75">
        <f t="shared" si="68"/>
        <v>7.2122052704576972E-2</v>
      </c>
      <c r="BR56" s="127">
        <v>5</v>
      </c>
      <c r="BS56" s="85" t="s">
        <v>717</v>
      </c>
      <c r="BT56" s="85">
        <f t="shared" si="65"/>
        <v>62</v>
      </c>
      <c r="BU56" s="90">
        <f t="shared" si="66"/>
        <v>8.5991678224687937E-2</v>
      </c>
      <c r="BW56" s="312">
        <f>SUM(BU52:BU67)</f>
        <v>0.92094313453536736</v>
      </c>
      <c r="CL56" s="28">
        <v>98</v>
      </c>
      <c r="CM56" s="28">
        <v>90</v>
      </c>
      <c r="CO56"/>
    </row>
    <row r="57" spans="1:93" ht="16.5">
      <c r="B57" s="17">
        <v>53</v>
      </c>
      <c r="C57" s="363" t="s">
        <v>83</v>
      </c>
      <c r="D57" s="18">
        <v>3</v>
      </c>
      <c r="E57" s="20">
        <v>5014371000</v>
      </c>
      <c r="F57" s="18">
        <v>25</v>
      </c>
      <c r="G57" s="20">
        <v>100287400</v>
      </c>
      <c r="H57" s="18">
        <v>802</v>
      </c>
      <c r="I57" s="20">
        <v>3126100</v>
      </c>
      <c r="J57" s="20">
        <v>45372</v>
      </c>
      <c r="K57" s="20">
        <v>110500</v>
      </c>
      <c r="L57" s="20">
        <v>742615</v>
      </c>
      <c r="M57" s="20">
        <v>10000</v>
      </c>
      <c r="N57" s="167">
        <v>7</v>
      </c>
      <c r="O57" s="167">
        <v>8</v>
      </c>
      <c r="P57" s="167">
        <v>14</v>
      </c>
      <c r="Q57" s="167">
        <v>32</v>
      </c>
      <c r="R57" s="167">
        <v>33</v>
      </c>
      <c r="S57" s="167">
        <v>39</v>
      </c>
      <c r="T57" s="167">
        <v>42</v>
      </c>
      <c r="U57" s="28">
        <f t="shared" si="22"/>
        <v>133</v>
      </c>
      <c r="W57" s="32" t="str">
        <f t="shared" si="69"/>
        <v>홀수</v>
      </c>
      <c r="X57" s="32" t="str">
        <f t="shared" si="70"/>
        <v>짝수</v>
      </c>
      <c r="Y57" s="32" t="str">
        <f t="shared" si="71"/>
        <v>짝수</v>
      </c>
      <c r="Z57" s="32" t="str">
        <f t="shared" si="72"/>
        <v>짝수</v>
      </c>
      <c r="AA57" s="32" t="str">
        <f t="shared" si="73"/>
        <v>홀수</v>
      </c>
      <c r="AB57" s="32" t="str">
        <f t="shared" si="74"/>
        <v>홀수</v>
      </c>
      <c r="AC57" s="58" t="str">
        <f t="shared" si="75"/>
        <v>3 : 3</v>
      </c>
      <c r="AD57" s="32">
        <f t="shared" si="76"/>
        <v>3</v>
      </c>
      <c r="AE57" s="32">
        <f t="shared" si="77"/>
        <v>3</v>
      </c>
      <c r="AF57" s="66" t="str">
        <f t="shared" si="23"/>
        <v>저수</v>
      </c>
      <c r="AG57" s="66" t="str">
        <f t="shared" si="24"/>
        <v>저수</v>
      </c>
      <c r="AH57" s="66" t="str">
        <f t="shared" si="25"/>
        <v>저수</v>
      </c>
      <c r="AI57" s="66" t="str">
        <f t="shared" si="26"/>
        <v>고수</v>
      </c>
      <c r="AJ57" s="66" t="str">
        <f t="shared" si="27"/>
        <v>고수</v>
      </c>
      <c r="AK57" s="66" t="str">
        <f t="shared" si="28"/>
        <v>고수</v>
      </c>
      <c r="AL57" s="58" t="str">
        <f t="shared" si="29"/>
        <v>3 : 3</v>
      </c>
      <c r="AM57" s="66">
        <f t="shared" si="30"/>
        <v>3</v>
      </c>
      <c r="AN57" s="66">
        <f t="shared" si="31"/>
        <v>3</v>
      </c>
      <c r="AO57" s="66">
        <f t="shared" si="32"/>
        <v>33</v>
      </c>
      <c r="AP57" s="66" t="str">
        <f t="shared" si="33"/>
        <v>O</v>
      </c>
      <c r="AQ57" s="66" t="str">
        <f t="shared" si="34"/>
        <v>X</v>
      </c>
      <c r="AR57" s="66" t="str">
        <f t="shared" si="35"/>
        <v>X</v>
      </c>
      <c r="AS57" s="66" t="str">
        <f t="shared" si="36"/>
        <v>X</v>
      </c>
      <c r="AT57" s="66" t="str">
        <f t="shared" si="37"/>
        <v>X</v>
      </c>
      <c r="AU57" s="66" t="str">
        <f t="shared" si="38"/>
        <v>X</v>
      </c>
      <c r="AV57" s="66" t="str">
        <f t="shared" si="39"/>
        <v>X</v>
      </c>
      <c r="AW57" s="66" t="str">
        <f t="shared" si="40"/>
        <v>X</v>
      </c>
      <c r="AX57" s="66" t="str">
        <f t="shared" si="41"/>
        <v>X</v>
      </c>
      <c r="AY57" s="66" t="str">
        <f t="shared" si="42"/>
        <v>X</v>
      </c>
      <c r="AZ57" s="66" t="str">
        <f t="shared" si="43"/>
        <v>X</v>
      </c>
      <c r="BA57" s="66" t="str">
        <f t="shared" si="44"/>
        <v>X</v>
      </c>
      <c r="BB57" s="66">
        <f t="shared" si="45"/>
        <v>1</v>
      </c>
      <c r="BC57" s="127" t="str">
        <f t="shared" si="7"/>
        <v>1G</v>
      </c>
      <c r="BD57" s="127" t="str">
        <f t="shared" si="8"/>
        <v>1G</v>
      </c>
      <c r="BE57" s="127" t="str">
        <f t="shared" si="9"/>
        <v>1G</v>
      </c>
      <c r="BF57" s="127" t="str">
        <f t="shared" si="10"/>
        <v>3G</v>
      </c>
      <c r="BG57" s="127" t="str">
        <f t="shared" si="11"/>
        <v>3G</v>
      </c>
      <c r="BH57" s="127" t="str">
        <f t="shared" si="12"/>
        <v>3G</v>
      </c>
      <c r="BI57" s="127">
        <f t="shared" si="46"/>
        <v>3</v>
      </c>
      <c r="BJ57" s="127">
        <f t="shared" si="47"/>
        <v>0</v>
      </c>
      <c r="BK57" s="127">
        <f t="shared" si="48"/>
        <v>3</v>
      </c>
      <c r="BL57" s="127" t="str">
        <f t="shared" si="49"/>
        <v>303</v>
      </c>
      <c r="BO57" s="74" t="s">
        <v>610</v>
      </c>
      <c r="BP57" s="53">
        <f t="shared" si="67"/>
        <v>46</v>
      </c>
      <c r="BQ57" s="75">
        <f t="shared" si="68"/>
        <v>6.3800277392510402E-2</v>
      </c>
      <c r="BR57" s="127">
        <v>6</v>
      </c>
      <c r="BS57" s="85" t="s">
        <v>721</v>
      </c>
      <c r="BT57" s="85">
        <f t="shared" si="65"/>
        <v>55</v>
      </c>
      <c r="BU57" s="90">
        <f t="shared" si="66"/>
        <v>7.6282940360610257E-2</v>
      </c>
      <c r="CL57" s="28">
        <v>98</v>
      </c>
      <c r="CM57" s="28">
        <v>90</v>
      </c>
      <c r="CO57"/>
    </row>
    <row r="58" spans="1:93" ht="16.5">
      <c r="B58" s="17">
        <v>54</v>
      </c>
      <c r="C58" s="363" t="s">
        <v>84</v>
      </c>
      <c r="D58" s="18">
        <v>3</v>
      </c>
      <c r="E58" s="20">
        <v>5148626600</v>
      </c>
      <c r="F58" s="18">
        <v>15</v>
      </c>
      <c r="G58" s="20">
        <v>171620800</v>
      </c>
      <c r="H58" s="18">
        <v>719</v>
      </c>
      <c r="I58" s="20">
        <v>3580400</v>
      </c>
      <c r="J58" s="20">
        <v>34854</v>
      </c>
      <c r="K58" s="20">
        <v>147700</v>
      </c>
      <c r="L58" s="20">
        <v>617337</v>
      </c>
      <c r="M58" s="20">
        <v>10000</v>
      </c>
      <c r="N58" s="167">
        <v>1</v>
      </c>
      <c r="O58" s="167">
        <v>8</v>
      </c>
      <c r="P58" s="167">
        <v>21</v>
      </c>
      <c r="Q58" s="167">
        <v>27</v>
      </c>
      <c r="R58" s="167">
        <v>36</v>
      </c>
      <c r="S58" s="167">
        <v>39</v>
      </c>
      <c r="T58" s="167">
        <v>37</v>
      </c>
      <c r="U58" s="28">
        <f t="shared" si="22"/>
        <v>132</v>
      </c>
      <c r="W58" s="32" t="str">
        <f t="shared" si="69"/>
        <v>홀수</v>
      </c>
      <c r="X58" s="32" t="str">
        <f t="shared" si="70"/>
        <v>짝수</v>
      </c>
      <c r="Y58" s="32" t="str">
        <f t="shared" si="71"/>
        <v>홀수</v>
      </c>
      <c r="Z58" s="32" t="str">
        <f t="shared" si="72"/>
        <v>홀수</v>
      </c>
      <c r="AA58" s="32" t="str">
        <f t="shared" si="73"/>
        <v>짝수</v>
      </c>
      <c r="AB58" s="32" t="str">
        <f t="shared" si="74"/>
        <v>홀수</v>
      </c>
      <c r="AC58" s="58" t="str">
        <f t="shared" si="75"/>
        <v>4 : 2</v>
      </c>
      <c r="AD58" s="32">
        <f t="shared" si="76"/>
        <v>4</v>
      </c>
      <c r="AE58" s="32">
        <f t="shared" si="77"/>
        <v>2</v>
      </c>
      <c r="AF58" s="66" t="str">
        <f t="shared" si="23"/>
        <v>저수</v>
      </c>
      <c r="AG58" s="66" t="str">
        <f t="shared" si="24"/>
        <v>저수</v>
      </c>
      <c r="AH58" s="66" t="str">
        <f t="shared" si="25"/>
        <v>저수</v>
      </c>
      <c r="AI58" s="66" t="str">
        <f t="shared" si="26"/>
        <v>고수</v>
      </c>
      <c r="AJ58" s="66" t="str">
        <f t="shared" si="27"/>
        <v>고수</v>
      </c>
      <c r="AK58" s="66" t="str">
        <f t="shared" si="28"/>
        <v>고수</v>
      </c>
      <c r="AL58" s="58" t="str">
        <f t="shared" si="29"/>
        <v>3 : 3</v>
      </c>
      <c r="AM58" s="66">
        <f t="shared" si="30"/>
        <v>3</v>
      </c>
      <c r="AN58" s="66">
        <f t="shared" si="31"/>
        <v>3</v>
      </c>
      <c r="AO58" s="66">
        <f t="shared" si="32"/>
        <v>32</v>
      </c>
      <c r="AP58" s="66" t="str">
        <f t="shared" si="33"/>
        <v>X</v>
      </c>
      <c r="AQ58" s="66" t="str">
        <f t="shared" si="34"/>
        <v>X</v>
      </c>
      <c r="AR58" s="66" t="str">
        <f t="shared" si="35"/>
        <v>X</v>
      </c>
      <c r="AS58" s="66" t="str">
        <f t="shared" si="36"/>
        <v>X</v>
      </c>
      <c r="AT58" s="66" t="str">
        <f t="shared" si="37"/>
        <v>X</v>
      </c>
      <c r="AU58" s="66" t="str">
        <f t="shared" si="38"/>
        <v>X</v>
      </c>
      <c r="AV58" s="66" t="str">
        <f t="shared" si="39"/>
        <v>X</v>
      </c>
      <c r="AW58" s="66" t="str">
        <f t="shared" si="40"/>
        <v>X</v>
      </c>
      <c r="AX58" s="66" t="str">
        <f t="shared" si="41"/>
        <v>X</v>
      </c>
      <c r="AY58" s="66" t="str">
        <f t="shared" si="42"/>
        <v>X</v>
      </c>
      <c r="AZ58" s="66" t="str">
        <f t="shared" si="43"/>
        <v>X</v>
      </c>
      <c r="BA58" s="66" t="str">
        <f t="shared" si="44"/>
        <v>X</v>
      </c>
      <c r="BB58" s="66">
        <f t="shared" si="45"/>
        <v>0</v>
      </c>
      <c r="BC58" s="127" t="str">
        <f t="shared" si="7"/>
        <v>1G</v>
      </c>
      <c r="BD58" s="127" t="str">
        <f t="shared" si="8"/>
        <v>1G</v>
      </c>
      <c r="BE58" s="127" t="str">
        <f t="shared" si="9"/>
        <v>2G</v>
      </c>
      <c r="BF58" s="127" t="str">
        <f t="shared" si="10"/>
        <v>2G</v>
      </c>
      <c r="BG58" s="127" t="str">
        <f t="shared" si="11"/>
        <v>3G</v>
      </c>
      <c r="BH58" s="127" t="str">
        <f t="shared" si="12"/>
        <v>3G</v>
      </c>
      <c r="BI58" s="127">
        <f t="shared" si="46"/>
        <v>2</v>
      </c>
      <c r="BJ58" s="127">
        <f t="shared" si="47"/>
        <v>2</v>
      </c>
      <c r="BK58" s="127">
        <f t="shared" si="48"/>
        <v>2</v>
      </c>
      <c r="BL58" s="127" t="str">
        <f t="shared" si="49"/>
        <v>222</v>
      </c>
      <c r="BO58" s="74" t="s">
        <v>615</v>
      </c>
      <c r="BP58" s="53">
        <f t="shared" si="67"/>
        <v>14</v>
      </c>
      <c r="BQ58" s="75">
        <f t="shared" si="68"/>
        <v>1.9417475728155338E-2</v>
      </c>
      <c r="BR58" s="127">
        <v>7</v>
      </c>
      <c r="BS58" s="85" t="s">
        <v>726</v>
      </c>
      <c r="BT58" s="85">
        <f t="shared" si="65"/>
        <v>42</v>
      </c>
      <c r="BU58" s="90">
        <f t="shared" si="66"/>
        <v>5.8252427184466021E-2</v>
      </c>
      <c r="CL58" s="28">
        <v>98</v>
      </c>
      <c r="CM58" s="28">
        <v>90</v>
      </c>
      <c r="CO58"/>
    </row>
    <row r="59" spans="1:93" ht="16.5">
      <c r="B59" s="17">
        <v>55</v>
      </c>
      <c r="C59" s="363" t="s">
        <v>85</v>
      </c>
      <c r="D59" s="18">
        <v>2</v>
      </c>
      <c r="E59" s="20">
        <v>7088799600</v>
      </c>
      <c r="F59" s="18">
        <v>24</v>
      </c>
      <c r="G59" s="20">
        <v>98455500</v>
      </c>
      <c r="H59" s="18">
        <v>728</v>
      </c>
      <c r="I59" s="20">
        <v>3245700</v>
      </c>
      <c r="J59" s="20">
        <v>42550</v>
      </c>
      <c r="K59" s="20">
        <v>111000</v>
      </c>
      <c r="L59" s="20">
        <v>746855</v>
      </c>
      <c r="M59" s="20">
        <v>10000</v>
      </c>
      <c r="N59" s="167">
        <v>17</v>
      </c>
      <c r="O59" s="167">
        <v>21</v>
      </c>
      <c r="P59" s="167">
        <v>31</v>
      </c>
      <c r="Q59" s="167">
        <v>37</v>
      </c>
      <c r="R59" s="167">
        <v>40</v>
      </c>
      <c r="S59" s="167">
        <v>44</v>
      </c>
      <c r="T59" s="167">
        <v>7</v>
      </c>
      <c r="U59" s="28">
        <f t="shared" si="22"/>
        <v>190</v>
      </c>
      <c r="W59" s="32" t="str">
        <f t="shared" si="69"/>
        <v>홀수</v>
      </c>
      <c r="X59" s="32" t="str">
        <f t="shared" si="70"/>
        <v>홀수</v>
      </c>
      <c r="Y59" s="32" t="str">
        <f t="shared" si="71"/>
        <v>홀수</v>
      </c>
      <c r="Z59" s="32" t="str">
        <f t="shared" si="72"/>
        <v>홀수</v>
      </c>
      <c r="AA59" s="32" t="str">
        <f t="shared" si="73"/>
        <v>짝수</v>
      </c>
      <c r="AB59" s="32" t="str">
        <f t="shared" si="74"/>
        <v>짝수</v>
      </c>
      <c r="AC59" s="58" t="str">
        <f t="shared" si="75"/>
        <v>4 : 2</v>
      </c>
      <c r="AD59" s="32">
        <f t="shared" si="76"/>
        <v>4</v>
      </c>
      <c r="AE59" s="32">
        <f t="shared" si="77"/>
        <v>2</v>
      </c>
      <c r="AF59" s="66" t="str">
        <f t="shared" si="23"/>
        <v>저수</v>
      </c>
      <c r="AG59" s="66" t="str">
        <f t="shared" si="24"/>
        <v>저수</v>
      </c>
      <c r="AH59" s="66" t="str">
        <f t="shared" si="25"/>
        <v>고수</v>
      </c>
      <c r="AI59" s="66" t="str">
        <f t="shared" si="26"/>
        <v>고수</v>
      </c>
      <c r="AJ59" s="66" t="str">
        <f t="shared" si="27"/>
        <v>고수</v>
      </c>
      <c r="AK59" s="66" t="str">
        <f t="shared" si="28"/>
        <v>고수</v>
      </c>
      <c r="AL59" s="58" t="str">
        <f t="shared" si="29"/>
        <v>2 : 4</v>
      </c>
      <c r="AM59" s="66">
        <f t="shared" si="30"/>
        <v>2</v>
      </c>
      <c r="AN59" s="66">
        <f t="shared" si="31"/>
        <v>4</v>
      </c>
      <c r="AO59" s="66">
        <f t="shared" si="32"/>
        <v>20</v>
      </c>
      <c r="AP59" s="66" t="str">
        <f t="shared" si="33"/>
        <v>O</v>
      </c>
      <c r="AQ59" s="66" t="str">
        <f t="shared" si="34"/>
        <v>X</v>
      </c>
      <c r="AR59" s="66" t="str">
        <f t="shared" si="35"/>
        <v>X</v>
      </c>
      <c r="AS59" s="66" t="str">
        <f t="shared" si="36"/>
        <v>X</v>
      </c>
      <c r="AT59" s="66" t="str">
        <f t="shared" si="37"/>
        <v>X</v>
      </c>
      <c r="AU59" s="66" t="str">
        <f t="shared" si="38"/>
        <v>X</v>
      </c>
      <c r="AV59" s="66" t="str">
        <f t="shared" si="39"/>
        <v>X</v>
      </c>
      <c r="AW59" s="66" t="str">
        <f t="shared" si="40"/>
        <v>X</v>
      </c>
      <c r="AX59" s="66" t="str">
        <f t="shared" si="41"/>
        <v>O</v>
      </c>
      <c r="AY59" s="66" t="str">
        <f t="shared" si="42"/>
        <v>O</v>
      </c>
      <c r="AZ59" s="66" t="str">
        <f t="shared" si="43"/>
        <v>X</v>
      </c>
      <c r="BA59" s="66" t="str">
        <f t="shared" si="44"/>
        <v>X</v>
      </c>
      <c r="BB59" s="66">
        <f t="shared" si="45"/>
        <v>3</v>
      </c>
      <c r="BC59" s="127" t="str">
        <f t="shared" si="7"/>
        <v>2G</v>
      </c>
      <c r="BD59" s="127" t="str">
        <f t="shared" si="8"/>
        <v>2G</v>
      </c>
      <c r="BE59" s="127" t="str">
        <f t="shared" si="9"/>
        <v>3G</v>
      </c>
      <c r="BF59" s="127" t="str">
        <f t="shared" si="10"/>
        <v>3G</v>
      </c>
      <c r="BG59" s="127" t="str">
        <f t="shared" si="11"/>
        <v>3G</v>
      </c>
      <c r="BH59" s="127" t="str">
        <f t="shared" si="12"/>
        <v>3G</v>
      </c>
      <c r="BI59" s="127">
        <f t="shared" si="46"/>
        <v>0</v>
      </c>
      <c r="BJ59" s="127">
        <f t="shared" si="47"/>
        <v>2</v>
      </c>
      <c r="BK59" s="127">
        <f t="shared" si="48"/>
        <v>4</v>
      </c>
      <c r="BL59" s="127" t="str">
        <f t="shared" si="49"/>
        <v>024</v>
      </c>
      <c r="BO59" s="74" t="s">
        <v>778</v>
      </c>
      <c r="BP59" s="53">
        <f t="shared" si="67"/>
        <v>6</v>
      </c>
      <c r="BQ59" s="75">
        <f t="shared" si="68"/>
        <v>8.321775312066574E-3</v>
      </c>
      <c r="BR59" s="127">
        <v>8</v>
      </c>
      <c r="BS59" s="53" t="s">
        <v>724</v>
      </c>
      <c r="BT59" s="53">
        <f t="shared" si="65"/>
        <v>33</v>
      </c>
      <c r="BU59" s="77">
        <f t="shared" si="66"/>
        <v>4.5769764216366159E-2</v>
      </c>
      <c r="CL59" s="28">
        <v>98</v>
      </c>
      <c r="CM59" s="28">
        <v>90</v>
      </c>
      <c r="CO59"/>
    </row>
    <row r="60" spans="1:93" ht="16.5">
      <c r="B60" s="17">
        <v>56</v>
      </c>
      <c r="C60" s="363" t="s">
        <v>86</v>
      </c>
      <c r="D60" s="18">
        <v>4</v>
      </c>
      <c r="E60" s="20">
        <v>3777570900</v>
      </c>
      <c r="F60" s="18">
        <v>29</v>
      </c>
      <c r="G60" s="20">
        <v>86840700</v>
      </c>
      <c r="H60" s="20">
        <v>1359</v>
      </c>
      <c r="I60" s="20">
        <v>1853100</v>
      </c>
      <c r="J60" s="20">
        <v>41156</v>
      </c>
      <c r="K60" s="20">
        <v>122300</v>
      </c>
      <c r="L60" s="20">
        <v>744566</v>
      </c>
      <c r="M60" s="20">
        <v>10000</v>
      </c>
      <c r="N60" s="167">
        <v>10</v>
      </c>
      <c r="O60" s="167">
        <v>14</v>
      </c>
      <c r="P60" s="167">
        <v>30</v>
      </c>
      <c r="Q60" s="167">
        <v>31</v>
      </c>
      <c r="R60" s="167">
        <v>33</v>
      </c>
      <c r="S60" s="167">
        <v>37</v>
      </c>
      <c r="T60" s="167">
        <v>19</v>
      </c>
      <c r="U60" s="28">
        <f t="shared" si="22"/>
        <v>155</v>
      </c>
      <c r="W60" s="32" t="str">
        <f t="shared" si="69"/>
        <v>짝수</v>
      </c>
      <c r="X60" s="32" t="str">
        <f t="shared" si="70"/>
        <v>짝수</v>
      </c>
      <c r="Y60" s="32" t="str">
        <f t="shared" si="71"/>
        <v>짝수</v>
      </c>
      <c r="Z60" s="32" t="str">
        <f t="shared" si="72"/>
        <v>홀수</v>
      </c>
      <c r="AA60" s="32" t="str">
        <f t="shared" si="73"/>
        <v>홀수</v>
      </c>
      <c r="AB60" s="32" t="str">
        <f t="shared" si="74"/>
        <v>홀수</v>
      </c>
      <c r="AC60" s="58" t="str">
        <f t="shared" si="75"/>
        <v>3 : 3</v>
      </c>
      <c r="AD60" s="32">
        <f t="shared" si="76"/>
        <v>3</v>
      </c>
      <c r="AE60" s="32">
        <f t="shared" si="77"/>
        <v>3</v>
      </c>
      <c r="AF60" s="66" t="str">
        <f t="shared" si="23"/>
        <v>저수</v>
      </c>
      <c r="AG60" s="66" t="str">
        <f t="shared" si="24"/>
        <v>저수</v>
      </c>
      <c r="AH60" s="66" t="str">
        <f t="shared" si="25"/>
        <v>고수</v>
      </c>
      <c r="AI60" s="66" t="str">
        <f t="shared" si="26"/>
        <v>고수</v>
      </c>
      <c r="AJ60" s="66" t="str">
        <f t="shared" si="27"/>
        <v>고수</v>
      </c>
      <c r="AK60" s="66" t="str">
        <f t="shared" si="28"/>
        <v>고수</v>
      </c>
      <c r="AL60" s="58" t="str">
        <f t="shared" si="29"/>
        <v>2 : 4</v>
      </c>
      <c r="AM60" s="66">
        <f t="shared" si="30"/>
        <v>2</v>
      </c>
      <c r="AN60" s="66">
        <f t="shared" si="31"/>
        <v>4</v>
      </c>
      <c r="AO60" s="66">
        <f t="shared" si="32"/>
        <v>15</v>
      </c>
      <c r="AP60" s="66" t="str">
        <f t="shared" si="33"/>
        <v>X</v>
      </c>
      <c r="AQ60" s="66" t="str">
        <f t="shared" si="34"/>
        <v>X</v>
      </c>
      <c r="AR60" s="66" t="str">
        <f t="shared" si="35"/>
        <v>X</v>
      </c>
      <c r="AS60" s="66" t="str">
        <f t="shared" si="36"/>
        <v>X</v>
      </c>
      <c r="AT60" s="66" t="str">
        <f t="shared" si="37"/>
        <v>X</v>
      </c>
      <c r="AU60" s="66" t="str">
        <f t="shared" si="38"/>
        <v>X</v>
      </c>
      <c r="AV60" s="66" t="str">
        <f t="shared" si="39"/>
        <v>X</v>
      </c>
      <c r="AW60" s="66" t="str">
        <f t="shared" si="40"/>
        <v>X</v>
      </c>
      <c r="AX60" s="66" t="str">
        <f t="shared" si="41"/>
        <v>X</v>
      </c>
      <c r="AY60" s="66" t="str">
        <f t="shared" si="42"/>
        <v>O</v>
      </c>
      <c r="AZ60" s="66" t="str">
        <f t="shared" si="43"/>
        <v>X</v>
      </c>
      <c r="BA60" s="66" t="str">
        <f t="shared" si="44"/>
        <v>O</v>
      </c>
      <c r="BB60" s="66">
        <f t="shared" si="45"/>
        <v>2</v>
      </c>
      <c r="BC60" s="127" t="str">
        <f t="shared" si="7"/>
        <v>1G</v>
      </c>
      <c r="BD60" s="127" t="str">
        <f t="shared" si="8"/>
        <v>1G</v>
      </c>
      <c r="BE60" s="127" t="str">
        <f t="shared" si="9"/>
        <v>2G</v>
      </c>
      <c r="BF60" s="127" t="str">
        <f t="shared" si="10"/>
        <v>3G</v>
      </c>
      <c r="BG60" s="127" t="str">
        <f t="shared" si="11"/>
        <v>3G</v>
      </c>
      <c r="BH60" s="127" t="str">
        <f t="shared" si="12"/>
        <v>3G</v>
      </c>
      <c r="BI60" s="127">
        <f t="shared" si="46"/>
        <v>2</v>
      </c>
      <c r="BJ60" s="127">
        <f t="shared" si="47"/>
        <v>1</v>
      </c>
      <c r="BK60" s="127">
        <f t="shared" si="48"/>
        <v>3</v>
      </c>
      <c r="BL60" s="127" t="str">
        <f t="shared" si="49"/>
        <v>213</v>
      </c>
      <c r="BO60" s="53" t="s">
        <v>618</v>
      </c>
      <c r="BP60" s="53">
        <f>SUM(BP53:BP59)</f>
        <v>721</v>
      </c>
      <c r="BQ60" s="76">
        <f>SUM(BQ53:BQ59)</f>
        <v>0.99999999999999989</v>
      </c>
      <c r="BR60" s="127">
        <v>9</v>
      </c>
      <c r="BS60" s="53" t="s">
        <v>715</v>
      </c>
      <c r="BT60" s="53">
        <f t="shared" si="65"/>
        <v>30</v>
      </c>
      <c r="BU60" s="77">
        <f t="shared" si="66"/>
        <v>4.1608876560332873E-2</v>
      </c>
      <c r="CL60" s="28">
        <v>98</v>
      </c>
      <c r="CM60" s="28">
        <v>90</v>
      </c>
      <c r="CO60"/>
    </row>
    <row r="61" spans="1:93" ht="16.5">
      <c r="A61" s="18">
        <v>2004</v>
      </c>
      <c r="B61" s="17">
        <v>57</v>
      </c>
      <c r="C61" s="363" t="s">
        <v>87</v>
      </c>
      <c r="D61" s="18">
        <v>4</v>
      </c>
      <c r="E61" s="20">
        <v>4114411900</v>
      </c>
      <c r="F61" s="18">
        <v>25</v>
      </c>
      <c r="G61" s="20">
        <v>109717600</v>
      </c>
      <c r="H61" s="18">
        <v>960</v>
      </c>
      <c r="I61" s="20">
        <v>2857200</v>
      </c>
      <c r="J61" s="20">
        <v>44050</v>
      </c>
      <c r="K61" s="20">
        <v>124500</v>
      </c>
      <c r="L61" s="20">
        <v>763692</v>
      </c>
      <c r="M61" s="20">
        <v>10000</v>
      </c>
      <c r="N61" s="167">
        <v>7</v>
      </c>
      <c r="O61" s="167">
        <v>10</v>
      </c>
      <c r="P61" s="167">
        <v>16</v>
      </c>
      <c r="Q61" s="167">
        <v>25</v>
      </c>
      <c r="R61" s="167">
        <v>29</v>
      </c>
      <c r="S61" s="167">
        <v>44</v>
      </c>
      <c r="T61" s="167">
        <v>6</v>
      </c>
      <c r="U61" s="28">
        <f t="shared" si="22"/>
        <v>131</v>
      </c>
      <c r="W61" s="32" t="str">
        <f t="shared" si="69"/>
        <v>홀수</v>
      </c>
      <c r="X61" s="32" t="str">
        <f t="shared" si="70"/>
        <v>짝수</v>
      </c>
      <c r="Y61" s="32" t="str">
        <f t="shared" si="71"/>
        <v>짝수</v>
      </c>
      <c r="Z61" s="32" t="str">
        <f t="shared" si="72"/>
        <v>홀수</v>
      </c>
      <c r="AA61" s="32" t="str">
        <f t="shared" si="73"/>
        <v>홀수</v>
      </c>
      <c r="AB61" s="32" t="str">
        <f t="shared" si="74"/>
        <v>짝수</v>
      </c>
      <c r="AC61" s="58" t="str">
        <f t="shared" si="75"/>
        <v>3 : 3</v>
      </c>
      <c r="AD61" s="32">
        <f t="shared" si="76"/>
        <v>3</v>
      </c>
      <c r="AE61" s="32">
        <f t="shared" si="77"/>
        <v>3</v>
      </c>
      <c r="AF61" s="66" t="str">
        <f t="shared" si="23"/>
        <v>저수</v>
      </c>
      <c r="AG61" s="66" t="str">
        <f t="shared" si="24"/>
        <v>저수</v>
      </c>
      <c r="AH61" s="66" t="str">
        <f t="shared" si="25"/>
        <v>저수</v>
      </c>
      <c r="AI61" s="66" t="str">
        <f t="shared" si="26"/>
        <v>고수</v>
      </c>
      <c r="AJ61" s="66" t="str">
        <f t="shared" si="27"/>
        <v>고수</v>
      </c>
      <c r="AK61" s="66" t="str">
        <f t="shared" si="28"/>
        <v>고수</v>
      </c>
      <c r="AL61" s="58" t="str">
        <f t="shared" si="29"/>
        <v>3 : 3</v>
      </c>
      <c r="AM61" s="66">
        <f t="shared" si="30"/>
        <v>3</v>
      </c>
      <c r="AN61" s="66">
        <f t="shared" si="31"/>
        <v>3</v>
      </c>
      <c r="AO61" s="66">
        <f t="shared" si="32"/>
        <v>31</v>
      </c>
      <c r="AP61" s="66" t="str">
        <f t="shared" si="33"/>
        <v>O</v>
      </c>
      <c r="AQ61" s="66" t="str">
        <f t="shared" si="34"/>
        <v>X</v>
      </c>
      <c r="AR61" s="66" t="str">
        <f t="shared" si="35"/>
        <v>X</v>
      </c>
      <c r="AS61" s="66" t="str">
        <f t="shared" si="36"/>
        <v>X</v>
      </c>
      <c r="AT61" s="66" t="str">
        <f t="shared" si="37"/>
        <v>X</v>
      </c>
      <c r="AU61" s="66" t="str">
        <f t="shared" si="38"/>
        <v>X</v>
      </c>
      <c r="AV61" s="66" t="str">
        <f t="shared" si="39"/>
        <v>X</v>
      </c>
      <c r="AW61" s="66" t="str">
        <f t="shared" si="40"/>
        <v>X</v>
      </c>
      <c r="AX61" s="66" t="str">
        <f t="shared" si="41"/>
        <v>X</v>
      </c>
      <c r="AY61" s="66" t="str">
        <f t="shared" si="42"/>
        <v>X</v>
      </c>
      <c r="AZ61" s="66" t="str">
        <f t="shared" si="43"/>
        <v>O</v>
      </c>
      <c r="BA61" s="66" t="str">
        <f t="shared" si="44"/>
        <v>X</v>
      </c>
      <c r="BB61" s="66">
        <f t="shared" si="45"/>
        <v>2</v>
      </c>
      <c r="BC61" s="127" t="str">
        <f t="shared" si="7"/>
        <v>1G</v>
      </c>
      <c r="BD61" s="127" t="str">
        <f t="shared" si="8"/>
        <v>1G</v>
      </c>
      <c r="BE61" s="127" t="str">
        <f t="shared" si="9"/>
        <v>2G</v>
      </c>
      <c r="BF61" s="127" t="str">
        <f t="shared" si="10"/>
        <v>2G</v>
      </c>
      <c r="BG61" s="127" t="str">
        <f t="shared" si="11"/>
        <v>2G</v>
      </c>
      <c r="BH61" s="127" t="str">
        <f t="shared" si="12"/>
        <v>3G</v>
      </c>
      <c r="BI61" s="127">
        <f t="shared" si="46"/>
        <v>2</v>
      </c>
      <c r="BJ61" s="127">
        <f t="shared" si="47"/>
        <v>3</v>
      </c>
      <c r="BK61" s="127">
        <f t="shared" si="48"/>
        <v>1</v>
      </c>
      <c r="BL61" s="127" t="str">
        <f t="shared" si="49"/>
        <v>231</v>
      </c>
      <c r="BR61" s="127">
        <v>10</v>
      </c>
      <c r="BS61" s="53" t="s">
        <v>716</v>
      </c>
      <c r="BT61" s="53">
        <f t="shared" si="65"/>
        <v>25</v>
      </c>
      <c r="BU61" s="77">
        <f t="shared" si="66"/>
        <v>3.4674063800277391E-2</v>
      </c>
      <c r="CL61" s="28">
        <v>99</v>
      </c>
      <c r="CM61" s="28">
        <v>90</v>
      </c>
      <c r="CO61"/>
    </row>
    <row r="62" spans="1:93" ht="16.5">
      <c r="B62" s="17">
        <v>58</v>
      </c>
      <c r="C62" s="363" t="s">
        <v>88</v>
      </c>
      <c r="D62" s="18">
        <v>4</v>
      </c>
      <c r="E62" s="20">
        <v>3676429200</v>
      </c>
      <c r="F62" s="18">
        <v>39</v>
      </c>
      <c r="G62" s="20">
        <v>62844900</v>
      </c>
      <c r="H62" s="20">
        <v>1318</v>
      </c>
      <c r="I62" s="20">
        <v>1859600</v>
      </c>
      <c r="J62" s="20">
        <v>58215</v>
      </c>
      <c r="K62" s="20">
        <v>84200</v>
      </c>
      <c r="L62" s="20">
        <v>880954</v>
      </c>
      <c r="M62" s="20">
        <v>10000</v>
      </c>
      <c r="N62" s="167">
        <v>10</v>
      </c>
      <c r="O62" s="167">
        <v>24</v>
      </c>
      <c r="P62" s="167">
        <v>25</v>
      </c>
      <c r="Q62" s="167">
        <v>33</v>
      </c>
      <c r="R62" s="167">
        <v>40</v>
      </c>
      <c r="S62" s="167">
        <v>44</v>
      </c>
      <c r="T62" s="167">
        <v>1</v>
      </c>
      <c r="U62" s="28">
        <f t="shared" si="22"/>
        <v>176</v>
      </c>
      <c r="W62" s="32" t="str">
        <f t="shared" si="69"/>
        <v>짝수</v>
      </c>
      <c r="X62" s="32" t="str">
        <f t="shared" si="70"/>
        <v>짝수</v>
      </c>
      <c r="Y62" s="32" t="str">
        <f t="shared" si="71"/>
        <v>홀수</v>
      </c>
      <c r="Z62" s="32" t="str">
        <f t="shared" si="72"/>
        <v>홀수</v>
      </c>
      <c r="AA62" s="32" t="str">
        <f t="shared" si="73"/>
        <v>짝수</v>
      </c>
      <c r="AB62" s="32" t="str">
        <f t="shared" si="74"/>
        <v>짝수</v>
      </c>
      <c r="AC62" s="58" t="str">
        <f t="shared" si="75"/>
        <v>2 : 4</v>
      </c>
      <c r="AD62" s="32">
        <f t="shared" si="76"/>
        <v>2</v>
      </c>
      <c r="AE62" s="32">
        <f t="shared" si="77"/>
        <v>4</v>
      </c>
      <c r="AF62" s="66" t="str">
        <f t="shared" si="23"/>
        <v>저수</v>
      </c>
      <c r="AG62" s="66" t="str">
        <f t="shared" si="24"/>
        <v>고수</v>
      </c>
      <c r="AH62" s="66" t="str">
        <f t="shared" si="25"/>
        <v>고수</v>
      </c>
      <c r="AI62" s="66" t="str">
        <f t="shared" si="26"/>
        <v>고수</v>
      </c>
      <c r="AJ62" s="66" t="str">
        <f t="shared" si="27"/>
        <v>고수</v>
      </c>
      <c r="AK62" s="66" t="str">
        <f t="shared" si="28"/>
        <v>고수</v>
      </c>
      <c r="AL62" s="58" t="str">
        <f t="shared" si="29"/>
        <v>1 : 5</v>
      </c>
      <c r="AM62" s="66">
        <f t="shared" si="30"/>
        <v>1</v>
      </c>
      <c r="AN62" s="66">
        <f t="shared" si="31"/>
        <v>5</v>
      </c>
      <c r="AO62" s="66">
        <f t="shared" si="32"/>
        <v>16</v>
      </c>
      <c r="AP62" s="66" t="str">
        <f t="shared" si="33"/>
        <v>X</v>
      </c>
      <c r="AQ62" s="66" t="str">
        <f t="shared" si="34"/>
        <v>X</v>
      </c>
      <c r="AR62" s="66" t="str">
        <f t="shared" si="35"/>
        <v>X</v>
      </c>
      <c r="AS62" s="66" t="str">
        <f t="shared" si="36"/>
        <v>X</v>
      </c>
      <c r="AT62" s="66" t="str">
        <f t="shared" si="37"/>
        <v>X</v>
      </c>
      <c r="AU62" s="66" t="str">
        <f t="shared" si="38"/>
        <v>X</v>
      </c>
      <c r="AV62" s="66" t="str">
        <f t="shared" si="39"/>
        <v>X</v>
      </c>
      <c r="AW62" s="66" t="str">
        <f t="shared" si="40"/>
        <v>X</v>
      </c>
      <c r="AX62" s="66" t="str">
        <f t="shared" si="41"/>
        <v>X</v>
      </c>
      <c r="AY62" s="66" t="str">
        <f t="shared" si="42"/>
        <v>X</v>
      </c>
      <c r="AZ62" s="66" t="str">
        <f t="shared" si="43"/>
        <v>X</v>
      </c>
      <c r="BA62" s="66" t="str">
        <f t="shared" si="44"/>
        <v>X</v>
      </c>
      <c r="BB62" s="66">
        <f t="shared" si="45"/>
        <v>0</v>
      </c>
      <c r="BC62" s="127" t="str">
        <f t="shared" si="7"/>
        <v>1G</v>
      </c>
      <c r="BD62" s="127" t="str">
        <f t="shared" si="8"/>
        <v>2G</v>
      </c>
      <c r="BE62" s="127" t="str">
        <f t="shared" si="9"/>
        <v>2G</v>
      </c>
      <c r="BF62" s="127" t="str">
        <f t="shared" si="10"/>
        <v>3G</v>
      </c>
      <c r="BG62" s="127" t="str">
        <f t="shared" si="11"/>
        <v>3G</v>
      </c>
      <c r="BH62" s="127" t="str">
        <f t="shared" si="12"/>
        <v>3G</v>
      </c>
      <c r="BI62" s="127">
        <f t="shared" si="46"/>
        <v>1</v>
      </c>
      <c r="BJ62" s="127">
        <f t="shared" si="47"/>
        <v>2</v>
      </c>
      <c r="BK62" s="127">
        <f t="shared" si="48"/>
        <v>3</v>
      </c>
      <c r="BL62" s="127" t="str">
        <f t="shared" si="49"/>
        <v>123</v>
      </c>
      <c r="BO62" s="537" t="s">
        <v>620</v>
      </c>
      <c r="BP62" s="537"/>
      <c r="BQ62" s="537"/>
      <c r="BR62" s="127">
        <v>11</v>
      </c>
      <c r="BS62" s="53" t="s">
        <v>722</v>
      </c>
      <c r="BT62" s="53">
        <f t="shared" si="65"/>
        <v>22</v>
      </c>
      <c r="BU62" s="77">
        <f t="shared" si="66"/>
        <v>3.0513176144244106E-2</v>
      </c>
      <c r="CL62" s="28">
        <v>99</v>
      </c>
      <c r="CM62" s="28">
        <v>90</v>
      </c>
      <c r="CO62"/>
    </row>
    <row r="63" spans="1:93" ht="16.5">
      <c r="B63" s="17">
        <v>59</v>
      </c>
      <c r="C63" s="363" t="s">
        <v>89</v>
      </c>
      <c r="D63" s="18">
        <v>4</v>
      </c>
      <c r="E63" s="20">
        <v>4127587300</v>
      </c>
      <c r="F63" s="18">
        <v>23</v>
      </c>
      <c r="G63" s="20">
        <v>119640200</v>
      </c>
      <c r="H63" s="18">
        <v>651</v>
      </c>
      <c r="I63" s="20">
        <v>4226900</v>
      </c>
      <c r="J63" s="20">
        <v>35026</v>
      </c>
      <c r="K63" s="20">
        <v>157100</v>
      </c>
      <c r="L63" s="20">
        <v>626460</v>
      </c>
      <c r="M63" s="20">
        <v>10000</v>
      </c>
      <c r="N63" s="167">
        <v>6</v>
      </c>
      <c r="O63" s="167">
        <v>29</v>
      </c>
      <c r="P63" s="167">
        <v>36</v>
      </c>
      <c r="Q63" s="167">
        <v>39</v>
      </c>
      <c r="R63" s="167">
        <v>41</v>
      </c>
      <c r="S63" s="167">
        <v>45</v>
      </c>
      <c r="T63" s="167">
        <v>13</v>
      </c>
      <c r="U63" s="28">
        <f t="shared" si="22"/>
        <v>196</v>
      </c>
      <c r="W63" s="32" t="str">
        <f t="shared" si="69"/>
        <v>짝수</v>
      </c>
      <c r="X63" s="32" t="str">
        <f t="shared" si="70"/>
        <v>홀수</v>
      </c>
      <c r="Y63" s="32" t="str">
        <f t="shared" si="71"/>
        <v>짝수</v>
      </c>
      <c r="Z63" s="32" t="str">
        <f t="shared" si="72"/>
        <v>홀수</v>
      </c>
      <c r="AA63" s="32" t="str">
        <f t="shared" si="73"/>
        <v>홀수</v>
      </c>
      <c r="AB63" s="32" t="str">
        <f t="shared" si="74"/>
        <v>홀수</v>
      </c>
      <c r="AC63" s="58" t="str">
        <f t="shared" si="75"/>
        <v>4 : 2</v>
      </c>
      <c r="AD63" s="32">
        <f t="shared" si="76"/>
        <v>4</v>
      </c>
      <c r="AE63" s="32">
        <f t="shared" si="77"/>
        <v>2</v>
      </c>
      <c r="AF63" s="66" t="str">
        <f t="shared" si="23"/>
        <v>저수</v>
      </c>
      <c r="AG63" s="66" t="str">
        <f t="shared" si="24"/>
        <v>고수</v>
      </c>
      <c r="AH63" s="66" t="str">
        <f t="shared" si="25"/>
        <v>고수</v>
      </c>
      <c r="AI63" s="66" t="str">
        <f t="shared" si="26"/>
        <v>고수</v>
      </c>
      <c r="AJ63" s="66" t="str">
        <f t="shared" si="27"/>
        <v>고수</v>
      </c>
      <c r="AK63" s="66" t="str">
        <f t="shared" si="28"/>
        <v>고수</v>
      </c>
      <c r="AL63" s="58" t="str">
        <f t="shared" si="29"/>
        <v>1 : 5</v>
      </c>
      <c r="AM63" s="66">
        <f t="shared" si="30"/>
        <v>1</v>
      </c>
      <c r="AN63" s="66">
        <f t="shared" si="31"/>
        <v>5</v>
      </c>
      <c r="AO63" s="66">
        <f t="shared" si="32"/>
        <v>36</v>
      </c>
      <c r="AP63" s="66" t="str">
        <f t="shared" si="33"/>
        <v>X</v>
      </c>
      <c r="AQ63" s="66" t="str">
        <f t="shared" si="34"/>
        <v>X</v>
      </c>
      <c r="AR63" s="66" t="str">
        <f t="shared" si="35"/>
        <v>X</v>
      </c>
      <c r="AS63" s="66" t="str">
        <f t="shared" si="36"/>
        <v>X</v>
      </c>
      <c r="AT63" s="66" t="str">
        <f t="shared" si="37"/>
        <v>X</v>
      </c>
      <c r="AU63" s="66" t="str">
        <f t="shared" si="38"/>
        <v>X</v>
      </c>
      <c r="AV63" s="66" t="str">
        <f t="shared" si="39"/>
        <v>X</v>
      </c>
      <c r="AW63" s="66" t="str">
        <f t="shared" si="40"/>
        <v>O</v>
      </c>
      <c r="AX63" s="66" t="str">
        <f t="shared" si="41"/>
        <v>X</v>
      </c>
      <c r="AY63" s="66" t="str">
        <f t="shared" si="42"/>
        <v>X</v>
      </c>
      <c r="AZ63" s="66" t="str">
        <f t="shared" si="43"/>
        <v>O</v>
      </c>
      <c r="BA63" s="66" t="str">
        <f t="shared" si="44"/>
        <v>X</v>
      </c>
      <c r="BB63" s="66">
        <f t="shared" si="45"/>
        <v>2</v>
      </c>
      <c r="BC63" s="127" t="str">
        <f t="shared" si="7"/>
        <v>1G</v>
      </c>
      <c r="BD63" s="127" t="str">
        <f t="shared" si="8"/>
        <v>2G</v>
      </c>
      <c r="BE63" s="127" t="str">
        <f t="shared" si="9"/>
        <v>3G</v>
      </c>
      <c r="BF63" s="127" t="str">
        <f t="shared" si="10"/>
        <v>3G</v>
      </c>
      <c r="BG63" s="127" t="str">
        <f t="shared" si="11"/>
        <v>3G</v>
      </c>
      <c r="BH63" s="127" t="str">
        <f t="shared" si="12"/>
        <v>3G</v>
      </c>
      <c r="BI63" s="127">
        <f t="shared" si="46"/>
        <v>1</v>
      </c>
      <c r="BJ63" s="127">
        <f t="shared" si="47"/>
        <v>1</v>
      </c>
      <c r="BK63" s="127">
        <f t="shared" si="48"/>
        <v>4</v>
      </c>
      <c r="BL63" s="127" t="str">
        <f t="shared" si="49"/>
        <v>114</v>
      </c>
      <c r="BO63" s="53" t="s">
        <v>616</v>
      </c>
      <c r="BP63" s="53" t="s">
        <v>617</v>
      </c>
      <c r="BQ63" s="53" t="s">
        <v>616</v>
      </c>
      <c r="BR63" s="127">
        <v>12</v>
      </c>
      <c r="BS63" s="53" t="s">
        <v>725</v>
      </c>
      <c r="BT63" s="53">
        <f t="shared" si="65"/>
        <v>18</v>
      </c>
      <c r="BU63" s="77">
        <f t="shared" si="66"/>
        <v>2.4965325936199722E-2</v>
      </c>
      <c r="CL63" s="28">
        <v>99</v>
      </c>
      <c r="CM63" s="28">
        <v>90</v>
      </c>
      <c r="CO63"/>
    </row>
    <row r="64" spans="1:93" ht="16.5">
      <c r="B64" s="17">
        <v>60</v>
      </c>
      <c r="C64" s="363" t="s">
        <v>90</v>
      </c>
      <c r="D64" s="18">
        <v>7</v>
      </c>
      <c r="E64" s="20">
        <v>2172504600</v>
      </c>
      <c r="F64" s="18">
        <v>27</v>
      </c>
      <c r="G64" s="20">
        <v>93873600</v>
      </c>
      <c r="H64" s="20">
        <v>1088</v>
      </c>
      <c r="I64" s="20">
        <v>2329500</v>
      </c>
      <c r="J64" s="20">
        <v>45712</v>
      </c>
      <c r="K64" s="20">
        <v>110800</v>
      </c>
      <c r="L64" s="20">
        <v>735708</v>
      </c>
      <c r="M64" s="20">
        <v>10000</v>
      </c>
      <c r="N64" s="167">
        <v>2</v>
      </c>
      <c r="O64" s="167">
        <v>8</v>
      </c>
      <c r="P64" s="167">
        <v>25</v>
      </c>
      <c r="Q64" s="167">
        <v>36</v>
      </c>
      <c r="R64" s="167">
        <v>39</v>
      </c>
      <c r="S64" s="167">
        <v>42</v>
      </c>
      <c r="T64" s="167">
        <v>11</v>
      </c>
      <c r="U64" s="28">
        <f t="shared" si="22"/>
        <v>152</v>
      </c>
      <c r="W64" s="32" t="str">
        <f t="shared" si="69"/>
        <v>짝수</v>
      </c>
      <c r="X64" s="32" t="str">
        <f t="shared" si="70"/>
        <v>짝수</v>
      </c>
      <c r="Y64" s="32" t="str">
        <f t="shared" si="71"/>
        <v>홀수</v>
      </c>
      <c r="Z64" s="32" t="str">
        <f t="shared" si="72"/>
        <v>짝수</v>
      </c>
      <c r="AA64" s="32" t="str">
        <f t="shared" si="73"/>
        <v>홀수</v>
      </c>
      <c r="AB64" s="32" t="str">
        <f t="shared" si="74"/>
        <v>짝수</v>
      </c>
      <c r="AC64" s="58" t="str">
        <f t="shared" si="75"/>
        <v>2 : 4</v>
      </c>
      <c r="AD64" s="32">
        <f t="shared" si="76"/>
        <v>2</v>
      </c>
      <c r="AE64" s="32">
        <f t="shared" si="77"/>
        <v>4</v>
      </c>
      <c r="AF64" s="66" t="str">
        <f t="shared" si="23"/>
        <v>저수</v>
      </c>
      <c r="AG64" s="66" t="str">
        <f t="shared" si="24"/>
        <v>저수</v>
      </c>
      <c r="AH64" s="66" t="str">
        <f t="shared" si="25"/>
        <v>고수</v>
      </c>
      <c r="AI64" s="66" t="str">
        <f t="shared" si="26"/>
        <v>고수</v>
      </c>
      <c r="AJ64" s="66" t="str">
        <f t="shared" si="27"/>
        <v>고수</v>
      </c>
      <c r="AK64" s="66" t="str">
        <f t="shared" si="28"/>
        <v>고수</v>
      </c>
      <c r="AL64" s="58" t="str">
        <f t="shared" si="29"/>
        <v>2 : 4</v>
      </c>
      <c r="AM64" s="66">
        <f t="shared" si="30"/>
        <v>2</v>
      </c>
      <c r="AN64" s="66">
        <f t="shared" si="31"/>
        <v>4</v>
      </c>
      <c r="AO64" s="66">
        <f t="shared" si="32"/>
        <v>32</v>
      </c>
      <c r="AP64" s="66" t="str">
        <f t="shared" si="33"/>
        <v>O</v>
      </c>
      <c r="AQ64" s="66" t="str">
        <f t="shared" si="34"/>
        <v>X</v>
      </c>
      <c r="AR64" s="66" t="str">
        <f t="shared" si="35"/>
        <v>X</v>
      </c>
      <c r="AS64" s="66" t="str">
        <f t="shared" si="36"/>
        <v>X</v>
      </c>
      <c r="AT64" s="66" t="str">
        <f t="shared" si="37"/>
        <v>X</v>
      </c>
      <c r="AU64" s="66" t="str">
        <f t="shared" si="38"/>
        <v>X</v>
      </c>
      <c r="AV64" s="66" t="str">
        <f t="shared" si="39"/>
        <v>X</v>
      </c>
      <c r="AW64" s="66" t="str">
        <f t="shared" si="40"/>
        <v>X</v>
      </c>
      <c r="AX64" s="66" t="str">
        <f t="shared" si="41"/>
        <v>X</v>
      </c>
      <c r="AY64" s="66" t="str">
        <f t="shared" si="42"/>
        <v>X</v>
      </c>
      <c r="AZ64" s="66" t="str">
        <f t="shared" si="43"/>
        <v>X</v>
      </c>
      <c r="BA64" s="66" t="str">
        <f t="shared" si="44"/>
        <v>X</v>
      </c>
      <c r="BB64" s="66">
        <f t="shared" si="45"/>
        <v>1</v>
      </c>
      <c r="BC64" s="127" t="str">
        <f t="shared" si="7"/>
        <v>1G</v>
      </c>
      <c r="BD64" s="127" t="str">
        <f t="shared" si="8"/>
        <v>1G</v>
      </c>
      <c r="BE64" s="127" t="str">
        <f t="shared" si="9"/>
        <v>2G</v>
      </c>
      <c r="BF64" s="127" t="str">
        <f t="shared" si="10"/>
        <v>3G</v>
      </c>
      <c r="BG64" s="127" t="str">
        <f t="shared" si="11"/>
        <v>3G</v>
      </c>
      <c r="BH64" s="127" t="str">
        <f t="shared" si="12"/>
        <v>3G</v>
      </c>
      <c r="BI64" s="127">
        <f t="shared" si="46"/>
        <v>2</v>
      </c>
      <c r="BJ64" s="127">
        <f t="shared" si="47"/>
        <v>1</v>
      </c>
      <c r="BK64" s="127">
        <f t="shared" si="48"/>
        <v>3</v>
      </c>
      <c r="BL64" s="127" t="str">
        <f t="shared" si="49"/>
        <v>213</v>
      </c>
      <c r="BO64" s="74" t="s">
        <v>609</v>
      </c>
      <c r="BP64" s="53">
        <f>COUNTIF($AL$5:$AL$1000,BO64)</f>
        <v>8</v>
      </c>
      <c r="BQ64" s="75">
        <f>BP64/$BP$71</f>
        <v>1.1095700416088766E-2</v>
      </c>
      <c r="BR64" s="127">
        <v>12</v>
      </c>
      <c r="BS64" s="53" t="s">
        <v>718</v>
      </c>
      <c r="BT64" s="53">
        <f t="shared" si="65"/>
        <v>15</v>
      </c>
      <c r="BU64" s="77">
        <f t="shared" si="66"/>
        <v>2.0804438280166437E-2</v>
      </c>
      <c r="CL64" s="28">
        <v>99</v>
      </c>
      <c r="CM64" s="28">
        <v>90</v>
      </c>
      <c r="CO64"/>
    </row>
    <row r="65" spans="2:93" ht="16.5">
      <c r="B65" s="17">
        <v>61</v>
      </c>
      <c r="C65" s="363" t="s">
        <v>91</v>
      </c>
      <c r="D65" s="18">
        <v>5</v>
      </c>
      <c r="E65" s="20">
        <v>3541038800</v>
      </c>
      <c r="F65" s="18">
        <v>11</v>
      </c>
      <c r="G65" s="20">
        <v>268260500</v>
      </c>
      <c r="H65" s="18">
        <v>789</v>
      </c>
      <c r="I65" s="20">
        <v>3740000</v>
      </c>
      <c r="J65" s="20">
        <v>41227</v>
      </c>
      <c r="K65" s="20">
        <v>143100</v>
      </c>
      <c r="L65" s="20">
        <v>714784</v>
      </c>
      <c r="M65" s="20">
        <v>10000</v>
      </c>
      <c r="N65" s="167">
        <v>14</v>
      </c>
      <c r="O65" s="167">
        <v>15</v>
      </c>
      <c r="P65" s="167">
        <v>19</v>
      </c>
      <c r="Q65" s="167">
        <v>30</v>
      </c>
      <c r="R65" s="167">
        <v>38</v>
      </c>
      <c r="S65" s="167">
        <v>43</v>
      </c>
      <c r="T65" s="167">
        <v>8</v>
      </c>
      <c r="U65" s="28">
        <f t="shared" si="22"/>
        <v>159</v>
      </c>
      <c r="W65" s="32" t="str">
        <f t="shared" si="69"/>
        <v>짝수</v>
      </c>
      <c r="X65" s="32" t="str">
        <f t="shared" si="70"/>
        <v>홀수</v>
      </c>
      <c r="Y65" s="32" t="str">
        <f t="shared" si="71"/>
        <v>홀수</v>
      </c>
      <c r="Z65" s="32" t="str">
        <f t="shared" si="72"/>
        <v>짝수</v>
      </c>
      <c r="AA65" s="32" t="str">
        <f t="shared" si="73"/>
        <v>짝수</v>
      </c>
      <c r="AB65" s="32" t="str">
        <f t="shared" si="74"/>
        <v>홀수</v>
      </c>
      <c r="AC65" s="58" t="str">
        <f t="shared" si="75"/>
        <v>3 : 3</v>
      </c>
      <c r="AD65" s="32">
        <f t="shared" si="76"/>
        <v>3</v>
      </c>
      <c r="AE65" s="32">
        <f t="shared" si="77"/>
        <v>3</v>
      </c>
      <c r="AF65" s="66" t="str">
        <f t="shared" si="23"/>
        <v>저수</v>
      </c>
      <c r="AG65" s="66" t="str">
        <f t="shared" si="24"/>
        <v>저수</v>
      </c>
      <c r="AH65" s="66" t="str">
        <f t="shared" si="25"/>
        <v>저수</v>
      </c>
      <c r="AI65" s="66" t="str">
        <f t="shared" si="26"/>
        <v>고수</v>
      </c>
      <c r="AJ65" s="66" t="str">
        <f t="shared" si="27"/>
        <v>고수</v>
      </c>
      <c r="AK65" s="66" t="str">
        <f t="shared" si="28"/>
        <v>고수</v>
      </c>
      <c r="AL65" s="58" t="str">
        <f t="shared" si="29"/>
        <v>3 : 3</v>
      </c>
      <c r="AM65" s="66">
        <f t="shared" si="30"/>
        <v>3</v>
      </c>
      <c r="AN65" s="66">
        <f t="shared" si="31"/>
        <v>3</v>
      </c>
      <c r="AO65" s="66">
        <f t="shared" si="32"/>
        <v>29</v>
      </c>
      <c r="AP65" s="66" t="str">
        <f t="shared" si="33"/>
        <v>X</v>
      </c>
      <c r="AQ65" s="66" t="str">
        <f t="shared" si="34"/>
        <v>X</v>
      </c>
      <c r="AR65" s="66" t="str">
        <f t="shared" si="35"/>
        <v>O</v>
      </c>
      <c r="AS65" s="66" t="str">
        <f t="shared" si="36"/>
        <v>X</v>
      </c>
      <c r="AT65" s="66" t="str">
        <f t="shared" si="37"/>
        <v>X</v>
      </c>
      <c r="AU65" s="66" t="str">
        <f t="shared" si="38"/>
        <v>X</v>
      </c>
      <c r="AV65" s="66" t="str">
        <f t="shared" si="39"/>
        <v>X</v>
      </c>
      <c r="AW65" s="66" t="str">
        <f t="shared" si="40"/>
        <v>X</v>
      </c>
      <c r="AX65" s="66" t="str">
        <f t="shared" si="41"/>
        <v>X</v>
      </c>
      <c r="AY65" s="66" t="str">
        <f t="shared" si="42"/>
        <v>X</v>
      </c>
      <c r="AZ65" s="66" t="str">
        <f t="shared" si="43"/>
        <v>X</v>
      </c>
      <c r="BA65" s="66" t="str">
        <f t="shared" si="44"/>
        <v>O</v>
      </c>
      <c r="BB65" s="66">
        <f t="shared" si="45"/>
        <v>2</v>
      </c>
      <c r="BC65" s="127" t="str">
        <f t="shared" si="7"/>
        <v>1G</v>
      </c>
      <c r="BD65" s="127" t="str">
        <f t="shared" si="8"/>
        <v>1G</v>
      </c>
      <c r="BE65" s="127" t="str">
        <f t="shared" si="9"/>
        <v>2G</v>
      </c>
      <c r="BF65" s="127" t="str">
        <f t="shared" si="10"/>
        <v>2G</v>
      </c>
      <c r="BG65" s="127" t="str">
        <f t="shared" si="11"/>
        <v>3G</v>
      </c>
      <c r="BH65" s="127" t="str">
        <f t="shared" si="12"/>
        <v>3G</v>
      </c>
      <c r="BI65" s="127">
        <f t="shared" si="46"/>
        <v>2</v>
      </c>
      <c r="BJ65" s="127">
        <f t="shared" si="47"/>
        <v>2</v>
      </c>
      <c r="BK65" s="127">
        <f t="shared" si="48"/>
        <v>2</v>
      </c>
      <c r="BL65" s="127" t="str">
        <f t="shared" si="49"/>
        <v>222</v>
      </c>
      <c r="BO65" s="74" t="s">
        <v>610</v>
      </c>
      <c r="BP65" s="53">
        <f t="shared" ref="BP65:BP70" si="78">COUNTIF($AL$5:$AL$1000,BO65)</f>
        <v>67</v>
      </c>
      <c r="BQ65" s="75">
        <f t="shared" ref="BQ65:BQ70" si="79">BP65/$BP$71</f>
        <v>9.2926490984743412E-2</v>
      </c>
      <c r="BR65" s="127">
        <v>13</v>
      </c>
      <c r="BS65" s="53" t="s">
        <v>736</v>
      </c>
      <c r="BT65" s="53">
        <f t="shared" si="65"/>
        <v>18</v>
      </c>
      <c r="BU65" s="77">
        <f t="shared" si="66"/>
        <v>2.4965325936199722E-2</v>
      </c>
      <c r="CL65" s="28">
        <v>100</v>
      </c>
      <c r="CM65" s="28">
        <v>100</v>
      </c>
      <c r="CO65"/>
    </row>
    <row r="66" spans="2:93" ht="16.5">
      <c r="B66" s="17">
        <v>62</v>
      </c>
      <c r="C66" s="363" t="s">
        <v>92</v>
      </c>
      <c r="D66" s="18">
        <v>1</v>
      </c>
      <c r="E66" s="20">
        <v>15817286400</v>
      </c>
      <c r="F66" s="18">
        <v>22</v>
      </c>
      <c r="G66" s="20">
        <v>119827900</v>
      </c>
      <c r="H66" s="18">
        <v>829</v>
      </c>
      <c r="I66" s="20">
        <v>3179900</v>
      </c>
      <c r="J66" s="20">
        <v>41686</v>
      </c>
      <c r="K66" s="20">
        <v>126400</v>
      </c>
      <c r="L66" s="20">
        <v>700804</v>
      </c>
      <c r="M66" s="20">
        <v>10000</v>
      </c>
      <c r="N66" s="167">
        <v>3</v>
      </c>
      <c r="O66" s="167">
        <v>8</v>
      </c>
      <c r="P66" s="167">
        <v>15</v>
      </c>
      <c r="Q66" s="167">
        <v>27</v>
      </c>
      <c r="R66" s="167">
        <v>29</v>
      </c>
      <c r="S66" s="167">
        <v>35</v>
      </c>
      <c r="T66" s="167">
        <v>21</v>
      </c>
      <c r="U66" s="28">
        <f t="shared" si="22"/>
        <v>117</v>
      </c>
      <c r="W66" s="32" t="str">
        <f t="shared" si="69"/>
        <v>홀수</v>
      </c>
      <c r="X66" s="32" t="str">
        <f t="shared" si="70"/>
        <v>짝수</v>
      </c>
      <c r="Y66" s="32" t="str">
        <f t="shared" si="71"/>
        <v>홀수</v>
      </c>
      <c r="Z66" s="32" t="str">
        <f t="shared" si="72"/>
        <v>홀수</v>
      </c>
      <c r="AA66" s="32" t="str">
        <f t="shared" si="73"/>
        <v>홀수</v>
      </c>
      <c r="AB66" s="32" t="str">
        <f t="shared" si="74"/>
        <v>홀수</v>
      </c>
      <c r="AC66" s="58" t="str">
        <f t="shared" si="75"/>
        <v>5 : 1</v>
      </c>
      <c r="AD66" s="32">
        <f t="shared" si="76"/>
        <v>5</v>
      </c>
      <c r="AE66" s="32">
        <f t="shared" si="77"/>
        <v>1</v>
      </c>
      <c r="AF66" s="66" t="str">
        <f t="shared" si="23"/>
        <v>저수</v>
      </c>
      <c r="AG66" s="66" t="str">
        <f t="shared" si="24"/>
        <v>저수</v>
      </c>
      <c r="AH66" s="66" t="str">
        <f t="shared" si="25"/>
        <v>저수</v>
      </c>
      <c r="AI66" s="66" t="str">
        <f t="shared" si="26"/>
        <v>고수</v>
      </c>
      <c r="AJ66" s="66" t="str">
        <f t="shared" si="27"/>
        <v>고수</v>
      </c>
      <c r="AK66" s="66" t="str">
        <f t="shared" si="28"/>
        <v>고수</v>
      </c>
      <c r="AL66" s="58" t="str">
        <f t="shared" si="29"/>
        <v>3 : 3</v>
      </c>
      <c r="AM66" s="66">
        <f t="shared" si="30"/>
        <v>3</v>
      </c>
      <c r="AN66" s="66">
        <f t="shared" si="31"/>
        <v>3</v>
      </c>
      <c r="AO66" s="66">
        <f t="shared" si="32"/>
        <v>37</v>
      </c>
      <c r="AP66" s="66" t="str">
        <f t="shared" si="33"/>
        <v>O</v>
      </c>
      <c r="AQ66" s="66" t="str">
        <f t="shared" si="34"/>
        <v>X</v>
      </c>
      <c r="AR66" s="66" t="str">
        <f t="shared" si="35"/>
        <v>X</v>
      </c>
      <c r="AS66" s="66" t="str">
        <f t="shared" si="36"/>
        <v>X</v>
      </c>
      <c r="AT66" s="66" t="str">
        <f t="shared" si="37"/>
        <v>X</v>
      </c>
      <c r="AU66" s="66" t="str">
        <f t="shared" si="38"/>
        <v>X</v>
      </c>
      <c r="AV66" s="66" t="str">
        <f t="shared" si="39"/>
        <v>X</v>
      </c>
      <c r="AW66" s="66" t="str">
        <f t="shared" si="40"/>
        <v>X</v>
      </c>
      <c r="AX66" s="66" t="str">
        <f t="shared" si="41"/>
        <v>X</v>
      </c>
      <c r="AY66" s="66" t="str">
        <f t="shared" si="42"/>
        <v>X</v>
      </c>
      <c r="AZ66" s="66" t="str">
        <f t="shared" si="43"/>
        <v>O</v>
      </c>
      <c r="BA66" s="66" t="str">
        <f t="shared" si="44"/>
        <v>X</v>
      </c>
      <c r="BB66" s="66">
        <f t="shared" si="45"/>
        <v>2</v>
      </c>
      <c r="BC66" s="127" t="str">
        <f t="shared" si="7"/>
        <v>1G</v>
      </c>
      <c r="BD66" s="127" t="str">
        <f t="shared" si="8"/>
        <v>1G</v>
      </c>
      <c r="BE66" s="127" t="str">
        <f t="shared" si="9"/>
        <v>1G</v>
      </c>
      <c r="BF66" s="127" t="str">
        <f t="shared" si="10"/>
        <v>2G</v>
      </c>
      <c r="BG66" s="127" t="str">
        <f t="shared" si="11"/>
        <v>2G</v>
      </c>
      <c r="BH66" s="127" t="str">
        <f t="shared" si="12"/>
        <v>3G</v>
      </c>
      <c r="BI66" s="127">
        <f t="shared" si="46"/>
        <v>3</v>
      </c>
      <c r="BJ66" s="127">
        <f t="shared" si="47"/>
        <v>2</v>
      </c>
      <c r="BK66" s="127">
        <f t="shared" si="48"/>
        <v>1</v>
      </c>
      <c r="BL66" s="127" t="str">
        <f t="shared" si="49"/>
        <v>321</v>
      </c>
      <c r="BO66" s="88" t="s">
        <v>611</v>
      </c>
      <c r="BP66" s="85">
        <f t="shared" si="78"/>
        <v>180</v>
      </c>
      <c r="BQ66" s="89">
        <f t="shared" si="79"/>
        <v>0.24965325936199723</v>
      </c>
      <c r="BR66" s="127">
        <v>14</v>
      </c>
      <c r="BS66" s="53" t="s">
        <v>719</v>
      </c>
      <c r="BT66" s="53">
        <f t="shared" si="65"/>
        <v>15</v>
      </c>
      <c r="BU66" s="77">
        <f t="shared" si="66"/>
        <v>2.0804438280166437E-2</v>
      </c>
      <c r="CL66" s="28">
        <v>100</v>
      </c>
      <c r="CM66" s="28">
        <v>100</v>
      </c>
      <c r="CO66"/>
    </row>
    <row r="67" spans="2:93" ht="16.5">
      <c r="B67" s="17">
        <v>63</v>
      </c>
      <c r="C67" s="363" t="s">
        <v>93</v>
      </c>
      <c r="D67" s="18">
        <v>2</v>
      </c>
      <c r="E67" s="20">
        <v>7922245500</v>
      </c>
      <c r="F67" s="18">
        <v>26</v>
      </c>
      <c r="G67" s="20">
        <v>101567200</v>
      </c>
      <c r="H67" s="18">
        <v>824</v>
      </c>
      <c r="I67" s="20">
        <v>3204700</v>
      </c>
      <c r="J67" s="20">
        <v>41505</v>
      </c>
      <c r="K67" s="20">
        <v>127200</v>
      </c>
      <c r="L67" s="20">
        <v>712954</v>
      </c>
      <c r="M67" s="20">
        <v>10000</v>
      </c>
      <c r="N67" s="167">
        <v>3</v>
      </c>
      <c r="O67" s="167">
        <v>20</v>
      </c>
      <c r="P67" s="167">
        <v>23</v>
      </c>
      <c r="Q67" s="167">
        <v>36</v>
      </c>
      <c r="R67" s="167">
        <v>38</v>
      </c>
      <c r="S67" s="167">
        <v>40</v>
      </c>
      <c r="T67" s="167">
        <v>5</v>
      </c>
      <c r="U67" s="28">
        <f t="shared" si="22"/>
        <v>160</v>
      </c>
      <c r="W67" s="32" t="str">
        <f t="shared" si="69"/>
        <v>홀수</v>
      </c>
      <c r="X67" s="32" t="str">
        <f t="shared" si="70"/>
        <v>짝수</v>
      </c>
      <c r="Y67" s="32" t="str">
        <f t="shared" si="71"/>
        <v>홀수</v>
      </c>
      <c r="Z67" s="32" t="str">
        <f t="shared" si="72"/>
        <v>짝수</v>
      </c>
      <c r="AA67" s="32" t="str">
        <f t="shared" si="73"/>
        <v>짝수</v>
      </c>
      <c r="AB67" s="32" t="str">
        <f t="shared" si="74"/>
        <v>짝수</v>
      </c>
      <c r="AC67" s="58" t="str">
        <f t="shared" si="75"/>
        <v>2 : 4</v>
      </c>
      <c r="AD67" s="32">
        <f t="shared" si="76"/>
        <v>2</v>
      </c>
      <c r="AE67" s="32">
        <f t="shared" si="77"/>
        <v>4</v>
      </c>
      <c r="AF67" s="66" t="str">
        <f t="shared" si="23"/>
        <v>저수</v>
      </c>
      <c r="AG67" s="66" t="str">
        <f t="shared" si="24"/>
        <v>저수</v>
      </c>
      <c r="AH67" s="66" t="str">
        <f t="shared" si="25"/>
        <v>고수</v>
      </c>
      <c r="AI67" s="66" t="str">
        <f t="shared" si="26"/>
        <v>고수</v>
      </c>
      <c r="AJ67" s="66" t="str">
        <f t="shared" si="27"/>
        <v>고수</v>
      </c>
      <c r="AK67" s="66" t="str">
        <f t="shared" si="28"/>
        <v>고수</v>
      </c>
      <c r="AL67" s="58" t="str">
        <f t="shared" si="29"/>
        <v>2 : 4</v>
      </c>
      <c r="AM67" s="66">
        <f t="shared" si="30"/>
        <v>2</v>
      </c>
      <c r="AN67" s="66">
        <f t="shared" si="31"/>
        <v>4</v>
      </c>
      <c r="AO67" s="66">
        <f t="shared" si="32"/>
        <v>20</v>
      </c>
      <c r="AP67" s="66" t="str">
        <f t="shared" si="33"/>
        <v>O</v>
      </c>
      <c r="AQ67" s="66" t="str">
        <f t="shared" si="34"/>
        <v>X</v>
      </c>
      <c r="AR67" s="66" t="str">
        <f t="shared" si="35"/>
        <v>X</v>
      </c>
      <c r="AS67" s="66" t="str">
        <f t="shared" si="36"/>
        <v>X</v>
      </c>
      <c r="AT67" s="66" t="str">
        <f t="shared" si="37"/>
        <v>X</v>
      </c>
      <c r="AU67" s="66" t="str">
        <f t="shared" si="38"/>
        <v>X</v>
      </c>
      <c r="AV67" s="66" t="str">
        <f t="shared" si="39"/>
        <v>X</v>
      </c>
      <c r="AW67" s="66" t="str">
        <f t="shared" si="40"/>
        <v>X</v>
      </c>
      <c r="AX67" s="66" t="str">
        <f t="shared" si="41"/>
        <v>O</v>
      </c>
      <c r="AY67" s="66" t="str">
        <f t="shared" si="42"/>
        <v>X</v>
      </c>
      <c r="AZ67" s="66" t="str">
        <f t="shared" si="43"/>
        <v>X</v>
      </c>
      <c r="BA67" s="66" t="str">
        <f t="shared" si="44"/>
        <v>X</v>
      </c>
      <c r="BB67" s="66">
        <f t="shared" si="45"/>
        <v>2</v>
      </c>
      <c r="BC67" s="127" t="str">
        <f t="shared" si="7"/>
        <v>1G</v>
      </c>
      <c r="BD67" s="127" t="str">
        <f t="shared" si="8"/>
        <v>2G</v>
      </c>
      <c r="BE67" s="127" t="str">
        <f t="shared" si="9"/>
        <v>2G</v>
      </c>
      <c r="BF67" s="127" t="str">
        <f t="shared" si="10"/>
        <v>3G</v>
      </c>
      <c r="BG67" s="127" t="str">
        <f t="shared" si="11"/>
        <v>3G</v>
      </c>
      <c r="BH67" s="127" t="str">
        <f t="shared" si="12"/>
        <v>3G</v>
      </c>
      <c r="BI67" s="127">
        <f t="shared" si="46"/>
        <v>1</v>
      </c>
      <c r="BJ67" s="127">
        <f t="shared" si="47"/>
        <v>2</v>
      </c>
      <c r="BK67" s="127">
        <f t="shared" si="48"/>
        <v>3</v>
      </c>
      <c r="BL67" s="127" t="str">
        <f t="shared" si="49"/>
        <v>123</v>
      </c>
      <c r="BO67" s="88" t="s">
        <v>612</v>
      </c>
      <c r="BP67" s="85">
        <f t="shared" si="78"/>
        <v>244</v>
      </c>
      <c r="BQ67" s="89">
        <f t="shared" si="79"/>
        <v>0.33841886269070737</v>
      </c>
      <c r="BR67" s="127">
        <v>15</v>
      </c>
      <c r="BS67" s="53" t="s">
        <v>727</v>
      </c>
      <c r="BT67" s="53">
        <f t="shared" si="65"/>
        <v>13</v>
      </c>
      <c r="BU67" s="77">
        <f t="shared" si="66"/>
        <v>1.8030513176144243E-2</v>
      </c>
      <c r="CL67" s="28">
        <v>101</v>
      </c>
      <c r="CM67" s="28">
        <v>100</v>
      </c>
      <c r="CO67"/>
    </row>
    <row r="68" spans="2:93" ht="16.5">
      <c r="B68" s="17">
        <v>64</v>
      </c>
      <c r="C68" s="363" t="s">
        <v>94</v>
      </c>
      <c r="D68" s="18">
        <v>4</v>
      </c>
      <c r="E68" s="20">
        <v>3899818000</v>
      </c>
      <c r="F68" s="18">
        <v>11</v>
      </c>
      <c r="G68" s="20">
        <v>236352600</v>
      </c>
      <c r="H68" s="18">
        <v>651</v>
      </c>
      <c r="I68" s="20">
        <v>3993600</v>
      </c>
      <c r="J68" s="20">
        <v>37117</v>
      </c>
      <c r="K68" s="20">
        <v>140000</v>
      </c>
      <c r="L68" s="20">
        <v>654379</v>
      </c>
      <c r="M68" s="20">
        <v>10000</v>
      </c>
      <c r="N68" s="167">
        <v>14</v>
      </c>
      <c r="O68" s="167">
        <v>15</v>
      </c>
      <c r="P68" s="167">
        <v>18</v>
      </c>
      <c r="Q68" s="167">
        <v>21</v>
      </c>
      <c r="R68" s="167">
        <v>26</v>
      </c>
      <c r="S68" s="167">
        <v>36</v>
      </c>
      <c r="T68" s="167">
        <v>39</v>
      </c>
      <c r="U68" s="28">
        <f t="shared" si="22"/>
        <v>130</v>
      </c>
      <c r="W68" s="32" t="str">
        <f t="shared" si="69"/>
        <v>짝수</v>
      </c>
      <c r="X68" s="32" t="str">
        <f t="shared" si="70"/>
        <v>홀수</v>
      </c>
      <c r="Y68" s="32" t="str">
        <f t="shared" si="71"/>
        <v>짝수</v>
      </c>
      <c r="Z68" s="32" t="str">
        <f t="shared" si="72"/>
        <v>홀수</v>
      </c>
      <c r="AA68" s="32" t="str">
        <f t="shared" si="73"/>
        <v>짝수</v>
      </c>
      <c r="AB68" s="32" t="str">
        <f t="shared" si="74"/>
        <v>짝수</v>
      </c>
      <c r="AC68" s="58" t="str">
        <f t="shared" si="75"/>
        <v>2 : 4</v>
      </c>
      <c r="AD68" s="32">
        <f t="shared" si="76"/>
        <v>2</v>
      </c>
      <c r="AE68" s="32">
        <f t="shared" si="77"/>
        <v>4</v>
      </c>
      <c r="AF68" s="66" t="str">
        <f t="shared" si="23"/>
        <v>저수</v>
      </c>
      <c r="AG68" s="66" t="str">
        <f t="shared" si="24"/>
        <v>저수</v>
      </c>
      <c r="AH68" s="66" t="str">
        <f t="shared" si="25"/>
        <v>저수</v>
      </c>
      <c r="AI68" s="66" t="str">
        <f t="shared" si="26"/>
        <v>저수</v>
      </c>
      <c r="AJ68" s="66" t="str">
        <f t="shared" si="27"/>
        <v>고수</v>
      </c>
      <c r="AK68" s="66" t="str">
        <f t="shared" si="28"/>
        <v>고수</v>
      </c>
      <c r="AL68" s="58" t="str">
        <f t="shared" si="29"/>
        <v>4 : 2</v>
      </c>
      <c r="AM68" s="66">
        <f t="shared" si="30"/>
        <v>4</v>
      </c>
      <c r="AN68" s="66">
        <f t="shared" si="31"/>
        <v>2</v>
      </c>
      <c r="AO68" s="66">
        <f t="shared" si="32"/>
        <v>30</v>
      </c>
      <c r="AP68" s="66" t="str">
        <f t="shared" si="33"/>
        <v>X</v>
      </c>
      <c r="AQ68" s="66" t="str">
        <f t="shared" si="34"/>
        <v>X</v>
      </c>
      <c r="AR68" s="66" t="str">
        <f t="shared" si="35"/>
        <v>X</v>
      </c>
      <c r="AS68" s="66" t="str">
        <f t="shared" si="36"/>
        <v>X</v>
      </c>
      <c r="AT68" s="66" t="str">
        <f t="shared" si="37"/>
        <v>X</v>
      </c>
      <c r="AU68" s="66" t="str">
        <f t="shared" si="38"/>
        <v>X</v>
      </c>
      <c r="AV68" s="66" t="str">
        <f t="shared" si="39"/>
        <v>X</v>
      </c>
      <c r="AW68" s="66" t="str">
        <f t="shared" si="40"/>
        <v>X</v>
      </c>
      <c r="AX68" s="66" t="str">
        <f t="shared" si="41"/>
        <v>X</v>
      </c>
      <c r="AY68" s="66" t="str">
        <f t="shared" si="42"/>
        <v>X</v>
      </c>
      <c r="AZ68" s="66" t="str">
        <f t="shared" si="43"/>
        <v>X</v>
      </c>
      <c r="BA68" s="66" t="str">
        <f t="shared" si="44"/>
        <v>X</v>
      </c>
      <c r="BB68" s="66">
        <f t="shared" si="45"/>
        <v>0</v>
      </c>
      <c r="BC68" s="127" t="str">
        <f t="shared" si="7"/>
        <v>1G</v>
      </c>
      <c r="BD68" s="127" t="str">
        <f t="shared" si="8"/>
        <v>1G</v>
      </c>
      <c r="BE68" s="127" t="str">
        <f t="shared" si="9"/>
        <v>2G</v>
      </c>
      <c r="BF68" s="127" t="str">
        <f t="shared" si="10"/>
        <v>2G</v>
      </c>
      <c r="BG68" s="127" t="str">
        <f t="shared" si="11"/>
        <v>2G</v>
      </c>
      <c r="BH68" s="127" t="str">
        <f t="shared" si="12"/>
        <v>3G</v>
      </c>
      <c r="BI68" s="127">
        <f t="shared" si="46"/>
        <v>2</v>
      </c>
      <c r="BJ68" s="127">
        <f t="shared" si="47"/>
        <v>3</v>
      </c>
      <c r="BK68" s="127">
        <f t="shared" si="48"/>
        <v>1</v>
      </c>
      <c r="BL68" s="127" t="str">
        <f t="shared" si="49"/>
        <v>231</v>
      </c>
      <c r="BO68" s="74" t="s">
        <v>613</v>
      </c>
      <c r="BP68" s="53">
        <f t="shared" si="78"/>
        <v>156</v>
      </c>
      <c r="BQ68" s="75">
        <f t="shared" si="79"/>
        <v>0.21636615811373092</v>
      </c>
      <c r="BR68" s="127">
        <v>15</v>
      </c>
      <c r="BS68" s="53" t="s">
        <v>731</v>
      </c>
      <c r="BT68" s="53">
        <f t="shared" si="65"/>
        <v>13</v>
      </c>
      <c r="BU68" s="77">
        <f t="shared" si="66"/>
        <v>1.8030513176144243E-2</v>
      </c>
      <c r="CL68" s="28">
        <v>101</v>
      </c>
      <c r="CM68" s="28">
        <v>100</v>
      </c>
      <c r="CO68"/>
    </row>
    <row r="69" spans="2:93" ht="16.5">
      <c r="B69" s="17">
        <v>65</v>
      </c>
      <c r="C69" s="363" t="s">
        <v>95</v>
      </c>
      <c r="D69" s="18">
        <v>4</v>
      </c>
      <c r="E69" s="20">
        <v>3727945800</v>
      </c>
      <c r="F69" s="18">
        <v>27</v>
      </c>
      <c r="G69" s="20">
        <v>92048000</v>
      </c>
      <c r="H69" s="20">
        <v>1003</v>
      </c>
      <c r="I69" s="20">
        <v>2477800</v>
      </c>
      <c r="J69" s="20">
        <v>52556</v>
      </c>
      <c r="K69" s="20">
        <v>94500</v>
      </c>
      <c r="L69" s="20">
        <v>848960</v>
      </c>
      <c r="M69" s="20">
        <v>10000</v>
      </c>
      <c r="N69" s="167">
        <v>4</v>
      </c>
      <c r="O69" s="167">
        <v>25</v>
      </c>
      <c r="P69" s="167">
        <v>33</v>
      </c>
      <c r="Q69" s="167">
        <v>36</v>
      </c>
      <c r="R69" s="167">
        <v>40</v>
      </c>
      <c r="S69" s="167">
        <v>43</v>
      </c>
      <c r="T69" s="167">
        <v>39</v>
      </c>
      <c r="U69" s="28">
        <f t="shared" si="22"/>
        <v>181</v>
      </c>
      <c r="W69" s="32" t="str">
        <f t="shared" si="69"/>
        <v>짝수</v>
      </c>
      <c r="X69" s="32" t="str">
        <f t="shared" si="70"/>
        <v>홀수</v>
      </c>
      <c r="Y69" s="32" t="str">
        <f t="shared" si="71"/>
        <v>홀수</v>
      </c>
      <c r="Z69" s="32" t="str">
        <f t="shared" si="72"/>
        <v>짝수</v>
      </c>
      <c r="AA69" s="32" t="str">
        <f t="shared" si="73"/>
        <v>짝수</v>
      </c>
      <c r="AB69" s="32" t="str">
        <f t="shared" si="74"/>
        <v>홀수</v>
      </c>
      <c r="AC69" s="58" t="str">
        <f t="shared" si="75"/>
        <v>3 : 3</v>
      </c>
      <c r="AD69" s="32">
        <f t="shared" si="76"/>
        <v>3</v>
      </c>
      <c r="AE69" s="32">
        <f t="shared" si="77"/>
        <v>3</v>
      </c>
      <c r="AF69" s="66" t="str">
        <f t="shared" si="23"/>
        <v>저수</v>
      </c>
      <c r="AG69" s="66" t="str">
        <f t="shared" si="24"/>
        <v>고수</v>
      </c>
      <c r="AH69" s="66" t="str">
        <f t="shared" si="25"/>
        <v>고수</v>
      </c>
      <c r="AI69" s="66" t="str">
        <f t="shared" si="26"/>
        <v>고수</v>
      </c>
      <c r="AJ69" s="66" t="str">
        <f t="shared" si="27"/>
        <v>고수</v>
      </c>
      <c r="AK69" s="66" t="str">
        <f t="shared" si="28"/>
        <v>고수</v>
      </c>
      <c r="AL69" s="58" t="str">
        <f t="shared" si="29"/>
        <v>1 : 5</v>
      </c>
      <c r="AM69" s="66">
        <f t="shared" si="30"/>
        <v>1</v>
      </c>
      <c r="AN69" s="66">
        <f t="shared" si="31"/>
        <v>5</v>
      </c>
      <c r="AO69" s="66">
        <f t="shared" si="32"/>
        <v>21</v>
      </c>
      <c r="AP69" s="66" t="str">
        <f t="shared" si="33"/>
        <v>X</v>
      </c>
      <c r="AQ69" s="66" t="str">
        <f t="shared" si="34"/>
        <v>X</v>
      </c>
      <c r="AR69" s="66" t="str">
        <f t="shared" si="35"/>
        <v>X</v>
      </c>
      <c r="AS69" s="66" t="str">
        <f t="shared" si="36"/>
        <v>X</v>
      </c>
      <c r="AT69" s="66" t="str">
        <f t="shared" si="37"/>
        <v>X</v>
      </c>
      <c r="AU69" s="66" t="str">
        <f t="shared" si="38"/>
        <v>X</v>
      </c>
      <c r="AV69" s="66" t="str">
        <f t="shared" si="39"/>
        <v>X</v>
      </c>
      <c r="AW69" s="66" t="str">
        <f t="shared" si="40"/>
        <v>X</v>
      </c>
      <c r="AX69" s="66" t="str">
        <f t="shared" si="41"/>
        <v>X</v>
      </c>
      <c r="AY69" s="66" t="str">
        <f t="shared" si="42"/>
        <v>X</v>
      </c>
      <c r="AZ69" s="66" t="str">
        <f t="shared" si="43"/>
        <v>X</v>
      </c>
      <c r="BA69" s="66" t="str">
        <f t="shared" si="44"/>
        <v>O</v>
      </c>
      <c r="BB69" s="66">
        <f t="shared" si="45"/>
        <v>1</v>
      </c>
      <c r="BC69" s="127" t="str">
        <f t="shared" ref="BC69:BC132" si="80">VLOOKUP(N69,삼그룹,6,FALSE)</f>
        <v>1G</v>
      </c>
      <c r="BD69" s="127" t="str">
        <f t="shared" ref="BD69:BD132" si="81">VLOOKUP(O69,삼그룹,6,FALSE)</f>
        <v>2G</v>
      </c>
      <c r="BE69" s="127" t="str">
        <f t="shared" ref="BE69:BE132" si="82">VLOOKUP(P69,삼그룹,6,FALSE)</f>
        <v>3G</v>
      </c>
      <c r="BF69" s="127" t="str">
        <f t="shared" ref="BF69:BF132" si="83">VLOOKUP(Q69,삼그룹,6,FALSE)</f>
        <v>3G</v>
      </c>
      <c r="BG69" s="127" t="str">
        <f t="shared" ref="BG69:BG132" si="84">VLOOKUP(R69,삼그룹,6,FALSE)</f>
        <v>3G</v>
      </c>
      <c r="BH69" s="127" t="str">
        <f t="shared" ref="BH69:BH132" si="85">VLOOKUP(S69,삼그룹,6,FALSE)</f>
        <v>3G</v>
      </c>
      <c r="BI69" s="127">
        <f t="shared" si="46"/>
        <v>1</v>
      </c>
      <c r="BJ69" s="127">
        <f t="shared" si="47"/>
        <v>1</v>
      </c>
      <c r="BK69" s="127">
        <f t="shared" si="48"/>
        <v>4</v>
      </c>
      <c r="BL69" s="127" t="str">
        <f t="shared" si="49"/>
        <v>114</v>
      </c>
      <c r="BO69" s="74" t="s">
        <v>614</v>
      </c>
      <c r="BP69" s="53">
        <f t="shared" si="78"/>
        <v>56</v>
      </c>
      <c r="BQ69" s="75">
        <f t="shared" si="79"/>
        <v>7.7669902912621352E-2</v>
      </c>
      <c r="BR69" s="127">
        <v>16</v>
      </c>
      <c r="BS69" s="53" t="s">
        <v>732</v>
      </c>
      <c r="BT69" s="53">
        <f t="shared" si="65"/>
        <v>14</v>
      </c>
      <c r="BU69" s="77">
        <f t="shared" si="66"/>
        <v>1.9417475728155338E-2</v>
      </c>
      <c r="CL69" s="28">
        <v>101</v>
      </c>
      <c r="CM69" s="28">
        <v>100</v>
      </c>
      <c r="CO69"/>
    </row>
    <row r="70" spans="2:93" ht="16.5">
      <c r="B70" s="17">
        <v>66</v>
      </c>
      <c r="C70" s="363" t="s">
        <v>96</v>
      </c>
      <c r="D70" s="18">
        <v>4</v>
      </c>
      <c r="E70" s="20">
        <v>3685138200</v>
      </c>
      <c r="F70" s="18">
        <v>19</v>
      </c>
      <c r="G70" s="20">
        <v>129303000</v>
      </c>
      <c r="H70" s="18">
        <v>786</v>
      </c>
      <c r="I70" s="20">
        <v>3125600</v>
      </c>
      <c r="J70" s="20">
        <v>40188</v>
      </c>
      <c r="K70" s="20">
        <v>122200</v>
      </c>
      <c r="L70" s="20">
        <v>712181</v>
      </c>
      <c r="M70" s="20">
        <v>10000</v>
      </c>
      <c r="N70" s="167">
        <v>2</v>
      </c>
      <c r="O70" s="167">
        <v>3</v>
      </c>
      <c r="P70" s="167">
        <v>7</v>
      </c>
      <c r="Q70" s="167">
        <v>17</v>
      </c>
      <c r="R70" s="167">
        <v>22</v>
      </c>
      <c r="S70" s="167">
        <v>24</v>
      </c>
      <c r="T70" s="167">
        <v>45</v>
      </c>
      <c r="U70" s="28">
        <f t="shared" ref="U70:U133" si="86">SUM(N70:S70)</f>
        <v>75</v>
      </c>
      <c r="W70" s="32" t="str">
        <f t="shared" si="69"/>
        <v>짝수</v>
      </c>
      <c r="X70" s="32" t="str">
        <f t="shared" si="70"/>
        <v>홀수</v>
      </c>
      <c r="Y70" s="32" t="str">
        <f t="shared" si="71"/>
        <v>홀수</v>
      </c>
      <c r="Z70" s="32" t="str">
        <f t="shared" si="72"/>
        <v>홀수</v>
      </c>
      <c r="AA70" s="32" t="str">
        <f t="shared" si="73"/>
        <v>짝수</v>
      </c>
      <c r="AB70" s="32" t="str">
        <f t="shared" si="74"/>
        <v>짝수</v>
      </c>
      <c r="AC70" s="58" t="str">
        <f t="shared" si="75"/>
        <v>3 : 3</v>
      </c>
      <c r="AD70" s="32">
        <f t="shared" si="76"/>
        <v>3</v>
      </c>
      <c r="AE70" s="32">
        <f t="shared" si="77"/>
        <v>3</v>
      </c>
      <c r="AF70" s="66" t="str">
        <f t="shared" ref="AF70:AF133" si="87">IF(N70&lt;23,"저수","고수")</f>
        <v>저수</v>
      </c>
      <c r="AG70" s="66" t="str">
        <f t="shared" ref="AG70:AG133" si="88">IF(O70&lt;23,"저수","고수")</f>
        <v>저수</v>
      </c>
      <c r="AH70" s="66" t="str">
        <f t="shared" ref="AH70:AH133" si="89">IF(P70&lt;23,"저수","고수")</f>
        <v>저수</v>
      </c>
      <c r="AI70" s="66" t="str">
        <f t="shared" ref="AI70:AI133" si="90">IF(Q70&lt;23,"저수","고수")</f>
        <v>저수</v>
      </c>
      <c r="AJ70" s="66" t="str">
        <f t="shared" ref="AJ70:AJ133" si="91">IF(R70&lt;23,"저수","고수")</f>
        <v>저수</v>
      </c>
      <c r="AK70" s="66" t="str">
        <f t="shared" ref="AK70:AK133" si="92">IF(S70&lt;23,"저수","고수")</f>
        <v>고수</v>
      </c>
      <c r="AL70" s="58" t="str">
        <f t="shared" ref="AL70:AL133" si="93">AM70&amp;" : "&amp;AN70</f>
        <v>5 : 1</v>
      </c>
      <c r="AM70" s="66">
        <f t="shared" ref="AM70:AM133" si="94">COUNTIF(AF70:AK70,"저수")</f>
        <v>5</v>
      </c>
      <c r="AN70" s="66">
        <f t="shared" ref="AN70:AN133" si="95">COUNTIF(AF70:AK70,"고수")</f>
        <v>1</v>
      </c>
      <c r="AO70" s="66">
        <f t="shared" ref="AO70:AO133" si="96">RIGHT(N70,1)+RIGHT(O70,1)+RIGHT(P70,1)+RIGHT(Q70,1)+RIGHT(R70,1)+RIGHT(S70,1)</f>
        <v>25</v>
      </c>
      <c r="AP70" s="66" t="str">
        <f t="shared" ref="AP70:AP133" si="97">IF(N70=2,"O",IF(N70=3,"O",IF(N70=5,"O",IF(N70=7,"O",IF(N70=11,"O",IF(N70=13,"O",IF(N70=17,"O",IF(N70=19,"O","X"))))))))</f>
        <v>O</v>
      </c>
      <c r="AQ70" s="66" t="str">
        <f t="shared" ref="AQ70:AQ133" si="98">IF(O70=2,"O",IF(O70=3,"O",IF(O70=5,"O",IF(O70=7,"O",IF(O70=11,"O",IF(O70=13,"O",IF(O70=17,"O",IF(O70=19,"O","X"))))))))</f>
        <v>O</v>
      </c>
      <c r="AR70" s="66" t="str">
        <f t="shared" ref="AR70:AR133" si="99">IF(P70=2,"O",IF(P70=3,"O",IF(P70=5,"O",IF(P70=7,"O",IF(P70=11,"O",IF(P70=13,"O",IF(P70=17,"O",IF(P70=19,"O","X"))))))))</f>
        <v>O</v>
      </c>
      <c r="AS70" s="66" t="str">
        <f t="shared" ref="AS70:AS133" si="100">IF(Q70=2,"O",IF(Q70=3,"O",IF(Q70=5,"O",IF(Q70=7,"O",IF(Q70=11,"O",IF(Q70=13,"O",IF(Q70=17,"O",IF(Q70=19,"O","X"))))))))</f>
        <v>O</v>
      </c>
      <c r="AT70" s="66" t="str">
        <f t="shared" ref="AT70:AT133" si="101">IF(R70=2,"O",IF(R70=3,"O",IF(R70=5,"O",IF(R70=7,"O",IF(R70=11,"O",IF(R70=13,"O",IF(R70=17,"O",IF(R70=19,"O","X"))))))))</f>
        <v>X</v>
      </c>
      <c r="AU70" s="66" t="str">
        <f t="shared" ref="AU70:AU133" si="102">IF(S70=2,"O",IF(S70=3,"O",IF(S70=5,"O",IF(S70=7,"O",IF(S70=11,"O",IF(S70=13,"O",IF(S70=17,"O",IF(S70=19,"O","X"))))))))</f>
        <v>X</v>
      </c>
      <c r="AV70" s="66" t="str">
        <f t="shared" ref="AV70:AV133" si="103">IF(N70=23,"O",IF(N70=29,"O",IF(N70=31,"O",IF(N70=37,"O",IF(N70=41,"O",IF(N70=43,"O","X"))))))</f>
        <v>X</v>
      </c>
      <c r="AW70" s="66" t="str">
        <f t="shared" ref="AW70:AW133" si="104">IF(O70=23,"O",IF(O70=29,"O",IF(O70=31,"O",IF(O70=37,"O",IF(O70=41,"O",IF(O70=43,"O","X"))))))</f>
        <v>X</v>
      </c>
      <c r="AX70" s="66" t="str">
        <f t="shared" ref="AX70:AX133" si="105">IF(P70=23,"O",IF(P70=29,"O",IF(P70=31,"O",IF(P70=37,"O",IF(P70=41,"O",IF(P70=43,"O","X"))))))</f>
        <v>X</v>
      </c>
      <c r="AY70" s="66" t="str">
        <f t="shared" ref="AY70:AY133" si="106">IF(Q70=23,"O",IF(Q70=29,"O",IF(Q70=31,"O",IF(Q70=37,"O",IF(Q70=41,"O",IF(Q70=43,"O","X"))))))</f>
        <v>X</v>
      </c>
      <c r="AZ70" s="66" t="str">
        <f t="shared" ref="AZ70:AZ133" si="107">IF(R70=23,"O",IF(R70=29,"O",IF(R70=31,"O",IF(R70=37,"O",IF(R70=41,"O",IF(R70=43,"O","X"))))))</f>
        <v>X</v>
      </c>
      <c r="BA70" s="66" t="str">
        <f t="shared" ref="BA70:BA133" si="108">IF(S70=23,"O",IF(S70=29,"O",IF(S70=31,"O",IF(S70=37,"O",IF(S70=41,"O",IF(S70=43,"O","X"))))))</f>
        <v>X</v>
      </c>
      <c r="BB70" s="66">
        <f t="shared" ref="BB70:BB133" si="109">COUNTIF(AP70:BA70,"O")</f>
        <v>4</v>
      </c>
      <c r="BC70" s="127" t="str">
        <f t="shared" si="80"/>
        <v>1G</v>
      </c>
      <c r="BD70" s="127" t="str">
        <f t="shared" si="81"/>
        <v>1G</v>
      </c>
      <c r="BE70" s="127" t="str">
        <f t="shared" si="82"/>
        <v>1G</v>
      </c>
      <c r="BF70" s="127" t="str">
        <f t="shared" si="83"/>
        <v>2G</v>
      </c>
      <c r="BG70" s="127" t="str">
        <f t="shared" si="84"/>
        <v>2G</v>
      </c>
      <c r="BH70" s="127" t="str">
        <f t="shared" si="85"/>
        <v>2G</v>
      </c>
      <c r="BI70" s="127">
        <f t="shared" ref="BI70:BI133" si="110">COUNTIF($BC70:$BH70,"1G")</f>
        <v>3</v>
      </c>
      <c r="BJ70" s="127">
        <f t="shared" ref="BJ70:BJ133" si="111">COUNTIF($BC70:$BH70,"2G")</f>
        <v>3</v>
      </c>
      <c r="BK70" s="127">
        <f t="shared" ref="BK70:BK133" si="112">COUNTIF($BC70:$BH70,"3G")</f>
        <v>0</v>
      </c>
      <c r="BL70" s="127" t="str">
        <f t="shared" ref="BL70:BL133" si="113">BI70&amp;BJ70&amp;BK70</f>
        <v>330</v>
      </c>
      <c r="BO70" s="74" t="s">
        <v>615</v>
      </c>
      <c r="BP70" s="53">
        <f t="shared" si="78"/>
        <v>10</v>
      </c>
      <c r="BQ70" s="75">
        <f t="shared" si="79"/>
        <v>1.3869625520110958E-2</v>
      </c>
      <c r="BR70" s="127">
        <v>16</v>
      </c>
      <c r="BS70" s="53" t="s">
        <v>723</v>
      </c>
      <c r="BT70" s="53">
        <f t="shared" si="65"/>
        <v>9</v>
      </c>
      <c r="BU70" s="77">
        <f t="shared" si="66"/>
        <v>1.2482662968099861E-2</v>
      </c>
      <c r="CL70" s="28">
        <v>102</v>
      </c>
      <c r="CM70" s="28">
        <v>100</v>
      </c>
      <c r="CO70"/>
    </row>
    <row r="71" spans="2:93" ht="16.5">
      <c r="B71" s="17">
        <v>67</v>
      </c>
      <c r="C71" s="363" t="s">
        <v>97</v>
      </c>
      <c r="D71" s="18">
        <v>7</v>
      </c>
      <c r="E71" s="20">
        <v>2114436500</v>
      </c>
      <c r="F71" s="18">
        <v>62</v>
      </c>
      <c r="G71" s="20">
        <v>39787700</v>
      </c>
      <c r="H71" s="18">
        <v>972</v>
      </c>
      <c r="I71" s="20">
        <v>2537900</v>
      </c>
      <c r="J71" s="20">
        <v>46740</v>
      </c>
      <c r="K71" s="20">
        <v>105500</v>
      </c>
      <c r="L71" s="20">
        <v>748901</v>
      </c>
      <c r="M71" s="20">
        <v>10000</v>
      </c>
      <c r="N71" s="167">
        <v>3</v>
      </c>
      <c r="O71" s="167">
        <v>7</v>
      </c>
      <c r="P71" s="167">
        <v>10</v>
      </c>
      <c r="Q71" s="167">
        <v>15</v>
      </c>
      <c r="R71" s="167">
        <v>36</v>
      </c>
      <c r="S71" s="167">
        <v>38</v>
      </c>
      <c r="T71" s="167">
        <v>33</v>
      </c>
      <c r="U71" s="28">
        <f t="shared" si="86"/>
        <v>109</v>
      </c>
      <c r="W71" s="32" t="str">
        <f t="shared" si="69"/>
        <v>홀수</v>
      </c>
      <c r="X71" s="32" t="str">
        <f t="shared" si="70"/>
        <v>홀수</v>
      </c>
      <c r="Y71" s="32" t="str">
        <f t="shared" si="71"/>
        <v>짝수</v>
      </c>
      <c r="Z71" s="32" t="str">
        <f t="shared" si="72"/>
        <v>홀수</v>
      </c>
      <c r="AA71" s="32" t="str">
        <f t="shared" si="73"/>
        <v>짝수</v>
      </c>
      <c r="AB71" s="32" t="str">
        <f t="shared" si="74"/>
        <v>짝수</v>
      </c>
      <c r="AC71" s="58" t="str">
        <f t="shared" si="75"/>
        <v>3 : 3</v>
      </c>
      <c r="AD71" s="32">
        <f t="shared" si="76"/>
        <v>3</v>
      </c>
      <c r="AE71" s="32">
        <f t="shared" si="77"/>
        <v>3</v>
      </c>
      <c r="AF71" s="66" t="str">
        <f t="shared" si="87"/>
        <v>저수</v>
      </c>
      <c r="AG71" s="66" t="str">
        <f t="shared" si="88"/>
        <v>저수</v>
      </c>
      <c r="AH71" s="66" t="str">
        <f t="shared" si="89"/>
        <v>저수</v>
      </c>
      <c r="AI71" s="66" t="str">
        <f t="shared" si="90"/>
        <v>저수</v>
      </c>
      <c r="AJ71" s="66" t="str">
        <f t="shared" si="91"/>
        <v>고수</v>
      </c>
      <c r="AK71" s="66" t="str">
        <f t="shared" si="92"/>
        <v>고수</v>
      </c>
      <c r="AL71" s="58" t="str">
        <f t="shared" si="93"/>
        <v>4 : 2</v>
      </c>
      <c r="AM71" s="66">
        <f t="shared" si="94"/>
        <v>4</v>
      </c>
      <c r="AN71" s="66">
        <f t="shared" si="95"/>
        <v>2</v>
      </c>
      <c r="AO71" s="66">
        <f t="shared" si="96"/>
        <v>29</v>
      </c>
      <c r="AP71" s="66" t="str">
        <f t="shared" si="97"/>
        <v>O</v>
      </c>
      <c r="AQ71" s="66" t="str">
        <f t="shared" si="98"/>
        <v>O</v>
      </c>
      <c r="AR71" s="66" t="str">
        <f t="shared" si="99"/>
        <v>X</v>
      </c>
      <c r="AS71" s="66" t="str">
        <f t="shared" si="100"/>
        <v>X</v>
      </c>
      <c r="AT71" s="66" t="str">
        <f t="shared" si="101"/>
        <v>X</v>
      </c>
      <c r="AU71" s="66" t="str">
        <f t="shared" si="102"/>
        <v>X</v>
      </c>
      <c r="AV71" s="66" t="str">
        <f t="shared" si="103"/>
        <v>X</v>
      </c>
      <c r="AW71" s="66" t="str">
        <f t="shared" si="104"/>
        <v>X</v>
      </c>
      <c r="AX71" s="66" t="str">
        <f t="shared" si="105"/>
        <v>X</v>
      </c>
      <c r="AY71" s="66" t="str">
        <f t="shared" si="106"/>
        <v>X</v>
      </c>
      <c r="AZ71" s="66" t="str">
        <f t="shared" si="107"/>
        <v>X</v>
      </c>
      <c r="BA71" s="66" t="str">
        <f t="shared" si="108"/>
        <v>X</v>
      </c>
      <c r="BB71" s="66">
        <f t="shared" si="109"/>
        <v>2</v>
      </c>
      <c r="BC71" s="127" t="str">
        <f t="shared" si="80"/>
        <v>1G</v>
      </c>
      <c r="BD71" s="127" t="str">
        <f t="shared" si="81"/>
        <v>1G</v>
      </c>
      <c r="BE71" s="127" t="str">
        <f t="shared" si="82"/>
        <v>1G</v>
      </c>
      <c r="BF71" s="127" t="str">
        <f t="shared" si="83"/>
        <v>1G</v>
      </c>
      <c r="BG71" s="127" t="str">
        <f t="shared" si="84"/>
        <v>3G</v>
      </c>
      <c r="BH71" s="127" t="str">
        <f t="shared" si="85"/>
        <v>3G</v>
      </c>
      <c r="BI71" s="127">
        <f t="shared" si="110"/>
        <v>4</v>
      </c>
      <c r="BJ71" s="127">
        <f t="shared" si="111"/>
        <v>0</v>
      </c>
      <c r="BK71" s="127">
        <f t="shared" si="112"/>
        <v>2</v>
      </c>
      <c r="BL71" s="127" t="str">
        <f t="shared" si="113"/>
        <v>402</v>
      </c>
      <c r="BO71" s="53" t="s">
        <v>618</v>
      </c>
      <c r="BP71" s="53">
        <f>SUM(BP64:BP70)</f>
        <v>721</v>
      </c>
      <c r="BQ71" s="75">
        <f>SUM(BQ64:BQ70)</f>
        <v>1</v>
      </c>
      <c r="BR71" s="127">
        <v>17</v>
      </c>
      <c r="BS71" s="53" t="s">
        <v>729</v>
      </c>
      <c r="BT71" s="53">
        <f t="shared" si="65"/>
        <v>4</v>
      </c>
      <c r="BU71" s="77">
        <f t="shared" si="66"/>
        <v>5.5478502080443829E-3</v>
      </c>
      <c r="CL71" s="28">
        <v>102</v>
      </c>
      <c r="CM71" s="28">
        <v>100</v>
      </c>
      <c r="CO71"/>
    </row>
    <row r="72" spans="2:93" ht="16.5">
      <c r="B72" s="17">
        <v>68</v>
      </c>
      <c r="C72" s="363" t="s">
        <v>98</v>
      </c>
      <c r="D72" s="18">
        <v>5</v>
      </c>
      <c r="E72" s="20">
        <v>2945882100</v>
      </c>
      <c r="F72" s="18">
        <v>20</v>
      </c>
      <c r="G72" s="20">
        <v>122745000</v>
      </c>
      <c r="H72" s="18">
        <v>754</v>
      </c>
      <c r="I72" s="20">
        <v>3255800</v>
      </c>
      <c r="J72" s="20">
        <v>43265</v>
      </c>
      <c r="K72" s="20">
        <v>113400</v>
      </c>
      <c r="L72" s="20">
        <v>735760</v>
      </c>
      <c r="M72" s="20">
        <v>10000</v>
      </c>
      <c r="N72" s="167">
        <v>10</v>
      </c>
      <c r="O72" s="167">
        <v>12</v>
      </c>
      <c r="P72" s="167">
        <v>15</v>
      </c>
      <c r="Q72" s="167">
        <v>16</v>
      </c>
      <c r="R72" s="167">
        <v>26</v>
      </c>
      <c r="S72" s="167">
        <v>39</v>
      </c>
      <c r="T72" s="167">
        <v>38</v>
      </c>
      <c r="U72" s="28">
        <f t="shared" si="86"/>
        <v>118</v>
      </c>
      <c r="W72" s="32" t="str">
        <f t="shared" si="69"/>
        <v>짝수</v>
      </c>
      <c r="X72" s="32" t="str">
        <f t="shared" si="70"/>
        <v>짝수</v>
      </c>
      <c r="Y72" s="32" t="str">
        <f t="shared" si="71"/>
        <v>홀수</v>
      </c>
      <c r="Z72" s="32" t="str">
        <f t="shared" si="72"/>
        <v>짝수</v>
      </c>
      <c r="AA72" s="32" t="str">
        <f t="shared" si="73"/>
        <v>짝수</v>
      </c>
      <c r="AB72" s="32" t="str">
        <f t="shared" si="74"/>
        <v>홀수</v>
      </c>
      <c r="AC72" s="58" t="str">
        <f t="shared" si="75"/>
        <v>2 : 4</v>
      </c>
      <c r="AD72" s="32">
        <f t="shared" si="76"/>
        <v>2</v>
      </c>
      <c r="AE72" s="32">
        <f t="shared" si="77"/>
        <v>4</v>
      </c>
      <c r="AF72" s="66" t="str">
        <f t="shared" si="87"/>
        <v>저수</v>
      </c>
      <c r="AG72" s="66" t="str">
        <f t="shared" si="88"/>
        <v>저수</v>
      </c>
      <c r="AH72" s="66" t="str">
        <f t="shared" si="89"/>
        <v>저수</v>
      </c>
      <c r="AI72" s="66" t="str">
        <f t="shared" si="90"/>
        <v>저수</v>
      </c>
      <c r="AJ72" s="66" t="str">
        <f t="shared" si="91"/>
        <v>고수</v>
      </c>
      <c r="AK72" s="66" t="str">
        <f t="shared" si="92"/>
        <v>고수</v>
      </c>
      <c r="AL72" s="58" t="str">
        <f t="shared" si="93"/>
        <v>4 : 2</v>
      </c>
      <c r="AM72" s="66">
        <f t="shared" si="94"/>
        <v>4</v>
      </c>
      <c r="AN72" s="66">
        <f t="shared" si="95"/>
        <v>2</v>
      </c>
      <c r="AO72" s="66">
        <f t="shared" si="96"/>
        <v>28</v>
      </c>
      <c r="AP72" s="66" t="str">
        <f t="shared" si="97"/>
        <v>X</v>
      </c>
      <c r="AQ72" s="66" t="str">
        <f t="shared" si="98"/>
        <v>X</v>
      </c>
      <c r="AR72" s="66" t="str">
        <f t="shared" si="99"/>
        <v>X</v>
      </c>
      <c r="AS72" s="66" t="str">
        <f t="shared" si="100"/>
        <v>X</v>
      </c>
      <c r="AT72" s="66" t="str">
        <f t="shared" si="101"/>
        <v>X</v>
      </c>
      <c r="AU72" s="66" t="str">
        <f t="shared" si="102"/>
        <v>X</v>
      </c>
      <c r="AV72" s="66" t="str">
        <f t="shared" si="103"/>
        <v>X</v>
      </c>
      <c r="AW72" s="66" t="str">
        <f t="shared" si="104"/>
        <v>X</v>
      </c>
      <c r="AX72" s="66" t="str">
        <f t="shared" si="105"/>
        <v>X</v>
      </c>
      <c r="AY72" s="66" t="str">
        <f t="shared" si="106"/>
        <v>X</v>
      </c>
      <c r="AZ72" s="66" t="str">
        <f t="shared" si="107"/>
        <v>X</v>
      </c>
      <c r="BA72" s="66" t="str">
        <f t="shared" si="108"/>
        <v>X</v>
      </c>
      <c r="BB72" s="66">
        <f t="shared" si="109"/>
        <v>0</v>
      </c>
      <c r="BC72" s="127" t="str">
        <f t="shared" si="80"/>
        <v>1G</v>
      </c>
      <c r="BD72" s="127" t="str">
        <f t="shared" si="81"/>
        <v>1G</v>
      </c>
      <c r="BE72" s="127" t="str">
        <f t="shared" si="82"/>
        <v>1G</v>
      </c>
      <c r="BF72" s="127" t="str">
        <f t="shared" si="83"/>
        <v>2G</v>
      </c>
      <c r="BG72" s="127" t="str">
        <f t="shared" si="84"/>
        <v>2G</v>
      </c>
      <c r="BH72" s="127" t="str">
        <f t="shared" si="85"/>
        <v>3G</v>
      </c>
      <c r="BI72" s="127">
        <f t="shared" si="110"/>
        <v>3</v>
      </c>
      <c r="BJ72" s="127">
        <f t="shared" si="111"/>
        <v>2</v>
      </c>
      <c r="BK72" s="127">
        <f t="shared" si="112"/>
        <v>1</v>
      </c>
      <c r="BL72" s="127" t="str">
        <f t="shared" si="113"/>
        <v>321</v>
      </c>
      <c r="BR72" s="127">
        <v>17</v>
      </c>
      <c r="BS72" s="53" t="s">
        <v>735</v>
      </c>
      <c r="BT72" s="53">
        <f t="shared" si="65"/>
        <v>5</v>
      </c>
      <c r="BU72" s="77">
        <f t="shared" si="66"/>
        <v>6.9348127600554789E-3</v>
      </c>
      <c r="CL72" s="28">
        <v>102</v>
      </c>
      <c r="CM72" s="28">
        <v>100</v>
      </c>
      <c r="CO72"/>
    </row>
    <row r="73" spans="2:93" ht="16.5">
      <c r="B73" s="17">
        <v>69</v>
      </c>
      <c r="C73" s="363" t="s">
        <v>99</v>
      </c>
      <c r="D73" s="18">
        <v>3</v>
      </c>
      <c r="E73" s="20">
        <v>4962712200</v>
      </c>
      <c r="F73" s="18">
        <v>20</v>
      </c>
      <c r="G73" s="20">
        <v>124067800</v>
      </c>
      <c r="H73" s="18">
        <v>766</v>
      </c>
      <c r="I73" s="20">
        <v>3239300</v>
      </c>
      <c r="J73" s="20">
        <v>41220</v>
      </c>
      <c r="K73" s="20">
        <v>120300</v>
      </c>
      <c r="L73" s="20">
        <v>704209</v>
      </c>
      <c r="M73" s="20">
        <v>10000</v>
      </c>
      <c r="N73" s="167">
        <v>5</v>
      </c>
      <c r="O73" s="167">
        <v>8</v>
      </c>
      <c r="P73" s="167">
        <v>14</v>
      </c>
      <c r="Q73" s="167">
        <v>15</v>
      </c>
      <c r="R73" s="167">
        <v>19</v>
      </c>
      <c r="S73" s="167">
        <v>39</v>
      </c>
      <c r="T73" s="167">
        <v>35</v>
      </c>
      <c r="U73" s="28">
        <f t="shared" si="86"/>
        <v>100</v>
      </c>
      <c r="W73" s="32" t="str">
        <f t="shared" si="69"/>
        <v>홀수</v>
      </c>
      <c r="X73" s="32" t="str">
        <f t="shared" si="70"/>
        <v>짝수</v>
      </c>
      <c r="Y73" s="32" t="str">
        <f t="shared" si="71"/>
        <v>짝수</v>
      </c>
      <c r="Z73" s="32" t="str">
        <f t="shared" si="72"/>
        <v>홀수</v>
      </c>
      <c r="AA73" s="32" t="str">
        <f t="shared" si="73"/>
        <v>홀수</v>
      </c>
      <c r="AB73" s="32" t="str">
        <f t="shared" si="74"/>
        <v>홀수</v>
      </c>
      <c r="AC73" s="58" t="str">
        <f t="shared" si="75"/>
        <v>4 : 2</v>
      </c>
      <c r="AD73" s="32">
        <f t="shared" si="76"/>
        <v>4</v>
      </c>
      <c r="AE73" s="32">
        <f t="shared" si="77"/>
        <v>2</v>
      </c>
      <c r="AF73" s="66" t="str">
        <f t="shared" si="87"/>
        <v>저수</v>
      </c>
      <c r="AG73" s="66" t="str">
        <f t="shared" si="88"/>
        <v>저수</v>
      </c>
      <c r="AH73" s="66" t="str">
        <f t="shared" si="89"/>
        <v>저수</v>
      </c>
      <c r="AI73" s="66" t="str">
        <f t="shared" si="90"/>
        <v>저수</v>
      </c>
      <c r="AJ73" s="66" t="str">
        <f t="shared" si="91"/>
        <v>저수</v>
      </c>
      <c r="AK73" s="66" t="str">
        <f t="shared" si="92"/>
        <v>고수</v>
      </c>
      <c r="AL73" s="58" t="str">
        <f t="shared" si="93"/>
        <v>5 : 1</v>
      </c>
      <c r="AM73" s="66">
        <f t="shared" si="94"/>
        <v>5</v>
      </c>
      <c r="AN73" s="66">
        <f t="shared" si="95"/>
        <v>1</v>
      </c>
      <c r="AO73" s="66">
        <f t="shared" si="96"/>
        <v>40</v>
      </c>
      <c r="AP73" s="66" t="str">
        <f t="shared" si="97"/>
        <v>O</v>
      </c>
      <c r="AQ73" s="66" t="str">
        <f t="shared" si="98"/>
        <v>X</v>
      </c>
      <c r="AR73" s="66" t="str">
        <f t="shared" si="99"/>
        <v>X</v>
      </c>
      <c r="AS73" s="66" t="str">
        <f t="shared" si="100"/>
        <v>X</v>
      </c>
      <c r="AT73" s="66" t="str">
        <f t="shared" si="101"/>
        <v>O</v>
      </c>
      <c r="AU73" s="66" t="str">
        <f t="shared" si="102"/>
        <v>X</v>
      </c>
      <c r="AV73" s="66" t="str">
        <f t="shared" si="103"/>
        <v>X</v>
      </c>
      <c r="AW73" s="66" t="str">
        <f t="shared" si="104"/>
        <v>X</v>
      </c>
      <c r="AX73" s="66" t="str">
        <f t="shared" si="105"/>
        <v>X</v>
      </c>
      <c r="AY73" s="66" t="str">
        <f t="shared" si="106"/>
        <v>X</v>
      </c>
      <c r="AZ73" s="66" t="str">
        <f t="shared" si="107"/>
        <v>X</v>
      </c>
      <c r="BA73" s="66" t="str">
        <f t="shared" si="108"/>
        <v>X</v>
      </c>
      <c r="BB73" s="66">
        <f t="shared" si="109"/>
        <v>2</v>
      </c>
      <c r="BC73" s="127" t="str">
        <f t="shared" si="80"/>
        <v>1G</v>
      </c>
      <c r="BD73" s="127" t="str">
        <f t="shared" si="81"/>
        <v>1G</v>
      </c>
      <c r="BE73" s="127" t="str">
        <f t="shared" si="82"/>
        <v>1G</v>
      </c>
      <c r="BF73" s="127" t="str">
        <f t="shared" si="83"/>
        <v>1G</v>
      </c>
      <c r="BG73" s="127" t="str">
        <f t="shared" si="84"/>
        <v>2G</v>
      </c>
      <c r="BH73" s="127" t="str">
        <f t="shared" si="85"/>
        <v>3G</v>
      </c>
      <c r="BI73" s="127">
        <f t="shared" si="110"/>
        <v>4</v>
      </c>
      <c r="BJ73" s="127">
        <f t="shared" si="111"/>
        <v>1</v>
      </c>
      <c r="BK73" s="127">
        <f t="shared" si="112"/>
        <v>1</v>
      </c>
      <c r="BL73" s="127" t="str">
        <f t="shared" si="113"/>
        <v>411</v>
      </c>
      <c r="BO73" s="534" t="s">
        <v>649</v>
      </c>
      <c r="BP73" s="534"/>
      <c r="BQ73" s="534"/>
      <c r="BR73" s="127">
        <v>18</v>
      </c>
      <c r="BS73" s="53" t="s">
        <v>734</v>
      </c>
      <c r="BT73" s="53">
        <f t="shared" si="65"/>
        <v>3</v>
      </c>
      <c r="BU73" s="77">
        <f t="shared" si="66"/>
        <v>4.160887656033287E-3</v>
      </c>
      <c r="CL73" s="28">
        <v>102</v>
      </c>
      <c r="CM73" s="28">
        <v>100</v>
      </c>
      <c r="CO73"/>
    </row>
    <row r="74" spans="2:93" ht="16.5">
      <c r="B74" s="17">
        <v>70</v>
      </c>
      <c r="C74" s="363" t="s">
        <v>100</v>
      </c>
      <c r="D74" s="18">
        <v>3</v>
      </c>
      <c r="E74" s="20">
        <v>5031277800</v>
      </c>
      <c r="F74" s="18">
        <v>14</v>
      </c>
      <c r="G74" s="20">
        <v>179688400</v>
      </c>
      <c r="H74" s="18">
        <v>717</v>
      </c>
      <c r="I74" s="20">
        <v>3508500</v>
      </c>
      <c r="J74" s="20">
        <v>36781</v>
      </c>
      <c r="K74" s="20">
        <v>136700</v>
      </c>
      <c r="L74" s="20">
        <v>645990</v>
      </c>
      <c r="M74" s="20">
        <v>10000</v>
      </c>
      <c r="N74" s="167">
        <v>5</v>
      </c>
      <c r="O74" s="167">
        <v>19</v>
      </c>
      <c r="P74" s="167">
        <v>22</v>
      </c>
      <c r="Q74" s="167">
        <v>25</v>
      </c>
      <c r="R74" s="167">
        <v>28</v>
      </c>
      <c r="S74" s="167">
        <v>43</v>
      </c>
      <c r="T74" s="167">
        <v>26</v>
      </c>
      <c r="U74" s="28">
        <f t="shared" si="86"/>
        <v>142</v>
      </c>
      <c r="W74" s="32" t="str">
        <f t="shared" si="69"/>
        <v>홀수</v>
      </c>
      <c r="X74" s="32" t="str">
        <f t="shared" si="70"/>
        <v>홀수</v>
      </c>
      <c r="Y74" s="32" t="str">
        <f t="shared" si="71"/>
        <v>짝수</v>
      </c>
      <c r="Z74" s="32" t="str">
        <f t="shared" si="72"/>
        <v>홀수</v>
      </c>
      <c r="AA74" s="32" t="str">
        <f t="shared" si="73"/>
        <v>짝수</v>
      </c>
      <c r="AB74" s="32" t="str">
        <f t="shared" si="74"/>
        <v>홀수</v>
      </c>
      <c r="AC74" s="58" t="str">
        <f t="shared" si="75"/>
        <v>4 : 2</v>
      </c>
      <c r="AD74" s="32">
        <f t="shared" si="76"/>
        <v>4</v>
      </c>
      <c r="AE74" s="32">
        <f t="shared" si="77"/>
        <v>2</v>
      </c>
      <c r="AF74" s="66" t="str">
        <f t="shared" si="87"/>
        <v>저수</v>
      </c>
      <c r="AG74" s="66" t="str">
        <f t="shared" si="88"/>
        <v>저수</v>
      </c>
      <c r="AH74" s="66" t="str">
        <f t="shared" si="89"/>
        <v>저수</v>
      </c>
      <c r="AI74" s="66" t="str">
        <f t="shared" si="90"/>
        <v>고수</v>
      </c>
      <c r="AJ74" s="66" t="str">
        <f t="shared" si="91"/>
        <v>고수</v>
      </c>
      <c r="AK74" s="66" t="str">
        <f t="shared" si="92"/>
        <v>고수</v>
      </c>
      <c r="AL74" s="58" t="str">
        <f t="shared" si="93"/>
        <v>3 : 3</v>
      </c>
      <c r="AM74" s="66">
        <f t="shared" si="94"/>
        <v>3</v>
      </c>
      <c r="AN74" s="66">
        <f t="shared" si="95"/>
        <v>3</v>
      </c>
      <c r="AO74" s="66">
        <f t="shared" si="96"/>
        <v>32</v>
      </c>
      <c r="AP74" s="66" t="str">
        <f t="shared" si="97"/>
        <v>O</v>
      </c>
      <c r="AQ74" s="66" t="str">
        <f t="shared" si="98"/>
        <v>O</v>
      </c>
      <c r="AR74" s="66" t="str">
        <f t="shared" si="99"/>
        <v>X</v>
      </c>
      <c r="AS74" s="66" t="str">
        <f t="shared" si="100"/>
        <v>X</v>
      </c>
      <c r="AT74" s="66" t="str">
        <f t="shared" si="101"/>
        <v>X</v>
      </c>
      <c r="AU74" s="66" t="str">
        <f t="shared" si="102"/>
        <v>X</v>
      </c>
      <c r="AV74" s="66" t="str">
        <f t="shared" si="103"/>
        <v>X</v>
      </c>
      <c r="AW74" s="66" t="str">
        <f t="shared" si="104"/>
        <v>X</v>
      </c>
      <c r="AX74" s="66" t="str">
        <f t="shared" si="105"/>
        <v>X</v>
      </c>
      <c r="AY74" s="66" t="str">
        <f t="shared" si="106"/>
        <v>X</v>
      </c>
      <c r="AZ74" s="66" t="str">
        <f t="shared" si="107"/>
        <v>X</v>
      </c>
      <c r="BA74" s="66" t="str">
        <f t="shared" si="108"/>
        <v>O</v>
      </c>
      <c r="BB74" s="66">
        <f t="shared" si="109"/>
        <v>3</v>
      </c>
      <c r="BC74" s="127" t="str">
        <f t="shared" si="80"/>
        <v>1G</v>
      </c>
      <c r="BD74" s="127" t="str">
        <f t="shared" si="81"/>
        <v>2G</v>
      </c>
      <c r="BE74" s="127" t="str">
        <f t="shared" si="82"/>
        <v>2G</v>
      </c>
      <c r="BF74" s="127" t="str">
        <f t="shared" si="83"/>
        <v>2G</v>
      </c>
      <c r="BG74" s="127" t="str">
        <f t="shared" si="84"/>
        <v>2G</v>
      </c>
      <c r="BH74" s="127" t="str">
        <f t="shared" si="85"/>
        <v>3G</v>
      </c>
      <c r="BI74" s="127">
        <f t="shared" si="110"/>
        <v>1</v>
      </c>
      <c r="BJ74" s="127">
        <f t="shared" si="111"/>
        <v>4</v>
      </c>
      <c r="BK74" s="127">
        <f t="shared" si="112"/>
        <v>1</v>
      </c>
      <c r="BL74" s="127" t="str">
        <f t="shared" si="113"/>
        <v>141</v>
      </c>
      <c r="BO74" s="53" t="s">
        <v>650</v>
      </c>
      <c r="BP74" s="53" t="s">
        <v>617</v>
      </c>
      <c r="BQ74" s="53" t="s">
        <v>616</v>
      </c>
      <c r="BR74" s="127">
        <v>18</v>
      </c>
      <c r="BS74" s="53" t="s">
        <v>737</v>
      </c>
      <c r="BT74" s="53">
        <f t="shared" si="65"/>
        <v>2</v>
      </c>
      <c r="BU74" s="77">
        <f t="shared" si="66"/>
        <v>2.7739251040221915E-3</v>
      </c>
      <c r="CL74" s="28">
        <v>102</v>
      </c>
      <c r="CM74" s="28">
        <v>100</v>
      </c>
      <c r="CO74"/>
    </row>
    <row r="75" spans="2:93" ht="16.5">
      <c r="B75" s="17">
        <v>71</v>
      </c>
      <c r="C75" s="363" t="s">
        <v>101</v>
      </c>
      <c r="D75" s="18">
        <v>0</v>
      </c>
      <c r="E75" s="18">
        <v>0</v>
      </c>
      <c r="F75" s="18">
        <v>28</v>
      </c>
      <c r="G75" s="20">
        <v>88745200</v>
      </c>
      <c r="H75" s="18">
        <v>782</v>
      </c>
      <c r="I75" s="20">
        <v>3177500</v>
      </c>
      <c r="J75" s="20">
        <v>39516</v>
      </c>
      <c r="K75" s="20">
        <v>125700</v>
      </c>
      <c r="L75" s="20">
        <v>659631</v>
      </c>
      <c r="M75" s="20">
        <v>10000</v>
      </c>
      <c r="N75" s="167">
        <v>5</v>
      </c>
      <c r="O75" s="167">
        <v>9</v>
      </c>
      <c r="P75" s="167">
        <v>12</v>
      </c>
      <c r="Q75" s="167">
        <v>16</v>
      </c>
      <c r="R75" s="167">
        <v>29</v>
      </c>
      <c r="S75" s="167">
        <v>41</v>
      </c>
      <c r="T75" s="167">
        <v>21</v>
      </c>
      <c r="U75" s="28">
        <f t="shared" si="86"/>
        <v>112</v>
      </c>
      <c r="W75" s="32" t="str">
        <f t="shared" si="69"/>
        <v>홀수</v>
      </c>
      <c r="X75" s="32" t="str">
        <f t="shared" si="70"/>
        <v>홀수</v>
      </c>
      <c r="Y75" s="32" t="str">
        <f t="shared" si="71"/>
        <v>짝수</v>
      </c>
      <c r="Z75" s="32" t="str">
        <f t="shared" si="72"/>
        <v>짝수</v>
      </c>
      <c r="AA75" s="32" t="str">
        <f t="shared" si="73"/>
        <v>홀수</v>
      </c>
      <c r="AB75" s="32" t="str">
        <f t="shared" si="74"/>
        <v>홀수</v>
      </c>
      <c r="AC75" s="58" t="str">
        <f t="shared" si="75"/>
        <v>4 : 2</v>
      </c>
      <c r="AD75" s="32">
        <f t="shared" si="76"/>
        <v>4</v>
      </c>
      <c r="AE75" s="32">
        <f t="shared" si="77"/>
        <v>2</v>
      </c>
      <c r="AF75" s="66" t="str">
        <f t="shared" si="87"/>
        <v>저수</v>
      </c>
      <c r="AG75" s="66" t="str">
        <f t="shared" si="88"/>
        <v>저수</v>
      </c>
      <c r="AH75" s="66" t="str">
        <f t="shared" si="89"/>
        <v>저수</v>
      </c>
      <c r="AI75" s="66" t="str">
        <f t="shared" si="90"/>
        <v>저수</v>
      </c>
      <c r="AJ75" s="66" t="str">
        <f t="shared" si="91"/>
        <v>고수</v>
      </c>
      <c r="AK75" s="66" t="str">
        <f t="shared" si="92"/>
        <v>고수</v>
      </c>
      <c r="AL75" s="58" t="str">
        <f t="shared" si="93"/>
        <v>4 : 2</v>
      </c>
      <c r="AM75" s="66">
        <f t="shared" si="94"/>
        <v>4</v>
      </c>
      <c r="AN75" s="66">
        <f t="shared" si="95"/>
        <v>2</v>
      </c>
      <c r="AO75" s="66">
        <f t="shared" si="96"/>
        <v>32</v>
      </c>
      <c r="AP75" s="66" t="str">
        <f t="shared" si="97"/>
        <v>O</v>
      </c>
      <c r="AQ75" s="66" t="str">
        <f t="shared" si="98"/>
        <v>X</v>
      </c>
      <c r="AR75" s="66" t="str">
        <f t="shared" si="99"/>
        <v>X</v>
      </c>
      <c r="AS75" s="66" t="str">
        <f t="shared" si="100"/>
        <v>X</v>
      </c>
      <c r="AT75" s="66" t="str">
        <f t="shared" si="101"/>
        <v>X</v>
      </c>
      <c r="AU75" s="66" t="str">
        <f t="shared" si="102"/>
        <v>X</v>
      </c>
      <c r="AV75" s="66" t="str">
        <f t="shared" si="103"/>
        <v>X</v>
      </c>
      <c r="AW75" s="66" t="str">
        <f t="shared" si="104"/>
        <v>X</v>
      </c>
      <c r="AX75" s="66" t="str">
        <f t="shared" si="105"/>
        <v>X</v>
      </c>
      <c r="AY75" s="66" t="str">
        <f t="shared" si="106"/>
        <v>X</v>
      </c>
      <c r="AZ75" s="66" t="str">
        <f t="shared" si="107"/>
        <v>O</v>
      </c>
      <c r="BA75" s="66" t="str">
        <f t="shared" si="108"/>
        <v>O</v>
      </c>
      <c r="BB75" s="66">
        <f t="shared" si="109"/>
        <v>3</v>
      </c>
      <c r="BC75" s="127" t="str">
        <f t="shared" si="80"/>
        <v>1G</v>
      </c>
      <c r="BD75" s="127" t="str">
        <f t="shared" si="81"/>
        <v>1G</v>
      </c>
      <c r="BE75" s="127" t="str">
        <f t="shared" si="82"/>
        <v>1G</v>
      </c>
      <c r="BF75" s="127" t="str">
        <f t="shared" si="83"/>
        <v>2G</v>
      </c>
      <c r="BG75" s="127" t="str">
        <f t="shared" si="84"/>
        <v>2G</v>
      </c>
      <c r="BH75" s="127" t="str">
        <f t="shared" si="85"/>
        <v>3G</v>
      </c>
      <c r="BI75" s="127">
        <f t="shared" si="110"/>
        <v>3</v>
      </c>
      <c r="BJ75" s="127">
        <f t="shared" si="111"/>
        <v>2</v>
      </c>
      <c r="BK75" s="127">
        <f t="shared" si="112"/>
        <v>1</v>
      </c>
      <c r="BL75" s="127" t="str">
        <f t="shared" si="113"/>
        <v>321</v>
      </c>
      <c r="BO75" s="53">
        <v>0</v>
      </c>
      <c r="BP75" s="83">
        <f t="shared" ref="BP75:BP80" si="114">COUNTIF($BB$5:$BB$1000,BO75)</f>
        <v>59</v>
      </c>
      <c r="BQ75" s="84">
        <f t="shared" ref="BQ75:BQ80" si="115">BP75/$BP$81</f>
        <v>8.1830790568654652E-2</v>
      </c>
      <c r="BR75" s="127">
        <v>19</v>
      </c>
      <c r="BS75" s="53" t="s">
        <v>728</v>
      </c>
      <c r="BT75" s="53">
        <f t="shared" si="65"/>
        <v>2</v>
      </c>
      <c r="BU75" s="77">
        <f t="shared" si="66"/>
        <v>2.7739251040221915E-3</v>
      </c>
      <c r="CL75" s="28">
        <v>103</v>
      </c>
      <c r="CM75" s="28">
        <v>100</v>
      </c>
      <c r="CO75"/>
    </row>
    <row r="76" spans="2:93" ht="16.5">
      <c r="B76" s="17">
        <v>72</v>
      </c>
      <c r="C76" s="363" t="s">
        <v>102</v>
      </c>
      <c r="D76" s="18">
        <v>13</v>
      </c>
      <c r="E76" s="20">
        <v>3260524600</v>
      </c>
      <c r="F76" s="18">
        <v>44</v>
      </c>
      <c r="G76" s="20">
        <v>104081800</v>
      </c>
      <c r="H76" s="20">
        <v>2510</v>
      </c>
      <c r="I76" s="20">
        <v>1824500</v>
      </c>
      <c r="J76" s="20">
        <v>113994</v>
      </c>
      <c r="K76" s="20">
        <v>80300</v>
      </c>
      <c r="L76" s="20">
        <v>1702959</v>
      </c>
      <c r="M76" s="20">
        <v>10000</v>
      </c>
      <c r="N76" s="167">
        <v>2</v>
      </c>
      <c r="O76" s="167">
        <v>4</v>
      </c>
      <c r="P76" s="167">
        <v>11</v>
      </c>
      <c r="Q76" s="167">
        <v>17</v>
      </c>
      <c r="R76" s="167">
        <v>26</v>
      </c>
      <c r="S76" s="167">
        <v>27</v>
      </c>
      <c r="T76" s="167">
        <v>1</v>
      </c>
      <c r="U76" s="28">
        <f t="shared" si="86"/>
        <v>87</v>
      </c>
      <c r="W76" s="32" t="str">
        <f t="shared" si="69"/>
        <v>짝수</v>
      </c>
      <c r="X76" s="32" t="str">
        <f t="shared" si="70"/>
        <v>짝수</v>
      </c>
      <c r="Y76" s="32" t="str">
        <f t="shared" si="71"/>
        <v>홀수</v>
      </c>
      <c r="Z76" s="32" t="str">
        <f t="shared" si="72"/>
        <v>홀수</v>
      </c>
      <c r="AA76" s="32" t="str">
        <f t="shared" si="73"/>
        <v>짝수</v>
      </c>
      <c r="AB76" s="32" t="str">
        <f t="shared" si="74"/>
        <v>홀수</v>
      </c>
      <c r="AC76" s="58" t="str">
        <f t="shared" si="75"/>
        <v>3 : 3</v>
      </c>
      <c r="AD76" s="32">
        <f t="shared" si="76"/>
        <v>3</v>
      </c>
      <c r="AE76" s="32">
        <f t="shared" si="77"/>
        <v>3</v>
      </c>
      <c r="AF76" s="66" t="str">
        <f t="shared" si="87"/>
        <v>저수</v>
      </c>
      <c r="AG76" s="66" t="str">
        <f t="shared" si="88"/>
        <v>저수</v>
      </c>
      <c r="AH76" s="66" t="str">
        <f t="shared" si="89"/>
        <v>저수</v>
      </c>
      <c r="AI76" s="66" t="str">
        <f t="shared" si="90"/>
        <v>저수</v>
      </c>
      <c r="AJ76" s="66" t="str">
        <f t="shared" si="91"/>
        <v>고수</v>
      </c>
      <c r="AK76" s="66" t="str">
        <f t="shared" si="92"/>
        <v>고수</v>
      </c>
      <c r="AL76" s="58" t="str">
        <f t="shared" si="93"/>
        <v>4 : 2</v>
      </c>
      <c r="AM76" s="66">
        <f t="shared" si="94"/>
        <v>4</v>
      </c>
      <c r="AN76" s="66">
        <f t="shared" si="95"/>
        <v>2</v>
      </c>
      <c r="AO76" s="66">
        <f t="shared" si="96"/>
        <v>27</v>
      </c>
      <c r="AP76" s="66" t="str">
        <f t="shared" si="97"/>
        <v>O</v>
      </c>
      <c r="AQ76" s="66" t="str">
        <f t="shared" si="98"/>
        <v>X</v>
      </c>
      <c r="AR76" s="66" t="str">
        <f t="shared" si="99"/>
        <v>O</v>
      </c>
      <c r="AS76" s="66" t="str">
        <f t="shared" si="100"/>
        <v>O</v>
      </c>
      <c r="AT76" s="66" t="str">
        <f t="shared" si="101"/>
        <v>X</v>
      </c>
      <c r="AU76" s="66" t="str">
        <f t="shared" si="102"/>
        <v>X</v>
      </c>
      <c r="AV76" s="66" t="str">
        <f t="shared" si="103"/>
        <v>X</v>
      </c>
      <c r="AW76" s="66" t="str">
        <f t="shared" si="104"/>
        <v>X</v>
      </c>
      <c r="AX76" s="66" t="str">
        <f t="shared" si="105"/>
        <v>X</v>
      </c>
      <c r="AY76" s="66" t="str">
        <f t="shared" si="106"/>
        <v>X</v>
      </c>
      <c r="AZ76" s="66" t="str">
        <f t="shared" si="107"/>
        <v>X</v>
      </c>
      <c r="BA76" s="66" t="str">
        <f t="shared" si="108"/>
        <v>X</v>
      </c>
      <c r="BB76" s="66">
        <f t="shared" si="109"/>
        <v>3</v>
      </c>
      <c r="BC76" s="127" t="str">
        <f t="shared" si="80"/>
        <v>1G</v>
      </c>
      <c r="BD76" s="127" t="str">
        <f t="shared" si="81"/>
        <v>1G</v>
      </c>
      <c r="BE76" s="127" t="str">
        <f t="shared" si="82"/>
        <v>1G</v>
      </c>
      <c r="BF76" s="127" t="str">
        <f t="shared" si="83"/>
        <v>2G</v>
      </c>
      <c r="BG76" s="127" t="str">
        <f t="shared" si="84"/>
        <v>2G</v>
      </c>
      <c r="BH76" s="127" t="str">
        <f t="shared" si="85"/>
        <v>2G</v>
      </c>
      <c r="BI76" s="127">
        <f t="shared" si="110"/>
        <v>3</v>
      </c>
      <c r="BJ76" s="127">
        <f t="shared" si="111"/>
        <v>3</v>
      </c>
      <c r="BK76" s="127">
        <f t="shared" si="112"/>
        <v>0</v>
      </c>
      <c r="BL76" s="127" t="str">
        <f t="shared" si="113"/>
        <v>330</v>
      </c>
      <c r="BO76" s="85">
        <v>1</v>
      </c>
      <c r="BP76" s="86">
        <f t="shared" si="114"/>
        <v>206</v>
      </c>
      <c r="BQ76" s="87">
        <f t="shared" si="115"/>
        <v>0.2857142857142857</v>
      </c>
      <c r="BR76" s="127">
        <v>19</v>
      </c>
      <c r="BS76" s="53" t="s">
        <v>738</v>
      </c>
      <c r="BT76" s="53">
        <f t="shared" si="65"/>
        <v>1</v>
      </c>
      <c r="BU76" s="77">
        <f t="shared" si="66"/>
        <v>1.3869625520110957E-3</v>
      </c>
      <c r="CL76" s="28">
        <v>103</v>
      </c>
      <c r="CM76" s="28">
        <v>100</v>
      </c>
      <c r="CO76"/>
    </row>
    <row r="77" spans="2:93" ht="16.5">
      <c r="B77" s="17">
        <v>73</v>
      </c>
      <c r="C77" s="363" t="s">
        <v>103</v>
      </c>
      <c r="D77" s="18">
        <v>6</v>
      </c>
      <c r="E77" s="20">
        <v>2766662100</v>
      </c>
      <c r="F77" s="18">
        <v>26</v>
      </c>
      <c r="G77" s="20">
        <v>106410000</v>
      </c>
      <c r="H77" s="20">
        <v>1363</v>
      </c>
      <c r="I77" s="20">
        <v>2029800</v>
      </c>
      <c r="J77" s="20">
        <v>55608</v>
      </c>
      <c r="K77" s="20">
        <v>99500</v>
      </c>
      <c r="L77" s="20">
        <v>865131</v>
      </c>
      <c r="M77" s="20">
        <v>10000</v>
      </c>
      <c r="N77" s="167">
        <v>3</v>
      </c>
      <c r="O77" s="167">
        <v>12</v>
      </c>
      <c r="P77" s="167">
        <v>18</v>
      </c>
      <c r="Q77" s="167">
        <v>32</v>
      </c>
      <c r="R77" s="167">
        <v>40</v>
      </c>
      <c r="S77" s="167">
        <v>43</v>
      </c>
      <c r="T77" s="167">
        <v>38</v>
      </c>
      <c r="U77" s="28">
        <f t="shared" si="86"/>
        <v>148</v>
      </c>
      <c r="W77" s="32" t="str">
        <f t="shared" si="69"/>
        <v>홀수</v>
      </c>
      <c r="X77" s="32" t="str">
        <f t="shared" si="70"/>
        <v>짝수</v>
      </c>
      <c r="Y77" s="32" t="str">
        <f t="shared" si="71"/>
        <v>짝수</v>
      </c>
      <c r="Z77" s="32" t="str">
        <f t="shared" si="72"/>
        <v>짝수</v>
      </c>
      <c r="AA77" s="32" t="str">
        <f t="shared" si="73"/>
        <v>짝수</v>
      </c>
      <c r="AB77" s="32" t="str">
        <f t="shared" si="74"/>
        <v>홀수</v>
      </c>
      <c r="AC77" s="58" t="str">
        <f t="shared" si="75"/>
        <v>2 : 4</v>
      </c>
      <c r="AD77" s="32">
        <f t="shared" si="76"/>
        <v>2</v>
      </c>
      <c r="AE77" s="32">
        <f t="shared" si="77"/>
        <v>4</v>
      </c>
      <c r="AF77" s="66" t="str">
        <f t="shared" si="87"/>
        <v>저수</v>
      </c>
      <c r="AG77" s="66" t="str">
        <f t="shared" si="88"/>
        <v>저수</v>
      </c>
      <c r="AH77" s="66" t="str">
        <f t="shared" si="89"/>
        <v>저수</v>
      </c>
      <c r="AI77" s="66" t="str">
        <f t="shared" si="90"/>
        <v>고수</v>
      </c>
      <c r="AJ77" s="66" t="str">
        <f t="shared" si="91"/>
        <v>고수</v>
      </c>
      <c r="AK77" s="66" t="str">
        <f t="shared" si="92"/>
        <v>고수</v>
      </c>
      <c r="AL77" s="58" t="str">
        <f t="shared" si="93"/>
        <v>3 : 3</v>
      </c>
      <c r="AM77" s="66">
        <f t="shared" si="94"/>
        <v>3</v>
      </c>
      <c r="AN77" s="66">
        <f t="shared" si="95"/>
        <v>3</v>
      </c>
      <c r="AO77" s="66">
        <f t="shared" si="96"/>
        <v>18</v>
      </c>
      <c r="AP77" s="66" t="str">
        <f t="shared" si="97"/>
        <v>O</v>
      </c>
      <c r="AQ77" s="66" t="str">
        <f t="shared" si="98"/>
        <v>X</v>
      </c>
      <c r="AR77" s="66" t="str">
        <f t="shared" si="99"/>
        <v>X</v>
      </c>
      <c r="AS77" s="66" t="str">
        <f t="shared" si="100"/>
        <v>X</v>
      </c>
      <c r="AT77" s="66" t="str">
        <f t="shared" si="101"/>
        <v>X</v>
      </c>
      <c r="AU77" s="66" t="str">
        <f t="shared" si="102"/>
        <v>X</v>
      </c>
      <c r="AV77" s="66" t="str">
        <f t="shared" si="103"/>
        <v>X</v>
      </c>
      <c r="AW77" s="66" t="str">
        <f t="shared" si="104"/>
        <v>X</v>
      </c>
      <c r="AX77" s="66" t="str">
        <f t="shared" si="105"/>
        <v>X</v>
      </c>
      <c r="AY77" s="66" t="str">
        <f t="shared" si="106"/>
        <v>X</v>
      </c>
      <c r="AZ77" s="66" t="str">
        <f t="shared" si="107"/>
        <v>X</v>
      </c>
      <c r="BA77" s="66" t="str">
        <f t="shared" si="108"/>
        <v>O</v>
      </c>
      <c r="BB77" s="66">
        <f t="shared" si="109"/>
        <v>2</v>
      </c>
      <c r="BC77" s="127" t="str">
        <f t="shared" si="80"/>
        <v>1G</v>
      </c>
      <c r="BD77" s="127" t="str">
        <f t="shared" si="81"/>
        <v>1G</v>
      </c>
      <c r="BE77" s="127" t="str">
        <f t="shared" si="82"/>
        <v>2G</v>
      </c>
      <c r="BF77" s="127" t="str">
        <f t="shared" si="83"/>
        <v>3G</v>
      </c>
      <c r="BG77" s="127" t="str">
        <f t="shared" si="84"/>
        <v>3G</v>
      </c>
      <c r="BH77" s="127" t="str">
        <f t="shared" si="85"/>
        <v>3G</v>
      </c>
      <c r="BI77" s="127">
        <f t="shared" si="110"/>
        <v>2</v>
      </c>
      <c r="BJ77" s="127">
        <f t="shared" si="111"/>
        <v>1</v>
      </c>
      <c r="BK77" s="127">
        <f t="shared" si="112"/>
        <v>3</v>
      </c>
      <c r="BL77" s="127" t="str">
        <f t="shared" si="113"/>
        <v>213</v>
      </c>
      <c r="BO77" s="85">
        <v>2</v>
      </c>
      <c r="BP77" s="86">
        <f t="shared" si="114"/>
        <v>263</v>
      </c>
      <c r="BQ77" s="87">
        <f t="shared" si="115"/>
        <v>0.36477115117891817</v>
      </c>
      <c r="BR77" s="127">
        <v>19</v>
      </c>
      <c r="BS77" s="53" t="s">
        <v>733</v>
      </c>
      <c r="BT77" s="53">
        <f t="shared" si="65"/>
        <v>1</v>
      </c>
      <c r="BU77" s="77">
        <f t="shared" si="66"/>
        <v>1.3869625520110957E-3</v>
      </c>
      <c r="CL77" s="28">
        <v>104</v>
      </c>
      <c r="CM77" s="28">
        <v>100</v>
      </c>
      <c r="CO77"/>
    </row>
    <row r="78" spans="2:93" ht="16.5">
      <c r="B78" s="17">
        <v>74</v>
      </c>
      <c r="C78" s="363" t="s">
        <v>104</v>
      </c>
      <c r="D78" s="18">
        <v>3</v>
      </c>
      <c r="E78" s="20">
        <v>5284949800</v>
      </c>
      <c r="F78" s="18">
        <v>40</v>
      </c>
      <c r="G78" s="20">
        <v>66061800</v>
      </c>
      <c r="H78" s="20">
        <v>1021</v>
      </c>
      <c r="I78" s="20">
        <v>2588100</v>
      </c>
      <c r="J78" s="20">
        <v>48438</v>
      </c>
      <c r="K78" s="20">
        <v>109100</v>
      </c>
      <c r="L78" s="20">
        <v>802633</v>
      </c>
      <c r="M78" s="20">
        <v>10000</v>
      </c>
      <c r="N78" s="167">
        <v>6</v>
      </c>
      <c r="O78" s="167">
        <v>15</v>
      </c>
      <c r="P78" s="167">
        <v>17</v>
      </c>
      <c r="Q78" s="167">
        <v>18</v>
      </c>
      <c r="R78" s="167">
        <v>35</v>
      </c>
      <c r="S78" s="167">
        <v>40</v>
      </c>
      <c r="T78" s="167">
        <v>23</v>
      </c>
      <c r="U78" s="28">
        <f t="shared" si="86"/>
        <v>131</v>
      </c>
      <c r="W78" s="32" t="str">
        <f t="shared" si="69"/>
        <v>짝수</v>
      </c>
      <c r="X78" s="32" t="str">
        <f t="shared" si="70"/>
        <v>홀수</v>
      </c>
      <c r="Y78" s="32" t="str">
        <f t="shared" si="71"/>
        <v>홀수</v>
      </c>
      <c r="Z78" s="32" t="str">
        <f t="shared" si="72"/>
        <v>짝수</v>
      </c>
      <c r="AA78" s="32" t="str">
        <f t="shared" si="73"/>
        <v>홀수</v>
      </c>
      <c r="AB78" s="32" t="str">
        <f t="shared" si="74"/>
        <v>짝수</v>
      </c>
      <c r="AC78" s="58" t="str">
        <f t="shared" si="75"/>
        <v>3 : 3</v>
      </c>
      <c r="AD78" s="32">
        <f t="shared" si="76"/>
        <v>3</v>
      </c>
      <c r="AE78" s="32">
        <f t="shared" si="77"/>
        <v>3</v>
      </c>
      <c r="AF78" s="66" t="str">
        <f t="shared" si="87"/>
        <v>저수</v>
      </c>
      <c r="AG78" s="66" t="str">
        <f t="shared" si="88"/>
        <v>저수</v>
      </c>
      <c r="AH78" s="66" t="str">
        <f t="shared" si="89"/>
        <v>저수</v>
      </c>
      <c r="AI78" s="66" t="str">
        <f t="shared" si="90"/>
        <v>저수</v>
      </c>
      <c r="AJ78" s="66" t="str">
        <f t="shared" si="91"/>
        <v>고수</v>
      </c>
      <c r="AK78" s="66" t="str">
        <f t="shared" si="92"/>
        <v>고수</v>
      </c>
      <c r="AL78" s="58" t="str">
        <f t="shared" si="93"/>
        <v>4 : 2</v>
      </c>
      <c r="AM78" s="66">
        <f t="shared" si="94"/>
        <v>4</v>
      </c>
      <c r="AN78" s="66">
        <f t="shared" si="95"/>
        <v>2</v>
      </c>
      <c r="AO78" s="66">
        <f t="shared" si="96"/>
        <v>31</v>
      </c>
      <c r="AP78" s="66" t="str">
        <f t="shared" si="97"/>
        <v>X</v>
      </c>
      <c r="AQ78" s="66" t="str">
        <f t="shared" si="98"/>
        <v>X</v>
      </c>
      <c r="AR78" s="66" t="str">
        <f t="shared" si="99"/>
        <v>O</v>
      </c>
      <c r="AS78" s="66" t="str">
        <f t="shared" si="100"/>
        <v>X</v>
      </c>
      <c r="AT78" s="66" t="str">
        <f t="shared" si="101"/>
        <v>X</v>
      </c>
      <c r="AU78" s="66" t="str">
        <f t="shared" si="102"/>
        <v>X</v>
      </c>
      <c r="AV78" s="66" t="str">
        <f t="shared" si="103"/>
        <v>X</v>
      </c>
      <c r="AW78" s="66" t="str">
        <f t="shared" si="104"/>
        <v>X</v>
      </c>
      <c r="AX78" s="66" t="str">
        <f t="shared" si="105"/>
        <v>X</v>
      </c>
      <c r="AY78" s="66" t="str">
        <f t="shared" si="106"/>
        <v>X</v>
      </c>
      <c r="AZ78" s="66" t="str">
        <f t="shared" si="107"/>
        <v>X</v>
      </c>
      <c r="BA78" s="66" t="str">
        <f t="shared" si="108"/>
        <v>X</v>
      </c>
      <c r="BB78" s="66">
        <f t="shared" si="109"/>
        <v>1</v>
      </c>
      <c r="BC78" s="127" t="str">
        <f t="shared" si="80"/>
        <v>1G</v>
      </c>
      <c r="BD78" s="127" t="str">
        <f t="shared" si="81"/>
        <v>1G</v>
      </c>
      <c r="BE78" s="127" t="str">
        <f t="shared" si="82"/>
        <v>2G</v>
      </c>
      <c r="BF78" s="127" t="str">
        <f t="shared" si="83"/>
        <v>2G</v>
      </c>
      <c r="BG78" s="127" t="str">
        <f t="shared" si="84"/>
        <v>3G</v>
      </c>
      <c r="BH78" s="127" t="str">
        <f t="shared" si="85"/>
        <v>3G</v>
      </c>
      <c r="BI78" s="127">
        <f t="shared" si="110"/>
        <v>2</v>
      </c>
      <c r="BJ78" s="127">
        <f t="shared" si="111"/>
        <v>2</v>
      </c>
      <c r="BK78" s="127">
        <f t="shared" si="112"/>
        <v>2</v>
      </c>
      <c r="BL78" s="127" t="str">
        <f t="shared" si="113"/>
        <v>222</v>
      </c>
      <c r="BO78" s="53">
        <v>3</v>
      </c>
      <c r="BP78" s="83">
        <f t="shared" si="114"/>
        <v>155</v>
      </c>
      <c r="BQ78" s="84">
        <f t="shared" si="115"/>
        <v>0.21497919556171982</v>
      </c>
      <c r="BR78" s="127">
        <v>19</v>
      </c>
      <c r="BS78" s="53" t="s">
        <v>739</v>
      </c>
      <c r="BT78" s="53">
        <f t="shared" si="65"/>
        <v>3</v>
      </c>
      <c r="BU78" s="77">
        <f t="shared" si="66"/>
        <v>4.160887656033287E-3</v>
      </c>
      <c r="CL78" s="28">
        <v>104</v>
      </c>
      <c r="CM78" s="28">
        <v>100</v>
      </c>
      <c r="CO78"/>
    </row>
    <row r="79" spans="2:93" ht="16.5">
      <c r="B79" s="17">
        <v>75</v>
      </c>
      <c r="C79" s="363" t="s">
        <v>105</v>
      </c>
      <c r="D79" s="18">
        <v>4</v>
      </c>
      <c r="E79" s="20">
        <v>3914616900</v>
      </c>
      <c r="F79" s="18">
        <v>19</v>
      </c>
      <c r="G79" s="20">
        <v>137354900</v>
      </c>
      <c r="H79" s="18">
        <v>817</v>
      </c>
      <c r="I79" s="20">
        <v>3194300</v>
      </c>
      <c r="J79" s="20">
        <v>40782</v>
      </c>
      <c r="K79" s="20">
        <v>127900</v>
      </c>
      <c r="L79" s="20">
        <v>697174</v>
      </c>
      <c r="M79" s="20">
        <v>10000</v>
      </c>
      <c r="N79" s="167">
        <v>2</v>
      </c>
      <c r="O79" s="167">
        <v>5</v>
      </c>
      <c r="P79" s="167">
        <v>24</v>
      </c>
      <c r="Q79" s="167">
        <v>32</v>
      </c>
      <c r="R79" s="167">
        <v>34</v>
      </c>
      <c r="S79" s="167">
        <v>44</v>
      </c>
      <c r="T79" s="167">
        <v>28</v>
      </c>
      <c r="U79" s="28">
        <f t="shared" si="86"/>
        <v>141</v>
      </c>
      <c r="W79" s="32" t="str">
        <f t="shared" si="69"/>
        <v>짝수</v>
      </c>
      <c r="X79" s="32" t="str">
        <f t="shared" si="70"/>
        <v>홀수</v>
      </c>
      <c r="Y79" s="32" t="str">
        <f t="shared" si="71"/>
        <v>짝수</v>
      </c>
      <c r="Z79" s="32" t="str">
        <f t="shared" si="72"/>
        <v>짝수</v>
      </c>
      <c r="AA79" s="32" t="str">
        <f t="shared" si="73"/>
        <v>짝수</v>
      </c>
      <c r="AB79" s="32" t="str">
        <f t="shared" si="74"/>
        <v>짝수</v>
      </c>
      <c r="AC79" s="58" t="str">
        <f t="shared" si="75"/>
        <v>1 : 5</v>
      </c>
      <c r="AD79" s="32">
        <f t="shared" si="76"/>
        <v>1</v>
      </c>
      <c r="AE79" s="32">
        <f t="shared" si="77"/>
        <v>5</v>
      </c>
      <c r="AF79" s="66" t="str">
        <f t="shared" si="87"/>
        <v>저수</v>
      </c>
      <c r="AG79" s="66" t="str">
        <f t="shared" si="88"/>
        <v>저수</v>
      </c>
      <c r="AH79" s="66" t="str">
        <f t="shared" si="89"/>
        <v>고수</v>
      </c>
      <c r="AI79" s="66" t="str">
        <f t="shared" si="90"/>
        <v>고수</v>
      </c>
      <c r="AJ79" s="66" t="str">
        <f t="shared" si="91"/>
        <v>고수</v>
      </c>
      <c r="AK79" s="66" t="str">
        <f t="shared" si="92"/>
        <v>고수</v>
      </c>
      <c r="AL79" s="58" t="str">
        <f t="shared" si="93"/>
        <v>2 : 4</v>
      </c>
      <c r="AM79" s="66">
        <f t="shared" si="94"/>
        <v>2</v>
      </c>
      <c r="AN79" s="66">
        <f t="shared" si="95"/>
        <v>4</v>
      </c>
      <c r="AO79" s="66">
        <f t="shared" si="96"/>
        <v>21</v>
      </c>
      <c r="AP79" s="66" t="str">
        <f t="shared" si="97"/>
        <v>O</v>
      </c>
      <c r="AQ79" s="66" t="str">
        <f t="shared" si="98"/>
        <v>O</v>
      </c>
      <c r="AR79" s="66" t="str">
        <f t="shared" si="99"/>
        <v>X</v>
      </c>
      <c r="AS79" s="66" t="str">
        <f t="shared" si="100"/>
        <v>X</v>
      </c>
      <c r="AT79" s="66" t="str">
        <f t="shared" si="101"/>
        <v>X</v>
      </c>
      <c r="AU79" s="66" t="str">
        <f t="shared" si="102"/>
        <v>X</v>
      </c>
      <c r="AV79" s="66" t="str">
        <f t="shared" si="103"/>
        <v>X</v>
      </c>
      <c r="AW79" s="66" t="str">
        <f t="shared" si="104"/>
        <v>X</v>
      </c>
      <c r="AX79" s="66" t="str">
        <f t="shared" si="105"/>
        <v>X</v>
      </c>
      <c r="AY79" s="66" t="str">
        <f t="shared" si="106"/>
        <v>X</v>
      </c>
      <c r="AZ79" s="66" t="str">
        <f t="shared" si="107"/>
        <v>X</v>
      </c>
      <c r="BA79" s="66" t="str">
        <f t="shared" si="108"/>
        <v>X</v>
      </c>
      <c r="BB79" s="66">
        <f t="shared" si="109"/>
        <v>2</v>
      </c>
      <c r="BC79" s="127" t="str">
        <f t="shared" si="80"/>
        <v>1G</v>
      </c>
      <c r="BD79" s="127" t="str">
        <f t="shared" si="81"/>
        <v>1G</v>
      </c>
      <c r="BE79" s="127" t="str">
        <f t="shared" si="82"/>
        <v>2G</v>
      </c>
      <c r="BF79" s="127" t="str">
        <f t="shared" si="83"/>
        <v>3G</v>
      </c>
      <c r="BG79" s="127" t="str">
        <f t="shared" si="84"/>
        <v>3G</v>
      </c>
      <c r="BH79" s="127" t="str">
        <f t="shared" si="85"/>
        <v>3G</v>
      </c>
      <c r="BI79" s="127">
        <f t="shared" si="110"/>
        <v>2</v>
      </c>
      <c r="BJ79" s="127">
        <f t="shared" si="111"/>
        <v>1</v>
      </c>
      <c r="BK79" s="127">
        <f t="shared" si="112"/>
        <v>3</v>
      </c>
      <c r="BL79" s="127" t="str">
        <f t="shared" si="113"/>
        <v>213</v>
      </c>
      <c r="BO79" s="53">
        <v>4</v>
      </c>
      <c r="BP79" s="83">
        <f t="shared" si="114"/>
        <v>33</v>
      </c>
      <c r="BQ79" s="84">
        <f t="shared" si="115"/>
        <v>4.5769764216366159E-2</v>
      </c>
      <c r="BS79" s="53" t="s">
        <v>740</v>
      </c>
      <c r="BT79" s="53">
        <f>SUM(BT52:BT78)</f>
        <v>721</v>
      </c>
      <c r="BU79" s="77">
        <f t="shared" si="66"/>
        <v>1</v>
      </c>
      <c r="CL79" s="28">
        <v>104</v>
      </c>
      <c r="CM79" s="28">
        <v>100</v>
      </c>
      <c r="CO79"/>
    </row>
    <row r="80" spans="2:93" ht="16.5">
      <c r="B80" s="17">
        <v>76</v>
      </c>
      <c r="C80" s="363" t="s">
        <v>106</v>
      </c>
      <c r="D80" s="18">
        <v>2</v>
      </c>
      <c r="E80" s="20">
        <v>7451022600</v>
      </c>
      <c r="F80" s="18">
        <v>17</v>
      </c>
      <c r="G80" s="20">
        <v>146098400</v>
      </c>
      <c r="H80" s="18">
        <v>840</v>
      </c>
      <c r="I80" s="20">
        <v>2956700</v>
      </c>
      <c r="J80" s="20">
        <v>44504</v>
      </c>
      <c r="K80" s="20">
        <v>111600</v>
      </c>
      <c r="L80" s="20">
        <v>770522</v>
      </c>
      <c r="M80" s="20">
        <v>10000</v>
      </c>
      <c r="N80" s="167">
        <v>1</v>
      </c>
      <c r="O80" s="167">
        <v>3</v>
      </c>
      <c r="P80" s="167">
        <v>15</v>
      </c>
      <c r="Q80" s="167">
        <v>22</v>
      </c>
      <c r="R80" s="167">
        <v>25</v>
      </c>
      <c r="S80" s="167">
        <v>37</v>
      </c>
      <c r="T80" s="167">
        <v>43</v>
      </c>
      <c r="U80" s="28">
        <f t="shared" si="86"/>
        <v>103</v>
      </c>
      <c r="W80" s="32" t="str">
        <f t="shared" si="69"/>
        <v>홀수</v>
      </c>
      <c r="X80" s="32" t="str">
        <f t="shared" si="70"/>
        <v>홀수</v>
      </c>
      <c r="Y80" s="32" t="str">
        <f t="shared" si="71"/>
        <v>홀수</v>
      </c>
      <c r="Z80" s="32" t="str">
        <f t="shared" si="72"/>
        <v>짝수</v>
      </c>
      <c r="AA80" s="32" t="str">
        <f t="shared" si="73"/>
        <v>홀수</v>
      </c>
      <c r="AB80" s="32" t="str">
        <f t="shared" si="74"/>
        <v>홀수</v>
      </c>
      <c r="AC80" s="58" t="str">
        <f t="shared" si="75"/>
        <v>5 : 1</v>
      </c>
      <c r="AD80" s="32">
        <f t="shared" si="76"/>
        <v>5</v>
      </c>
      <c r="AE80" s="32">
        <f t="shared" si="77"/>
        <v>1</v>
      </c>
      <c r="AF80" s="66" t="str">
        <f t="shared" si="87"/>
        <v>저수</v>
      </c>
      <c r="AG80" s="66" t="str">
        <f t="shared" si="88"/>
        <v>저수</v>
      </c>
      <c r="AH80" s="66" t="str">
        <f t="shared" si="89"/>
        <v>저수</v>
      </c>
      <c r="AI80" s="66" t="str">
        <f t="shared" si="90"/>
        <v>저수</v>
      </c>
      <c r="AJ80" s="66" t="str">
        <f t="shared" si="91"/>
        <v>고수</v>
      </c>
      <c r="AK80" s="66" t="str">
        <f t="shared" si="92"/>
        <v>고수</v>
      </c>
      <c r="AL80" s="58" t="str">
        <f t="shared" si="93"/>
        <v>4 : 2</v>
      </c>
      <c r="AM80" s="66">
        <f t="shared" si="94"/>
        <v>4</v>
      </c>
      <c r="AN80" s="66">
        <f t="shared" si="95"/>
        <v>2</v>
      </c>
      <c r="AO80" s="66">
        <f t="shared" si="96"/>
        <v>23</v>
      </c>
      <c r="AP80" s="66" t="str">
        <f t="shared" si="97"/>
        <v>X</v>
      </c>
      <c r="AQ80" s="66" t="str">
        <f t="shared" si="98"/>
        <v>O</v>
      </c>
      <c r="AR80" s="66" t="str">
        <f t="shared" si="99"/>
        <v>X</v>
      </c>
      <c r="AS80" s="66" t="str">
        <f t="shared" si="100"/>
        <v>X</v>
      </c>
      <c r="AT80" s="66" t="str">
        <f t="shared" si="101"/>
        <v>X</v>
      </c>
      <c r="AU80" s="66" t="str">
        <f t="shared" si="102"/>
        <v>X</v>
      </c>
      <c r="AV80" s="66" t="str">
        <f t="shared" si="103"/>
        <v>X</v>
      </c>
      <c r="AW80" s="66" t="str">
        <f t="shared" si="104"/>
        <v>X</v>
      </c>
      <c r="AX80" s="66" t="str">
        <f t="shared" si="105"/>
        <v>X</v>
      </c>
      <c r="AY80" s="66" t="str">
        <f t="shared" si="106"/>
        <v>X</v>
      </c>
      <c r="AZ80" s="66" t="str">
        <f t="shared" si="107"/>
        <v>X</v>
      </c>
      <c r="BA80" s="66" t="str">
        <f t="shared" si="108"/>
        <v>O</v>
      </c>
      <c r="BB80" s="66">
        <f t="shared" si="109"/>
        <v>2</v>
      </c>
      <c r="BC80" s="127" t="str">
        <f t="shared" si="80"/>
        <v>1G</v>
      </c>
      <c r="BD80" s="127" t="str">
        <f t="shared" si="81"/>
        <v>1G</v>
      </c>
      <c r="BE80" s="127" t="str">
        <f t="shared" si="82"/>
        <v>1G</v>
      </c>
      <c r="BF80" s="127" t="str">
        <f t="shared" si="83"/>
        <v>2G</v>
      </c>
      <c r="BG80" s="127" t="str">
        <f t="shared" si="84"/>
        <v>2G</v>
      </c>
      <c r="BH80" s="127" t="str">
        <f t="shared" si="85"/>
        <v>3G</v>
      </c>
      <c r="BI80" s="127">
        <f t="shared" si="110"/>
        <v>3</v>
      </c>
      <c r="BJ80" s="127">
        <f t="shared" si="111"/>
        <v>2</v>
      </c>
      <c r="BK80" s="127">
        <f t="shared" si="112"/>
        <v>1</v>
      </c>
      <c r="BL80" s="127" t="str">
        <f t="shared" si="113"/>
        <v>321</v>
      </c>
      <c r="BO80" s="53">
        <v>5</v>
      </c>
      <c r="BP80" s="83">
        <f t="shared" si="114"/>
        <v>5</v>
      </c>
      <c r="BQ80" s="84">
        <f t="shared" si="115"/>
        <v>6.9348127600554789E-3</v>
      </c>
      <c r="BS80"/>
      <c r="CL80" s="28">
        <v>105</v>
      </c>
      <c r="CM80" s="28">
        <v>100</v>
      </c>
      <c r="CO80"/>
    </row>
    <row r="81" spans="2:93" ht="16.5">
      <c r="B81" s="17">
        <v>77</v>
      </c>
      <c r="C81" s="363" t="s">
        <v>107</v>
      </c>
      <c r="D81" s="18">
        <v>3</v>
      </c>
      <c r="E81" s="20">
        <v>5155758600</v>
      </c>
      <c r="F81" s="18">
        <v>19</v>
      </c>
      <c r="G81" s="20">
        <v>135677800</v>
      </c>
      <c r="H81" s="18">
        <v>713</v>
      </c>
      <c r="I81" s="20">
        <v>3615500</v>
      </c>
      <c r="J81" s="20">
        <v>37033</v>
      </c>
      <c r="K81" s="20">
        <v>139200</v>
      </c>
      <c r="L81" s="20">
        <v>643154</v>
      </c>
      <c r="M81" s="20">
        <v>10000</v>
      </c>
      <c r="N81" s="167">
        <v>2</v>
      </c>
      <c r="O81" s="167">
        <v>18</v>
      </c>
      <c r="P81" s="167">
        <v>29</v>
      </c>
      <c r="Q81" s="167">
        <v>32</v>
      </c>
      <c r="R81" s="167">
        <v>43</v>
      </c>
      <c r="S81" s="167">
        <v>44</v>
      </c>
      <c r="T81" s="167">
        <v>37</v>
      </c>
      <c r="U81" s="28">
        <f t="shared" si="86"/>
        <v>168</v>
      </c>
      <c r="W81" s="32" t="str">
        <f t="shared" si="69"/>
        <v>짝수</v>
      </c>
      <c r="X81" s="32" t="str">
        <f t="shared" si="70"/>
        <v>짝수</v>
      </c>
      <c r="Y81" s="32" t="str">
        <f t="shared" si="71"/>
        <v>홀수</v>
      </c>
      <c r="Z81" s="32" t="str">
        <f t="shared" si="72"/>
        <v>짝수</v>
      </c>
      <c r="AA81" s="32" t="str">
        <f t="shared" si="73"/>
        <v>홀수</v>
      </c>
      <c r="AB81" s="32" t="str">
        <f t="shared" si="74"/>
        <v>짝수</v>
      </c>
      <c r="AC81" s="58" t="str">
        <f t="shared" si="75"/>
        <v>2 : 4</v>
      </c>
      <c r="AD81" s="32">
        <f t="shared" si="76"/>
        <v>2</v>
      </c>
      <c r="AE81" s="32">
        <f t="shared" si="77"/>
        <v>4</v>
      </c>
      <c r="AF81" s="66" t="str">
        <f t="shared" si="87"/>
        <v>저수</v>
      </c>
      <c r="AG81" s="66" t="str">
        <f t="shared" si="88"/>
        <v>저수</v>
      </c>
      <c r="AH81" s="66" t="str">
        <f t="shared" si="89"/>
        <v>고수</v>
      </c>
      <c r="AI81" s="66" t="str">
        <f t="shared" si="90"/>
        <v>고수</v>
      </c>
      <c r="AJ81" s="66" t="str">
        <f t="shared" si="91"/>
        <v>고수</v>
      </c>
      <c r="AK81" s="66" t="str">
        <f t="shared" si="92"/>
        <v>고수</v>
      </c>
      <c r="AL81" s="58" t="str">
        <f t="shared" si="93"/>
        <v>2 : 4</v>
      </c>
      <c r="AM81" s="66">
        <f t="shared" si="94"/>
        <v>2</v>
      </c>
      <c r="AN81" s="66">
        <f t="shared" si="95"/>
        <v>4</v>
      </c>
      <c r="AO81" s="66">
        <f t="shared" si="96"/>
        <v>28</v>
      </c>
      <c r="AP81" s="66" t="str">
        <f t="shared" si="97"/>
        <v>O</v>
      </c>
      <c r="AQ81" s="66" t="str">
        <f t="shared" si="98"/>
        <v>X</v>
      </c>
      <c r="AR81" s="66" t="str">
        <f t="shared" si="99"/>
        <v>X</v>
      </c>
      <c r="AS81" s="66" t="str">
        <f t="shared" si="100"/>
        <v>X</v>
      </c>
      <c r="AT81" s="66" t="str">
        <f t="shared" si="101"/>
        <v>X</v>
      </c>
      <c r="AU81" s="66" t="str">
        <f t="shared" si="102"/>
        <v>X</v>
      </c>
      <c r="AV81" s="66" t="str">
        <f t="shared" si="103"/>
        <v>X</v>
      </c>
      <c r="AW81" s="66" t="str">
        <f t="shared" si="104"/>
        <v>X</v>
      </c>
      <c r="AX81" s="66" t="str">
        <f t="shared" si="105"/>
        <v>O</v>
      </c>
      <c r="AY81" s="66" t="str">
        <f t="shared" si="106"/>
        <v>X</v>
      </c>
      <c r="AZ81" s="66" t="str">
        <f t="shared" si="107"/>
        <v>O</v>
      </c>
      <c r="BA81" s="66" t="str">
        <f t="shared" si="108"/>
        <v>X</v>
      </c>
      <c r="BB81" s="66">
        <f t="shared" si="109"/>
        <v>3</v>
      </c>
      <c r="BC81" s="127" t="str">
        <f t="shared" si="80"/>
        <v>1G</v>
      </c>
      <c r="BD81" s="127" t="str">
        <f t="shared" si="81"/>
        <v>2G</v>
      </c>
      <c r="BE81" s="127" t="str">
        <f t="shared" si="82"/>
        <v>2G</v>
      </c>
      <c r="BF81" s="127" t="str">
        <f t="shared" si="83"/>
        <v>3G</v>
      </c>
      <c r="BG81" s="127" t="str">
        <f t="shared" si="84"/>
        <v>3G</v>
      </c>
      <c r="BH81" s="127" t="str">
        <f t="shared" si="85"/>
        <v>3G</v>
      </c>
      <c r="BI81" s="127">
        <f t="shared" si="110"/>
        <v>1</v>
      </c>
      <c r="BJ81" s="127">
        <f t="shared" si="111"/>
        <v>2</v>
      </c>
      <c r="BK81" s="127">
        <f t="shared" si="112"/>
        <v>3</v>
      </c>
      <c r="BL81" s="127" t="str">
        <f t="shared" si="113"/>
        <v>123</v>
      </c>
      <c r="BO81" s="53" t="s">
        <v>651</v>
      </c>
      <c r="BP81" s="53">
        <f>SUM(BP75:BP80)</f>
        <v>721</v>
      </c>
      <c r="BQ81" s="84">
        <f>SUM(BQ75:BQ80)</f>
        <v>1</v>
      </c>
      <c r="BS81"/>
      <c r="CL81" s="28">
        <v>105</v>
      </c>
      <c r="CM81" s="28">
        <v>100</v>
      </c>
      <c r="CO81"/>
    </row>
    <row r="82" spans="2:93" ht="16.5" hidden="1">
      <c r="B82" s="17">
        <v>78</v>
      </c>
      <c r="C82" s="363" t="s">
        <v>108</v>
      </c>
      <c r="D82" s="18">
        <v>4</v>
      </c>
      <c r="E82" s="20">
        <v>3519850000</v>
      </c>
      <c r="F82" s="18">
        <v>22</v>
      </c>
      <c r="G82" s="20">
        <v>106662100</v>
      </c>
      <c r="H82" s="18">
        <v>910</v>
      </c>
      <c r="I82" s="20">
        <v>2578600</v>
      </c>
      <c r="J82" s="20">
        <v>42450</v>
      </c>
      <c r="K82" s="20">
        <v>110500</v>
      </c>
      <c r="L82" s="20">
        <v>716323</v>
      </c>
      <c r="M82" s="20">
        <v>10000</v>
      </c>
      <c r="N82" s="167">
        <v>10</v>
      </c>
      <c r="O82" s="167">
        <v>13</v>
      </c>
      <c r="P82" s="167">
        <v>25</v>
      </c>
      <c r="Q82" s="167">
        <v>29</v>
      </c>
      <c r="R82" s="167">
        <v>33</v>
      </c>
      <c r="S82" s="167">
        <v>35</v>
      </c>
      <c r="T82" s="167">
        <v>38</v>
      </c>
      <c r="U82" s="28">
        <f t="shared" si="86"/>
        <v>145</v>
      </c>
      <c r="W82" s="32" t="str">
        <f t="shared" si="69"/>
        <v>짝수</v>
      </c>
      <c r="X82" s="32" t="str">
        <f t="shared" si="70"/>
        <v>홀수</v>
      </c>
      <c r="Y82" s="32" t="str">
        <f t="shared" si="71"/>
        <v>홀수</v>
      </c>
      <c r="Z82" s="32" t="str">
        <f t="shared" si="72"/>
        <v>홀수</v>
      </c>
      <c r="AA82" s="32" t="str">
        <f t="shared" si="73"/>
        <v>홀수</v>
      </c>
      <c r="AB82" s="32" t="str">
        <f t="shared" si="74"/>
        <v>홀수</v>
      </c>
      <c r="AC82" s="58" t="str">
        <f t="shared" si="75"/>
        <v>5 : 1</v>
      </c>
      <c r="AD82" s="32">
        <f t="shared" si="76"/>
        <v>5</v>
      </c>
      <c r="AE82" s="32">
        <f t="shared" si="77"/>
        <v>1</v>
      </c>
      <c r="AF82" s="66" t="str">
        <f t="shared" si="87"/>
        <v>저수</v>
      </c>
      <c r="AG82" s="66" t="str">
        <f t="shared" si="88"/>
        <v>저수</v>
      </c>
      <c r="AH82" s="66" t="str">
        <f t="shared" si="89"/>
        <v>고수</v>
      </c>
      <c r="AI82" s="66" t="str">
        <f t="shared" si="90"/>
        <v>고수</v>
      </c>
      <c r="AJ82" s="66" t="str">
        <f t="shared" si="91"/>
        <v>고수</v>
      </c>
      <c r="AK82" s="66" t="str">
        <f t="shared" si="92"/>
        <v>고수</v>
      </c>
      <c r="AL82" s="58" t="str">
        <f t="shared" si="93"/>
        <v>2 : 4</v>
      </c>
      <c r="AM82" s="66">
        <f t="shared" si="94"/>
        <v>2</v>
      </c>
      <c r="AN82" s="66">
        <f t="shared" si="95"/>
        <v>4</v>
      </c>
      <c r="AO82" s="66">
        <f t="shared" si="96"/>
        <v>25</v>
      </c>
      <c r="AP82" s="66" t="str">
        <f t="shared" si="97"/>
        <v>X</v>
      </c>
      <c r="AQ82" s="66" t="str">
        <f t="shared" si="98"/>
        <v>O</v>
      </c>
      <c r="AR82" s="66" t="str">
        <f t="shared" si="99"/>
        <v>X</v>
      </c>
      <c r="AS82" s="66" t="str">
        <f t="shared" si="100"/>
        <v>X</v>
      </c>
      <c r="AT82" s="66" t="str">
        <f t="shared" si="101"/>
        <v>X</v>
      </c>
      <c r="AU82" s="66" t="str">
        <f t="shared" si="102"/>
        <v>X</v>
      </c>
      <c r="AV82" s="66" t="str">
        <f t="shared" si="103"/>
        <v>X</v>
      </c>
      <c r="AW82" s="66" t="str">
        <f t="shared" si="104"/>
        <v>X</v>
      </c>
      <c r="AX82" s="66" t="str">
        <f t="shared" si="105"/>
        <v>X</v>
      </c>
      <c r="AY82" s="66" t="str">
        <f t="shared" si="106"/>
        <v>O</v>
      </c>
      <c r="AZ82" s="66" t="str">
        <f t="shared" si="107"/>
        <v>X</v>
      </c>
      <c r="BA82" s="66" t="str">
        <f t="shared" si="108"/>
        <v>X</v>
      </c>
      <c r="BB82" s="66">
        <f t="shared" si="109"/>
        <v>2</v>
      </c>
      <c r="BC82" s="127" t="str">
        <f t="shared" si="80"/>
        <v>1G</v>
      </c>
      <c r="BD82" s="127" t="str">
        <f t="shared" si="81"/>
        <v>1G</v>
      </c>
      <c r="BE82" s="127" t="str">
        <f t="shared" si="82"/>
        <v>2G</v>
      </c>
      <c r="BF82" s="127" t="str">
        <f t="shared" si="83"/>
        <v>2G</v>
      </c>
      <c r="BG82" s="127" t="str">
        <f t="shared" si="84"/>
        <v>3G</v>
      </c>
      <c r="BH82" s="127" t="str">
        <f t="shared" si="85"/>
        <v>3G</v>
      </c>
      <c r="BI82" s="127">
        <f t="shared" si="110"/>
        <v>2</v>
      </c>
      <c r="BJ82" s="127">
        <f t="shared" si="111"/>
        <v>2</v>
      </c>
      <c r="BK82" s="127">
        <f t="shared" si="112"/>
        <v>2</v>
      </c>
      <c r="BL82" s="127" t="str">
        <f t="shared" si="113"/>
        <v>222</v>
      </c>
      <c r="BS82"/>
      <c r="CL82" s="28">
        <v>105</v>
      </c>
      <c r="CM82" s="28">
        <v>100</v>
      </c>
      <c r="CO82"/>
    </row>
    <row r="83" spans="2:93" ht="16.5" hidden="1">
      <c r="B83" s="17">
        <v>79</v>
      </c>
      <c r="C83" s="363" t="s">
        <v>109</v>
      </c>
      <c r="D83" s="18">
        <v>4</v>
      </c>
      <c r="E83" s="20">
        <v>3416443800</v>
      </c>
      <c r="F83" s="18">
        <v>31</v>
      </c>
      <c r="G83" s="20">
        <v>73471910</v>
      </c>
      <c r="H83" s="20">
        <v>1196</v>
      </c>
      <c r="I83" s="20">
        <v>1904373</v>
      </c>
      <c r="J83" s="20">
        <v>49431</v>
      </c>
      <c r="K83" s="20">
        <v>92154</v>
      </c>
      <c r="L83" s="20">
        <v>741871</v>
      </c>
      <c r="M83" s="20">
        <v>10000</v>
      </c>
      <c r="N83" s="167">
        <v>3</v>
      </c>
      <c r="O83" s="167">
        <v>12</v>
      </c>
      <c r="P83" s="167">
        <v>24</v>
      </c>
      <c r="Q83" s="167">
        <v>27</v>
      </c>
      <c r="R83" s="167">
        <v>30</v>
      </c>
      <c r="S83" s="167">
        <v>32</v>
      </c>
      <c r="T83" s="167">
        <v>14</v>
      </c>
      <c r="U83" s="28">
        <f t="shared" si="86"/>
        <v>128</v>
      </c>
      <c r="W83" s="32" t="str">
        <f t="shared" si="69"/>
        <v>홀수</v>
      </c>
      <c r="X83" s="32" t="str">
        <f t="shared" si="70"/>
        <v>짝수</v>
      </c>
      <c r="Y83" s="32" t="str">
        <f t="shared" si="71"/>
        <v>짝수</v>
      </c>
      <c r="Z83" s="32" t="str">
        <f t="shared" si="72"/>
        <v>홀수</v>
      </c>
      <c r="AA83" s="32" t="str">
        <f t="shared" si="73"/>
        <v>짝수</v>
      </c>
      <c r="AB83" s="32" t="str">
        <f t="shared" si="74"/>
        <v>짝수</v>
      </c>
      <c r="AC83" s="58" t="str">
        <f t="shared" si="75"/>
        <v>2 : 4</v>
      </c>
      <c r="AD83" s="32">
        <f t="shared" si="76"/>
        <v>2</v>
      </c>
      <c r="AE83" s="32">
        <f t="shared" si="77"/>
        <v>4</v>
      </c>
      <c r="AF83" s="66" t="str">
        <f t="shared" si="87"/>
        <v>저수</v>
      </c>
      <c r="AG83" s="66" t="str">
        <f t="shared" si="88"/>
        <v>저수</v>
      </c>
      <c r="AH83" s="66" t="str">
        <f t="shared" si="89"/>
        <v>고수</v>
      </c>
      <c r="AI83" s="66" t="str">
        <f t="shared" si="90"/>
        <v>고수</v>
      </c>
      <c r="AJ83" s="66" t="str">
        <f t="shared" si="91"/>
        <v>고수</v>
      </c>
      <c r="AK83" s="66" t="str">
        <f t="shared" si="92"/>
        <v>고수</v>
      </c>
      <c r="AL83" s="58" t="str">
        <f t="shared" si="93"/>
        <v>2 : 4</v>
      </c>
      <c r="AM83" s="66">
        <f t="shared" si="94"/>
        <v>2</v>
      </c>
      <c r="AN83" s="66">
        <f t="shared" si="95"/>
        <v>4</v>
      </c>
      <c r="AO83" s="66">
        <f t="shared" si="96"/>
        <v>18</v>
      </c>
      <c r="AP83" s="66" t="str">
        <f t="shared" si="97"/>
        <v>O</v>
      </c>
      <c r="AQ83" s="66" t="str">
        <f t="shared" si="98"/>
        <v>X</v>
      </c>
      <c r="AR83" s="66" t="str">
        <f t="shared" si="99"/>
        <v>X</v>
      </c>
      <c r="AS83" s="66" t="str">
        <f t="shared" si="100"/>
        <v>X</v>
      </c>
      <c r="AT83" s="66" t="str">
        <f t="shared" si="101"/>
        <v>X</v>
      </c>
      <c r="AU83" s="66" t="str">
        <f t="shared" si="102"/>
        <v>X</v>
      </c>
      <c r="AV83" s="66" t="str">
        <f t="shared" si="103"/>
        <v>X</v>
      </c>
      <c r="AW83" s="66" t="str">
        <f t="shared" si="104"/>
        <v>X</v>
      </c>
      <c r="AX83" s="66" t="str">
        <f t="shared" si="105"/>
        <v>X</v>
      </c>
      <c r="AY83" s="66" t="str">
        <f t="shared" si="106"/>
        <v>X</v>
      </c>
      <c r="AZ83" s="66" t="str">
        <f t="shared" si="107"/>
        <v>X</v>
      </c>
      <c r="BA83" s="66" t="str">
        <f t="shared" si="108"/>
        <v>X</v>
      </c>
      <c r="BB83" s="66">
        <f t="shared" si="109"/>
        <v>1</v>
      </c>
      <c r="BC83" s="127" t="str">
        <f t="shared" si="80"/>
        <v>1G</v>
      </c>
      <c r="BD83" s="127" t="str">
        <f t="shared" si="81"/>
        <v>1G</v>
      </c>
      <c r="BE83" s="127" t="str">
        <f t="shared" si="82"/>
        <v>2G</v>
      </c>
      <c r="BF83" s="127" t="str">
        <f t="shared" si="83"/>
        <v>2G</v>
      </c>
      <c r="BG83" s="127" t="str">
        <f t="shared" si="84"/>
        <v>2G</v>
      </c>
      <c r="BH83" s="127" t="str">
        <f t="shared" si="85"/>
        <v>3G</v>
      </c>
      <c r="BI83" s="127">
        <f t="shared" si="110"/>
        <v>2</v>
      </c>
      <c r="BJ83" s="127">
        <f t="shared" si="111"/>
        <v>3</v>
      </c>
      <c r="BK83" s="127">
        <f t="shared" si="112"/>
        <v>1</v>
      </c>
      <c r="BL83" s="127" t="str">
        <f t="shared" si="113"/>
        <v>231</v>
      </c>
      <c r="BS83"/>
      <c r="CL83" s="28">
        <v>105</v>
      </c>
      <c r="CM83" s="28">
        <v>100</v>
      </c>
      <c r="CO83"/>
    </row>
    <row r="84" spans="2:93" ht="16.5" hidden="1">
      <c r="B84" s="17">
        <v>80</v>
      </c>
      <c r="C84" s="363" t="s">
        <v>110</v>
      </c>
      <c r="D84" s="18">
        <v>1</v>
      </c>
      <c r="E84" s="20">
        <v>13809540000</v>
      </c>
      <c r="F84" s="18">
        <v>16</v>
      </c>
      <c r="G84" s="20">
        <v>143849375</v>
      </c>
      <c r="H84" s="18">
        <v>868</v>
      </c>
      <c r="I84" s="20">
        <v>2651602</v>
      </c>
      <c r="J84" s="20">
        <v>40251</v>
      </c>
      <c r="K84" s="20">
        <v>114362</v>
      </c>
      <c r="L84" s="20">
        <v>706432</v>
      </c>
      <c r="M84" s="20">
        <v>10000</v>
      </c>
      <c r="N84" s="167">
        <v>17</v>
      </c>
      <c r="O84" s="167">
        <v>18</v>
      </c>
      <c r="P84" s="167">
        <v>24</v>
      </c>
      <c r="Q84" s="167">
        <v>25</v>
      </c>
      <c r="R84" s="167">
        <v>26</v>
      </c>
      <c r="S84" s="167">
        <v>30</v>
      </c>
      <c r="T84" s="167">
        <v>1</v>
      </c>
      <c r="U84" s="28">
        <f t="shared" si="86"/>
        <v>140</v>
      </c>
      <c r="W84" s="32" t="str">
        <f t="shared" si="69"/>
        <v>홀수</v>
      </c>
      <c r="X84" s="32" t="str">
        <f t="shared" si="70"/>
        <v>짝수</v>
      </c>
      <c r="Y84" s="32" t="str">
        <f t="shared" si="71"/>
        <v>짝수</v>
      </c>
      <c r="Z84" s="32" t="str">
        <f t="shared" si="72"/>
        <v>홀수</v>
      </c>
      <c r="AA84" s="32" t="str">
        <f t="shared" si="73"/>
        <v>짝수</v>
      </c>
      <c r="AB84" s="32" t="str">
        <f t="shared" si="74"/>
        <v>짝수</v>
      </c>
      <c r="AC84" s="58" t="str">
        <f t="shared" si="75"/>
        <v>2 : 4</v>
      </c>
      <c r="AD84" s="32">
        <f t="shared" si="76"/>
        <v>2</v>
      </c>
      <c r="AE84" s="32">
        <f t="shared" si="77"/>
        <v>4</v>
      </c>
      <c r="AF84" s="66" t="str">
        <f t="shared" si="87"/>
        <v>저수</v>
      </c>
      <c r="AG84" s="66" t="str">
        <f t="shared" si="88"/>
        <v>저수</v>
      </c>
      <c r="AH84" s="66" t="str">
        <f t="shared" si="89"/>
        <v>고수</v>
      </c>
      <c r="AI84" s="66" t="str">
        <f t="shared" si="90"/>
        <v>고수</v>
      </c>
      <c r="AJ84" s="66" t="str">
        <f t="shared" si="91"/>
        <v>고수</v>
      </c>
      <c r="AK84" s="66" t="str">
        <f t="shared" si="92"/>
        <v>고수</v>
      </c>
      <c r="AL84" s="58" t="str">
        <f t="shared" si="93"/>
        <v>2 : 4</v>
      </c>
      <c r="AM84" s="66">
        <f t="shared" si="94"/>
        <v>2</v>
      </c>
      <c r="AN84" s="66">
        <f t="shared" si="95"/>
        <v>4</v>
      </c>
      <c r="AO84" s="66">
        <f t="shared" si="96"/>
        <v>30</v>
      </c>
      <c r="AP84" s="66" t="str">
        <f t="shared" si="97"/>
        <v>O</v>
      </c>
      <c r="AQ84" s="66" t="str">
        <f t="shared" si="98"/>
        <v>X</v>
      </c>
      <c r="AR84" s="66" t="str">
        <f t="shared" si="99"/>
        <v>X</v>
      </c>
      <c r="AS84" s="66" t="str">
        <f t="shared" si="100"/>
        <v>X</v>
      </c>
      <c r="AT84" s="66" t="str">
        <f t="shared" si="101"/>
        <v>X</v>
      </c>
      <c r="AU84" s="66" t="str">
        <f t="shared" si="102"/>
        <v>X</v>
      </c>
      <c r="AV84" s="66" t="str">
        <f t="shared" si="103"/>
        <v>X</v>
      </c>
      <c r="AW84" s="66" t="str">
        <f t="shared" si="104"/>
        <v>X</v>
      </c>
      <c r="AX84" s="66" t="str">
        <f t="shared" si="105"/>
        <v>X</v>
      </c>
      <c r="AY84" s="66" t="str">
        <f t="shared" si="106"/>
        <v>X</v>
      </c>
      <c r="AZ84" s="66" t="str">
        <f t="shared" si="107"/>
        <v>X</v>
      </c>
      <c r="BA84" s="66" t="str">
        <f t="shared" si="108"/>
        <v>X</v>
      </c>
      <c r="BB84" s="66">
        <f t="shared" si="109"/>
        <v>1</v>
      </c>
      <c r="BC84" s="127" t="str">
        <f t="shared" si="80"/>
        <v>2G</v>
      </c>
      <c r="BD84" s="127" t="str">
        <f t="shared" si="81"/>
        <v>2G</v>
      </c>
      <c r="BE84" s="127" t="str">
        <f t="shared" si="82"/>
        <v>2G</v>
      </c>
      <c r="BF84" s="127" t="str">
        <f t="shared" si="83"/>
        <v>2G</v>
      </c>
      <c r="BG84" s="127" t="str">
        <f t="shared" si="84"/>
        <v>2G</v>
      </c>
      <c r="BH84" s="127" t="str">
        <f t="shared" si="85"/>
        <v>2G</v>
      </c>
      <c r="BI84" s="127">
        <f t="shared" si="110"/>
        <v>0</v>
      </c>
      <c r="BJ84" s="127">
        <f t="shared" si="111"/>
        <v>6</v>
      </c>
      <c r="BK84" s="127">
        <f t="shared" si="112"/>
        <v>0</v>
      </c>
      <c r="BL84" s="127" t="str">
        <f t="shared" si="113"/>
        <v>060</v>
      </c>
      <c r="BS84"/>
      <c r="CL84" s="28">
        <v>106</v>
      </c>
      <c r="CM84" s="28">
        <v>100</v>
      </c>
      <c r="CO84"/>
    </row>
    <row r="85" spans="2:93" ht="16.5" hidden="1">
      <c r="B85" s="17">
        <v>81</v>
      </c>
      <c r="C85" s="363" t="s">
        <v>111</v>
      </c>
      <c r="D85" s="18">
        <v>5</v>
      </c>
      <c r="E85" s="20">
        <v>2714288880</v>
      </c>
      <c r="F85" s="18">
        <v>20</v>
      </c>
      <c r="G85" s="20">
        <v>113095370</v>
      </c>
      <c r="H85" s="20">
        <v>1046</v>
      </c>
      <c r="I85" s="20">
        <v>2162436</v>
      </c>
      <c r="J85" s="20">
        <v>51654</v>
      </c>
      <c r="K85" s="20">
        <v>87580</v>
      </c>
      <c r="L85" s="20">
        <v>787258</v>
      </c>
      <c r="M85" s="20">
        <v>10000</v>
      </c>
      <c r="N85" s="167">
        <v>5</v>
      </c>
      <c r="O85" s="167">
        <v>7</v>
      </c>
      <c r="P85" s="167">
        <v>11</v>
      </c>
      <c r="Q85" s="167">
        <v>13</v>
      </c>
      <c r="R85" s="167">
        <v>20</v>
      </c>
      <c r="S85" s="167">
        <v>33</v>
      </c>
      <c r="T85" s="167">
        <v>6</v>
      </c>
      <c r="U85" s="28">
        <f t="shared" si="86"/>
        <v>89</v>
      </c>
      <c r="W85" s="32" t="str">
        <f t="shared" si="69"/>
        <v>홀수</v>
      </c>
      <c r="X85" s="32" t="str">
        <f t="shared" si="70"/>
        <v>홀수</v>
      </c>
      <c r="Y85" s="32" t="str">
        <f t="shared" si="71"/>
        <v>홀수</v>
      </c>
      <c r="Z85" s="32" t="str">
        <f t="shared" si="72"/>
        <v>홀수</v>
      </c>
      <c r="AA85" s="32" t="str">
        <f t="shared" si="73"/>
        <v>짝수</v>
      </c>
      <c r="AB85" s="32" t="str">
        <f t="shared" si="74"/>
        <v>홀수</v>
      </c>
      <c r="AC85" s="58" t="str">
        <f t="shared" si="75"/>
        <v>5 : 1</v>
      </c>
      <c r="AD85" s="32">
        <f t="shared" si="76"/>
        <v>5</v>
      </c>
      <c r="AE85" s="32">
        <f t="shared" si="77"/>
        <v>1</v>
      </c>
      <c r="AF85" s="66" t="str">
        <f t="shared" si="87"/>
        <v>저수</v>
      </c>
      <c r="AG85" s="66" t="str">
        <f t="shared" si="88"/>
        <v>저수</v>
      </c>
      <c r="AH85" s="66" t="str">
        <f t="shared" si="89"/>
        <v>저수</v>
      </c>
      <c r="AI85" s="66" t="str">
        <f t="shared" si="90"/>
        <v>저수</v>
      </c>
      <c r="AJ85" s="66" t="str">
        <f t="shared" si="91"/>
        <v>저수</v>
      </c>
      <c r="AK85" s="66" t="str">
        <f t="shared" si="92"/>
        <v>고수</v>
      </c>
      <c r="AL85" s="58" t="str">
        <f t="shared" si="93"/>
        <v>5 : 1</v>
      </c>
      <c r="AM85" s="66">
        <f t="shared" si="94"/>
        <v>5</v>
      </c>
      <c r="AN85" s="66">
        <f t="shared" si="95"/>
        <v>1</v>
      </c>
      <c r="AO85" s="66">
        <f t="shared" si="96"/>
        <v>19</v>
      </c>
      <c r="AP85" s="66" t="str">
        <f t="shared" si="97"/>
        <v>O</v>
      </c>
      <c r="AQ85" s="66" t="str">
        <f t="shared" si="98"/>
        <v>O</v>
      </c>
      <c r="AR85" s="66" t="str">
        <f t="shared" si="99"/>
        <v>O</v>
      </c>
      <c r="AS85" s="66" t="str">
        <f t="shared" si="100"/>
        <v>O</v>
      </c>
      <c r="AT85" s="66" t="str">
        <f t="shared" si="101"/>
        <v>X</v>
      </c>
      <c r="AU85" s="66" t="str">
        <f t="shared" si="102"/>
        <v>X</v>
      </c>
      <c r="AV85" s="66" t="str">
        <f t="shared" si="103"/>
        <v>X</v>
      </c>
      <c r="AW85" s="66" t="str">
        <f t="shared" si="104"/>
        <v>X</v>
      </c>
      <c r="AX85" s="66" t="str">
        <f t="shared" si="105"/>
        <v>X</v>
      </c>
      <c r="AY85" s="66" t="str">
        <f t="shared" si="106"/>
        <v>X</v>
      </c>
      <c r="AZ85" s="66" t="str">
        <f t="shared" si="107"/>
        <v>X</v>
      </c>
      <c r="BA85" s="66" t="str">
        <f t="shared" si="108"/>
        <v>X</v>
      </c>
      <c r="BB85" s="66">
        <f t="shared" si="109"/>
        <v>4</v>
      </c>
      <c r="BC85" s="127" t="str">
        <f t="shared" si="80"/>
        <v>1G</v>
      </c>
      <c r="BD85" s="127" t="str">
        <f t="shared" si="81"/>
        <v>1G</v>
      </c>
      <c r="BE85" s="127" t="str">
        <f t="shared" si="82"/>
        <v>1G</v>
      </c>
      <c r="BF85" s="127" t="str">
        <f t="shared" si="83"/>
        <v>1G</v>
      </c>
      <c r="BG85" s="127" t="str">
        <f t="shared" si="84"/>
        <v>2G</v>
      </c>
      <c r="BH85" s="127" t="str">
        <f t="shared" si="85"/>
        <v>3G</v>
      </c>
      <c r="BI85" s="127">
        <f t="shared" si="110"/>
        <v>4</v>
      </c>
      <c r="BJ85" s="127">
        <f t="shared" si="111"/>
        <v>1</v>
      </c>
      <c r="BK85" s="127">
        <f t="shared" si="112"/>
        <v>1</v>
      </c>
      <c r="BL85" s="127" t="str">
        <f t="shared" si="113"/>
        <v>411</v>
      </c>
      <c r="BS85"/>
      <c r="CL85" s="28">
        <v>107</v>
      </c>
      <c r="CM85" s="28">
        <v>100</v>
      </c>
      <c r="CO85"/>
    </row>
    <row r="86" spans="2:93" ht="18.75" hidden="1">
      <c r="B86" s="17">
        <v>82</v>
      </c>
      <c r="C86" s="363" t="s">
        <v>112</v>
      </c>
      <c r="D86" s="18">
        <v>1</v>
      </c>
      <c r="E86" s="20">
        <v>14562494400</v>
      </c>
      <c r="F86" s="18">
        <v>20</v>
      </c>
      <c r="G86" s="20">
        <v>121354120</v>
      </c>
      <c r="H86" s="18">
        <v>637</v>
      </c>
      <c r="I86" s="20">
        <v>3810177</v>
      </c>
      <c r="J86" s="20">
        <v>36139</v>
      </c>
      <c r="K86" s="20">
        <v>134320</v>
      </c>
      <c r="L86" s="20">
        <v>638058</v>
      </c>
      <c r="M86" s="20">
        <v>10000</v>
      </c>
      <c r="N86" s="167">
        <v>1</v>
      </c>
      <c r="O86" s="167">
        <v>2</v>
      </c>
      <c r="P86" s="167">
        <v>3</v>
      </c>
      <c r="Q86" s="167">
        <v>14</v>
      </c>
      <c r="R86" s="167">
        <v>27</v>
      </c>
      <c r="S86" s="167">
        <v>42</v>
      </c>
      <c r="T86" s="167">
        <v>39</v>
      </c>
      <c r="U86" s="28">
        <f t="shared" si="86"/>
        <v>89</v>
      </c>
      <c r="W86" s="32" t="str">
        <f t="shared" si="69"/>
        <v>홀수</v>
      </c>
      <c r="X86" s="32" t="str">
        <f t="shared" si="70"/>
        <v>짝수</v>
      </c>
      <c r="Y86" s="32" t="str">
        <f t="shared" si="71"/>
        <v>홀수</v>
      </c>
      <c r="Z86" s="32" t="str">
        <f t="shared" si="72"/>
        <v>짝수</v>
      </c>
      <c r="AA86" s="32" t="str">
        <f t="shared" si="73"/>
        <v>홀수</v>
      </c>
      <c r="AB86" s="32" t="str">
        <f t="shared" si="74"/>
        <v>짝수</v>
      </c>
      <c r="AC86" s="58" t="str">
        <f t="shared" si="75"/>
        <v>3 : 3</v>
      </c>
      <c r="AD86" s="32">
        <f t="shared" si="76"/>
        <v>3</v>
      </c>
      <c r="AE86" s="32">
        <f t="shared" si="77"/>
        <v>3</v>
      </c>
      <c r="AF86" s="66" t="str">
        <f t="shared" si="87"/>
        <v>저수</v>
      </c>
      <c r="AG86" s="66" t="str">
        <f t="shared" si="88"/>
        <v>저수</v>
      </c>
      <c r="AH86" s="66" t="str">
        <f t="shared" si="89"/>
        <v>저수</v>
      </c>
      <c r="AI86" s="66" t="str">
        <f t="shared" si="90"/>
        <v>저수</v>
      </c>
      <c r="AJ86" s="66" t="str">
        <f t="shared" si="91"/>
        <v>고수</v>
      </c>
      <c r="AK86" s="66" t="str">
        <f t="shared" si="92"/>
        <v>고수</v>
      </c>
      <c r="AL86" s="58" t="str">
        <f t="shared" si="93"/>
        <v>4 : 2</v>
      </c>
      <c r="AM86" s="66">
        <f t="shared" si="94"/>
        <v>4</v>
      </c>
      <c r="AN86" s="66">
        <f t="shared" si="95"/>
        <v>2</v>
      </c>
      <c r="AO86" s="66">
        <f t="shared" si="96"/>
        <v>19</v>
      </c>
      <c r="AP86" s="66" t="str">
        <f t="shared" si="97"/>
        <v>X</v>
      </c>
      <c r="AQ86" s="66" t="str">
        <f t="shared" si="98"/>
        <v>O</v>
      </c>
      <c r="AR86" s="66" t="str">
        <f t="shared" si="99"/>
        <v>O</v>
      </c>
      <c r="AS86" s="66" t="str">
        <f t="shared" si="100"/>
        <v>X</v>
      </c>
      <c r="AT86" s="66" t="str">
        <f t="shared" si="101"/>
        <v>X</v>
      </c>
      <c r="AU86" s="66" t="str">
        <f t="shared" si="102"/>
        <v>X</v>
      </c>
      <c r="AV86" s="66" t="str">
        <f t="shared" si="103"/>
        <v>X</v>
      </c>
      <c r="AW86" s="66" t="str">
        <f t="shared" si="104"/>
        <v>X</v>
      </c>
      <c r="AX86" s="66" t="str">
        <f t="shared" si="105"/>
        <v>X</v>
      </c>
      <c r="AY86" s="66" t="str">
        <f t="shared" si="106"/>
        <v>X</v>
      </c>
      <c r="AZ86" s="66" t="str">
        <f t="shared" si="107"/>
        <v>X</v>
      </c>
      <c r="BA86" s="66" t="str">
        <f t="shared" si="108"/>
        <v>X</v>
      </c>
      <c r="BB86" s="66">
        <f t="shared" si="109"/>
        <v>2</v>
      </c>
      <c r="BC86" s="127" t="str">
        <f t="shared" si="80"/>
        <v>1G</v>
      </c>
      <c r="BD86" s="127" t="str">
        <f t="shared" si="81"/>
        <v>1G</v>
      </c>
      <c r="BE86" s="127" t="str">
        <f t="shared" si="82"/>
        <v>1G</v>
      </c>
      <c r="BF86" s="127" t="str">
        <f t="shared" si="83"/>
        <v>1G</v>
      </c>
      <c r="BG86" s="127" t="str">
        <f t="shared" si="84"/>
        <v>2G</v>
      </c>
      <c r="BH86" s="127" t="str">
        <f t="shared" si="85"/>
        <v>3G</v>
      </c>
      <c r="BI86" s="127">
        <f t="shared" si="110"/>
        <v>4</v>
      </c>
      <c r="BJ86" s="127">
        <f t="shared" si="111"/>
        <v>1</v>
      </c>
      <c r="BK86" s="127">
        <f t="shared" si="112"/>
        <v>1</v>
      </c>
      <c r="BL86" s="127" t="str">
        <f t="shared" si="113"/>
        <v>411</v>
      </c>
      <c r="BP86" s="172"/>
      <c r="BQ86" s="172"/>
      <c r="BR86" s="172"/>
      <c r="BS86" s="172"/>
      <c r="BT86" s="92"/>
      <c r="CL86" s="28">
        <v>107</v>
      </c>
      <c r="CM86" s="28">
        <v>100</v>
      </c>
      <c r="CO86"/>
    </row>
    <row r="87" spans="2:93" ht="16.5" hidden="1">
      <c r="B87" s="17">
        <v>83</v>
      </c>
      <c r="C87" s="363" t="s">
        <v>113</v>
      </c>
      <c r="D87" s="18">
        <v>2</v>
      </c>
      <c r="E87" s="20">
        <v>7086948300</v>
      </c>
      <c r="F87" s="18">
        <v>15</v>
      </c>
      <c r="G87" s="20">
        <v>157487740</v>
      </c>
      <c r="H87" s="18">
        <v>851</v>
      </c>
      <c r="I87" s="20">
        <v>2775930</v>
      </c>
      <c r="J87" s="20">
        <v>45924</v>
      </c>
      <c r="K87" s="20">
        <v>102880</v>
      </c>
      <c r="L87" s="20">
        <v>763287</v>
      </c>
      <c r="M87" s="20">
        <v>10000</v>
      </c>
      <c r="N87" s="167">
        <v>6</v>
      </c>
      <c r="O87" s="167">
        <v>10</v>
      </c>
      <c r="P87" s="167">
        <v>15</v>
      </c>
      <c r="Q87" s="167">
        <v>17</v>
      </c>
      <c r="R87" s="167">
        <v>19</v>
      </c>
      <c r="S87" s="167">
        <v>34</v>
      </c>
      <c r="T87" s="167">
        <v>14</v>
      </c>
      <c r="U87" s="28">
        <f t="shared" si="86"/>
        <v>101</v>
      </c>
      <c r="W87" s="32" t="str">
        <f t="shared" si="69"/>
        <v>짝수</v>
      </c>
      <c r="X87" s="32" t="str">
        <f t="shared" si="70"/>
        <v>짝수</v>
      </c>
      <c r="Y87" s="32" t="str">
        <f t="shared" si="71"/>
        <v>홀수</v>
      </c>
      <c r="Z87" s="32" t="str">
        <f t="shared" si="72"/>
        <v>홀수</v>
      </c>
      <c r="AA87" s="32" t="str">
        <f t="shared" si="73"/>
        <v>홀수</v>
      </c>
      <c r="AB87" s="32" t="str">
        <f t="shared" si="74"/>
        <v>짝수</v>
      </c>
      <c r="AC87" s="58" t="str">
        <f t="shared" si="75"/>
        <v>3 : 3</v>
      </c>
      <c r="AD87" s="32">
        <f t="shared" si="76"/>
        <v>3</v>
      </c>
      <c r="AE87" s="32">
        <f t="shared" si="77"/>
        <v>3</v>
      </c>
      <c r="AF87" s="66" t="str">
        <f t="shared" si="87"/>
        <v>저수</v>
      </c>
      <c r="AG87" s="66" t="str">
        <f t="shared" si="88"/>
        <v>저수</v>
      </c>
      <c r="AH87" s="66" t="str">
        <f t="shared" si="89"/>
        <v>저수</v>
      </c>
      <c r="AI87" s="66" t="str">
        <f t="shared" si="90"/>
        <v>저수</v>
      </c>
      <c r="AJ87" s="66" t="str">
        <f t="shared" si="91"/>
        <v>저수</v>
      </c>
      <c r="AK87" s="66" t="str">
        <f t="shared" si="92"/>
        <v>고수</v>
      </c>
      <c r="AL87" s="58" t="str">
        <f t="shared" si="93"/>
        <v>5 : 1</v>
      </c>
      <c r="AM87" s="66">
        <f t="shared" si="94"/>
        <v>5</v>
      </c>
      <c r="AN87" s="66">
        <f t="shared" si="95"/>
        <v>1</v>
      </c>
      <c r="AO87" s="66">
        <f t="shared" si="96"/>
        <v>31</v>
      </c>
      <c r="AP87" s="66" t="str">
        <f t="shared" si="97"/>
        <v>X</v>
      </c>
      <c r="AQ87" s="66" t="str">
        <f t="shared" si="98"/>
        <v>X</v>
      </c>
      <c r="AR87" s="66" t="str">
        <f t="shared" si="99"/>
        <v>X</v>
      </c>
      <c r="AS87" s="66" t="str">
        <f t="shared" si="100"/>
        <v>O</v>
      </c>
      <c r="AT87" s="66" t="str">
        <f t="shared" si="101"/>
        <v>O</v>
      </c>
      <c r="AU87" s="66" t="str">
        <f t="shared" si="102"/>
        <v>X</v>
      </c>
      <c r="AV87" s="66" t="str">
        <f t="shared" si="103"/>
        <v>X</v>
      </c>
      <c r="AW87" s="66" t="str">
        <f t="shared" si="104"/>
        <v>X</v>
      </c>
      <c r="AX87" s="66" t="str">
        <f t="shared" si="105"/>
        <v>X</v>
      </c>
      <c r="AY87" s="66" t="str">
        <f t="shared" si="106"/>
        <v>X</v>
      </c>
      <c r="AZ87" s="66" t="str">
        <f t="shared" si="107"/>
        <v>X</v>
      </c>
      <c r="BA87" s="66" t="str">
        <f t="shared" si="108"/>
        <v>X</v>
      </c>
      <c r="BB87" s="66">
        <f t="shared" si="109"/>
        <v>2</v>
      </c>
      <c r="BC87" s="127" t="str">
        <f t="shared" si="80"/>
        <v>1G</v>
      </c>
      <c r="BD87" s="127" t="str">
        <f t="shared" si="81"/>
        <v>1G</v>
      </c>
      <c r="BE87" s="127" t="str">
        <f t="shared" si="82"/>
        <v>1G</v>
      </c>
      <c r="BF87" s="127" t="str">
        <f t="shared" si="83"/>
        <v>2G</v>
      </c>
      <c r="BG87" s="127" t="str">
        <f t="shared" si="84"/>
        <v>2G</v>
      </c>
      <c r="BH87" s="127" t="str">
        <f t="shared" si="85"/>
        <v>3G</v>
      </c>
      <c r="BI87" s="127">
        <f t="shared" si="110"/>
        <v>3</v>
      </c>
      <c r="BJ87" s="127">
        <f t="shared" si="111"/>
        <v>2</v>
      </c>
      <c r="BK87" s="127">
        <f t="shared" si="112"/>
        <v>1</v>
      </c>
      <c r="BL87" s="127" t="str">
        <f t="shared" si="113"/>
        <v>321</v>
      </c>
      <c r="BS87"/>
      <c r="CL87" s="28">
        <v>107</v>
      </c>
      <c r="CM87" s="28">
        <v>100</v>
      </c>
      <c r="CO87"/>
    </row>
    <row r="88" spans="2:93" ht="16.5" hidden="1">
      <c r="B88" s="17">
        <v>84</v>
      </c>
      <c r="C88" s="363" t="s">
        <v>114</v>
      </c>
      <c r="D88" s="18">
        <v>2</v>
      </c>
      <c r="E88" s="20">
        <v>7669779000</v>
      </c>
      <c r="F88" s="18">
        <v>17</v>
      </c>
      <c r="G88" s="20">
        <v>150387824</v>
      </c>
      <c r="H88" s="18">
        <v>635</v>
      </c>
      <c r="I88" s="20">
        <v>4026131</v>
      </c>
      <c r="J88" s="20">
        <v>32402</v>
      </c>
      <c r="K88" s="20">
        <v>157805</v>
      </c>
      <c r="L88" s="20">
        <v>582445</v>
      </c>
      <c r="M88" s="20">
        <v>10000</v>
      </c>
      <c r="N88" s="167">
        <v>16</v>
      </c>
      <c r="O88" s="167">
        <v>23</v>
      </c>
      <c r="P88" s="167">
        <v>27</v>
      </c>
      <c r="Q88" s="167">
        <v>34</v>
      </c>
      <c r="R88" s="167">
        <v>42</v>
      </c>
      <c r="S88" s="167">
        <v>45</v>
      </c>
      <c r="T88" s="167">
        <v>11</v>
      </c>
      <c r="U88" s="28">
        <f t="shared" si="86"/>
        <v>187</v>
      </c>
      <c r="W88" s="32" t="str">
        <f t="shared" si="69"/>
        <v>짝수</v>
      </c>
      <c r="X88" s="32" t="str">
        <f t="shared" si="70"/>
        <v>홀수</v>
      </c>
      <c r="Y88" s="32" t="str">
        <f t="shared" si="71"/>
        <v>홀수</v>
      </c>
      <c r="Z88" s="32" t="str">
        <f t="shared" si="72"/>
        <v>짝수</v>
      </c>
      <c r="AA88" s="32" t="str">
        <f t="shared" si="73"/>
        <v>짝수</v>
      </c>
      <c r="AB88" s="32" t="str">
        <f t="shared" si="74"/>
        <v>홀수</v>
      </c>
      <c r="AC88" s="58" t="str">
        <f t="shared" si="75"/>
        <v>3 : 3</v>
      </c>
      <c r="AD88" s="32">
        <f t="shared" si="76"/>
        <v>3</v>
      </c>
      <c r="AE88" s="32">
        <f t="shared" si="77"/>
        <v>3</v>
      </c>
      <c r="AF88" s="66" t="str">
        <f t="shared" si="87"/>
        <v>저수</v>
      </c>
      <c r="AG88" s="66" t="str">
        <f t="shared" si="88"/>
        <v>고수</v>
      </c>
      <c r="AH88" s="66" t="str">
        <f t="shared" si="89"/>
        <v>고수</v>
      </c>
      <c r="AI88" s="66" t="str">
        <f t="shared" si="90"/>
        <v>고수</v>
      </c>
      <c r="AJ88" s="66" t="str">
        <f t="shared" si="91"/>
        <v>고수</v>
      </c>
      <c r="AK88" s="66" t="str">
        <f t="shared" si="92"/>
        <v>고수</v>
      </c>
      <c r="AL88" s="58" t="str">
        <f t="shared" si="93"/>
        <v>1 : 5</v>
      </c>
      <c r="AM88" s="66">
        <f t="shared" si="94"/>
        <v>1</v>
      </c>
      <c r="AN88" s="66">
        <f t="shared" si="95"/>
        <v>5</v>
      </c>
      <c r="AO88" s="66">
        <f t="shared" si="96"/>
        <v>27</v>
      </c>
      <c r="AP88" s="66" t="str">
        <f t="shared" si="97"/>
        <v>X</v>
      </c>
      <c r="AQ88" s="66" t="str">
        <f t="shared" si="98"/>
        <v>X</v>
      </c>
      <c r="AR88" s="66" t="str">
        <f t="shared" si="99"/>
        <v>X</v>
      </c>
      <c r="AS88" s="66" t="str">
        <f t="shared" si="100"/>
        <v>X</v>
      </c>
      <c r="AT88" s="66" t="str">
        <f t="shared" si="101"/>
        <v>X</v>
      </c>
      <c r="AU88" s="66" t="str">
        <f t="shared" si="102"/>
        <v>X</v>
      </c>
      <c r="AV88" s="66" t="str">
        <f t="shared" si="103"/>
        <v>X</v>
      </c>
      <c r="AW88" s="66" t="str">
        <f t="shared" si="104"/>
        <v>O</v>
      </c>
      <c r="AX88" s="66" t="str">
        <f t="shared" si="105"/>
        <v>X</v>
      </c>
      <c r="AY88" s="66" t="str">
        <f t="shared" si="106"/>
        <v>X</v>
      </c>
      <c r="AZ88" s="66" t="str">
        <f t="shared" si="107"/>
        <v>X</v>
      </c>
      <c r="BA88" s="66" t="str">
        <f t="shared" si="108"/>
        <v>X</v>
      </c>
      <c r="BB88" s="66">
        <f t="shared" si="109"/>
        <v>1</v>
      </c>
      <c r="BC88" s="127" t="str">
        <f t="shared" si="80"/>
        <v>2G</v>
      </c>
      <c r="BD88" s="127" t="str">
        <f t="shared" si="81"/>
        <v>2G</v>
      </c>
      <c r="BE88" s="127" t="str">
        <f t="shared" si="82"/>
        <v>2G</v>
      </c>
      <c r="BF88" s="127" t="str">
        <f t="shared" si="83"/>
        <v>3G</v>
      </c>
      <c r="BG88" s="127" t="str">
        <f t="shared" si="84"/>
        <v>3G</v>
      </c>
      <c r="BH88" s="127" t="str">
        <f t="shared" si="85"/>
        <v>3G</v>
      </c>
      <c r="BI88" s="127">
        <f t="shared" si="110"/>
        <v>0</v>
      </c>
      <c r="BJ88" s="127">
        <f t="shared" si="111"/>
        <v>3</v>
      </c>
      <c r="BK88" s="127">
        <f t="shared" si="112"/>
        <v>3</v>
      </c>
      <c r="BL88" s="127" t="str">
        <f t="shared" si="113"/>
        <v>033</v>
      </c>
      <c r="BS88"/>
      <c r="CL88" s="28">
        <v>108</v>
      </c>
      <c r="CM88" s="28">
        <v>100</v>
      </c>
      <c r="CO88"/>
    </row>
    <row r="89" spans="2:93" ht="16.5" hidden="1">
      <c r="B89" s="17">
        <v>85</v>
      </c>
      <c r="C89" s="363" t="s">
        <v>115</v>
      </c>
      <c r="D89" s="18">
        <v>4</v>
      </c>
      <c r="E89" s="20">
        <v>3462109800</v>
      </c>
      <c r="F89" s="18">
        <v>31</v>
      </c>
      <c r="G89" s="20">
        <v>74453975</v>
      </c>
      <c r="H89" s="18">
        <v>823</v>
      </c>
      <c r="I89" s="20">
        <v>2804464</v>
      </c>
      <c r="J89" s="20">
        <v>41746</v>
      </c>
      <c r="K89" s="20">
        <v>110577</v>
      </c>
      <c r="L89" s="20">
        <v>664492</v>
      </c>
      <c r="M89" s="20">
        <v>10000</v>
      </c>
      <c r="N89" s="167">
        <v>6</v>
      </c>
      <c r="O89" s="167">
        <v>8</v>
      </c>
      <c r="P89" s="167">
        <v>13</v>
      </c>
      <c r="Q89" s="167">
        <v>23</v>
      </c>
      <c r="R89" s="167">
        <v>31</v>
      </c>
      <c r="S89" s="167">
        <v>36</v>
      </c>
      <c r="T89" s="167">
        <v>21</v>
      </c>
      <c r="U89" s="28">
        <f t="shared" si="86"/>
        <v>117</v>
      </c>
      <c r="W89" s="32" t="str">
        <f t="shared" si="69"/>
        <v>짝수</v>
      </c>
      <c r="X89" s="32" t="str">
        <f t="shared" si="70"/>
        <v>짝수</v>
      </c>
      <c r="Y89" s="32" t="str">
        <f t="shared" si="71"/>
        <v>홀수</v>
      </c>
      <c r="Z89" s="32" t="str">
        <f t="shared" si="72"/>
        <v>홀수</v>
      </c>
      <c r="AA89" s="32" t="str">
        <f t="shared" si="73"/>
        <v>홀수</v>
      </c>
      <c r="AB89" s="32" t="str">
        <f t="shared" si="74"/>
        <v>짝수</v>
      </c>
      <c r="AC89" s="58" t="str">
        <f t="shared" si="75"/>
        <v>3 : 3</v>
      </c>
      <c r="AD89" s="32">
        <f t="shared" si="76"/>
        <v>3</v>
      </c>
      <c r="AE89" s="32">
        <f t="shared" si="77"/>
        <v>3</v>
      </c>
      <c r="AF89" s="66" t="str">
        <f t="shared" si="87"/>
        <v>저수</v>
      </c>
      <c r="AG89" s="66" t="str">
        <f t="shared" si="88"/>
        <v>저수</v>
      </c>
      <c r="AH89" s="66" t="str">
        <f t="shared" si="89"/>
        <v>저수</v>
      </c>
      <c r="AI89" s="66" t="str">
        <f t="shared" si="90"/>
        <v>고수</v>
      </c>
      <c r="AJ89" s="66" t="str">
        <f t="shared" si="91"/>
        <v>고수</v>
      </c>
      <c r="AK89" s="66" t="str">
        <f t="shared" si="92"/>
        <v>고수</v>
      </c>
      <c r="AL89" s="58" t="str">
        <f t="shared" si="93"/>
        <v>3 : 3</v>
      </c>
      <c r="AM89" s="66">
        <f t="shared" si="94"/>
        <v>3</v>
      </c>
      <c r="AN89" s="66">
        <f t="shared" si="95"/>
        <v>3</v>
      </c>
      <c r="AO89" s="66">
        <f t="shared" si="96"/>
        <v>27</v>
      </c>
      <c r="AP89" s="66" t="str">
        <f t="shared" si="97"/>
        <v>X</v>
      </c>
      <c r="AQ89" s="66" t="str">
        <f t="shared" si="98"/>
        <v>X</v>
      </c>
      <c r="AR89" s="66" t="str">
        <f t="shared" si="99"/>
        <v>O</v>
      </c>
      <c r="AS89" s="66" t="str">
        <f t="shared" si="100"/>
        <v>X</v>
      </c>
      <c r="AT89" s="66" t="str">
        <f t="shared" si="101"/>
        <v>X</v>
      </c>
      <c r="AU89" s="66" t="str">
        <f t="shared" si="102"/>
        <v>X</v>
      </c>
      <c r="AV89" s="66" t="str">
        <f t="shared" si="103"/>
        <v>X</v>
      </c>
      <c r="AW89" s="66" t="str">
        <f t="shared" si="104"/>
        <v>X</v>
      </c>
      <c r="AX89" s="66" t="str">
        <f t="shared" si="105"/>
        <v>X</v>
      </c>
      <c r="AY89" s="66" t="str">
        <f t="shared" si="106"/>
        <v>O</v>
      </c>
      <c r="AZ89" s="66" t="str">
        <f t="shared" si="107"/>
        <v>O</v>
      </c>
      <c r="BA89" s="66" t="str">
        <f t="shared" si="108"/>
        <v>X</v>
      </c>
      <c r="BB89" s="66">
        <f t="shared" si="109"/>
        <v>3</v>
      </c>
      <c r="BC89" s="127" t="str">
        <f t="shared" si="80"/>
        <v>1G</v>
      </c>
      <c r="BD89" s="127" t="str">
        <f t="shared" si="81"/>
        <v>1G</v>
      </c>
      <c r="BE89" s="127" t="str">
        <f t="shared" si="82"/>
        <v>1G</v>
      </c>
      <c r="BF89" s="127" t="str">
        <f t="shared" si="83"/>
        <v>2G</v>
      </c>
      <c r="BG89" s="127" t="str">
        <f t="shared" si="84"/>
        <v>3G</v>
      </c>
      <c r="BH89" s="127" t="str">
        <f t="shared" si="85"/>
        <v>3G</v>
      </c>
      <c r="BI89" s="127">
        <f t="shared" si="110"/>
        <v>3</v>
      </c>
      <c r="BJ89" s="127">
        <f t="shared" si="111"/>
        <v>1</v>
      </c>
      <c r="BK89" s="127">
        <f t="shared" si="112"/>
        <v>2</v>
      </c>
      <c r="BL89" s="127" t="str">
        <f t="shared" si="113"/>
        <v>312</v>
      </c>
      <c r="BS89"/>
      <c r="CL89" s="28">
        <v>108</v>
      </c>
      <c r="CM89" s="28">
        <v>100</v>
      </c>
      <c r="CO89"/>
    </row>
    <row r="90" spans="2:93" ht="16.5" hidden="1">
      <c r="B90" s="17">
        <v>86</v>
      </c>
      <c r="C90" s="363" t="s">
        <v>116</v>
      </c>
      <c r="D90" s="18">
        <v>1</v>
      </c>
      <c r="E90" s="20">
        <v>14252186400</v>
      </c>
      <c r="F90" s="18">
        <v>16</v>
      </c>
      <c r="G90" s="20">
        <v>148460275</v>
      </c>
      <c r="H90" s="18">
        <v>611</v>
      </c>
      <c r="I90" s="20">
        <v>3887667</v>
      </c>
      <c r="J90" s="20">
        <v>35057</v>
      </c>
      <c r="K90" s="20">
        <v>135515</v>
      </c>
      <c r="L90" s="20">
        <v>616434</v>
      </c>
      <c r="M90" s="20">
        <v>10000</v>
      </c>
      <c r="N90" s="167">
        <v>2</v>
      </c>
      <c r="O90" s="167">
        <v>12</v>
      </c>
      <c r="P90" s="167">
        <v>37</v>
      </c>
      <c r="Q90" s="167">
        <v>39</v>
      </c>
      <c r="R90" s="167">
        <v>41</v>
      </c>
      <c r="S90" s="167">
        <v>45</v>
      </c>
      <c r="T90" s="167">
        <v>33</v>
      </c>
      <c r="U90" s="28">
        <f t="shared" si="86"/>
        <v>176</v>
      </c>
      <c r="W90" s="32" t="str">
        <f t="shared" si="69"/>
        <v>짝수</v>
      </c>
      <c r="X90" s="32" t="str">
        <f t="shared" si="70"/>
        <v>짝수</v>
      </c>
      <c r="Y90" s="32" t="str">
        <f t="shared" si="71"/>
        <v>홀수</v>
      </c>
      <c r="Z90" s="32" t="str">
        <f t="shared" si="72"/>
        <v>홀수</v>
      </c>
      <c r="AA90" s="32" t="str">
        <f t="shared" si="73"/>
        <v>홀수</v>
      </c>
      <c r="AB90" s="32" t="str">
        <f t="shared" si="74"/>
        <v>홀수</v>
      </c>
      <c r="AC90" s="58" t="str">
        <f t="shared" si="75"/>
        <v>4 : 2</v>
      </c>
      <c r="AD90" s="32">
        <f t="shared" si="76"/>
        <v>4</v>
      </c>
      <c r="AE90" s="32">
        <f t="shared" si="77"/>
        <v>2</v>
      </c>
      <c r="AF90" s="66" t="str">
        <f t="shared" si="87"/>
        <v>저수</v>
      </c>
      <c r="AG90" s="66" t="str">
        <f t="shared" si="88"/>
        <v>저수</v>
      </c>
      <c r="AH90" s="66" t="str">
        <f t="shared" si="89"/>
        <v>고수</v>
      </c>
      <c r="AI90" s="66" t="str">
        <f t="shared" si="90"/>
        <v>고수</v>
      </c>
      <c r="AJ90" s="66" t="str">
        <f t="shared" si="91"/>
        <v>고수</v>
      </c>
      <c r="AK90" s="66" t="str">
        <f t="shared" si="92"/>
        <v>고수</v>
      </c>
      <c r="AL90" s="58" t="str">
        <f t="shared" si="93"/>
        <v>2 : 4</v>
      </c>
      <c r="AM90" s="66">
        <f t="shared" si="94"/>
        <v>2</v>
      </c>
      <c r="AN90" s="66">
        <f t="shared" si="95"/>
        <v>4</v>
      </c>
      <c r="AO90" s="66">
        <f t="shared" si="96"/>
        <v>26</v>
      </c>
      <c r="AP90" s="66" t="str">
        <f t="shared" si="97"/>
        <v>O</v>
      </c>
      <c r="AQ90" s="66" t="str">
        <f t="shared" si="98"/>
        <v>X</v>
      </c>
      <c r="AR90" s="66" t="str">
        <f t="shared" si="99"/>
        <v>X</v>
      </c>
      <c r="AS90" s="66" t="str">
        <f t="shared" si="100"/>
        <v>X</v>
      </c>
      <c r="AT90" s="66" t="str">
        <f t="shared" si="101"/>
        <v>X</v>
      </c>
      <c r="AU90" s="66" t="str">
        <f t="shared" si="102"/>
        <v>X</v>
      </c>
      <c r="AV90" s="66" t="str">
        <f t="shared" si="103"/>
        <v>X</v>
      </c>
      <c r="AW90" s="66" t="str">
        <f t="shared" si="104"/>
        <v>X</v>
      </c>
      <c r="AX90" s="66" t="str">
        <f t="shared" si="105"/>
        <v>O</v>
      </c>
      <c r="AY90" s="66" t="str">
        <f t="shared" si="106"/>
        <v>X</v>
      </c>
      <c r="AZ90" s="66" t="str">
        <f t="shared" si="107"/>
        <v>O</v>
      </c>
      <c r="BA90" s="66" t="str">
        <f t="shared" si="108"/>
        <v>X</v>
      </c>
      <c r="BB90" s="66">
        <f t="shared" si="109"/>
        <v>3</v>
      </c>
      <c r="BC90" s="127" t="str">
        <f t="shared" si="80"/>
        <v>1G</v>
      </c>
      <c r="BD90" s="127" t="str">
        <f t="shared" si="81"/>
        <v>1G</v>
      </c>
      <c r="BE90" s="127" t="str">
        <f t="shared" si="82"/>
        <v>3G</v>
      </c>
      <c r="BF90" s="127" t="str">
        <f t="shared" si="83"/>
        <v>3G</v>
      </c>
      <c r="BG90" s="127" t="str">
        <f t="shared" si="84"/>
        <v>3G</v>
      </c>
      <c r="BH90" s="127" t="str">
        <f t="shared" si="85"/>
        <v>3G</v>
      </c>
      <c r="BI90" s="127">
        <f t="shared" si="110"/>
        <v>2</v>
      </c>
      <c r="BJ90" s="127">
        <f t="shared" si="111"/>
        <v>0</v>
      </c>
      <c r="BK90" s="127">
        <f t="shared" si="112"/>
        <v>4</v>
      </c>
      <c r="BL90" s="127" t="str">
        <f t="shared" si="113"/>
        <v>204</v>
      </c>
      <c r="BS90"/>
      <c r="CL90" s="28">
        <v>108</v>
      </c>
      <c r="CM90" s="28">
        <v>100</v>
      </c>
      <c r="CO90"/>
    </row>
    <row r="91" spans="2:93" ht="16.5" hidden="1">
      <c r="B91" s="17">
        <v>87</v>
      </c>
      <c r="C91" s="363" t="s">
        <v>117</v>
      </c>
      <c r="D91" s="18">
        <v>11</v>
      </c>
      <c r="E91" s="20">
        <v>1799358055</v>
      </c>
      <c r="F91" s="18">
        <v>33</v>
      </c>
      <c r="G91" s="20">
        <v>99964337</v>
      </c>
      <c r="H91" s="20">
        <v>1250</v>
      </c>
      <c r="I91" s="20">
        <v>2639059</v>
      </c>
      <c r="J91" s="20">
        <v>54768</v>
      </c>
      <c r="K91" s="20">
        <v>120466</v>
      </c>
      <c r="L91" s="20">
        <v>890859</v>
      </c>
      <c r="M91" s="20">
        <v>10000</v>
      </c>
      <c r="N91" s="167">
        <v>4</v>
      </c>
      <c r="O91" s="167">
        <v>12</v>
      </c>
      <c r="P91" s="167">
        <v>16</v>
      </c>
      <c r="Q91" s="167">
        <v>23</v>
      </c>
      <c r="R91" s="167">
        <v>34</v>
      </c>
      <c r="S91" s="167">
        <v>43</v>
      </c>
      <c r="T91" s="167">
        <v>26</v>
      </c>
      <c r="U91" s="28">
        <f t="shared" si="86"/>
        <v>132</v>
      </c>
      <c r="W91" s="32" t="str">
        <f t="shared" si="69"/>
        <v>짝수</v>
      </c>
      <c r="X91" s="32" t="str">
        <f t="shared" si="70"/>
        <v>짝수</v>
      </c>
      <c r="Y91" s="32" t="str">
        <f t="shared" si="71"/>
        <v>짝수</v>
      </c>
      <c r="Z91" s="32" t="str">
        <f t="shared" si="72"/>
        <v>홀수</v>
      </c>
      <c r="AA91" s="32" t="str">
        <f t="shared" si="73"/>
        <v>짝수</v>
      </c>
      <c r="AB91" s="32" t="str">
        <f t="shared" si="74"/>
        <v>홀수</v>
      </c>
      <c r="AC91" s="58" t="str">
        <f t="shared" si="75"/>
        <v>2 : 4</v>
      </c>
      <c r="AD91" s="32">
        <f t="shared" si="76"/>
        <v>2</v>
      </c>
      <c r="AE91" s="32">
        <f t="shared" si="77"/>
        <v>4</v>
      </c>
      <c r="AF91" s="66" t="str">
        <f t="shared" si="87"/>
        <v>저수</v>
      </c>
      <c r="AG91" s="66" t="str">
        <f t="shared" si="88"/>
        <v>저수</v>
      </c>
      <c r="AH91" s="66" t="str">
        <f t="shared" si="89"/>
        <v>저수</v>
      </c>
      <c r="AI91" s="66" t="str">
        <f t="shared" si="90"/>
        <v>고수</v>
      </c>
      <c r="AJ91" s="66" t="str">
        <f t="shared" si="91"/>
        <v>고수</v>
      </c>
      <c r="AK91" s="66" t="str">
        <f t="shared" si="92"/>
        <v>고수</v>
      </c>
      <c r="AL91" s="58" t="str">
        <f t="shared" si="93"/>
        <v>3 : 3</v>
      </c>
      <c r="AM91" s="66">
        <f t="shared" si="94"/>
        <v>3</v>
      </c>
      <c r="AN91" s="66">
        <f t="shared" si="95"/>
        <v>3</v>
      </c>
      <c r="AO91" s="66">
        <f t="shared" si="96"/>
        <v>22</v>
      </c>
      <c r="AP91" s="66" t="str">
        <f t="shared" si="97"/>
        <v>X</v>
      </c>
      <c r="AQ91" s="66" t="str">
        <f t="shared" si="98"/>
        <v>X</v>
      </c>
      <c r="AR91" s="66" t="str">
        <f t="shared" si="99"/>
        <v>X</v>
      </c>
      <c r="AS91" s="66" t="str">
        <f t="shared" si="100"/>
        <v>X</v>
      </c>
      <c r="AT91" s="66" t="str">
        <f t="shared" si="101"/>
        <v>X</v>
      </c>
      <c r="AU91" s="66" t="str">
        <f t="shared" si="102"/>
        <v>X</v>
      </c>
      <c r="AV91" s="66" t="str">
        <f t="shared" si="103"/>
        <v>X</v>
      </c>
      <c r="AW91" s="66" t="str">
        <f t="shared" si="104"/>
        <v>X</v>
      </c>
      <c r="AX91" s="66" t="str">
        <f t="shared" si="105"/>
        <v>X</v>
      </c>
      <c r="AY91" s="66" t="str">
        <f t="shared" si="106"/>
        <v>O</v>
      </c>
      <c r="AZ91" s="66" t="str">
        <f t="shared" si="107"/>
        <v>X</v>
      </c>
      <c r="BA91" s="66" t="str">
        <f t="shared" si="108"/>
        <v>O</v>
      </c>
      <c r="BB91" s="66">
        <f t="shared" si="109"/>
        <v>2</v>
      </c>
      <c r="BC91" s="127" t="str">
        <f t="shared" si="80"/>
        <v>1G</v>
      </c>
      <c r="BD91" s="127" t="str">
        <f t="shared" si="81"/>
        <v>1G</v>
      </c>
      <c r="BE91" s="127" t="str">
        <f t="shared" si="82"/>
        <v>2G</v>
      </c>
      <c r="BF91" s="127" t="str">
        <f t="shared" si="83"/>
        <v>2G</v>
      </c>
      <c r="BG91" s="127" t="str">
        <f t="shared" si="84"/>
        <v>3G</v>
      </c>
      <c r="BH91" s="127" t="str">
        <f t="shared" si="85"/>
        <v>3G</v>
      </c>
      <c r="BI91" s="127">
        <f t="shared" si="110"/>
        <v>2</v>
      </c>
      <c r="BJ91" s="127">
        <f t="shared" si="111"/>
        <v>2</v>
      </c>
      <c r="BK91" s="127">
        <f t="shared" si="112"/>
        <v>2</v>
      </c>
      <c r="BL91" s="127" t="str">
        <f t="shared" si="113"/>
        <v>222</v>
      </c>
      <c r="BS91"/>
      <c r="CL91" s="28">
        <v>108</v>
      </c>
      <c r="CM91" s="28">
        <v>100</v>
      </c>
      <c r="CO91"/>
    </row>
    <row r="92" spans="2:93" ht="16.5" hidden="1">
      <c r="B92" s="17">
        <v>88</v>
      </c>
      <c r="C92" s="363" t="s">
        <v>118</v>
      </c>
      <c r="D92" s="18">
        <v>4</v>
      </c>
      <c r="E92" s="20">
        <v>3069709650</v>
      </c>
      <c r="F92" s="18">
        <v>31</v>
      </c>
      <c r="G92" s="20">
        <v>66015262</v>
      </c>
      <c r="H92" s="20">
        <v>1183</v>
      </c>
      <c r="I92" s="20">
        <v>1729902</v>
      </c>
      <c r="J92" s="20">
        <v>64639</v>
      </c>
      <c r="K92" s="20">
        <v>63321</v>
      </c>
      <c r="L92" s="20">
        <v>1098115</v>
      </c>
      <c r="M92" s="20">
        <v>5000</v>
      </c>
      <c r="N92" s="167">
        <v>1</v>
      </c>
      <c r="O92" s="167">
        <v>17</v>
      </c>
      <c r="P92" s="167">
        <v>20</v>
      </c>
      <c r="Q92" s="167">
        <v>24</v>
      </c>
      <c r="R92" s="167">
        <v>30</v>
      </c>
      <c r="S92" s="167">
        <v>41</v>
      </c>
      <c r="T92" s="167">
        <v>27</v>
      </c>
      <c r="U92" s="28">
        <f t="shared" si="86"/>
        <v>133</v>
      </c>
      <c r="W92" s="32" t="str">
        <f t="shared" si="69"/>
        <v>홀수</v>
      </c>
      <c r="X92" s="32" t="str">
        <f t="shared" si="70"/>
        <v>홀수</v>
      </c>
      <c r="Y92" s="32" t="str">
        <f t="shared" si="71"/>
        <v>짝수</v>
      </c>
      <c r="Z92" s="32" t="str">
        <f t="shared" si="72"/>
        <v>짝수</v>
      </c>
      <c r="AA92" s="32" t="str">
        <f t="shared" si="73"/>
        <v>짝수</v>
      </c>
      <c r="AB92" s="32" t="str">
        <f t="shared" si="74"/>
        <v>홀수</v>
      </c>
      <c r="AC92" s="58" t="str">
        <f t="shared" si="75"/>
        <v>3 : 3</v>
      </c>
      <c r="AD92" s="32">
        <f t="shared" si="76"/>
        <v>3</v>
      </c>
      <c r="AE92" s="32">
        <f t="shared" si="77"/>
        <v>3</v>
      </c>
      <c r="AF92" s="66" t="str">
        <f t="shared" si="87"/>
        <v>저수</v>
      </c>
      <c r="AG92" s="66" t="str">
        <f t="shared" si="88"/>
        <v>저수</v>
      </c>
      <c r="AH92" s="66" t="str">
        <f t="shared" si="89"/>
        <v>저수</v>
      </c>
      <c r="AI92" s="66" t="str">
        <f t="shared" si="90"/>
        <v>고수</v>
      </c>
      <c r="AJ92" s="66" t="str">
        <f t="shared" si="91"/>
        <v>고수</v>
      </c>
      <c r="AK92" s="66" t="str">
        <f t="shared" si="92"/>
        <v>고수</v>
      </c>
      <c r="AL92" s="58" t="str">
        <f t="shared" si="93"/>
        <v>3 : 3</v>
      </c>
      <c r="AM92" s="66">
        <f t="shared" si="94"/>
        <v>3</v>
      </c>
      <c r="AN92" s="66">
        <f t="shared" si="95"/>
        <v>3</v>
      </c>
      <c r="AO92" s="66">
        <f t="shared" si="96"/>
        <v>13</v>
      </c>
      <c r="AP92" s="66" t="str">
        <f t="shared" si="97"/>
        <v>X</v>
      </c>
      <c r="AQ92" s="66" t="str">
        <f t="shared" si="98"/>
        <v>O</v>
      </c>
      <c r="AR92" s="66" t="str">
        <f t="shared" si="99"/>
        <v>X</v>
      </c>
      <c r="AS92" s="66" t="str">
        <f t="shared" si="100"/>
        <v>X</v>
      </c>
      <c r="AT92" s="66" t="str">
        <f t="shared" si="101"/>
        <v>X</v>
      </c>
      <c r="AU92" s="66" t="str">
        <f t="shared" si="102"/>
        <v>X</v>
      </c>
      <c r="AV92" s="66" t="str">
        <f t="shared" si="103"/>
        <v>X</v>
      </c>
      <c r="AW92" s="66" t="str">
        <f t="shared" si="104"/>
        <v>X</v>
      </c>
      <c r="AX92" s="66" t="str">
        <f t="shared" si="105"/>
        <v>X</v>
      </c>
      <c r="AY92" s="66" t="str">
        <f t="shared" si="106"/>
        <v>X</v>
      </c>
      <c r="AZ92" s="66" t="str">
        <f t="shared" si="107"/>
        <v>X</v>
      </c>
      <c r="BA92" s="66" t="str">
        <f t="shared" si="108"/>
        <v>O</v>
      </c>
      <c r="BB92" s="66">
        <f t="shared" si="109"/>
        <v>2</v>
      </c>
      <c r="BC92" s="127" t="str">
        <f t="shared" si="80"/>
        <v>1G</v>
      </c>
      <c r="BD92" s="127" t="str">
        <f t="shared" si="81"/>
        <v>2G</v>
      </c>
      <c r="BE92" s="127" t="str">
        <f t="shared" si="82"/>
        <v>2G</v>
      </c>
      <c r="BF92" s="127" t="str">
        <f t="shared" si="83"/>
        <v>2G</v>
      </c>
      <c r="BG92" s="127" t="str">
        <f t="shared" si="84"/>
        <v>2G</v>
      </c>
      <c r="BH92" s="127" t="str">
        <f t="shared" si="85"/>
        <v>3G</v>
      </c>
      <c r="BI92" s="127">
        <f t="shared" si="110"/>
        <v>1</v>
      </c>
      <c r="BJ92" s="127">
        <f t="shared" si="111"/>
        <v>4</v>
      </c>
      <c r="BK92" s="127">
        <f t="shared" si="112"/>
        <v>1</v>
      </c>
      <c r="BL92" s="127" t="str">
        <f t="shared" si="113"/>
        <v>141</v>
      </c>
      <c r="BS92"/>
      <c r="CL92" s="28">
        <v>108</v>
      </c>
      <c r="CM92" s="28">
        <v>100</v>
      </c>
      <c r="CO92"/>
    </row>
    <row r="93" spans="2:93" ht="16.5" hidden="1">
      <c r="B93" s="17">
        <v>89</v>
      </c>
      <c r="C93" s="363" t="s">
        <v>119</v>
      </c>
      <c r="D93" s="18">
        <v>3</v>
      </c>
      <c r="E93" s="20">
        <v>4248321900</v>
      </c>
      <c r="F93" s="18">
        <v>30</v>
      </c>
      <c r="G93" s="20">
        <v>70805365</v>
      </c>
      <c r="H93" s="20">
        <v>1340</v>
      </c>
      <c r="I93" s="20">
        <v>1585195</v>
      </c>
      <c r="J93" s="20">
        <v>72667</v>
      </c>
      <c r="K93" s="20">
        <v>58463</v>
      </c>
      <c r="L93" s="20">
        <v>1261896</v>
      </c>
      <c r="M93" s="20">
        <v>5000</v>
      </c>
      <c r="N93" s="167">
        <v>4</v>
      </c>
      <c r="O93" s="167">
        <v>26</v>
      </c>
      <c r="P93" s="167">
        <v>28</v>
      </c>
      <c r="Q93" s="167">
        <v>29</v>
      </c>
      <c r="R93" s="167">
        <v>33</v>
      </c>
      <c r="S93" s="167">
        <v>40</v>
      </c>
      <c r="T93" s="167">
        <v>37</v>
      </c>
      <c r="U93" s="28">
        <f t="shared" si="86"/>
        <v>160</v>
      </c>
      <c r="W93" s="32" t="str">
        <f t="shared" si="69"/>
        <v>짝수</v>
      </c>
      <c r="X93" s="32" t="str">
        <f t="shared" si="70"/>
        <v>짝수</v>
      </c>
      <c r="Y93" s="32" t="str">
        <f t="shared" si="71"/>
        <v>짝수</v>
      </c>
      <c r="Z93" s="32" t="str">
        <f t="shared" si="72"/>
        <v>홀수</v>
      </c>
      <c r="AA93" s="32" t="str">
        <f t="shared" si="73"/>
        <v>홀수</v>
      </c>
      <c r="AB93" s="32" t="str">
        <f t="shared" si="74"/>
        <v>짝수</v>
      </c>
      <c r="AC93" s="58" t="str">
        <f t="shared" si="75"/>
        <v>2 : 4</v>
      </c>
      <c r="AD93" s="32">
        <f t="shared" si="76"/>
        <v>2</v>
      </c>
      <c r="AE93" s="32">
        <f t="shared" si="77"/>
        <v>4</v>
      </c>
      <c r="AF93" s="66" t="str">
        <f t="shared" si="87"/>
        <v>저수</v>
      </c>
      <c r="AG93" s="66" t="str">
        <f t="shared" si="88"/>
        <v>고수</v>
      </c>
      <c r="AH93" s="66" t="str">
        <f t="shared" si="89"/>
        <v>고수</v>
      </c>
      <c r="AI93" s="66" t="str">
        <f t="shared" si="90"/>
        <v>고수</v>
      </c>
      <c r="AJ93" s="66" t="str">
        <f t="shared" si="91"/>
        <v>고수</v>
      </c>
      <c r="AK93" s="66" t="str">
        <f t="shared" si="92"/>
        <v>고수</v>
      </c>
      <c r="AL93" s="58" t="str">
        <f t="shared" si="93"/>
        <v>1 : 5</v>
      </c>
      <c r="AM93" s="66">
        <f t="shared" si="94"/>
        <v>1</v>
      </c>
      <c r="AN93" s="66">
        <f t="shared" si="95"/>
        <v>5</v>
      </c>
      <c r="AO93" s="66">
        <f t="shared" si="96"/>
        <v>30</v>
      </c>
      <c r="AP93" s="66" t="str">
        <f t="shared" si="97"/>
        <v>X</v>
      </c>
      <c r="AQ93" s="66" t="str">
        <f t="shared" si="98"/>
        <v>X</v>
      </c>
      <c r="AR93" s="66" t="str">
        <f t="shared" si="99"/>
        <v>X</v>
      </c>
      <c r="AS93" s="66" t="str">
        <f t="shared" si="100"/>
        <v>X</v>
      </c>
      <c r="AT93" s="66" t="str">
        <f t="shared" si="101"/>
        <v>X</v>
      </c>
      <c r="AU93" s="66" t="str">
        <f t="shared" si="102"/>
        <v>X</v>
      </c>
      <c r="AV93" s="66" t="str">
        <f t="shared" si="103"/>
        <v>X</v>
      </c>
      <c r="AW93" s="66" t="str">
        <f t="shared" si="104"/>
        <v>X</v>
      </c>
      <c r="AX93" s="66" t="str">
        <f t="shared" si="105"/>
        <v>X</v>
      </c>
      <c r="AY93" s="66" t="str">
        <f t="shared" si="106"/>
        <v>O</v>
      </c>
      <c r="AZ93" s="66" t="str">
        <f t="shared" si="107"/>
        <v>X</v>
      </c>
      <c r="BA93" s="66" t="str">
        <f t="shared" si="108"/>
        <v>X</v>
      </c>
      <c r="BB93" s="66">
        <f t="shared" si="109"/>
        <v>1</v>
      </c>
      <c r="BC93" s="127" t="str">
        <f t="shared" si="80"/>
        <v>1G</v>
      </c>
      <c r="BD93" s="127" t="str">
        <f t="shared" si="81"/>
        <v>2G</v>
      </c>
      <c r="BE93" s="127" t="str">
        <f t="shared" si="82"/>
        <v>2G</v>
      </c>
      <c r="BF93" s="127" t="str">
        <f t="shared" si="83"/>
        <v>2G</v>
      </c>
      <c r="BG93" s="127" t="str">
        <f t="shared" si="84"/>
        <v>3G</v>
      </c>
      <c r="BH93" s="127" t="str">
        <f t="shared" si="85"/>
        <v>3G</v>
      </c>
      <c r="BI93" s="127">
        <f t="shared" si="110"/>
        <v>1</v>
      </c>
      <c r="BJ93" s="127">
        <f t="shared" si="111"/>
        <v>3</v>
      </c>
      <c r="BK93" s="127">
        <f t="shared" si="112"/>
        <v>2</v>
      </c>
      <c r="BL93" s="127" t="str">
        <f t="shared" si="113"/>
        <v>132</v>
      </c>
      <c r="BS93"/>
      <c r="CL93" s="28">
        <v>109</v>
      </c>
      <c r="CM93" s="28">
        <v>100</v>
      </c>
      <c r="CO93"/>
    </row>
    <row r="94" spans="2:93" ht="16.5" hidden="1">
      <c r="B94" s="17">
        <v>90</v>
      </c>
      <c r="C94" s="363" t="s">
        <v>120</v>
      </c>
      <c r="D94" s="18">
        <v>4</v>
      </c>
      <c r="E94" s="20">
        <v>3291435300</v>
      </c>
      <c r="F94" s="18">
        <v>34</v>
      </c>
      <c r="G94" s="20">
        <v>64537948</v>
      </c>
      <c r="H94" s="20">
        <v>1297</v>
      </c>
      <c r="I94" s="20">
        <v>1691820</v>
      </c>
      <c r="J94" s="20">
        <v>67888</v>
      </c>
      <c r="K94" s="20">
        <v>64645</v>
      </c>
      <c r="L94" s="20">
        <v>1160774</v>
      </c>
      <c r="M94" s="20">
        <v>5000</v>
      </c>
      <c r="N94" s="167">
        <v>17</v>
      </c>
      <c r="O94" s="167">
        <v>20</v>
      </c>
      <c r="P94" s="167">
        <v>29</v>
      </c>
      <c r="Q94" s="167">
        <v>35</v>
      </c>
      <c r="R94" s="167">
        <v>38</v>
      </c>
      <c r="S94" s="167">
        <v>44</v>
      </c>
      <c r="T94" s="167">
        <v>10</v>
      </c>
      <c r="U94" s="28">
        <f t="shared" si="86"/>
        <v>183</v>
      </c>
      <c r="W94" s="32" t="str">
        <f t="shared" si="69"/>
        <v>홀수</v>
      </c>
      <c r="X94" s="32" t="str">
        <f t="shared" si="70"/>
        <v>짝수</v>
      </c>
      <c r="Y94" s="32" t="str">
        <f t="shared" si="71"/>
        <v>홀수</v>
      </c>
      <c r="Z94" s="32" t="str">
        <f t="shared" si="72"/>
        <v>홀수</v>
      </c>
      <c r="AA94" s="32" t="str">
        <f t="shared" si="73"/>
        <v>짝수</v>
      </c>
      <c r="AB94" s="32" t="str">
        <f t="shared" si="74"/>
        <v>짝수</v>
      </c>
      <c r="AC94" s="58" t="str">
        <f t="shared" si="75"/>
        <v>3 : 3</v>
      </c>
      <c r="AD94" s="32">
        <f t="shared" si="76"/>
        <v>3</v>
      </c>
      <c r="AE94" s="32">
        <f t="shared" si="77"/>
        <v>3</v>
      </c>
      <c r="AF94" s="66" t="str">
        <f t="shared" si="87"/>
        <v>저수</v>
      </c>
      <c r="AG94" s="66" t="str">
        <f t="shared" si="88"/>
        <v>저수</v>
      </c>
      <c r="AH94" s="66" t="str">
        <f t="shared" si="89"/>
        <v>고수</v>
      </c>
      <c r="AI94" s="66" t="str">
        <f t="shared" si="90"/>
        <v>고수</v>
      </c>
      <c r="AJ94" s="66" t="str">
        <f t="shared" si="91"/>
        <v>고수</v>
      </c>
      <c r="AK94" s="66" t="str">
        <f t="shared" si="92"/>
        <v>고수</v>
      </c>
      <c r="AL94" s="58" t="str">
        <f t="shared" si="93"/>
        <v>2 : 4</v>
      </c>
      <c r="AM94" s="66">
        <f t="shared" si="94"/>
        <v>2</v>
      </c>
      <c r="AN94" s="66">
        <f t="shared" si="95"/>
        <v>4</v>
      </c>
      <c r="AO94" s="66">
        <f t="shared" si="96"/>
        <v>33</v>
      </c>
      <c r="AP94" s="66" t="str">
        <f t="shared" si="97"/>
        <v>O</v>
      </c>
      <c r="AQ94" s="66" t="str">
        <f t="shared" si="98"/>
        <v>X</v>
      </c>
      <c r="AR94" s="66" t="str">
        <f t="shared" si="99"/>
        <v>X</v>
      </c>
      <c r="AS94" s="66" t="str">
        <f t="shared" si="100"/>
        <v>X</v>
      </c>
      <c r="AT94" s="66" t="str">
        <f t="shared" si="101"/>
        <v>X</v>
      </c>
      <c r="AU94" s="66" t="str">
        <f t="shared" si="102"/>
        <v>X</v>
      </c>
      <c r="AV94" s="66" t="str">
        <f t="shared" si="103"/>
        <v>X</v>
      </c>
      <c r="AW94" s="66" t="str">
        <f t="shared" si="104"/>
        <v>X</v>
      </c>
      <c r="AX94" s="66" t="str">
        <f t="shared" si="105"/>
        <v>O</v>
      </c>
      <c r="AY94" s="66" t="str">
        <f t="shared" si="106"/>
        <v>X</v>
      </c>
      <c r="AZ94" s="66" t="str">
        <f t="shared" si="107"/>
        <v>X</v>
      </c>
      <c r="BA94" s="66" t="str">
        <f t="shared" si="108"/>
        <v>X</v>
      </c>
      <c r="BB94" s="66">
        <f t="shared" si="109"/>
        <v>2</v>
      </c>
      <c r="BC94" s="127" t="str">
        <f t="shared" si="80"/>
        <v>2G</v>
      </c>
      <c r="BD94" s="127" t="str">
        <f t="shared" si="81"/>
        <v>2G</v>
      </c>
      <c r="BE94" s="127" t="str">
        <f t="shared" si="82"/>
        <v>2G</v>
      </c>
      <c r="BF94" s="127" t="str">
        <f t="shared" si="83"/>
        <v>3G</v>
      </c>
      <c r="BG94" s="127" t="str">
        <f t="shared" si="84"/>
        <v>3G</v>
      </c>
      <c r="BH94" s="127" t="str">
        <f t="shared" si="85"/>
        <v>3G</v>
      </c>
      <c r="BI94" s="127">
        <f t="shared" si="110"/>
        <v>0</v>
      </c>
      <c r="BJ94" s="127">
        <f t="shared" si="111"/>
        <v>3</v>
      </c>
      <c r="BK94" s="127">
        <f t="shared" si="112"/>
        <v>3</v>
      </c>
      <c r="BL94" s="127" t="str">
        <f t="shared" si="113"/>
        <v>033</v>
      </c>
      <c r="BS94"/>
      <c r="CL94" s="28">
        <v>109</v>
      </c>
      <c r="CM94" s="28">
        <v>100</v>
      </c>
      <c r="CO94"/>
    </row>
    <row r="95" spans="2:93" ht="16.5" hidden="1">
      <c r="B95" s="17">
        <v>91</v>
      </c>
      <c r="C95" s="363" t="s">
        <v>121</v>
      </c>
      <c r="D95" s="18">
        <v>4</v>
      </c>
      <c r="E95" s="20">
        <v>3582902400</v>
      </c>
      <c r="F95" s="18">
        <v>32</v>
      </c>
      <c r="G95" s="20">
        <v>74643800</v>
      </c>
      <c r="H95" s="20">
        <v>1205</v>
      </c>
      <c r="I95" s="20">
        <v>1982242</v>
      </c>
      <c r="J95" s="20">
        <v>64183</v>
      </c>
      <c r="K95" s="20">
        <v>74431</v>
      </c>
      <c r="L95" s="20">
        <v>1128902</v>
      </c>
      <c r="M95" s="20">
        <v>5000</v>
      </c>
      <c r="N95" s="167">
        <v>1</v>
      </c>
      <c r="O95" s="167">
        <v>21</v>
      </c>
      <c r="P95" s="167">
        <v>24</v>
      </c>
      <c r="Q95" s="167">
        <v>26</v>
      </c>
      <c r="R95" s="167">
        <v>29</v>
      </c>
      <c r="S95" s="167">
        <v>42</v>
      </c>
      <c r="T95" s="167">
        <v>27</v>
      </c>
      <c r="U95" s="28">
        <f t="shared" si="86"/>
        <v>143</v>
      </c>
      <c r="W95" s="32" t="str">
        <f t="shared" si="69"/>
        <v>홀수</v>
      </c>
      <c r="X95" s="32" t="str">
        <f t="shared" si="70"/>
        <v>홀수</v>
      </c>
      <c r="Y95" s="32" t="str">
        <f t="shared" si="71"/>
        <v>짝수</v>
      </c>
      <c r="Z95" s="32" t="str">
        <f t="shared" si="72"/>
        <v>짝수</v>
      </c>
      <c r="AA95" s="32" t="str">
        <f t="shared" si="73"/>
        <v>홀수</v>
      </c>
      <c r="AB95" s="32" t="str">
        <f t="shared" si="74"/>
        <v>짝수</v>
      </c>
      <c r="AC95" s="58" t="str">
        <f t="shared" si="75"/>
        <v>3 : 3</v>
      </c>
      <c r="AD95" s="32">
        <f t="shared" si="76"/>
        <v>3</v>
      </c>
      <c r="AE95" s="32">
        <f t="shared" si="77"/>
        <v>3</v>
      </c>
      <c r="AF95" s="66" t="str">
        <f t="shared" si="87"/>
        <v>저수</v>
      </c>
      <c r="AG95" s="66" t="str">
        <f t="shared" si="88"/>
        <v>저수</v>
      </c>
      <c r="AH95" s="66" t="str">
        <f t="shared" si="89"/>
        <v>고수</v>
      </c>
      <c r="AI95" s="66" t="str">
        <f t="shared" si="90"/>
        <v>고수</v>
      </c>
      <c r="AJ95" s="66" t="str">
        <f t="shared" si="91"/>
        <v>고수</v>
      </c>
      <c r="AK95" s="66" t="str">
        <f t="shared" si="92"/>
        <v>고수</v>
      </c>
      <c r="AL95" s="58" t="str">
        <f t="shared" si="93"/>
        <v>2 : 4</v>
      </c>
      <c r="AM95" s="66">
        <f t="shared" si="94"/>
        <v>2</v>
      </c>
      <c r="AN95" s="66">
        <f t="shared" si="95"/>
        <v>4</v>
      </c>
      <c r="AO95" s="66">
        <f t="shared" si="96"/>
        <v>23</v>
      </c>
      <c r="AP95" s="66" t="str">
        <f t="shared" si="97"/>
        <v>X</v>
      </c>
      <c r="AQ95" s="66" t="str">
        <f t="shared" si="98"/>
        <v>X</v>
      </c>
      <c r="AR95" s="66" t="str">
        <f t="shared" si="99"/>
        <v>X</v>
      </c>
      <c r="AS95" s="66" t="str">
        <f t="shared" si="100"/>
        <v>X</v>
      </c>
      <c r="AT95" s="66" t="str">
        <f t="shared" si="101"/>
        <v>X</v>
      </c>
      <c r="AU95" s="66" t="str">
        <f t="shared" si="102"/>
        <v>X</v>
      </c>
      <c r="AV95" s="66" t="str">
        <f t="shared" si="103"/>
        <v>X</v>
      </c>
      <c r="AW95" s="66" t="str">
        <f t="shared" si="104"/>
        <v>X</v>
      </c>
      <c r="AX95" s="66" t="str">
        <f t="shared" si="105"/>
        <v>X</v>
      </c>
      <c r="AY95" s="66" t="str">
        <f t="shared" si="106"/>
        <v>X</v>
      </c>
      <c r="AZ95" s="66" t="str">
        <f t="shared" si="107"/>
        <v>O</v>
      </c>
      <c r="BA95" s="66" t="str">
        <f t="shared" si="108"/>
        <v>X</v>
      </c>
      <c r="BB95" s="66">
        <f t="shared" si="109"/>
        <v>1</v>
      </c>
      <c r="BC95" s="127" t="str">
        <f t="shared" si="80"/>
        <v>1G</v>
      </c>
      <c r="BD95" s="127" t="str">
        <f t="shared" si="81"/>
        <v>2G</v>
      </c>
      <c r="BE95" s="127" t="str">
        <f t="shared" si="82"/>
        <v>2G</v>
      </c>
      <c r="BF95" s="127" t="str">
        <f t="shared" si="83"/>
        <v>2G</v>
      </c>
      <c r="BG95" s="127" t="str">
        <f t="shared" si="84"/>
        <v>2G</v>
      </c>
      <c r="BH95" s="127" t="str">
        <f t="shared" si="85"/>
        <v>3G</v>
      </c>
      <c r="BI95" s="127">
        <f t="shared" si="110"/>
        <v>1</v>
      </c>
      <c r="BJ95" s="127">
        <f t="shared" si="111"/>
        <v>4</v>
      </c>
      <c r="BK95" s="127">
        <f t="shared" si="112"/>
        <v>1</v>
      </c>
      <c r="BL95" s="127" t="str">
        <f t="shared" si="113"/>
        <v>141</v>
      </c>
      <c r="BS95"/>
      <c r="CL95" s="28">
        <v>109</v>
      </c>
      <c r="CM95" s="28">
        <v>100</v>
      </c>
      <c r="CO95"/>
    </row>
    <row r="96" spans="2:93" ht="16.5" hidden="1">
      <c r="B96" s="17">
        <v>92</v>
      </c>
      <c r="C96" s="363" t="s">
        <v>122</v>
      </c>
      <c r="D96" s="18">
        <v>11</v>
      </c>
      <c r="E96" s="20">
        <v>1233270846</v>
      </c>
      <c r="F96" s="18">
        <v>50</v>
      </c>
      <c r="G96" s="20">
        <v>45219931</v>
      </c>
      <c r="H96" s="20">
        <v>1623</v>
      </c>
      <c r="I96" s="20">
        <v>1393098</v>
      </c>
      <c r="J96" s="20">
        <v>79319</v>
      </c>
      <c r="K96" s="20">
        <v>57011</v>
      </c>
      <c r="L96" s="20">
        <v>1307607</v>
      </c>
      <c r="M96" s="20">
        <v>5000</v>
      </c>
      <c r="N96" s="167">
        <v>3</v>
      </c>
      <c r="O96" s="167">
        <v>14</v>
      </c>
      <c r="P96" s="167">
        <v>24</v>
      </c>
      <c r="Q96" s="167">
        <v>33</v>
      </c>
      <c r="R96" s="167">
        <v>35</v>
      </c>
      <c r="S96" s="167">
        <v>36</v>
      </c>
      <c r="T96" s="167">
        <v>17</v>
      </c>
      <c r="U96" s="28">
        <f t="shared" si="86"/>
        <v>145</v>
      </c>
      <c r="W96" s="32" t="str">
        <f t="shared" si="69"/>
        <v>홀수</v>
      </c>
      <c r="X96" s="32" t="str">
        <f t="shared" si="70"/>
        <v>짝수</v>
      </c>
      <c r="Y96" s="32" t="str">
        <f t="shared" si="71"/>
        <v>짝수</v>
      </c>
      <c r="Z96" s="32" t="str">
        <f t="shared" si="72"/>
        <v>홀수</v>
      </c>
      <c r="AA96" s="32" t="str">
        <f t="shared" si="73"/>
        <v>홀수</v>
      </c>
      <c r="AB96" s="32" t="str">
        <f t="shared" si="74"/>
        <v>짝수</v>
      </c>
      <c r="AC96" s="58" t="str">
        <f t="shared" si="75"/>
        <v>3 : 3</v>
      </c>
      <c r="AD96" s="32">
        <f t="shared" si="76"/>
        <v>3</v>
      </c>
      <c r="AE96" s="32">
        <f t="shared" si="77"/>
        <v>3</v>
      </c>
      <c r="AF96" s="66" t="str">
        <f t="shared" si="87"/>
        <v>저수</v>
      </c>
      <c r="AG96" s="66" t="str">
        <f t="shared" si="88"/>
        <v>저수</v>
      </c>
      <c r="AH96" s="66" t="str">
        <f t="shared" si="89"/>
        <v>고수</v>
      </c>
      <c r="AI96" s="66" t="str">
        <f t="shared" si="90"/>
        <v>고수</v>
      </c>
      <c r="AJ96" s="66" t="str">
        <f t="shared" si="91"/>
        <v>고수</v>
      </c>
      <c r="AK96" s="66" t="str">
        <f t="shared" si="92"/>
        <v>고수</v>
      </c>
      <c r="AL96" s="58" t="str">
        <f t="shared" si="93"/>
        <v>2 : 4</v>
      </c>
      <c r="AM96" s="66">
        <f t="shared" si="94"/>
        <v>2</v>
      </c>
      <c r="AN96" s="66">
        <f t="shared" si="95"/>
        <v>4</v>
      </c>
      <c r="AO96" s="66">
        <f t="shared" si="96"/>
        <v>25</v>
      </c>
      <c r="AP96" s="66" t="str">
        <f t="shared" si="97"/>
        <v>O</v>
      </c>
      <c r="AQ96" s="66" t="str">
        <f t="shared" si="98"/>
        <v>X</v>
      </c>
      <c r="AR96" s="66" t="str">
        <f t="shared" si="99"/>
        <v>X</v>
      </c>
      <c r="AS96" s="66" t="str">
        <f t="shared" si="100"/>
        <v>X</v>
      </c>
      <c r="AT96" s="66" t="str">
        <f t="shared" si="101"/>
        <v>X</v>
      </c>
      <c r="AU96" s="66" t="str">
        <f t="shared" si="102"/>
        <v>X</v>
      </c>
      <c r="AV96" s="66" t="str">
        <f t="shared" si="103"/>
        <v>X</v>
      </c>
      <c r="AW96" s="66" t="str">
        <f t="shared" si="104"/>
        <v>X</v>
      </c>
      <c r="AX96" s="66" t="str">
        <f t="shared" si="105"/>
        <v>X</v>
      </c>
      <c r="AY96" s="66" t="str">
        <f t="shared" si="106"/>
        <v>X</v>
      </c>
      <c r="AZ96" s="66" t="str">
        <f t="shared" si="107"/>
        <v>X</v>
      </c>
      <c r="BA96" s="66" t="str">
        <f t="shared" si="108"/>
        <v>X</v>
      </c>
      <c r="BB96" s="66">
        <f t="shared" si="109"/>
        <v>1</v>
      </c>
      <c r="BC96" s="127" t="str">
        <f t="shared" si="80"/>
        <v>1G</v>
      </c>
      <c r="BD96" s="127" t="str">
        <f t="shared" si="81"/>
        <v>1G</v>
      </c>
      <c r="BE96" s="127" t="str">
        <f t="shared" si="82"/>
        <v>2G</v>
      </c>
      <c r="BF96" s="127" t="str">
        <f t="shared" si="83"/>
        <v>3G</v>
      </c>
      <c r="BG96" s="127" t="str">
        <f t="shared" si="84"/>
        <v>3G</v>
      </c>
      <c r="BH96" s="127" t="str">
        <f t="shared" si="85"/>
        <v>3G</v>
      </c>
      <c r="BI96" s="127">
        <f t="shared" si="110"/>
        <v>2</v>
      </c>
      <c r="BJ96" s="127">
        <f t="shared" si="111"/>
        <v>1</v>
      </c>
      <c r="BK96" s="127">
        <f t="shared" si="112"/>
        <v>3</v>
      </c>
      <c r="BL96" s="127" t="str">
        <f t="shared" si="113"/>
        <v>213</v>
      </c>
      <c r="BS96"/>
      <c r="CL96" s="28">
        <v>109</v>
      </c>
      <c r="CM96" s="28">
        <v>100</v>
      </c>
      <c r="CO96"/>
    </row>
    <row r="97" spans="2:93" ht="16.5" hidden="1">
      <c r="B97" s="17">
        <v>93</v>
      </c>
      <c r="C97" s="363" t="s">
        <v>123</v>
      </c>
      <c r="D97" s="18">
        <v>6</v>
      </c>
      <c r="E97" s="20">
        <v>2269178150</v>
      </c>
      <c r="F97" s="18">
        <v>26</v>
      </c>
      <c r="G97" s="20">
        <v>87276083</v>
      </c>
      <c r="H97" s="20">
        <v>1462</v>
      </c>
      <c r="I97" s="20">
        <v>1552106</v>
      </c>
      <c r="J97" s="20">
        <v>68597</v>
      </c>
      <c r="K97" s="20">
        <v>66160</v>
      </c>
      <c r="L97" s="20">
        <v>1185275</v>
      </c>
      <c r="M97" s="20">
        <v>5000</v>
      </c>
      <c r="N97" s="167">
        <v>6</v>
      </c>
      <c r="O97" s="167">
        <v>22</v>
      </c>
      <c r="P97" s="167">
        <v>24</v>
      </c>
      <c r="Q97" s="167">
        <v>36</v>
      </c>
      <c r="R97" s="167">
        <v>38</v>
      </c>
      <c r="S97" s="167">
        <v>44</v>
      </c>
      <c r="T97" s="167">
        <v>19</v>
      </c>
      <c r="U97" s="28">
        <f t="shared" si="86"/>
        <v>170</v>
      </c>
      <c r="W97" s="32" t="str">
        <f t="shared" si="69"/>
        <v>짝수</v>
      </c>
      <c r="X97" s="32" t="str">
        <f t="shared" si="70"/>
        <v>짝수</v>
      </c>
      <c r="Y97" s="32" t="str">
        <f t="shared" si="71"/>
        <v>짝수</v>
      </c>
      <c r="Z97" s="32" t="str">
        <f t="shared" si="72"/>
        <v>짝수</v>
      </c>
      <c r="AA97" s="32" t="str">
        <f t="shared" si="73"/>
        <v>짝수</v>
      </c>
      <c r="AB97" s="32" t="str">
        <f t="shared" si="74"/>
        <v>짝수</v>
      </c>
      <c r="AC97" s="58" t="str">
        <f t="shared" si="75"/>
        <v>0 : 6</v>
      </c>
      <c r="AD97" s="32">
        <f t="shared" si="76"/>
        <v>0</v>
      </c>
      <c r="AE97" s="32">
        <f t="shared" si="77"/>
        <v>6</v>
      </c>
      <c r="AF97" s="66" t="str">
        <f t="shared" si="87"/>
        <v>저수</v>
      </c>
      <c r="AG97" s="66" t="str">
        <f t="shared" si="88"/>
        <v>저수</v>
      </c>
      <c r="AH97" s="66" t="str">
        <f t="shared" si="89"/>
        <v>고수</v>
      </c>
      <c r="AI97" s="66" t="str">
        <f t="shared" si="90"/>
        <v>고수</v>
      </c>
      <c r="AJ97" s="66" t="str">
        <f t="shared" si="91"/>
        <v>고수</v>
      </c>
      <c r="AK97" s="66" t="str">
        <f t="shared" si="92"/>
        <v>고수</v>
      </c>
      <c r="AL97" s="58" t="str">
        <f t="shared" si="93"/>
        <v>2 : 4</v>
      </c>
      <c r="AM97" s="66">
        <f t="shared" si="94"/>
        <v>2</v>
      </c>
      <c r="AN97" s="66">
        <f t="shared" si="95"/>
        <v>4</v>
      </c>
      <c r="AO97" s="66">
        <f t="shared" si="96"/>
        <v>30</v>
      </c>
      <c r="AP97" s="66" t="str">
        <f t="shared" si="97"/>
        <v>X</v>
      </c>
      <c r="AQ97" s="66" t="str">
        <f t="shared" si="98"/>
        <v>X</v>
      </c>
      <c r="AR97" s="66" t="str">
        <f t="shared" si="99"/>
        <v>X</v>
      </c>
      <c r="AS97" s="66" t="str">
        <f t="shared" si="100"/>
        <v>X</v>
      </c>
      <c r="AT97" s="66" t="str">
        <f t="shared" si="101"/>
        <v>X</v>
      </c>
      <c r="AU97" s="66" t="str">
        <f t="shared" si="102"/>
        <v>X</v>
      </c>
      <c r="AV97" s="66" t="str">
        <f t="shared" si="103"/>
        <v>X</v>
      </c>
      <c r="AW97" s="66" t="str">
        <f t="shared" si="104"/>
        <v>X</v>
      </c>
      <c r="AX97" s="66" t="str">
        <f t="shared" si="105"/>
        <v>X</v>
      </c>
      <c r="AY97" s="66" t="str">
        <f t="shared" si="106"/>
        <v>X</v>
      </c>
      <c r="AZ97" s="66" t="str">
        <f t="shared" si="107"/>
        <v>X</v>
      </c>
      <c r="BA97" s="66" t="str">
        <f t="shared" si="108"/>
        <v>X</v>
      </c>
      <c r="BB97" s="66">
        <f t="shared" si="109"/>
        <v>0</v>
      </c>
      <c r="BC97" s="127" t="str">
        <f t="shared" si="80"/>
        <v>1G</v>
      </c>
      <c r="BD97" s="127" t="str">
        <f t="shared" si="81"/>
        <v>2G</v>
      </c>
      <c r="BE97" s="127" t="str">
        <f t="shared" si="82"/>
        <v>2G</v>
      </c>
      <c r="BF97" s="127" t="str">
        <f t="shared" si="83"/>
        <v>3G</v>
      </c>
      <c r="BG97" s="127" t="str">
        <f t="shared" si="84"/>
        <v>3G</v>
      </c>
      <c r="BH97" s="127" t="str">
        <f t="shared" si="85"/>
        <v>3G</v>
      </c>
      <c r="BI97" s="127">
        <f t="shared" si="110"/>
        <v>1</v>
      </c>
      <c r="BJ97" s="127">
        <f t="shared" si="111"/>
        <v>2</v>
      </c>
      <c r="BK97" s="127">
        <f t="shared" si="112"/>
        <v>3</v>
      </c>
      <c r="BL97" s="127" t="str">
        <f t="shared" si="113"/>
        <v>123</v>
      </c>
      <c r="BS97"/>
      <c r="CL97" s="28">
        <v>109</v>
      </c>
      <c r="CM97" s="28">
        <v>100</v>
      </c>
      <c r="CO97"/>
    </row>
    <row r="98" spans="2:93" ht="16.5" hidden="1">
      <c r="B98" s="17">
        <v>94</v>
      </c>
      <c r="C98" s="363" t="s">
        <v>124</v>
      </c>
      <c r="D98" s="18">
        <v>6</v>
      </c>
      <c r="E98" s="20">
        <v>2245339950</v>
      </c>
      <c r="F98" s="18">
        <v>38</v>
      </c>
      <c r="G98" s="20">
        <v>59087894</v>
      </c>
      <c r="H98" s="20">
        <v>1353</v>
      </c>
      <c r="I98" s="20">
        <v>1659527</v>
      </c>
      <c r="J98" s="20">
        <v>71106</v>
      </c>
      <c r="K98" s="20">
        <v>63155</v>
      </c>
      <c r="L98" s="20">
        <v>1223793</v>
      </c>
      <c r="M98" s="20">
        <v>5000</v>
      </c>
      <c r="N98" s="167">
        <v>5</v>
      </c>
      <c r="O98" s="167">
        <v>32</v>
      </c>
      <c r="P98" s="167">
        <v>34</v>
      </c>
      <c r="Q98" s="167">
        <v>40</v>
      </c>
      <c r="R98" s="167">
        <v>41</v>
      </c>
      <c r="S98" s="167">
        <v>45</v>
      </c>
      <c r="T98" s="167">
        <v>6</v>
      </c>
      <c r="U98" s="28">
        <f t="shared" si="86"/>
        <v>197</v>
      </c>
      <c r="W98" s="32" t="str">
        <f t="shared" si="69"/>
        <v>홀수</v>
      </c>
      <c r="X98" s="32" t="str">
        <f t="shared" si="70"/>
        <v>짝수</v>
      </c>
      <c r="Y98" s="32" t="str">
        <f t="shared" si="71"/>
        <v>짝수</v>
      </c>
      <c r="Z98" s="32" t="str">
        <f t="shared" si="72"/>
        <v>짝수</v>
      </c>
      <c r="AA98" s="32" t="str">
        <f t="shared" si="73"/>
        <v>홀수</v>
      </c>
      <c r="AB98" s="32" t="str">
        <f t="shared" si="74"/>
        <v>홀수</v>
      </c>
      <c r="AC98" s="58" t="str">
        <f t="shared" si="75"/>
        <v>3 : 3</v>
      </c>
      <c r="AD98" s="32">
        <f t="shared" si="76"/>
        <v>3</v>
      </c>
      <c r="AE98" s="32">
        <f t="shared" si="77"/>
        <v>3</v>
      </c>
      <c r="AF98" s="66" t="str">
        <f t="shared" si="87"/>
        <v>저수</v>
      </c>
      <c r="AG98" s="66" t="str">
        <f t="shared" si="88"/>
        <v>고수</v>
      </c>
      <c r="AH98" s="66" t="str">
        <f t="shared" si="89"/>
        <v>고수</v>
      </c>
      <c r="AI98" s="66" t="str">
        <f t="shared" si="90"/>
        <v>고수</v>
      </c>
      <c r="AJ98" s="66" t="str">
        <f t="shared" si="91"/>
        <v>고수</v>
      </c>
      <c r="AK98" s="66" t="str">
        <f t="shared" si="92"/>
        <v>고수</v>
      </c>
      <c r="AL98" s="58" t="str">
        <f t="shared" si="93"/>
        <v>1 : 5</v>
      </c>
      <c r="AM98" s="66">
        <f t="shared" si="94"/>
        <v>1</v>
      </c>
      <c r="AN98" s="66">
        <f t="shared" si="95"/>
        <v>5</v>
      </c>
      <c r="AO98" s="66">
        <f t="shared" si="96"/>
        <v>17</v>
      </c>
      <c r="AP98" s="66" t="str">
        <f t="shared" si="97"/>
        <v>O</v>
      </c>
      <c r="AQ98" s="66" t="str">
        <f t="shared" si="98"/>
        <v>X</v>
      </c>
      <c r="AR98" s="66" t="str">
        <f t="shared" si="99"/>
        <v>X</v>
      </c>
      <c r="AS98" s="66" t="str">
        <f t="shared" si="100"/>
        <v>X</v>
      </c>
      <c r="AT98" s="66" t="str">
        <f t="shared" si="101"/>
        <v>X</v>
      </c>
      <c r="AU98" s="66" t="str">
        <f t="shared" si="102"/>
        <v>X</v>
      </c>
      <c r="AV98" s="66" t="str">
        <f t="shared" si="103"/>
        <v>X</v>
      </c>
      <c r="AW98" s="66" t="str">
        <f t="shared" si="104"/>
        <v>X</v>
      </c>
      <c r="AX98" s="66" t="str">
        <f t="shared" si="105"/>
        <v>X</v>
      </c>
      <c r="AY98" s="66" t="str">
        <f t="shared" si="106"/>
        <v>X</v>
      </c>
      <c r="AZ98" s="66" t="str">
        <f t="shared" si="107"/>
        <v>O</v>
      </c>
      <c r="BA98" s="66" t="str">
        <f t="shared" si="108"/>
        <v>X</v>
      </c>
      <c r="BB98" s="66">
        <f t="shared" si="109"/>
        <v>2</v>
      </c>
      <c r="BC98" s="127" t="str">
        <f t="shared" si="80"/>
        <v>1G</v>
      </c>
      <c r="BD98" s="127" t="str">
        <f t="shared" si="81"/>
        <v>3G</v>
      </c>
      <c r="BE98" s="127" t="str">
        <f t="shared" si="82"/>
        <v>3G</v>
      </c>
      <c r="BF98" s="127" t="str">
        <f t="shared" si="83"/>
        <v>3G</v>
      </c>
      <c r="BG98" s="127" t="str">
        <f t="shared" si="84"/>
        <v>3G</v>
      </c>
      <c r="BH98" s="127" t="str">
        <f t="shared" si="85"/>
        <v>3G</v>
      </c>
      <c r="BI98" s="127">
        <f t="shared" si="110"/>
        <v>1</v>
      </c>
      <c r="BJ98" s="127">
        <f t="shared" si="111"/>
        <v>0</v>
      </c>
      <c r="BK98" s="127">
        <f t="shared" si="112"/>
        <v>5</v>
      </c>
      <c r="BL98" s="127" t="str">
        <f t="shared" si="113"/>
        <v>105</v>
      </c>
      <c r="BS98"/>
      <c r="CL98" s="28">
        <v>110</v>
      </c>
      <c r="CM98" s="28">
        <v>110</v>
      </c>
      <c r="CO98"/>
    </row>
    <row r="99" spans="2:93" ht="16.5" hidden="1">
      <c r="B99" s="17">
        <v>95</v>
      </c>
      <c r="C99" s="363" t="s">
        <v>125</v>
      </c>
      <c r="D99" s="18">
        <v>8</v>
      </c>
      <c r="E99" s="20">
        <v>1747741238</v>
      </c>
      <c r="F99" s="18">
        <v>48</v>
      </c>
      <c r="G99" s="20">
        <v>48548368</v>
      </c>
      <c r="H99" s="20">
        <v>1728</v>
      </c>
      <c r="I99" s="20">
        <v>1348566</v>
      </c>
      <c r="J99" s="20">
        <v>82432</v>
      </c>
      <c r="K99" s="20">
        <v>56540</v>
      </c>
      <c r="L99" s="20">
        <v>1347106</v>
      </c>
      <c r="M99" s="20">
        <v>5000</v>
      </c>
      <c r="N99" s="167">
        <v>8</v>
      </c>
      <c r="O99" s="167">
        <v>17</v>
      </c>
      <c r="P99" s="167">
        <v>27</v>
      </c>
      <c r="Q99" s="167">
        <v>31</v>
      </c>
      <c r="R99" s="167">
        <v>34</v>
      </c>
      <c r="S99" s="167">
        <v>43</v>
      </c>
      <c r="T99" s="167">
        <v>14</v>
      </c>
      <c r="U99" s="28">
        <f t="shared" si="86"/>
        <v>160</v>
      </c>
      <c r="W99" s="32" t="str">
        <f t="shared" si="69"/>
        <v>짝수</v>
      </c>
      <c r="X99" s="32" t="str">
        <f t="shared" si="70"/>
        <v>홀수</v>
      </c>
      <c r="Y99" s="32" t="str">
        <f t="shared" si="71"/>
        <v>홀수</v>
      </c>
      <c r="Z99" s="32" t="str">
        <f t="shared" si="72"/>
        <v>홀수</v>
      </c>
      <c r="AA99" s="32" t="str">
        <f t="shared" si="73"/>
        <v>짝수</v>
      </c>
      <c r="AB99" s="32" t="str">
        <f t="shared" si="74"/>
        <v>홀수</v>
      </c>
      <c r="AC99" s="58" t="str">
        <f t="shared" si="75"/>
        <v>4 : 2</v>
      </c>
      <c r="AD99" s="32">
        <f t="shared" si="76"/>
        <v>4</v>
      </c>
      <c r="AE99" s="32">
        <f t="shared" si="77"/>
        <v>2</v>
      </c>
      <c r="AF99" s="66" t="str">
        <f t="shared" si="87"/>
        <v>저수</v>
      </c>
      <c r="AG99" s="66" t="str">
        <f t="shared" si="88"/>
        <v>저수</v>
      </c>
      <c r="AH99" s="66" t="str">
        <f t="shared" si="89"/>
        <v>고수</v>
      </c>
      <c r="AI99" s="66" t="str">
        <f t="shared" si="90"/>
        <v>고수</v>
      </c>
      <c r="AJ99" s="66" t="str">
        <f t="shared" si="91"/>
        <v>고수</v>
      </c>
      <c r="AK99" s="66" t="str">
        <f t="shared" si="92"/>
        <v>고수</v>
      </c>
      <c r="AL99" s="58" t="str">
        <f t="shared" si="93"/>
        <v>2 : 4</v>
      </c>
      <c r="AM99" s="66">
        <f t="shared" si="94"/>
        <v>2</v>
      </c>
      <c r="AN99" s="66">
        <f t="shared" si="95"/>
        <v>4</v>
      </c>
      <c r="AO99" s="66">
        <f t="shared" si="96"/>
        <v>30</v>
      </c>
      <c r="AP99" s="66" t="str">
        <f t="shared" si="97"/>
        <v>X</v>
      </c>
      <c r="AQ99" s="66" t="str">
        <f t="shared" si="98"/>
        <v>O</v>
      </c>
      <c r="AR99" s="66" t="str">
        <f t="shared" si="99"/>
        <v>X</v>
      </c>
      <c r="AS99" s="66" t="str">
        <f t="shared" si="100"/>
        <v>X</v>
      </c>
      <c r="AT99" s="66" t="str">
        <f t="shared" si="101"/>
        <v>X</v>
      </c>
      <c r="AU99" s="66" t="str">
        <f t="shared" si="102"/>
        <v>X</v>
      </c>
      <c r="AV99" s="66" t="str">
        <f t="shared" si="103"/>
        <v>X</v>
      </c>
      <c r="AW99" s="66" t="str">
        <f t="shared" si="104"/>
        <v>X</v>
      </c>
      <c r="AX99" s="66" t="str">
        <f t="shared" si="105"/>
        <v>X</v>
      </c>
      <c r="AY99" s="66" t="str">
        <f t="shared" si="106"/>
        <v>O</v>
      </c>
      <c r="AZ99" s="66" t="str">
        <f t="shared" si="107"/>
        <v>X</v>
      </c>
      <c r="BA99" s="66" t="str">
        <f t="shared" si="108"/>
        <v>O</v>
      </c>
      <c r="BB99" s="66">
        <f t="shared" si="109"/>
        <v>3</v>
      </c>
      <c r="BC99" s="127" t="str">
        <f t="shared" si="80"/>
        <v>1G</v>
      </c>
      <c r="BD99" s="127" t="str">
        <f t="shared" si="81"/>
        <v>2G</v>
      </c>
      <c r="BE99" s="127" t="str">
        <f t="shared" si="82"/>
        <v>2G</v>
      </c>
      <c r="BF99" s="127" t="str">
        <f t="shared" si="83"/>
        <v>3G</v>
      </c>
      <c r="BG99" s="127" t="str">
        <f t="shared" si="84"/>
        <v>3G</v>
      </c>
      <c r="BH99" s="127" t="str">
        <f t="shared" si="85"/>
        <v>3G</v>
      </c>
      <c r="BI99" s="127">
        <f t="shared" si="110"/>
        <v>1</v>
      </c>
      <c r="BJ99" s="127">
        <f t="shared" si="111"/>
        <v>2</v>
      </c>
      <c r="BK99" s="127">
        <f t="shared" si="112"/>
        <v>3</v>
      </c>
      <c r="BL99" s="127" t="str">
        <f t="shared" si="113"/>
        <v>123</v>
      </c>
      <c r="BS99"/>
      <c r="CL99" s="28">
        <v>110</v>
      </c>
      <c r="CM99" s="28">
        <v>110</v>
      </c>
      <c r="CO99"/>
    </row>
    <row r="100" spans="2:93" ht="16.5" hidden="1">
      <c r="B100" s="17">
        <v>96</v>
      </c>
      <c r="C100" s="363" t="s">
        <v>126</v>
      </c>
      <c r="D100" s="18">
        <v>7</v>
      </c>
      <c r="E100" s="20">
        <v>1847133515</v>
      </c>
      <c r="F100" s="18">
        <v>38</v>
      </c>
      <c r="G100" s="20">
        <v>56710240</v>
      </c>
      <c r="H100" s="20">
        <v>1197</v>
      </c>
      <c r="I100" s="20">
        <v>1800326</v>
      </c>
      <c r="J100" s="20">
        <v>65301</v>
      </c>
      <c r="K100" s="20">
        <v>66002</v>
      </c>
      <c r="L100" s="20">
        <v>1111779</v>
      </c>
      <c r="M100" s="20">
        <v>5000</v>
      </c>
      <c r="N100" s="167">
        <v>1</v>
      </c>
      <c r="O100" s="167">
        <v>3</v>
      </c>
      <c r="P100" s="167">
        <v>8</v>
      </c>
      <c r="Q100" s="167">
        <v>21</v>
      </c>
      <c r="R100" s="167">
        <v>22</v>
      </c>
      <c r="S100" s="167">
        <v>31</v>
      </c>
      <c r="T100" s="167">
        <v>20</v>
      </c>
      <c r="U100" s="28">
        <f t="shared" si="86"/>
        <v>86</v>
      </c>
      <c r="W100" s="32" t="str">
        <f t="shared" si="69"/>
        <v>홀수</v>
      </c>
      <c r="X100" s="32" t="str">
        <f t="shared" si="70"/>
        <v>홀수</v>
      </c>
      <c r="Y100" s="32" t="str">
        <f t="shared" si="71"/>
        <v>짝수</v>
      </c>
      <c r="Z100" s="32" t="str">
        <f t="shared" si="72"/>
        <v>홀수</v>
      </c>
      <c r="AA100" s="32" t="str">
        <f t="shared" si="73"/>
        <v>짝수</v>
      </c>
      <c r="AB100" s="32" t="str">
        <f t="shared" si="74"/>
        <v>홀수</v>
      </c>
      <c r="AC100" s="58" t="str">
        <f t="shared" si="75"/>
        <v>4 : 2</v>
      </c>
      <c r="AD100" s="32">
        <f t="shared" si="76"/>
        <v>4</v>
      </c>
      <c r="AE100" s="32">
        <f t="shared" si="77"/>
        <v>2</v>
      </c>
      <c r="AF100" s="66" t="str">
        <f t="shared" si="87"/>
        <v>저수</v>
      </c>
      <c r="AG100" s="66" t="str">
        <f t="shared" si="88"/>
        <v>저수</v>
      </c>
      <c r="AH100" s="66" t="str">
        <f t="shared" si="89"/>
        <v>저수</v>
      </c>
      <c r="AI100" s="66" t="str">
        <f t="shared" si="90"/>
        <v>저수</v>
      </c>
      <c r="AJ100" s="66" t="str">
        <f t="shared" si="91"/>
        <v>저수</v>
      </c>
      <c r="AK100" s="66" t="str">
        <f t="shared" si="92"/>
        <v>고수</v>
      </c>
      <c r="AL100" s="58" t="str">
        <f t="shared" si="93"/>
        <v>5 : 1</v>
      </c>
      <c r="AM100" s="66">
        <f t="shared" si="94"/>
        <v>5</v>
      </c>
      <c r="AN100" s="66">
        <f t="shared" si="95"/>
        <v>1</v>
      </c>
      <c r="AO100" s="66">
        <f t="shared" si="96"/>
        <v>16</v>
      </c>
      <c r="AP100" s="66" t="str">
        <f t="shared" si="97"/>
        <v>X</v>
      </c>
      <c r="AQ100" s="66" t="str">
        <f t="shared" si="98"/>
        <v>O</v>
      </c>
      <c r="AR100" s="66" t="str">
        <f t="shared" si="99"/>
        <v>X</v>
      </c>
      <c r="AS100" s="66" t="str">
        <f t="shared" si="100"/>
        <v>X</v>
      </c>
      <c r="AT100" s="66" t="str">
        <f t="shared" si="101"/>
        <v>X</v>
      </c>
      <c r="AU100" s="66" t="str">
        <f t="shared" si="102"/>
        <v>X</v>
      </c>
      <c r="AV100" s="66" t="str">
        <f t="shared" si="103"/>
        <v>X</v>
      </c>
      <c r="AW100" s="66" t="str">
        <f t="shared" si="104"/>
        <v>X</v>
      </c>
      <c r="AX100" s="66" t="str">
        <f t="shared" si="105"/>
        <v>X</v>
      </c>
      <c r="AY100" s="66" t="str">
        <f t="shared" si="106"/>
        <v>X</v>
      </c>
      <c r="AZ100" s="66" t="str">
        <f t="shared" si="107"/>
        <v>X</v>
      </c>
      <c r="BA100" s="66" t="str">
        <f t="shared" si="108"/>
        <v>O</v>
      </c>
      <c r="BB100" s="66">
        <f t="shared" si="109"/>
        <v>2</v>
      </c>
      <c r="BC100" s="127" t="str">
        <f t="shared" si="80"/>
        <v>1G</v>
      </c>
      <c r="BD100" s="127" t="str">
        <f t="shared" si="81"/>
        <v>1G</v>
      </c>
      <c r="BE100" s="127" t="str">
        <f t="shared" si="82"/>
        <v>1G</v>
      </c>
      <c r="BF100" s="127" t="str">
        <f t="shared" si="83"/>
        <v>2G</v>
      </c>
      <c r="BG100" s="127" t="str">
        <f t="shared" si="84"/>
        <v>2G</v>
      </c>
      <c r="BH100" s="127" t="str">
        <f t="shared" si="85"/>
        <v>3G</v>
      </c>
      <c r="BI100" s="127">
        <f t="shared" si="110"/>
        <v>3</v>
      </c>
      <c r="BJ100" s="127">
        <f t="shared" si="111"/>
        <v>2</v>
      </c>
      <c r="BK100" s="127">
        <f t="shared" si="112"/>
        <v>1</v>
      </c>
      <c r="BL100" s="127" t="str">
        <f t="shared" si="113"/>
        <v>321</v>
      </c>
      <c r="BS100"/>
      <c r="CL100" s="28">
        <v>110</v>
      </c>
      <c r="CM100" s="28">
        <v>110</v>
      </c>
      <c r="CO100"/>
    </row>
    <row r="101" spans="2:93" ht="16.5" hidden="1">
      <c r="B101" s="17">
        <v>97</v>
      </c>
      <c r="C101" s="363" t="s">
        <v>127</v>
      </c>
      <c r="D101" s="18">
        <v>9</v>
      </c>
      <c r="E101" s="20">
        <v>1496214000</v>
      </c>
      <c r="F101" s="18">
        <v>46</v>
      </c>
      <c r="G101" s="20">
        <v>48789587</v>
      </c>
      <c r="H101" s="20">
        <v>1543</v>
      </c>
      <c r="I101" s="20">
        <v>1454518</v>
      </c>
      <c r="J101" s="20">
        <v>77227</v>
      </c>
      <c r="K101" s="20">
        <v>58123</v>
      </c>
      <c r="L101" s="20">
        <v>1282678</v>
      </c>
      <c r="M101" s="20">
        <v>5000</v>
      </c>
      <c r="N101" s="167">
        <v>6</v>
      </c>
      <c r="O101" s="167">
        <v>7</v>
      </c>
      <c r="P101" s="167">
        <v>14</v>
      </c>
      <c r="Q101" s="167">
        <v>15</v>
      </c>
      <c r="R101" s="167">
        <v>20</v>
      </c>
      <c r="S101" s="167">
        <v>36</v>
      </c>
      <c r="T101" s="167">
        <v>3</v>
      </c>
      <c r="U101" s="28">
        <f t="shared" si="86"/>
        <v>98</v>
      </c>
      <c r="W101" s="32" t="str">
        <f t="shared" si="69"/>
        <v>짝수</v>
      </c>
      <c r="X101" s="32" t="str">
        <f t="shared" si="70"/>
        <v>홀수</v>
      </c>
      <c r="Y101" s="32" t="str">
        <f t="shared" si="71"/>
        <v>짝수</v>
      </c>
      <c r="Z101" s="32" t="str">
        <f t="shared" si="72"/>
        <v>홀수</v>
      </c>
      <c r="AA101" s="32" t="str">
        <f t="shared" si="73"/>
        <v>짝수</v>
      </c>
      <c r="AB101" s="32" t="str">
        <f t="shared" si="74"/>
        <v>짝수</v>
      </c>
      <c r="AC101" s="58" t="str">
        <f t="shared" si="75"/>
        <v>2 : 4</v>
      </c>
      <c r="AD101" s="32">
        <f t="shared" si="76"/>
        <v>2</v>
      </c>
      <c r="AE101" s="32">
        <f t="shared" si="77"/>
        <v>4</v>
      </c>
      <c r="AF101" s="66" t="str">
        <f t="shared" si="87"/>
        <v>저수</v>
      </c>
      <c r="AG101" s="66" t="str">
        <f t="shared" si="88"/>
        <v>저수</v>
      </c>
      <c r="AH101" s="66" t="str">
        <f t="shared" si="89"/>
        <v>저수</v>
      </c>
      <c r="AI101" s="66" t="str">
        <f t="shared" si="90"/>
        <v>저수</v>
      </c>
      <c r="AJ101" s="66" t="str">
        <f t="shared" si="91"/>
        <v>저수</v>
      </c>
      <c r="AK101" s="66" t="str">
        <f t="shared" si="92"/>
        <v>고수</v>
      </c>
      <c r="AL101" s="58" t="str">
        <f t="shared" si="93"/>
        <v>5 : 1</v>
      </c>
      <c r="AM101" s="66">
        <f t="shared" si="94"/>
        <v>5</v>
      </c>
      <c r="AN101" s="66">
        <f t="shared" si="95"/>
        <v>1</v>
      </c>
      <c r="AO101" s="66">
        <f t="shared" si="96"/>
        <v>28</v>
      </c>
      <c r="AP101" s="66" t="str">
        <f t="shared" si="97"/>
        <v>X</v>
      </c>
      <c r="AQ101" s="66" t="str">
        <f t="shared" si="98"/>
        <v>O</v>
      </c>
      <c r="AR101" s="66" t="str">
        <f t="shared" si="99"/>
        <v>X</v>
      </c>
      <c r="AS101" s="66" t="str">
        <f t="shared" si="100"/>
        <v>X</v>
      </c>
      <c r="AT101" s="66" t="str">
        <f t="shared" si="101"/>
        <v>X</v>
      </c>
      <c r="AU101" s="66" t="str">
        <f t="shared" si="102"/>
        <v>X</v>
      </c>
      <c r="AV101" s="66" t="str">
        <f t="shared" si="103"/>
        <v>X</v>
      </c>
      <c r="AW101" s="66" t="str">
        <f t="shared" si="104"/>
        <v>X</v>
      </c>
      <c r="AX101" s="66" t="str">
        <f t="shared" si="105"/>
        <v>X</v>
      </c>
      <c r="AY101" s="66" t="str">
        <f t="shared" si="106"/>
        <v>X</v>
      </c>
      <c r="AZ101" s="66" t="str">
        <f t="shared" si="107"/>
        <v>X</v>
      </c>
      <c r="BA101" s="66" t="str">
        <f t="shared" si="108"/>
        <v>X</v>
      </c>
      <c r="BB101" s="66">
        <f t="shared" si="109"/>
        <v>1</v>
      </c>
      <c r="BC101" s="127" t="str">
        <f t="shared" si="80"/>
        <v>1G</v>
      </c>
      <c r="BD101" s="127" t="str">
        <f t="shared" si="81"/>
        <v>1G</v>
      </c>
      <c r="BE101" s="127" t="str">
        <f t="shared" si="82"/>
        <v>1G</v>
      </c>
      <c r="BF101" s="127" t="str">
        <f t="shared" si="83"/>
        <v>1G</v>
      </c>
      <c r="BG101" s="127" t="str">
        <f t="shared" si="84"/>
        <v>2G</v>
      </c>
      <c r="BH101" s="127" t="str">
        <f t="shared" si="85"/>
        <v>3G</v>
      </c>
      <c r="BI101" s="127">
        <f t="shared" si="110"/>
        <v>4</v>
      </c>
      <c r="BJ101" s="127">
        <f t="shared" si="111"/>
        <v>1</v>
      </c>
      <c r="BK101" s="127">
        <f t="shared" si="112"/>
        <v>1</v>
      </c>
      <c r="BL101" s="127" t="str">
        <f t="shared" si="113"/>
        <v>411</v>
      </c>
      <c r="BS101"/>
      <c r="CL101" s="28">
        <v>110</v>
      </c>
      <c r="CM101" s="28">
        <v>110</v>
      </c>
      <c r="CO101"/>
    </row>
    <row r="102" spans="2:93" ht="16.5" hidden="1">
      <c r="B102" s="17">
        <v>98</v>
      </c>
      <c r="C102" s="363" t="s">
        <v>128</v>
      </c>
      <c r="D102" s="18">
        <v>4</v>
      </c>
      <c r="E102" s="20">
        <v>3177972300</v>
      </c>
      <c r="F102" s="18">
        <v>45</v>
      </c>
      <c r="G102" s="20">
        <v>47081072</v>
      </c>
      <c r="H102" s="20">
        <v>1880</v>
      </c>
      <c r="I102" s="20">
        <v>1126941</v>
      </c>
      <c r="J102" s="20">
        <v>87818</v>
      </c>
      <c r="K102" s="20">
        <v>48251</v>
      </c>
      <c r="L102" s="20">
        <v>1385812</v>
      </c>
      <c r="M102" s="20">
        <v>5000</v>
      </c>
      <c r="N102" s="167">
        <v>6</v>
      </c>
      <c r="O102" s="167">
        <v>9</v>
      </c>
      <c r="P102" s="167">
        <v>16</v>
      </c>
      <c r="Q102" s="167">
        <v>23</v>
      </c>
      <c r="R102" s="167">
        <v>24</v>
      </c>
      <c r="S102" s="167">
        <v>32</v>
      </c>
      <c r="T102" s="167">
        <v>43</v>
      </c>
      <c r="U102" s="28">
        <f t="shared" si="86"/>
        <v>110</v>
      </c>
      <c r="W102" s="32" t="str">
        <f t="shared" si="69"/>
        <v>짝수</v>
      </c>
      <c r="X102" s="32" t="str">
        <f t="shared" si="70"/>
        <v>홀수</v>
      </c>
      <c r="Y102" s="32" t="str">
        <f t="shared" si="71"/>
        <v>짝수</v>
      </c>
      <c r="Z102" s="32" t="str">
        <f t="shared" si="72"/>
        <v>홀수</v>
      </c>
      <c r="AA102" s="32" t="str">
        <f t="shared" si="73"/>
        <v>짝수</v>
      </c>
      <c r="AB102" s="32" t="str">
        <f t="shared" si="74"/>
        <v>짝수</v>
      </c>
      <c r="AC102" s="58" t="str">
        <f t="shared" si="75"/>
        <v>2 : 4</v>
      </c>
      <c r="AD102" s="32">
        <f t="shared" si="76"/>
        <v>2</v>
      </c>
      <c r="AE102" s="32">
        <f t="shared" si="77"/>
        <v>4</v>
      </c>
      <c r="AF102" s="66" t="str">
        <f t="shared" si="87"/>
        <v>저수</v>
      </c>
      <c r="AG102" s="66" t="str">
        <f t="shared" si="88"/>
        <v>저수</v>
      </c>
      <c r="AH102" s="66" t="str">
        <f t="shared" si="89"/>
        <v>저수</v>
      </c>
      <c r="AI102" s="66" t="str">
        <f t="shared" si="90"/>
        <v>고수</v>
      </c>
      <c r="AJ102" s="66" t="str">
        <f t="shared" si="91"/>
        <v>고수</v>
      </c>
      <c r="AK102" s="66" t="str">
        <f t="shared" si="92"/>
        <v>고수</v>
      </c>
      <c r="AL102" s="58" t="str">
        <f t="shared" si="93"/>
        <v>3 : 3</v>
      </c>
      <c r="AM102" s="66">
        <f t="shared" si="94"/>
        <v>3</v>
      </c>
      <c r="AN102" s="66">
        <f t="shared" si="95"/>
        <v>3</v>
      </c>
      <c r="AO102" s="66">
        <f t="shared" si="96"/>
        <v>30</v>
      </c>
      <c r="AP102" s="66" t="str">
        <f t="shared" si="97"/>
        <v>X</v>
      </c>
      <c r="AQ102" s="66" t="str">
        <f t="shared" si="98"/>
        <v>X</v>
      </c>
      <c r="AR102" s="66" t="str">
        <f t="shared" si="99"/>
        <v>X</v>
      </c>
      <c r="AS102" s="66" t="str">
        <f t="shared" si="100"/>
        <v>X</v>
      </c>
      <c r="AT102" s="66" t="str">
        <f t="shared" si="101"/>
        <v>X</v>
      </c>
      <c r="AU102" s="66" t="str">
        <f t="shared" si="102"/>
        <v>X</v>
      </c>
      <c r="AV102" s="66" t="str">
        <f t="shared" si="103"/>
        <v>X</v>
      </c>
      <c r="AW102" s="66" t="str">
        <f t="shared" si="104"/>
        <v>X</v>
      </c>
      <c r="AX102" s="66" t="str">
        <f t="shared" si="105"/>
        <v>X</v>
      </c>
      <c r="AY102" s="66" t="str">
        <f t="shared" si="106"/>
        <v>O</v>
      </c>
      <c r="AZ102" s="66" t="str">
        <f t="shared" si="107"/>
        <v>X</v>
      </c>
      <c r="BA102" s="66" t="str">
        <f t="shared" si="108"/>
        <v>X</v>
      </c>
      <c r="BB102" s="66">
        <f t="shared" si="109"/>
        <v>1</v>
      </c>
      <c r="BC102" s="127" t="str">
        <f t="shared" si="80"/>
        <v>1G</v>
      </c>
      <c r="BD102" s="127" t="str">
        <f t="shared" si="81"/>
        <v>1G</v>
      </c>
      <c r="BE102" s="127" t="str">
        <f t="shared" si="82"/>
        <v>2G</v>
      </c>
      <c r="BF102" s="127" t="str">
        <f t="shared" si="83"/>
        <v>2G</v>
      </c>
      <c r="BG102" s="127" t="str">
        <f t="shared" si="84"/>
        <v>2G</v>
      </c>
      <c r="BH102" s="127" t="str">
        <f t="shared" si="85"/>
        <v>3G</v>
      </c>
      <c r="BI102" s="127">
        <f t="shared" si="110"/>
        <v>2</v>
      </c>
      <c r="BJ102" s="127">
        <f t="shared" si="111"/>
        <v>3</v>
      </c>
      <c r="BK102" s="127">
        <f t="shared" si="112"/>
        <v>1</v>
      </c>
      <c r="BL102" s="127" t="str">
        <f t="shared" si="113"/>
        <v>231</v>
      </c>
      <c r="BS102"/>
      <c r="CL102" s="28">
        <v>111</v>
      </c>
      <c r="CM102" s="28">
        <v>110</v>
      </c>
      <c r="CO102"/>
    </row>
    <row r="103" spans="2:93" ht="16.5" hidden="1">
      <c r="B103" s="17">
        <v>99</v>
      </c>
      <c r="C103" s="363" t="s">
        <v>129</v>
      </c>
      <c r="D103" s="18">
        <v>6</v>
      </c>
      <c r="E103" s="20">
        <v>2169219050</v>
      </c>
      <c r="F103" s="18">
        <v>40</v>
      </c>
      <c r="G103" s="20">
        <v>54230477</v>
      </c>
      <c r="H103" s="20">
        <v>1581</v>
      </c>
      <c r="I103" s="20">
        <v>1372056</v>
      </c>
      <c r="J103" s="20">
        <v>77203</v>
      </c>
      <c r="K103" s="20">
        <v>56196</v>
      </c>
      <c r="L103" s="20">
        <v>1282311</v>
      </c>
      <c r="M103" s="20">
        <v>5000</v>
      </c>
      <c r="N103" s="167">
        <v>1</v>
      </c>
      <c r="O103" s="167">
        <v>3</v>
      </c>
      <c r="P103" s="167">
        <v>10</v>
      </c>
      <c r="Q103" s="167">
        <v>27</v>
      </c>
      <c r="R103" s="167">
        <v>29</v>
      </c>
      <c r="S103" s="167">
        <v>37</v>
      </c>
      <c r="T103" s="167">
        <v>11</v>
      </c>
      <c r="U103" s="28">
        <f t="shared" si="86"/>
        <v>107</v>
      </c>
      <c r="W103" s="32" t="str">
        <f t="shared" si="69"/>
        <v>홀수</v>
      </c>
      <c r="X103" s="32" t="str">
        <f t="shared" si="70"/>
        <v>홀수</v>
      </c>
      <c r="Y103" s="32" t="str">
        <f t="shared" si="71"/>
        <v>짝수</v>
      </c>
      <c r="Z103" s="32" t="str">
        <f t="shared" si="72"/>
        <v>홀수</v>
      </c>
      <c r="AA103" s="32" t="str">
        <f t="shared" si="73"/>
        <v>홀수</v>
      </c>
      <c r="AB103" s="32" t="str">
        <f t="shared" si="74"/>
        <v>홀수</v>
      </c>
      <c r="AC103" s="58" t="str">
        <f t="shared" si="75"/>
        <v>5 : 1</v>
      </c>
      <c r="AD103" s="32">
        <f t="shared" si="76"/>
        <v>5</v>
      </c>
      <c r="AE103" s="32">
        <f t="shared" si="77"/>
        <v>1</v>
      </c>
      <c r="AF103" s="66" t="str">
        <f t="shared" si="87"/>
        <v>저수</v>
      </c>
      <c r="AG103" s="66" t="str">
        <f t="shared" si="88"/>
        <v>저수</v>
      </c>
      <c r="AH103" s="66" t="str">
        <f t="shared" si="89"/>
        <v>저수</v>
      </c>
      <c r="AI103" s="66" t="str">
        <f t="shared" si="90"/>
        <v>고수</v>
      </c>
      <c r="AJ103" s="66" t="str">
        <f t="shared" si="91"/>
        <v>고수</v>
      </c>
      <c r="AK103" s="66" t="str">
        <f t="shared" si="92"/>
        <v>고수</v>
      </c>
      <c r="AL103" s="58" t="str">
        <f t="shared" si="93"/>
        <v>3 : 3</v>
      </c>
      <c r="AM103" s="66">
        <f t="shared" si="94"/>
        <v>3</v>
      </c>
      <c r="AN103" s="66">
        <f t="shared" si="95"/>
        <v>3</v>
      </c>
      <c r="AO103" s="66">
        <f t="shared" si="96"/>
        <v>27</v>
      </c>
      <c r="AP103" s="66" t="str">
        <f t="shared" si="97"/>
        <v>X</v>
      </c>
      <c r="AQ103" s="66" t="str">
        <f t="shared" si="98"/>
        <v>O</v>
      </c>
      <c r="AR103" s="66" t="str">
        <f t="shared" si="99"/>
        <v>X</v>
      </c>
      <c r="AS103" s="66" t="str">
        <f t="shared" si="100"/>
        <v>X</v>
      </c>
      <c r="AT103" s="66" t="str">
        <f t="shared" si="101"/>
        <v>X</v>
      </c>
      <c r="AU103" s="66" t="str">
        <f t="shared" si="102"/>
        <v>X</v>
      </c>
      <c r="AV103" s="66" t="str">
        <f t="shared" si="103"/>
        <v>X</v>
      </c>
      <c r="AW103" s="66" t="str">
        <f t="shared" si="104"/>
        <v>X</v>
      </c>
      <c r="AX103" s="66" t="str">
        <f t="shared" si="105"/>
        <v>X</v>
      </c>
      <c r="AY103" s="66" t="str">
        <f t="shared" si="106"/>
        <v>X</v>
      </c>
      <c r="AZ103" s="66" t="str">
        <f t="shared" si="107"/>
        <v>O</v>
      </c>
      <c r="BA103" s="66" t="str">
        <f t="shared" si="108"/>
        <v>O</v>
      </c>
      <c r="BB103" s="66">
        <f t="shared" si="109"/>
        <v>3</v>
      </c>
      <c r="BC103" s="127" t="str">
        <f t="shared" si="80"/>
        <v>1G</v>
      </c>
      <c r="BD103" s="127" t="str">
        <f t="shared" si="81"/>
        <v>1G</v>
      </c>
      <c r="BE103" s="127" t="str">
        <f t="shared" si="82"/>
        <v>1G</v>
      </c>
      <c r="BF103" s="127" t="str">
        <f t="shared" si="83"/>
        <v>2G</v>
      </c>
      <c r="BG103" s="127" t="str">
        <f t="shared" si="84"/>
        <v>2G</v>
      </c>
      <c r="BH103" s="127" t="str">
        <f t="shared" si="85"/>
        <v>3G</v>
      </c>
      <c r="BI103" s="127">
        <f t="shared" si="110"/>
        <v>3</v>
      </c>
      <c r="BJ103" s="127">
        <f t="shared" si="111"/>
        <v>2</v>
      </c>
      <c r="BK103" s="127">
        <f t="shared" si="112"/>
        <v>1</v>
      </c>
      <c r="BL103" s="127" t="str">
        <f t="shared" si="113"/>
        <v>321</v>
      </c>
      <c r="BS103"/>
      <c r="CL103" s="28">
        <v>111</v>
      </c>
      <c r="CM103" s="28">
        <v>110</v>
      </c>
      <c r="CO103"/>
    </row>
    <row r="104" spans="2:93" ht="16.5" hidden="1">
      <c r="B104" s="17">
        <v>100</v>
      </c>
      <c r="C104" s="363" t="s">
        <v>130</v>
      </c>
      <c r="D104" s="18">
        <v>4</v>
      </c>
      <c r="E104" s="20">
        <v>3315315525</v>
      </c>
      <c r="F104" s="18">
        <v>36</v>
      </c>
      <c r="G104" s="20">
        <v>61394732</v>
      </c>
      <c r="H104" s="20">
        <v>1544</v>
      </c>
      <c r="I104" s="20">
        <v>1431484</v>
      </c>
      <c r="J104" s="20">
        <v>76899</v>
      </c>
      <c r="K104" s="20">
        <v>57484</v>
      </c>
      <c r="L104" s="20">
        <v>1235777</v>
      </c>
      <c r="M104" s="20">
        <v>5000</v>
      </c>
      <c r="N104" s="167">
        <v>1</v>
      </c>
      <c r="O104" s="167">
        <v>7</v>
      </c>
      <c r="P104" s="167">
        <v>11</v>
      </c>
      <c r="Q104" s="167">
        <v>23</v>
      </c>
      <c r="R104" s="167">
        <v>37</v>
      </c>
      <c r="S104" s="167">
        <v>42</v>
      </c>
      <c r="T104" s="167">
        <v>6</v>
      </c>
      <c r="U104" s="28">
        <f t="shared" si="86"/>
        <v>121</v>
      </c>
      <c r="W104" s="32" t="str">
        <f t="shared" si="69"/>
        <v>홀수</v>
      </c>
      <c r="X104" s="32" t="str">
        <f t="shared" si="70"/>
        <v>홀수</v>
      </c>
      <c r="Y104" s="32" t="str">
        <f t="shared" si="71"/>
        <v>홀수</v>
      </c>
      <c r="Z104" s="32" t="str">
        <f t="shared" si="72"/>
        <v>홀수</v>
      </c>
      <c r="AA104" s="32" t="str">
        <f t="shared" si="73"/>
        <v>홀수</v>
      </c>
      <c r="AB104" s="32" t="str">
        <f t="shared" si="74"/>
        <v>짝수</v>
      </c>
      <c r="AC104" s="58" t="str">
        <f t="shared" si="75"/>
        <v>5 : 1</v>
      </c>
      <c r="AD104" s="32">
        <f t="shared" si="76"/>
        <v>5</v>
      </c>
      <c r="AE104" s="32">
        <f t="shared" si="77"/>
        <v>1</v>
      </c>
      <c r="AF104" s="66" t="str">
        <f t="shared" si="87"/>
        <v>저수</v>
      </c>
      <c r="AG104" s="66" t="str">
        <f t="shared" si="88"/>
        <v>저수</v>
      </c>
      <c r="AH104" s="66" t="str">
        <f t="shared" si="89"/>
        <v>저수</v>
      </c>
      <c r="AI104" s="66" t="str">
        <f t="shared" si="90"/>
        <v>고수</v>
      </c>
      <c r="AJ104" s="66" t="str">
        <f t="shared" si="91"/>
        <v>고수</v>
      </c>
      <c r="AK104" s="66" t="str">
        <f t="shared" si="92"/>
        <v>고수</v>
      </c>
      <c r="AL104" s="58" t="str">
        <f t="shared" si="93"/>
        <v>3 : 3</v>
      </c>
      <c r="AM104" s="66">
        <f t="shared" si="94"/>
        <v>3</v>
      </c>
      <c r="AN104" s="66">
        <f t="shared" si="95"/>
        <v>3</v>
      </c>
      <c r="AO104" s="66">
        <f t="shared" si="96"/>
        <v>21</v>
      </c>
      <c r="AP104" s="66" t="str">
        <f t="shared" si="97"/>
        <v>X</v>
      </c>
      <c r="AQ104" s="66" t="str">
        <f t="shared" si="98"/>
        <v>O</v>
      </c>
      <c r="AR104" s="66" t="str">
        <f t="shared" si="99"/>
        <v>O</v>
      </c>
      <c r="AS104" s="66" t="str">
        <f t="shared" si="100"/>
        <v>X</v>
      </c>
      <c r="AT104" s="66" t="str">
        <f t="shared" si="101"/>
        <v>X</v>
      </c>
      <c r="AU104" s="66" t="str">
        <f t="shared" si="102"/>
        <v>X</v>
      </c>
      <c r="AV104" s="66" t="str">
        <f t="shared" si="103"/>
        <v>X</v>
      </c>
      <c r="AW104" s="66" t="str">
        <f t="shared" si="104"/>
        <v>X</v>
      </c>
      <c r="AX104" s="66" t="str">
        <f t="shared" si="105"/>
        <v>X</v>
      </c>
      <c r="AY104" s="66" t="str">
        <f t="shared" si="106"/>
        <v>O</v>
      </c>
      <c r="AZ104" s="66" t="str">
        <f t="shared" si="107"/>
        <v>O</v>
      </c>
      <c r="BA104" s="66" t="str">
        <f t="shared" si="108"/>
        <v>X</v>
      </c>
      <c r="BB104" s="66">
        <f t="shared" si="109"/>
        <v>4</v>
      </c>
      <c r="BC104" s="127" t="str">
        <f t="shared" si="80"/>
        <v>1G</v>
      </c>
      <c r="BD104" s="127" t="str">
        <f t="shared" si="81"/>
        <v>1G</v>
      </c>
      <c r="BE104" s="127" t="str">
        <f t="shared" si="82"/>
        <v>1G</v>
      </c>
      <c r="BF104" s="127" t="str">
        <f t="shared" si="83"/>
        <v>2G</v>
      </c>
      <c r="BG104" s="127" t="str">
        <f t="shared" si="84"/>
        <v>3G</v>
      </c>
      <c r="BH104" s="127" t="str">
        <f t="shared" si="85"/>
        <v>3G</v>
      </c>
      <c r="BI104" s="127">
        <f t="shared" si="110"/>
        <v>3</v>
      </c>
      <c r="BJ104" s="127">
        <f t="shared" si="111"/>
        <v>1</v>
      </c>
      <c r="BK104" s="127">
        <f t="shared" si="112"/>
        <v>2</v>
      </c>
      <c r="BL104" s="127" t="str">
        <f t="shared" si="113"/>
        <v>312</v>
      </c>
      <c r="BS104"/>
      <c r="CL104" s="28">
        <v>112</v>
      </c>
      <c r="CM104" s="28">
        <v>110</v>
      </c>
      <c r="CO104"/>
    </row>
    <row r="105" spans="2:93" ht="16.5" hidden="1">
      <c r="B105" s="17">
        <v>101</v>
      </c>
      <c r="C105" s="363" t="s">
        <v>131</v>
      </c>
      <c r="D105" s="18">
        <v>5</v>
      </c>
      <c r="E105" s="20">
        <v>2707297500</v>
      </c>
      <c r="F105" s="18">
        <v>38</v>
      </c>
      <c r="G105" s="20">
        <v>59370560</v>
      </c>
      <c r="H105" s="20">
        <v>1405</v>
      </c>
      <c r="I105" s="20">
        <v>1605752</v>
      </c>
      <c r="J105" s="20">
        <v>73210</v>
      </c>
      <c r="K105" s="20">
        <v>61634</v>
      </c>
      <c r="L105" s="20">
        <v>1246344</v>
      </c>
      <c r="M105" s="20">
        <v>5000</v>
      </c>
      <c r="N105" s="167">
        <v>1</v>
      </c>
      <c r="O105" s="167">
        <v>3</v>
      </c>
      <c r="P105" s="167">
        <v>17</v>
      </c>
      <c r="Q105" s="167">
        <v>32</v>
      </c>
      <c r="R105" s="167">
        <v>35</v>
      </c>
      <c r="S105" s="167">
        <v>45</v>
      </c>
      <c r="T105" s="167">
        <v>8</v>
      </c>
      <c r="U105" s="28">
        <f t="shared" si="86"/>
        <v>133</v>
      </c>
      <c r="W105" s="32" t="str">
        <f t="shared" si="69"/>
        <v>홀수</v>
      </c>
      <c r="X105" s="32" t="str">
        <f t="shared" si="70"/>
        <v>홀수</v>
      </c>
      <c r="Y105" s="32" t="str">
        <f t="shared" si="71"/>
        <v>홀수</v>
      </c>
      <c r="Z105" s="32" t="str">
        <f t="shared" si="72"/>
        <v>짝수</v>
      </c>
      <c r="AA105" s="32" t="str">
        <f t="shared" si="73"/>
        <v>홀수</v>
      </c>
      <c r="AB105" s="32" t="str">
        <f t="shared" si="74"/>
        <v>홀수</v>
      </c>
      <c r="AC105" s="58" t="str">
        <f t="shared" si="75"/>
        <v>5 : 1</v>
      </c>
      <c r="AD105" s="32">
        <f t="shared" si="76"/>
        <v>5</v>
      </c>
      <c r="AE105" s="32">
        <f t="shared" si="77"/>
        <v>1</v>
      </c>
      <c r="AF105" s="66" t="str">
        <f t="shared" si="87"/>
        <v>저수</v>
      </c>
      <c r="AG105" s="66" t="str">
        <f t="shared" si="88"/>
        <v>저수</v>
      </c>
      <c r="AH105" s="66" t="str">
        <f t="shared" si="89"/>
        <v>저수</v>
      </c>
      <c r="AI105" s="66" t="str">
        <f t="shared" si="90"/>
        <v>고수</v>
      </c>
      <c r="AJ105" s="66" t="str">
        <f t="shared" si="91"/>
        <v>고수</v>
      </c>
      <c r="AK105" s="66" t="str">
        <f t="shared" si="92"/>
        <v>고수</v>
      </c>
      <c r="AL105" s="58" t="str">
        <f t="shared" si="93"/>
        <v>3 : 3</v>
      </c>
      <c r="AM105" s="66">
        <f t="shared" si="94"/>
        <v>3</v>
      </c>
      <c r="AN105" s="66">
        <f t="shared" si="95"/>
        <v>3</v>
      </c>
      <c r="AO105" s="66">
        <f t="shared" si="96"/>
        <v>23</v>
      </c>
      <c r="AP105" s="66" t="str">
        <f t="shared" si="97"/>
        <v>X</v>
      </c>
      <c r="AQ105" s="66" t="str">
        <f t="shared" si="98"/>
        <v>O</v>
      </c>
      <c r="AR105" s="66" t="str">
        <f t="shared" si="99"/>
        <v>O</v>
      </c>
      <c r="AS105" s="66" t="str">
        <f t="shared" si="100"/>
        <v>X</v>
      </c>
      <c r="AT105" s="66" t="str">
        <f t="shared" si="101"/>
        <v>X</v>
      </c>
      <c r="AU105" s="66" t="str">
        <f t="shared" si="102"/>
        <v>X</v>
      </c>
      <c r="AV105" s="66" t="str">
        <f t="shared" si="103"/>
        <v>X</v>
      </c>
      <c r="AW105" s="66" t="str">
        <f t="shared" si="104"/>
        <v>X</v>
      </c>
      <c r="AX105" s="66" t="str">
        <f t="shared" si="105"/>
        <v>X</v>
      </c>
      <c r="AY105" s="66" t="str">
        <f t="shared" si="106"/>
        <v>X</v>
      </c>
      <c r="AZ105" s="66" t="str">
        <f t="shared" si="107"/>
        <v>X</v>
      </c>
      <c r="BA105" s="66" t="str">
        <f t="shared" si="108"/>
        <v>X</v>
      </c>
      <c r="BB105" s="66">
        <f t="shared" si="109"/>
        <v>2</v>
      </c>
      <c r="BC105" s="127" t="str">
        <f t="shared" si="80"/>
        <v>1G</v>
      </c>
      <c r="BD105" s="127" t="str">
        <f t="shared" si="81"/>
        <v>1G</v>
      </c>
      <c r="BE105" s="127" t="str">
        <f t="shared" si="82"/>
        <v>2G</v>
      </c>
      <c r="BF105" s="127" t="str">
        <f t="shared" si="83"/>
        <v>3G</v>
      </c>
      <c r="BG105" s="127" t="str">
        <f t="shared" si="84"/>
        <v>3G</v>
      </c>
      <c r="BH105" s="127" t="str">
        <f t="shared" si="85"/>
        <v>3G</v>
      </c>
      <c r="BI105" s="127">
        <f t="shared" si="110"/>
        <v>2</v>
      </c>
      <c r="BJ105" s="127">
        <f t="shared" si="111"/>
        <v>1</v>
      </c>
      <c r="BK105" s="127">
        <f t="shared" si="112"/>
        <v>3</v>
      </c>
      <c r="BL105" s="127" t="str">
        <f t="shared" si="113"/>
        <v>213</v>
      </c>
      <c r="BS105"/>
      <c r="CL105" s="28">
        <v>113</v>
      </c>
      <c r="CM105" s="28">
        <v>110</v>
      </c>
      <c r="CO105"/>
    </row>
    <row r="106" spans="2:93" ht="16.5" hidden="1">
      <c r="B106" s="17">
        <v>102</v>
      </c>
      <c r="C106" s="363" t="s">
        <v>132</v>
      </c>
      <c r="D106" s="18">
        <v>9</v>
      </c>
      <c r="E106" s="20">
        <v>1457153067</v>
      </c>
      <c r="F106" s="18">
        <v>24</v>
      </c>
      <c r="G106" s="20">
        <v>91072067</v>
      </c>
      <c r="H106" s="20">
        <v>1352</v>
      </c>
      <c r="I106" s="20">
        <v>1616664</v>
      </c>
      <c r="J106" s="20">
        <v>75476</v>
      </c>
      <c r="K106" s="20">
        <v>57919</v>
      </c>
      <c r="L106" s="20">
        <v>1322337</v>
      </c>
      <c r="M106" s="20">
        <v>5000</v>
      </c>
      <c r="N106" s="167">
        <v>17</v>
      </c>
      <c r="O106" s="167">
        <v>22</v>
      </c>
      <c r="P106" s="167">
        <v>24</v>
      </c>
      <c r="Q106" s="167">
        <v>26</v>
      </c>
      <c r="R106" s="167">
        <v>35</v>
      </c>
      <c r="S106" s="167">
        <v>40</v>
      </c>
      <c r="T106" s="167">
        <v>42</v>
      </c>
      <c r="U106" s="28">
        <f t="shared" si="86"/>
        <v>164</v>
      </c>
      <c r="W106" s="32" t="str">
        <f t="shared" si="69"/>
        <v>홀수</v>
      </c>
      <c r="X106" s="32" t="str">
        <f t="shared" si="70"/>
        <v>짝수</v>
      </c>
      <c r="Y106" s="32" t="str">
        <f t="shared" si="71"/>
        <v>짝수</v>
      </c>
      <c r="Z106" s="32" t="str">
        <f t="shared" si="72"/>
        <v>짝수</v>
      </c>
      <c r="AA106" s="32" t="str">
        <f t="shared" si="73"/>
        <v>홀수</v>
      </c>
      <c r="AB106" s="32" t="str">
        <f t="shared" si="74"/>
        <v>짝수</v>
      </c>
      <c r="AC106" s="58" t="str">
        <f t="shared" si="75"/>
        <v>2 : 4</v>
      </c>
      <c r="AD106" s="32">
        <f t="shared" si="76"/>
        <v>2</v>
      </c>
      <c r="AE106" s="32">
        <f t="shared" si="77"/>
        <v>4</v>
      </c>
      <c r="AF106" s="66" t="str">
        <f t="shared" si="87"/>
        <v>저수</v>
      </c>
      <c r="AG106" s="66" t="str">
        <f t="shared" si="88"/>
        <v>저수</v>
      </c>
      <c r="AH106" s="66" t="str">
        <f t="shared" si="89"/>
        <v>고수</v>
      </c>
      <c r="AI106" s="66" t="str">
        <f t="shared" si="90"/>
        <v>고수</v>
      </c>
      <c r="AJ106" s="66" t="str">
        <f t="shared" si="91"/>
        <v>고수</v>
      </c>
      <c r="AK106" s="66" t="str">
        <f t="shared" si="92"/>
        <v>고수</v>
      </c>
      <c r="AL106" s="58" t="str">
        <f t="shared" si="93"/>
        <v>2 : 4</v>
      </c>
      <c r="AM106" s="66">
        <f t="shared" si="94"/>
        <v>2</v>
      </c>
      <c r="AN106" s="66">
        <f t="shared" si="95"/>
        <v>4</v>
      </c>
      <c r="AO106" s="66">
        <f t="shared" si="96"/>
        <v>24</v>
      </c>
      <c r="AP106" s="66" t="str">
        <f t="shared" si="97"/>
        <v>O</v>
      </c>
      <c r="AQ106" s="66" t="str">
        <f t="shared" si="98"/>
        <v>X</v>
      </c>
      <c r="AR106" s="66" t="str">
        <f t="shared" si="99"/>
        <v>X</v>
      </c>
      <c r="AS106" s="66" t="str">
        <f t="shared" si="100"/>
        <v>X</v>
      </c>
      <c r="AT106" s="66" t="str">
        <f t="shared" si="101"/>
        <v>X</v>
      </c>
      <c r="AU106" s="66" t="str">
        <f t="shared" si="102"/>
        <v>X</v>
      </c>
      <c r="AV106" s="66" t="str">
        <f t="shared" si="103"/>
        <v>X</v>
      </c>
      <c r="AW106" s="66" t="str">
        <f t="shared" si="104"/>
        <v>X</v>
      </c>
      <c r="AX106" s="66" t="str">
        <f t="shared" si="105"/>
        <v>X</v>
      </c>
      <c r="AY106" s="66" t="str">
        <f t="shared" si="106"/>
        <v>X</v>
      </c>
      <c r="AZ106" s="66" t="str">
        <f t="shared" si="107"/>
        <v>X</v>
      </c>
      <c r="BA106" s="66" t="str">
        <f t="shared" si="108"/>
        <v>X</v>
      </c>
      <c r="BB106" s="66">
        <f t="shared" si="109"/>
        <v>1</v>
      </c>
      <c r="BC106" s="127" t="str">
        <f t="shared" si="80"/>
        <v>2G</v>
      </c>
      <c r="BD106" s="127" t="str">
        <f t="shared" si="81"/>
        <v>2G</v>
      </c>
      <c r="BE106" s="127" t="str">
        <f t="shared" si="82"/>
        <v>2G</v>
      </c>
      <c r="BF106" s="127" t="str">
        <f t="shared" si="83"/>
        <v>2G</v>
      </c>
      <c r="BG106" s="127" t="str">
        <f t="shared" si="84"/>
        <v>3G</v>
      </c>
      <c r="BH106" s="127" t="str">
        <f t="shared" si="85"/>
        <v>3G</v>
      </c>
      <c r="BI106" s="127">
        <f t="shared" si="110"/>
        <v>0</v>
      </c>
      <c r="BJ106" s="127">
        <f t="shared" si="111"/>
        <v>4</v>
      </c>
      <c r="BK106" s="127">
        <f t="shared" si="112"/>
        <v>2</v>
      </c>
      <c r="BL106" s="127" t="str">
        <f t="shared" si="113"/>
        <v>042</v>
      </c>
      <c r="BS106"/>
      <c r="CL106" s="28">
        <v>113</v>
      </c>
      <c r="CM106" s="28">
        <v>110</v>
      </c>
      <c r="CO106"/>
    </row>
    <row r="107" spans="2:93" ht="16.5" hidden="1">
      <c r="B107" s="17">
        <v>103</v>
      </c>
      <c r="C107" s="363" t="s">
        <v>133</v>
      </c>
      <c r="D107" s="18">
        <v>8</v>
      </c>
      <c r="E107" s="20">
        <v>1691589563</v>
      </c>
      <c r="F107" s="18">
        <v>38</v>
      </c>
      <c r="G107" s="20">
        <v>59354020</v>
      </c>
      <c r="H107" s="20">
        <v>1583</v>
      </c>
      <c r="I107" s="20">
        <v>1424797</v>
      </c>
      <c r="J107" s="20">
        <v>75587</v>
      </c>
      <c r="K107" s="20">
        <v>59679</v>
      </c>
      <c r="L107" s="20">
        <v>1231156</v>
      </c>
      <c r="M107" s="20">
        <v>5000</v>
      </c>
      <c r="N107" s="167">
        <v>5</v>
      </c>
      <c r="O107" s="167">
        <v>14</v>
      </c>
      <c r="P107" s="167">
        <v>15</v>
      </c>
      <c r="Q107" s="167">
        <v>27</v>
      </c>
      <c r="R107" s="167">
        <v>30</v>
      </c>
      <c r="S107" s="167">
        <v>45</v>
      </c>
      <c r="T107" s="167">
        <v>10</v>
      </c>
      <c r="U107" s="28">
        <f t="shared" si="86"/>
        <v>136</v>
      </c>
      <c r="W107" s="32" t="str">
        <f t="shared" si="69"/>
        <v>홀수</v>
      </c>
      <c r="X107" s="32" t="str">
        <f t="shared" si="70"/>
        <v>짝수</v>
      </c>
      <c r="Y107" s="32" t="str">
        <f t="shared" si="71"/>
        <v>홀수</v>
      </c>
      <c r="Z107" s="32" t="str">
        <f t="shared" si="72"/>
        <v>홀수</v>
      </c>
      <c r="AA107" s="32" t="str">
        <f t="shared" si="73"/>
        <v>짝수</v>
      </c>
      <c r="AB107" s="32" t="str">
        <f t="shared" si="74"/>
        <v>홀수</v>
      </c>
      <c r="AC107" s="58" t="str">
        <f t="shared" si="75"/>
        <v>4 : 2</v>
      </c>
      <c r="AD107" s="32">
        <f t="shared" si="76"/>
        <v>4</v>
      </c>
      <c r="AE107" s="32">
        <f t="shared" si="77"/>
        <v>2</v>
      </c>
      <c r="AF107" s="66" t="str">
        <f t="shared" si="87"/>
        <v>저수</v>
      </c>
      <c r="AG107" s="66" t="str">
        <f t="shared" si="88"/>
        <v>저수</v>
      </c>
      <c r="AH107" s="66" t="str">
        <f t="shared" si="89"/>
        <v>저수</v>
      </c>
      <c r="AI107" s="66" t="str">
        <f t="shared" si="90"/>
        <v>고수</v>
      </c>
      <c r="AJ107" s="66" t="str">
        <f t="shared" si="91"/>
        <v>고수</v>
      </c>
      <c r="AK107" s="66" t="str">
        <f t="shared" si="92"/>
        <v>고수</v>
      </c>
      <c r="AL107" s="58" t="str">
        <f t="shared" si="93"/>
        <v>3 : 3</v>
      </c>
      <c r="AM107" s="66">
        <f t="shared" si="94"/>
        <v>3</v>
      </c>
      <c r="AN107" s="66">
        <f t="shared" si="95"/>
        <v>3</v>
      </c>
      <c r="AO107" s="66">
        <f t="shared" si="96"/>
        <v>26</v>
      </c>
      <c r="AP107" s="66" t="str">
        <f t="shared" si="97"/>
        <v>O</v>
      </c>
      <c r="AQ107" s="66" t="str">
        <f t="shared" si="98"/>
        <v>X</v>
      </c>
      <c r="AR107" s="66" t="str">
        <f t="shared" si="99"/>
        <v>X</v>
      </c>
      <c r="AS107" s="66" t="str">
        <f t="shared" si="100"/>
        <v>X</v>
      </c>
      <c r="AT107" s="66" t="str">
        <f t="shared" si="101"/>
        <v>X</v>
      </c>
      <c r="AU107" s="66" t="str">
        <f t="shared" si="102"/>
        <v>X</v>
      </c>
      <c r="AV107" s="66" t="str">
        <f t="shared" si="103"/>
        <v>X</v>
      </c>
      <c r="AW107" s="66" t="str">
        <f t="shared" si="104"/>
        <v>X</v>
      </c>
      <c r="AX107" s="66" t="str">
        <f t="shared" si="105"/>
        <v>X</v>
      </c>
      <c r="AY107" s="66" t="str">
        <f t="shared" si="106"/>
        <v>X</v>
      </c>
      <c r="AZ107" s="66" t="str">
        <f t="shared" si="107"/>
        <v>X</v>
      </c>
      <c r="BA107" s="66" t="str">
        <f t="shared" si="108"/>
        <v>X</v>
      </c>
      <c r="BB107" s="66">
        <f t="shared" si="109"/>
        <v>1</v>
      </c>
      <c r="BC107" s="127" t="str">
        <f t="shared" si="80"/>
        <v>1G</v>
      </c>
      <c r="BD107" s="127" t="str">
        <f t="shared" si="81"/>
        <v>1G</v>
      </c>
      <c r="BE107" s="127" t="str">
        <f t="shared" si="82"/>
        <v>1G</v>
      </c>
      <c r="BF107" s="127" t="str">
        <f t="shared" si="83"/>
        <v>2G</v>
      </c>
      <c r="BG107" s="127" t="str">
        <f t="shared" si="84"/>
        <v>2G</v>
      </c>
      <c r="BH107" s="127" t="str">
        <f t="shared" si="85"/>
        <v>3G</v>
      </c>
      <c r="BI107" s="127">
        <f t="shared" si="110"/>
        <v>3</v>
      </c>
      <c r="BJ107" s="127">
        <f t="shared" si="111"/>
        <v>2</v>
      </c>
      <c r="BK107" s="127">
        <f t="shared" si="112"/>
        <v>1</v>
      </c>
      <c r="BL107" s="127" t="str">
        <f t="shared" si="113"/>
        <v>321</v>
      </c>
      <c r="BS107"/>
      <c r="CL107" s="28">
        <v>114</v>
      </c>
      <c r="CM107" s="28">
        <v>110</v>
      </c>
      <c r="CO107"/>
    </row>
    <row r="108" spans="2:93" ht="16.5" hidden="1">
      <c r="B108" s="17">
        <v>104</v>
      </c>
      <c r="C108" s="363" t="s">
        <v>134</v>
      </c>
      <c r="D108" s="18">
        <v>2</v>
      </c>
      <c r="E108" s="20">
        <v>6610743750</v>
      </c>
      <c r="F108" s="18">
        <v>23</v>
      </c>
      <c r="G108" s="20">
        <v>95807881</v>
      </c>
      <c r="H108" s="20">
        <v>1293</v>
      </c>
      <c r="I108" s="20">
        <v>1704240</v>
      </c>
      <c r="J108" s="20">
        <v>71824</v>
      </c>
      <c r="K108" s="20">
        <v>61361</v>
      </c>
      <c r="L108" s="20">
        <v>1246208</v>
      </c>
      <c r="M108" s="20">
        <v>5000</v>
      </c>
      <c r="N108" s="167">
        <v>17</v>
      </c>
      <c r="O108" s="167">
        <v>32</v>
      </c>
      <c r="P108" s="167">
        <v>33</v>
      </c>
      <c r="Q108" s="167">
        <v>34</v>
      </c>
      <c r="R108" s="167">
        <v>42</v>
      </c>
      <c r="S108" s="167">
        <v>44</v>
      </c>
      <c r="T108" s="167">
        <v>35</v>
      </c>
      <c r="U108" s="28">
        <f t="shared" si="86"/>
        <v>202</v>
      </c>
      <c r="W108" s="32" t="str">
        <f t="shared" si="69"/>
        <v>홀수</v>
      </c>
      <c r="X108" s="32" t="str">
        <f t="shared" si="70"/>
        <v>짝수</v>
      </c>
      <c r="Y108" s="32" t="str">
        <f t="shared" si="71"/>
        <v>홀수</v>
      </c>
      <c r="Z108" s="32" t="str">
        <f t="shared" si="72"/>
        <v>짝수</v>
      </c>
      <c r="AA108" s="32" t="str">
        <f t="shared" si="73"/>
        <v>짝수</v>
      </c>
      <c r="AB108" s="32" t="str">
        <f t="shared" si="74"/>
        <v>짝수</v>
      </c>
      <c r="AC108" s="58" t="str">
        <f t="shared" si="75"/>
        <v>2 : 4</v>
      </c>
      <c r="AD108" s="32">
        <f t="shared" si="76"/>
        <v>2</v>
      </c>
      <c r="AE108" s="32">
        <f t="shared" si="77"/>
        <v>4</v>
      </c>
      <c r="AF108" s="66" t="str">
        <f t="shared" si="87"/>
        <v>저수</v>
      </c>
      <c r="AG108" s="66" t="str">
        <f t="shared" si="88"/>
        <v>고수</v>
      </c>
      <c r="AH108" s="66" t="str">
        <f t="shared" si="89"/>
        <v>고수</v>
      </c>
      <c r="AI108" s="66" t="str">
        <f t="shared" si="90"/>
        <v>고수</v>
      </c>
      <c r="AJ108" s="66" t="str">
        <f t="shared" si="91"/>
        <v>고수</v>
      </c>
      <c r="AK108" s="66" t="str">
        <f t="shared" si="92"/>
        <v>고수</v>
      </c>
      <c r="AL108" s="58" t="str">
        <f t="shared" si="93"/>
        <v>1 : 5</v>
      </c>
      <c r="AM108" s="66">
        <f t="shared" si="94"/>
        <v>1</v>
      </c>
      <c r="AN108" s="66">
        <f t="shared" si="95"/>
        <v>5</v>
      </c>
      <c r="AO108" s="66">
        <f t="shared" si="96"/>
        <v>22</v>
      </c>
      <c r="AP108" s="66" t="str">
        <f t="shared" si="97"/>
        <v>O</v>
      </c>
      <c r="AQ108" s="66" t="str">
        <f t="shared" si="98"/>
        <v>X</v>
      </c>
      <c r="AR108" s="66" t="str">
        <f t="shared" si="99"/>
        <v>X</v>
      </c>
      <c r="AS108" s="66" t="str">
        <f t="shared" si="100"/>
        <v>X</v>
      </c>
      <c r="AT108" s="66" t="str">
        <f t="shared" si="101"/>
        <v>X</v>
      </c>
      <c r="AU108" s="66" t="str">
        <f t="shared" si="102"/>
        <v>X</v>
      </c>
      <c r="AV108" s="66" t="str">
        <f t="shared" si="103"/>
        <v>X</v>
      </c>
      <c r="AW108" s="66" t="str">
        <f t="shared" si="104"/>
        <v>X</v>
      </c>
      <c r="AX108" s="66" t="str">
        <f t="shared" si="105"/>
        <v>X</v>
      </c>
      <c r="AY108" s="66" t="str">
        <f t="shared" si="106"/>
        <v>X</v>
      </c>
      <c r="AZ108" s="66" t="str">
        <f t="shared" si="107"/>
        <v>X</v>
      </c>
      <c r="BA108" s="66" t="str">
        <f t="shared" si="108"/>
        <v>X</v>
      </c>
      <c r="BB108" s="66">
        <f t="shared" si="109"/>
        <v>1</v>
      </c>
      <c r="BC108" s="127" t="str">
        <f t="shared" si="80"/>
        <v>2G</v>
      </c>
      <c r="BD108" s="127" t="str">
        <f t="shared" si="81"/>
        <v>3G</v>
      </c>
      <c r="BE108" s="127" t="str">
        <f t="shared" si="82"/>
        <v>3G</v>
      </c>
      <c r="BF108" s="127" t="str">
        <f t="shared" si="83"/>
        <v>3G</v>
      </c>
      <c r="BG108" s="127" t="str">
        <f t="shared" si="84"/>
        <v>3G</v>
      </c>
      <c r="BH108" s="127" t="str">
        <f t="shared" si="85"/>
        <v>3G</v>
      </c>
      <c r="BI108" s="127">
        <f t="shared" si="110"/>
        <v>0</v>
      </c>
      <c r="BJ108" s="127">
        <f t="shared" si="111"/>
        <v>1</v>
      </c>
      <c r="BK108" s="127">
        <f t="shared" si="112"/>
        <v>5</v>
      </c>
      <c r="BL108" s="127" t="str">
        <f t="shared" si="113"/>
        <v>015</v>
      </c>
      <c r="BS108"/>
      <c r="CL108" s="28">
        <v>114</v>
      </c>
      <c r="CM108" s="28">
        <v>110</v>
      </c>
      <c r="CO108"/>
    </row>
    <row r="109" spans="2:93" ht="16.5" hidden="1">
      <c r="B109" s="17">
        <v>105</v>
      </c>
      <c r="C109" s="363" t="s">
        <v>135</v>
      </c>
      <c r="D109" s="18">
        <v>4</v>
      </c>
      <c r="E109" s="20">
        <v>3416781450</v>
      </c>
      <c r="F109" s="18">
        <v>26</v>
      </c>
      <c r="G109" s="20">
        <v>87609781</v>
      </c>
      <c r="H109" s="20">
        <v>1331</v>
      </c>
      <c r="I109" s="20">
        <v>1711386</v>
      </c>
      <c r="J109" s="20">
        <v>69127</v>
      </c>
      <c r="K109" s="20">
        <v>65904</v>
      </c>
      <c r="L109" s="20">
        <v>1192263</v>
      </c>
      <c r="M109" s="20">
        <v>5000</v>
      </c>
      <c r="N109" s="167">
        <v>8</v>
      </c>
      <c r="O109" s="167">
        <v>10</v>
      </c>
      <c r="P109" s="167">
        <v>20</v>
      </c>
      <c r="Q109" s="167">
        <v>34</v>
      </c>
      <c r="R109" s="167">
        <v>41</v>
      </c>
      <c r="S109" s="167">
        <v>45</v>
      </c>
      <c r="T109" s="167">
        <v>28</v>
      </c>
      <c r="U109" s="28">
        <f t="shared" si="86"/>
        <v>158</v>
      </c>
      <c r="W109" s="32" t="str">
        <f t="shared" si="69"/>
        <v>짝수</v>
      </c>
      <c r="X109" s="32" t="str">
        <f t="shared" si="70"/>
        <v>짝수</v>
      </c>
      <c r="Y109" s="32" t="str">
        <f t="shared" si="71"/>
        <v>짝수</v>
      </c>
      <c r="Z109" s="32" t="str">
        <f t="shared" si="72"/>
        <v>짝수</v>
      </c>
      <c r="AA109" s="32" t="str">
        <f t="shared" si="73"/>
        <v>홀수</v>
      </c>
      <c r="AB109" s="32" t="str">
        <f t="shared" si="74"/>
        <v>홀수</v>
      </c>
      <c r="AC109" s="58" t="str">
        <f t="shared" si="75"/>
        <v>2 : 4</v>
      </c>
      <c r="AD109" s="32">
        <f t="shared" si="76"/>
        <v>2</v>
      </c>
      <c r="AE109" s="32">
        <f t="shared" si="77"/>
        <v>4</v>
      </c>
      <c r="AF109" s="66" t="str">
        <f t="shared" si="87"/>
        <v>저수</v>
      </c>
      <c r="AG109" s="66" t="str">
        <f t="shared" si="88"/>
        <v>저수</v>
      </c>
      <c r="AH109" s="66" t="str">
        <f t="shared" si="89"/>
        <v>저수</v>
      </c>
      <c r="AI109" s="66" t="str">
        <f t="shared" si="90"/>
        <v>고수</v>
      </c>
      <c r="AJ109" s="66" t="str">
        <f t="shared" si="91"/>
        <v>고수</v>
      </c>
      <c r="AK109" s="66" t="str">
        <f t="shared" si="92"/>
        <v>고수</v>
      </c>
      <c r="AL109" s="58" t="str">
        <f t="shared" si="93"/>
        <v>3 : 3</v>
      </c>
      <c r="AM109" s="66">
        <f t="shared" si="94"/>
        <v>3</v>
      </c>
      <c r="AN109" s="66">
        <f t="shared" si="95"/>
        <v>3</v>
      </c>
      <c r="AO109" s="66">
        <f t="shared" si="96"/>
        <v>18</v>
      </c>
      <c r="AP109" s="66" t="str">
        <f t="shared" si="97"/>
        <v>X</v>
      </c>
      <c r="AQ109" s="66" t="str">
        <f t="shared" si="98"/>
        <v>X</v>
      </c>
      <c r="AR109" s="66" t="str">
        <f t="shared" si="99"/>
        <v>X</v>
      </c>
      <c r="AS109" s="66" t="str">
        <f t="shared" si="100"/>
        <v>X</v>
      </c>
      <c r="AT109" s="66" t="str">
        <f t="shared" si="101"/>
        <v>X</v>
      </c>
      <c r="AU109" s="66" t="str">
        <f t="shared" si="102"/>
        <v>X</v>
      </c>
      <c r="AV109" s="66" t="str">
        <f t="shared" si="103"/>
        <v>X</v>
      </c>
      <c r="AW109" s="66" t="str">
        <f t="shared" si="104"/>
        <v>X</v>
      </c>
      <c r="AX109" s="66" t="str">
        <f t="shared" si="105"/>
        <v>X</v>
      </c>
      <c r="AY109" s="66" t="str">
        <f t="shared" si="106"/>
        <v>X</v>
      </c>
      <c r="AZ109" s="66" t="str">
        <f t="shared" si="107"/>
        <v>O</v>
      </c>
      <c r="BA109" s="66" t="str">
        <f t="shared" si="108"/>
        <v>X</v>
      </c>
      <c r="BB109" s="66">
        <f t="shared" si="109"/>
        <v>1</v>
      </c>
      <c r="BC109" s="127" t="str">
        <f t="shared" si="80"/>
        <v>1G</v>
      </c>
      <c r="BD109" s="127" t="str">
        <f t="shared" si="81"/>
        <v>1G</v>
      </c>
      <c r="BE109" s="127" t="str">
        <f t="shared" si="82"/>
        <v>2G</v>
      </c>
      <c r="BF109" s="127" t="str">
        <f t="shared" si="83"/>
        <v>3G</v>
      </c>
      <c r="BG109" s="127" t="str">
        <f t="shared" si="84"/>
        <v>3G</v>
      </c>
      <c r="BH109" s="127" t="str">
        <f t="shared" si="85"/>
        <v>3G</v>
      </c>
      <c r="BI109" s="127">
        <f t="shared" si="110"/>
        <v>2</v>
      </c>
      <c r="BJ109" s="127">
        <f t="shared" si="111"/>
        <v>1</v>
      </c>
      <c r="BK109" s="127">
        <f t="shared" si="112"/>
        <v>3</v>
      </c>
      <c r="BL109" s="127" t="str">
        <f t="shared" si="113"/>
        <v>213</v>
      </c>
      <c r="BS109"/>
      <c r="CL109" s="28">
        <v>114</v>
      </c>
      <c r="CM109" s="28">
        <v>110</v>
      </c>
      <c r="CO109"/>
    </row>
    <row r="110" spans="2:93" ht="16.5" hidden="1">
      <c r="B110" s="17">
        <v>106</v>
      </c>
      <c r="C110" s="363" t="s">
        <v>136</v>
      </c>
      <c r="D110" s="18">
        <v>16</v>
      </c>
      <c r="E110" s="20">
        <v>810461157</v>
      </c>
      <c r="F110" s="18">
        <v>40</v>
      </c>
      <c r="G110" s="20">
        <v>54030744</v>
      </c>
      <c r="H110" s="20">
        <v>2056</v>
      </c>
      <c r="I110" s="20">
        <v>1051182</v>
      </c>
      <c r="J110" s="20">
        <v>93551</v>
      </c>
      <c r="K110" s="20">
        <v>46205</v>
      </c>
      <c r="L110" s="20">
        <v>1415989</v>
      </c>
      <c r="M110" s="20">
        <v>5000</v>
      </c>
      <c r="N110" s="167">
        <v>4</v>
      </c>
      <c r="O110" s="167">
        <v>10</v>
      </c>
      <c r="P110" s="167">
        <v>12</v>
      </c>
      <c r="Q110" s="167">
        <v>22</v>
      </c>
      <c r="R110" s="167">
        <v>24</v>
      </c>
      <c r="S110" s="167">
        <v>33</v>
      </c>
      <c r="T110" s="167">
        <v>29</v>
      </c>
      <c r="U110" s="28">
        <f t="shared" si="86"/>
        <v>105</v>
      </c>
      <c r="W110" s="32" t="str">
        <f t="shared" si="69"/>
        <v>짝수</v>
      </c>
      <c r="X110" s="32" t="str">
        <f t="shared" si="70"/>
        <v>짝수</v>
      </c>
      <c r="Y110" s="32" t="str">
        <f t="shared" si="71"/>
        <v>짝수</v>
      </c>
      <c r="Z110" s="32" t="str">
        <f t="shared" si="72"/>
        <v>짝수</v>
      </c>
      <c r="AA110" s="32" t="str">
        <f t="shared" si="73"/>
        <v>짝수</v>
      </c>
      <c r="AB110" s="32" t="str">
        <f t="shared" si="74"/>
        <v>홀수</v>
      </c>
      <c r="AC110" s="58" t="str">
        <f t="shared" si="75"/>
        <v>1 : 5</v>
      </c>
      <c r="AD110" s="32">
        <f t="shared" si="76"/>
        <v>1</v>
      </c>
      <c r="AE110" s="32">
        <f t="shared" si="77"/>
        <v>5</v>
      </c>
      <c r="AF110" s="66" t="str">
        <f t="shared" si="87"/>
        <v>저수</v>
      </c>
      <c r="AG110" s="66" t="str">
        <f t="shared" si="88"/>
        <v>저수</v>
      </c>
      <c r="AH110" s="66" t="str">
        <f t="shared" si="89"/>
        <v>저수</v>
      </c>
      <c r="AI110" s="66" t="str">
        <f t="shared" si="90"/>
        <v>저수</v>
      </c>
      <c r="AJ110" s="66" t="str">
        <f t="shared" si="91"/>
        <v>고수</v>
      </c>
      <c r="AK110" s="66" t="str">
        <f t="shared" si="92"/>
        <v>고수</v>
      </c>
      <c r="AL110" s="58" t="str">
        <f t="shared" si="93"/>
        <v>4 : 2</v>
      </c>
      <c r="AM110" s="66">
        <f t="shared" si="94"/>
        <v>4</v>
      </c>
      <c r="AN110" s="66">
        <f t="shared" si="95"/>
        <v>2</v>
      </c>
      <c r="AO110" s="66">
        <f t="shared" si="96"/>
        <v>15</v>
      </c>
      <c r="AP110" s="66" t="str">
        <f t="shared" si="97"/>
        <v>X</v>
      </c>
      <c r="AQ110" s="66" t="str">
        <f t="shared" si="98"/>
        <v>X</v>
      </c>
      <c r="AR110" s="66" t="str">
        <f t="shared" si="99"/>
        <v>X</v>
      </c>
      <c r="AS110" s="66" t="str">
        <f t="shared" si="100"/>
        <v>X</v>
      </c>
      <c r="AT110" s="66" t="str">
        <f t="shared" si="101"/>
        <v>X</v>
      </c>
      <c r="AU110" s="66" t="str">
        <f t="shared" si="102"/>
        <v>X</v>
      </c>
      <c r="AV110" s="66" t="str">
        <f t="shared" si="103"/>
        <v>X</v>
      </c>
      <c r="AW110" s="66" t="str">
        <f t="shared" si="104"/>
        <v>X</v>
      </c>
      <c r="AX110" s="66" t="str">
        <f t="shared" si="105"/>
        <v>X</v>
      </c>
      <c r="AY110" s="66" t="str">
        <f t="shared" si="106"/>
        <v>X</v>
      </c>
      <c r="AZ110" s="66" t="str">
        <f t="shared" si="107"/>
        <v>X</v>
      </c>
      <c r="BA110" s="66" t="str">
        <f t="shared" si="108"/>
        <v>X</v>
      </c>
      <c r="BB110" s="66">
        <f t="shared" si="109"/>
        <v>0</v>
      </c>
      <c r="BC110" s="127" t="str">
        <f t="shared" si="80"/>
        <v>1G</v>
      </c>
      <c r="BD110" s="127" t="str">
        <f t="shared" si="81"/>
        <v>1G</v>
      </c>
      <c r="BE110" s="127" t="str">
        <f t="shared" si="82"/>
        <v>1G</v>
      </c>
      <c r="BF110" s="127" t="str">
        <f t="shared" si="83"/>
        <v>2G</v>
      </c>
      <c r="BG110" s="127" t="str">
        <f t="shared" si="84"/>
        <v>2G</v>
      </c>
      <c r="BH110" s="127" t="str">
        <f t="shared" si="85"/>
        <v>3G</v>
      </c>
      <c r="BI110" s="127">
        <f t="shared" si="110"/>
        <v>3</v>
      </c>
      <c r="BJ110" s="127">
        <f t="shared" si="111"/>
        <v>2</v>
      </c>
      <c r="BK110" s="127">
        <f t="shared" si="112"/>
        <v>1</v>
      </c>
      <c r="BL110" s="127" t="str">
        <f t="shared" si="113"/>
        <v>321</v>
      </c>
      <c r="BS110"/>
      <c r="CL110" s="28">
        <v>114</v>
      </c>
      <c r="CM110" s="28">
        <v>110</v>
      </c>
      <c r="CO110"/>
    </row>
    <row r="111" spans="2:93" ht="16.5" hidden="1">
      <c r="B111" s="17">
        <v>107</v>
      </c>
      <c r="C111" s="363" t="s">
        <v>137</v>
      </c>
      <c r="D111" s="18">
        <v>2</v>
      </c>
      <c r="E111" s="20">
        <v>6679927800</v>
      </c>
      <c r="F111" s="18">
        <v>35</v>
      </c>
      <c r="G111" s="20">
        <v>63618360</v>
      </c>
      <c r="H111" s="20">
        <v>2181</v>
      </c>
      <c r="I111" s="20">
        <v>1020928</v>
      </c>
      <c r="J111" s="20">
        <v>91651</v>
      </c>
      <c r="K111" s="20">
        <v>48590</v>
      </c>
      <c r="L111" s="20">
        <v>1301235</v>
      </c>
      <c r="M111" s="20">
        <v>5000</v>
      </c>
      <c r="N111" s="167">
        <v>1</v>
      </c>
      <c r="O111" s="167">
        <v>4</v>
      </c>
      <c r="P111" s="167">
        <v>5</v>
      </c>
      <c r="Q111" s="167">
        <v>6</v>
      </c>
      <c r="R111" s="167">
        <v>9</v>
      </c>
      <c r="S111" s="167">
        <v>31</v>
      </c>
      <c r="T111" s="167">
        <v>17</v>
      </c>
      <c r="U111" s="28">
        <f t="shared" si="86"/>
        <v>56</v>
      </c>
      <c r="W111" s="32" t="str">
        <f t="shared" si="69"/>
        <v>홀수</v>
      </c>
      <c r="X111" s="32" t="str">
        <f t="shared" si="70"/>
        <v>짝수</v>
      </c>
      <c r="Y111" s="32" t="str">
        <f t="shared" si="71"/>
        <v>홀수</v>
      </c>
      <c r="Z111" s="32" t="str">
        <f t="shared" si="72"/>
        <v>짝수</v>
      </c>
      <c r="AA111" s="32" t="str">
        <f t="shared" si="73"/>
        <v>홀수</v>
      </c>
      <c r="AB111" s="32" t="str">
        <f t="shared" si="74"/>
        <v>홀수</v>
      </c>
      <c r="AC111" s="58" t="str">
        <f t="shared" si="75"/>
        <v>4 : 2</v>
      </c>
      <c r="AD111" s="32">
        <f t="shared" si="76"/>
        <v>4</v>
      </c>
      <c r="AE111" s="32">
        <f t="shared" si="77"/>
        <v>2</v>
      </c>
      <c r="AF111" s="66" t="str">
        <f t="shared" si="87"/>
        <v>저수</v>
      </c>
      <c r="AG111" s="66" t="str">
        <f t="shared" si="88"/>
        <v>저수</v>
      </c>
      <c r="AH111" s="66" t="str">
        <f t="shared" si="89"/>
        <v>저수</v>
      </c>
      <c r="AI111" s="66" t="str">
        <f t="shared" si="90"/>
        <v>저수</v>
      </c>
      <c r="AJ111" s="66" t="str">
        <f t="shared" si="91"/>
        <v>저수</v>
      </c>
      <c r="AK111" s="66" t="str">
        <f t="shared" si="92"/>
        <v>고수</v>
      </c>
      <c r="AL111" s="58" t="str">
        <f t="shared" si="93"/>
        <v>5 : 1</v>
      </c>
      <c r="AM111" s="66">
        <f t="shared" si="94"/>
        <v>5</v>
      </c>
      <c r="AN111" s="66">
        <f t="shared" si="95"/>
        <v>1</v>
      </c>
      <c r="AO111" s="66">
        <f t="shared" si="96"/>
        <v>26</v>
      </c>
      <c r="AP111" s="66" t="str">
        <f t="shared" si="97"/>
        <v>X</v>
      </c>
      <c r="AQ111" s="66" t="str">
        <f t="shared" si="98"/>
        <v>X</v>
      </c>
      <c r="AR111" s="66" t="str">
        <f t="shared" si="99"/>
        <v>O</v>
      </c>
      <c r="AS111" s="66" t="str">
        <f t="shared" si="100"/>
        <v>X</v>
      </c>
      <c r="AT111" s="66" t="str">
        <f t="shared" si="101"/>
        <v>X</v>
      </c>
      <c r="AU111" s="66" t="str">
        <f t="shared" si="102"/>
        <v>X</v>
      </c>
      <c r="AV111" s="66" t="str">
        <f t="shared" si="103"/>
        <v>X</v>
      </c>
      <c r="AW111" s="66" t="str">
        <f t="shared" si="104"/>
        <v>X</v>
      </c>
      <c r="AX111" s="66" t="str">
        <f t="shared" si="105"/>
        <v>X</v>
      </c>
      <c r="AY111" s="66" t="str">
        <f t="shared" si="106"/>
        <v>X</v>
      </c>
      <c r="AZ111" s="66" t="str">
        <f t="shared" si="107"/>
        <v>X</v>
      </c>
      <c r="BA111" s="66" t="str">
        <f t="shared" si="108"/>
        <v>O</v>
      </c>
      <c r="BB111" s="66">
        <f t="shared" si="109"/>
        <v>2</v>
      </c>
      <c r="BC111" s="127" t="str">
        <f t="shared" si="80"/>
        <v>1G</v>
      </c>
      <c r="BD111" s="127" t="str">
        <f t="shared" si="81"/>
        <v>1G</v>
      </c>
      <c r="BE111" s="127" t="str">
        <f t="shared" si="82"/>
        <v>1G</v>
      </c>
      <c r="BF111" s="127" t="str">
        <f t="shared" si="83"/>
        <v>1G</v>
      </c>
      <c r="BG111" s="127" t="str">
        <f t="shared" si="84"/>
        <v>1G</v>
      </c>
      <c r="BH111" s="127" t="str">
        <f t="shared" si="85"/>
        <v>3G</v>
      </c>
      <c r="BI111" s="127">
        <f t="shared" si="110"/>
        <v>5</v>
      </c>
      <c r="BJ111" s="127">
        <f t="shared" si="111"/>
        <v>0</v>
      </c>
      <c r="BK111" s="127">
        <f t="shared" si="112"/>
        <v>1</v>
      </c>
      <c r="BL111" s="127" t="str">
        <f t="shared" si="113"/>
        <v>501</v>
      </c>
      <c r="BS111"/>
      <c r="CL111" s="28">
        <v>114</v>
      </c>
      <c r="CM111" s="28">
        <v>110</v>
      </c>
      <c r="CO111"/>
    </row>
    <row r="112" spans="2:93" ht="16.5" hidden="1">
      <c r="B112" s="17">
        <v>108</v>
      </c>
      <c r="C112" s="363" t="s">
        <v>138</v>
      </c>
      <c r="D112" s="18">
        <v>7</v>
      </c>
      <c r="E112" s="20">
        <v>1998900772</v>
      </c>
      <c r="F112" s="18">
        <v>41</v>
      </c>
      <c r="G112" s="20">
        <v>56879291</v>
      </c>
      <c r="H112" s="20">
        <v>1462</v>
      </c>
      <c r="I112" s="20">
        <v>1595111</v>
      </c>
      <c r="J112" s="20">
        <v>70827</v>
      </c>
      <c r="K112" s="20">
        <v>65853</v>
      </c>
      <c r="L112" s="20">
        <v>1223421</v>
      </c>
      <c r="M112" s="20">
        <v>5000</v>
      </c>
      <c r="N112" s="167">
        <v>7</v>
      </c>
      <c r="O112" s="167">
        <v>18</v>
      </c>
      <c r="P112" s="167">
        <v>22</v>
      </c>
      <c r="Q112" s="167">
        <v>23</v>
      </c>
      <c r="R112" s="167">
        <v>29</v>
      </c>
      <c r="S112" s="167">
        <v>44</v>
      </c>
      <c r="T112" s="167">
        <v>12</v>
      </c>
      <c r="U112" s="28">
        <f t="shared" si="86"/>
        <v>143</v>
      </c>
      <c r="W112" s="32" t="str">
        <f t="shared" si="69"/>
        <v>홀수</v>
      </c>
      <c r="X112" s="32" t="str">
        <f t="shared" si="70"/>
        <v>짝수</v>
      </c>
      <c r="Y112" s="32" t="str">
        <f t="shared" si="71"/>
        <v>짝수</v>
      </c>
      <c r="Z112" s="32" t="str">
        <f t="shared" si="72"/>
        <v>홀수</v>
      </c>
      <c r="AA112" s="32" t="str">
        <f t="shared" si="73"/>
        <v>홀수</v>
      </c>
      <c r="AB112" s="32" t="str">
        <f t="shared" si="74"/>
        <v>짝수</v>
      </c>
      <c r="AC112" s="58" t="str">
        <f t="shared" si="75"/>
        <v>3 : 3</v>
      </c>
      <c r="AD112" s="32">
        <f t="shared" si="76"/>
        <v>3</v>
      </c>
      <c r="AE112" s="32">
        <f t="shared" si="77"/>
        <v>3</v>
      </c>
      <c r="AF112" s="66" t="str">
        <f t="shared" si="87"/>
        <v>저수</v>
      </c>
      <c r="AG112" s="66" t="str">
        <f t="shared" si="88"/>
        <v>저수</v>
      </c>
      <c r="AH112" s="66" t="str">
        <f t="shared" si="89"/>
        <v>저수</v>
      </c>
      <c r="AI112" s="66" t="str">
        <f t="shared" si="90"/>
        <v>고수</v>
      </c>
      <c r="AJ112" s="66" t="str">
        <f t="shared" si="91"/>
        <v>고수</v>
      </c>
      <c r="AK112" s="66" t="str">
        <f t="shared" si="92"/>
        <v>고수</v>
      </c>
      <c r="AL112" s="58" t="str">
        <f t="shared" si="93"/>
        <v>3 : 3</v>
      </c>
      <c r="AM112" s="66">
        <f t="shared" si="94"/>
        <v>3</v>
      </c>
      <c r="AN112" s="66">
        <f t="shared" si="95"/>
        <v>3</v>
      </c>
      <c r="AO112" s="66">
        <f t="shared" si="96"/>
        <v>33</v>
      </c>
      <c r="AP112" s="66" t="str">
        <f t="shared" si="97"/>
        <v>O</v>
      </c>
      <c r="AQ112" s="66" t="str">
        <f t="shared" si="98"/>
        <v>X</v>
      </c>
      <c r="AR112" s="66" t="str">
        <f t="shared" si="99"/>
        <v>X</v>
      </c>
      <c r="AS112" s="66" t="str">
        <f t="shared" si="100"/>
        <v>X</v>
      </c>
      <c r="AT112" s="66" t="str">
        <f t="shared" si="101"/>
        <v>X</v>
      </c>
      <c r="AU112" s="66" t="str">
        <f t="shared" si="102"/>
        <v>X</v>
      </c>
      <c r="AV112" s="66" t="str">
        <f t="shared" si="103"/>
        <v>X</v>
      </c>
      <c r="AW112" s="66" t="str">
        <f t="shared" si="104"/>
        <v>X</v>
      </c>
      <c r="AX112" s="66" t="str">
        <f t="shared" si="105"/>
        <v>X</v>
      </c>
      <c r="AY112" s="66" t="str">
        <f t="shared" si="106"/>
        <v>O</v>
      </c>
      <c r="AZ112" s="66" t="str">
        <f t="shared" si="107"/>
        <v>O</v>
      </c>
      <c r="BA112" s="66" t="str">
        <f t="shared" si="108"/>
        <v>X</v>
      </c>
      <c r="BB112" s="66">
        <f t="shared" si="109"/>
        <v>3</v>
      </c>
      <c r="BC112" s="127" t="str">
        <f t="shared" si="80"/>
        <v>1G</v>
      </c>
      <c r="BD112" s="127" t="str">
        <f t="shared" si="81"/>
        <v>2G</v>
      </c>
      <c r="BE112" s="127" t="str">
        <f t="shared" si="82"/>
        <v>2G</v>
      </c>
      <c r="BF112" s="127" t="str">
        <f t="shared" si="83"/>
        <v>2G</v>
      </c>
      <c r="BG112" s="127" t="str">
        <f t="shared" si="84"/>
        <v>2G</v>
      </c>
      <c r="BH112" s="127" t="str">
        <f t="shared" si="85"/>
        <v>3G</v>
      </c>
      <c r="BI112" s="127">
        <f t="shared" si="110"/>
        <v>1</v>
      </c>
      <c r="BJ112" s="127">
        <f t="shared" si="111"/>
        <v>4</v>
      </c>
      <c r="BK112" s="127">
        <f t="shared" si="112"/>
        <v>1</v>
      </c>
      <c r="BL112" s="127" t="str">
        <f t="shared" si="113"/>
        <v>141</v>
      </c>
      <c r="BS112"/>
      <c r="CL112" s="28">
        <v>114</v>
      </c>
      <c r="CM112" s="28">
        <v>110</v>
      </c>
      <c r="CO112"/>
    </row>
    <row r="113" spans="1:93" ht="16.5" hidden="1">
      <c r="A113" s="18">
        <v>2005</v>
      </c>
      <c r="B113" s="17">
        <v>109</v>
      </c>
      <c r="C113" s="363" t="s">
        <v>139</v>
      </c>
      <c r="D113" s="18">
        <v>12</v>
      </c>
      <c r="E113" s="20">
        <v>1246838200</v>
      </c>
      <c r="F113" s="18">
        <v>31</v>
      </c>
      <c r="G113" s="20">
        <v>80441175</v>
      </c>
      <c r="H113" s="20">
        <v>1493</v>
      </c>
      <c r="I113" s="20">
        <v>1670246</v>
      </c>
      <c r="J113" s="20">
        <v>73179</v>
      </c>
      <c r="K113" s="20">
        <v>68153</v>
      </c>
      <c r="L113" s="20">
        <v>1271057</v>
      </c>
      <c r="M113" s="20">
        <v>5000</v>
      </c>
      <c r="N113" s="167">
        <v>1</v>
      </c>
      <c r="O113" s="167">
        <v>5</v>
      </c>
      <c r="P113" s="167">
        <v>34</v>
      </c>
      <c r="Q113" s="167">
        <v>36</v>
      </c>
      <c r="R113" s="167">
        <v>42</v>
      </c>
      <c r="S113" s="167">
        <v>44</v>
      </c>
      <c r="T113" s="167">
        <v>33</v>
      </c>
      <c r="U113" s="28">
        <f t="shared" si="86"/>
        <v>162</v>
      </c>
      <c r="W113" s="32" t="str">
        <f t="shared" si="69"/>
        <v>홀수</v>
      </c>
      <c r="X113" s="32" t="str">
        <f t="shared" si="70"/>
        <v>홀수</v>
      </c>
      <c r="Y113" s="32" t="str">
        <f t="shared" si="71"/>
        <v>짝수</v>
      </c>
      <c r="Z113" s="32" t="str">
        <f t="shared" si="72"/>
        <v>짝수</v>
      </c>
      <c r="AA113" s="32" t="str">
        <f t="shared" si="73"/>
        <v>짝수</v>
      </c>
      <c r="AB113" s="32" t="str">
        <f t="shared" si="74"/>
        <v>짝수</v>
      </c>
      <c r="AC113" s="58" t="str">
        <f t="shared" si="75"/>
        <v>2 : 4</v>
      </c>
      <c r="AD113" s="32">
        <f t="shared" si="76"/>
        <v>2</v>
      </c>
      <c r="AE113" s="32">
        <f t="shared" si="77"/>
        <v>4</v>
      </c>
      <c r="AF113" s="66" t="str">
        <f t="shared" si="87"/>
        <v>저수</v>
      </c>
      <c r="AG113" s="66" t="str">
        <f t="shared" si="88"/>
        <v>저수</v>
      </c>
      <c r="AH113" s="66" t="str">
        <f t="shared" si="89"/>
        <v>고수</v>
      </c>
      <c r="AI113" s="66" t="str">
        <f t="shared" si="90"/>
        <v>고수</v>
      </c>
      <c r="AJ113" s="66" t="str">
        <f t="shared" si="91"/>
        <v>고수</v>
      </c>
      <c r="AK113" s="66" t="str">
        <f t="shared" si="92"/>
        <v>고수</v>
      </c>
      <c r="AL113" s="58" t="str">
        <f t="shared" si="93"/>
        <v>2 : 4</v>
      </c>
      <c r="AM113" s="66">
        <f t="shared" si="94"/>
        <v>2</v>
      </c>
      <c r="AN113" s="66">
        <f t="shared" si="95"/>
        <v>4</v>
      </c>
      <c r="AO113" s="66">
        <f t="shared" si="96"/>
        <v>22</v>
      </c>
      <c r="AP113" s="66" t="str">
        <f t="shared" si="97"/>
        <v>X</v>
      </c>
      <c r="AQ113" s="66" t="str">
        <f t="shared" si="98"/>
        <v>O</v>
      </c>
      <c r="AR113" s="66" t="str">
        <f t="shared" si="99"/>
        <v>X</v>
      </c>
      <c r="AS113" s="66" t="str">
        <f t="shared" si="100"/>
        <v>X</v>
      </c>
      <c r="AT113" s="66" t="str">
        <f t="shared" si="101"/>
        <v>X</v>
      </c>
      <c r="AU113" s="66" t="str">
        <f t="shared" si="102"/>
        <v>X</v>
      </c>
      <c r="AV113" s="66" t="str">
        <f t="shared" si="103"/>
        <v>X</v>
      </c>
      <c r="AW113" s="66" t="str">
        <f t="shared" si="104"/>
        <v>X</v>
      </c>
      <c r="AX113" s="66" t="str">
        <f t="shared" si="105"/>
        <v>X</v>
      </c>
      <c r="AY113" s="66" t="str">
        <f t="shared" si="106"/>
        <v>X</v>
      </c>
      <c r="AZ113" s="66" t="str">
        <f t="shared" si="107"/>
        <v>X</v>
      </c>
      <c r="BA113" s="66" t="str">
        <f t="shared" si="108"/>
        <v>X</v>
      </c>
      <c r="BB113" s="66">
        <f t="shared" si="109"/>
        <v>1</v>
      </c>
      <c r="BC113" s="127" t="str">
        <f t="shared" si="80"/>
        <v>1G</v>
      </c>
      <c r="BD113" s="127" t="str">
        <f t="shared" si="81"/>
        <v>1G</v>
      </c>
      <c r="BE113" s="127" t="str">
        <f t="shared" si="82"/>
        <v>3G</v>
      </c>
      <c r="BF113" s="127" t="str">
        <f t="shared" si="83"/>
        <v>3G</v>
      </c>
      <c r="BG113" s="127" t="str">
        <f t="shared" si="84"/>
        <v>3G</v>
      </c>
      <c r="BH113" s="127" t="str">
        <f t="shared" si="85"/>
        <v>3G</v>
      </c>
      <c r="BI113" s="127">
        <f t="shared" si="110"/>
        <v>2</v>
      </c>
      <c r="BJ113" s="127">
        <f t="shared" si="111"/>
        <v>0</v>
      </c>
      <c r="BK113" s="127">
        <f t="shared" si="112"/>
        <v>4</v>
      </c>
      <c r="BL113" s="127" t="str">
        <f t="shared" si="113"/>
        <v>204</v>
      </c>
      <c r="BS113"/>
      <c r="CL113" s="28">
        <v>114</v>
      </c>
      <c r="CM113" s="28">
        <v>110</v>
      </c>
      <c r="CO113"/>
    </row>
    <row r="114" spans="1:93" ht="16.5" hidden="1">
      <c r="B114" s="17">
        <v>110</v>
      </c>
      <c r="C114" s="363" t="s">
        <v>140</v>
      </c>
      <c r="D114" s="18">
        <v>3</v>
      </c>
      <c r="E114" s="20">
        <v>4566262000</v>
      </c>
      <c r="F114" s="18">
        <v>38</v>
      </c>
      <c r="G114" s="20">
        <v>60082395</v>
      </c>
      <c r="H114" s="20">
        <v>1392</v>
      </c>
      <c r="I114" s="20">
        <v>1640181</v>
      </c>
      <c r="J114" s="20">
        <v>73674</v>
      </c>
      <c r="K114" s="20">
        <v>61980</v>
      </c>
      <c r="L114" s="20">
        <v>1196287</v>
      </c>
      <c r="M114" s="20">
        <v>5000</v>
      </c>
      <c r="N114" s="167">
        <v>7</v>
      </c>
      <c r="O114" s="167">
        <v>20</v>
      </c>
      <c r="P114" s="167">
        <v>22</v>
      </c>
      <c r="Q114" s="167">
        <v>23</v>
      </c>
      <c r="R114" s="167">
        <v>29</v>
      </c>
      <c r="S114" s="167">
        <v>43</v>
      </c>
      <c r="T114" s="167">
        <v>1</v>
      </c>
      <c r="U114" s="28">
        <f t="shared" si="86"/>
        <v>144</v>
      </c>
      <c r="W114" s="32" t="str">
        <f t="shared" si="69"/>
        <v>홀수</v>
      </c>
      <c r="X114" s="32" t="str">
        <f t="shared" si="70"/>
        <v>짝수</v>
      </c>
      <c r="Y114" s="32" t="str">
        <f t="shared" si="71"/>
        <v>짝수</v>
      </c>
      <c r="Z114" s="32" t="str">
        <f t="shared" si="72"/>
        <v>홀수</v>
      </c>
      <c r="AA114" s="32" t="str">
        <f t="shared" si="73"/>
        <v>홀수</v>
      </c>
      <c r="AB114" s="32" t="str">
        <f t="shared" si="74"/>
        <v>홀수</v>
      </c>
      <c r="AC114" s="58" t="str">
        <f t="shared" si="75"/>
        <v>4 : 2</v>
      </c>
      <c r="AD114" s="32">
        <f t="shared" si="76"/>
        <v>4</v>
      </c>
      <c r="AE114" s="32">
        <f t="shared" si="77"/>
        <v>2</v>
      </c>
      <c r="AF114" s="66" t="str">
        <f t="shared" si="87"/>
        <v>저수</v>
      </c>
      <c r="AG114" s="66" t="str">
        <f t="shared" si="88"/>
        <v>저수</v>
      </c>
      <c r="AH114" s="66" t="str">
        <f t="shared" si="89"/>
        <v>저수</v>
      </c>
      <c r="AI114" s="66" t="str">
        <f t="shared" si="90"/>
        <v>고수</v>
      </c>
      <c r="AJ114" s="66" t="str">
        <f t="shared" si="91"/>
        <v>고수</v>
      </c>
      <c r="AK114" s="66" t="str">
        <f t="shared" si="92"/>
        <v>고수</v>
      </c>
      <c r="AL114" s="58" t="str">
        <f t="shared" si="93"/>
        <v>3 : 3</v>
      </c>
      <c r="AM114" s="66">
        <f t="shared" si="94"/>
        <v>3</v>
      </c>
      <c r="AN114" s="66">
        <f t="shared" si="95"/>
        <v>3</v>
      </c>
      <c r="AO114" s="66">
        <f t="shared" si="96"/>
        <v>24</v>
      </c>
      <c r="AP114" s="66" t="str">
        <f t="shared" si="97"/>
        <v>O</v>
      </c>
      <c r="AQ114" s="66" t="str">
        <f t="shared" si="98"/>
        <v>X</v>
      </c>
      <c r="AR114" s="66" t="str">
        <f t="shared" si="99"/>
        <v>X</v>
      </c>
      <c r="AS114" s="66" t="str">
        <f t="shared" si="100"/>
        <v>X</v>
      </c>
      <c r="AT114" s="66" t="str">
        <f t="shared" si="101"/>
        <v>X</v>
      </c>
      <c r="AU114" s="66" t="str">
        <f t="shared" si="102"/>
        <v>X</v>
      </c>
      <c r="AV114" s="66" t="str">
        <f t="shared" si="103"/>
        <v>X</v>
      </c>
      <c r="AW114" s="66" t="str">
        <f t="shared" si="104"/>
        <v>X</v>
      </c>
      <c r="AX114" s="66" t="str">
        <f t="shared" si="105"/>
        <v>X</v>
      </c>
      <c r="AY114" s="66" t="str">
        <f t="shared" si="106"/>
        <v>O</v>
      </c>
      <c r="AZ114" s="66" t="str">
        <f t="shared" si="107"/>
        <v>O</v>
      </c>
      <c r="BA114" s="66" t="str">
        <f t="shared" si="108"/>
        <v>O</v>
      </c>
      <c r="BB114" s="66">
        <f t="shared" si="109"/>
        <v>4</v>
      </c>
      <c r="BC114" s="127" t="str">
        <f t="shared" si="80"/>
        <v>1G</v>
      </c>
      <c r="BD114" s="127" t="str">
        <f t="shared" si="81"/>
        <v>2G</v>
      </c>
      <c r="BE114" s="127" t="str">
        <f t="shared" si="82"/>
        <v>2G</v>
      </c>
      <c r="BF114" s="127" t="str">
        <f t="shared" si="83"/>
        <v>2G</v>
      </c>
      <c r="BG114" s="127" t="str">
        <f t="shared" si="84"/>
        <v>2G</v>
      </c>
      <c r="BH114" s="127" t="str">
        <f t="shared" si="85"/>
        <v>3G</v>
      </c>
      <c r="BI114" s="127">
        <f t="shared" si="110"/>
        <v>1</v>
      </c>
      <c r="BJ114" s="127">
        <f t="shared" si="111"/>
        <v>4</v>
      </c>
      <c r="BK114" s="127">
        <f t="shared" si="112"/>
        <v>1</v>
      </c>
      <c r="BL114" s="127" t="str">
        <f t="shared" si="113"/>
        <v>141</v>
      </c>
      <c r="BS114"/>
      <c r="CL114" s="28">
        <v>114</v>
      </c>
      <c r="CM114" s="28">
        <v>110</v>
      </c>
      <c r="CO114"/>
    </row>
    <row r="115" spans="1:93" ht="16.5" hidden="1">
      <c r="B115" s="17">
        <v>111</v>
      </c>
      <c r="C115" s="363" t="s">
        <v>141</v>
      </c>
      <c r="D115" s="18">
        <v>6</v>
      </c>
      <c r="E115" s="20">
        <v>2199047450</v>
      </c>
      <c r="F115" s="18">
        <v>51</v>
      </c>
      <c r="G115" s="20">
        <v>43118578</v>
      </c>
      <c r="H115" s="20">
        <v>1734</v>
      </c>
      <c r="I115" s="20">
        <v>1268194</v>
      </c>
      <c r="J115" s="20">
        <v>86863</v>
      </c>
      <c r="K115" s="20">
        <v>50633</v>
      </c>
      <c r="L115" s="20">
        <v>1389605</v>
      </c>
      <c r="M115" s="20">
        <v>5000</v>
      </c>
      <c r="N115" s="167">
        <v>7</v>
      </c>
      <c r="O115" s="167">
        <v>18</v>
      </c>
      <c r="P115" s="167">
        <v>31</v>
      </c>
      <c r="Q115" s="167">
        <v>33</v>
      </c>
      <c r="R115" s="167">
        <v>36</v>
      </c>
      <c r="S115" s="167">
        <v>40</v>
      </c>
      <c r="T115" s="167">
        <v>27</v>
      </c>
      <c r="U115" s="28">
        <f t="shared" si="86"/>
        <v>165</v>
      </c>
      <c r="W115" s="32" t="str">
        <f t="shared" si="69"/>
        <v>홀수</v>
      </c>
      <c r="X115" s="32" t="str">
        <f t="shared" si="70"/>
        <v>짝수</v>
      </c>
      <c r="Y115" s="32" t="str">
        <f t="shared" si="71"/>
        <v>홀수</v>
      </c>
      <c r="Z115" s="32" t="str">
        <f t="shared" si="72"/>
        <v>홀수</v>
      </c>
      <c r="AA115" s="32" t="str">
        <f t="shared" si="73"/>
        <v>짝수</v>
      </c>
      <c r="AB115" s="32" t="str">
        <f t="shared" si="74"/>
        <v>짝수</v>
      </c>
      <c r="AC115" s="58" t="str">
        <f t="shared" si="75"/>
        <v>3 : 3</v>
      </c>
      <c r="AD115" s="32">
        <f t="shared" si="76"/>
        <v>3</v>
      </c>
      <c r="AE115" s="32">
        <f t="shared" si="77"/>
        <v>3</v>
      </c>
      <c r="AF115" s="66" t="str">
        <f t="shared" si="87"/>
        <v>저수</v>
      </c>
      <c r="AG115" s="66" t="str">
        <f t="shared" si="88"/>
        <v>저수</v>
      </c>
      <c r="AH115" s="66" t="str">
        <f t="shared" si="89"/>
        <v>고수</v>
      </c>
      <c r="AI115" s="66" t="str">
        <f t="shared" si="90"/>
        <v>고수</v>
      </c>
      <c r="AJ115" s="66" t="str">
        <f t="shared" si="91"/>
        <v>고수</v>
      </c>
      <c r="AK115" s="66" t="str">
        <f t="shared" si="92"/>
        <v>고수</v>
      </c>
      <c r="AL115" s="58" t="str">
        <f t="shared" si="93"/>
        <v>2 : 4</v>
      </c>
      <c r="AM115" s="66">
        <f t="shared" si="94"/>
        <v>2</v>
      </c>
      <c r="AN115" s="66">
        <f t="shared" si="95"/>
        <v>4</v>
      </c>
      <c r="AO115" s="66">
        <f t="shared" si="96"/>
        <v>25</v>
      </c>
      <c r="AP115" s="66" t="str">
        <f t="shared" si="97"/>
        <v>O</v>
      </c>
      <c r="AQ115" s="66" t="str">
        <f t="shared" si="98"/>
        <v>X</v>
      </c>
      <c r="AR115" s="66" t="str">
        <f t="shared" si="99"/>
        <v>X</v>
      </c>
      <c r="AS115" s="66" t="str">
        <f t="shared" si="100"/>
        <v>X</v>
      </c>
      <c r="AT115" s="66" t="str">
        <f t="shared" si="101"/>
        <v>X</v>
      </c>
      <c r="AU115" s="66" t="str">
        <f t="shared" si="102"/>
        <v>X</v>
      </c>
      <c r="AV115" s="66" t="str">
        <f t="shared" si="103"/>
        <v>X</v>
      </c>
      <c r="AW115" s="66" t="str">
        <f t="shared" si="104"/>
        <v>X</v>
      </c>
      <c r="AX115" s="66" t="str">
        <f t="shared" si="105"/>
        <v>O</v>
      </c>
      <c r="AY115" s="66" t="str">
        <f t="shared" si="106"/>
        <v>X</v>
      </c>
      <c r="AZ115" s="66" t="str">
        <f t="shared" si="107"/>
        <v>X</v>
      </c>
      <c r="BA115" s="66" t="str">
        <f t="shared" si="108"/>
        <v>X</v>
      </c>
      <c r="BB115" s="66">
        <f t="shared" si="109"/>
        <v>2</v>
      </c>
      <c r="BC115" s="127" t="str">
        <f t="shared" si="80"/>
        <v>1G</v>
      </c>
      <c r="BD115" s="127" t="str">
        <f t="shared" si="81"/>
        <v>2G</v>
      </c>
      <c r="BE115" s="127" t="str">
        <f t="shared" si="82"/>
        <v>3G</v>
      </c>
      <c r="BF115" s="127" t="str">
        <f t="shared" si="83"/>
        <v>3G</v>
      </c>
      <c r="BG115" s="127" t="str">
        <f t="shared" si="84"/>
        <v>3G</v>
      </c>
      <c r="BH115" s="127" t="str">
        <f t="shared" si="85"/>
        <v>3G</v>
      </c>
      <c r="BI115" s="127">
        <f t="shared" si="110"/>
        <v>1</v>
      </c>
      <c r="BJ115" s="127">
        <f t="shared" si="111"/>
        <v>1</v>
      </c>
      <c r="BK115" s="127">
        <f t="shared" si="112"/>
        <v>4</v>
      </c>
      <c r="BL115" s="127" t="str">
        <f t="shared" si="113"/>
        <v>114</v>
      </c>
      <c r="BS115"/>
      <c r="CL115" s="28">
        <v>115</v>
      </c>
      <c r="CM115" s="28">
        <v>110</v>
      </c>
      <c r="CO115"/>
    </row>
    <row r="116" spans="1:93" ht="16.5" hidden="1">
      <c r="B116" s="17">
        <v>112</v>
      </c>
      <c r="C116" s="363" t="s">
        <v>142</v>
      </c>
      <c r="D116" s="18">
        <v>9</v>
      </c>
      <c r="E116" s="20">
        <v>1567271167</v>
      </c>
      <c r="F116" s="18">
        <v>32</v>
      </c>
      <c r="G116" s="20">
        <v>73465836</v>
      </c>
      <c r="H116" s="20">
        <v>1370</v>
      </c>
      <c r="I116" s="20">
        <v>1715991</v>
      </c>
      <c r="J116" s="20">
        <v>70247</v>
      </c>
      <c r="K116" s="20">
        <v>66933</v>
      </c>
      <c r="L116" s="20">
        <v>1227387</v>
      </c>
      <c r="M116" s="20">
        <v>5000</v>
      </c>
      <c r="N116" s="167">
        <v>26</v>
      </c>
      <c r="O116" s="167">
        <v>29</v>
      </c>
      <c r="P116" s="167">
        <v>30</v>
      </c>
      <c r="Q116" s="167">
        <v>33</v>
      </c>
      <c r="R116" s="167">
        <v>41</v>
      </c>
      <c r="S116" s="167">
        <v>42</v>
      </c>
      <c r="T116" s="167">
        <v>43</v>
      </c>
      <c r="U116" s="28">
        <f t="shared" si="86"/>
        <v>201</v>
      </c>
      <c r="W116" s="32" t="str">
        <f t="shared" si="69"/>
        <v>짝수</v>
      </c>
      <c r="X116" s="32" t="str">
        <f t="shared" si="70"/>
        <v>홀수</v>
      </c>
      <c r="Y116" s="32" t="str">
        <f t="shared" si="71"/>
        <v>짝수</v>
      </c>
      <c r="Z116" s="32" t="str">
        <f t="shared" si="72"/>
        <v>홀수</v>
      </c>
      <c r="AA116" s="32" t="str">
        <f t="shared" si="73"/>
        <v>홀수</v>
      </c>
      <c r="AB116" s="32" t="str">
        <f t="shared" si="74"/>
        <v>짝수</v>
      </c>
      <c r="AC116" s="58" t="str">
        <f t="shared" si="75"/>
        <v>3 : 3</v>
      </c>
      <c r="AD116" s="32">
        <f t="shared" si="76"/>
        <v>3</v>
      </c>
      <c r="AE116" s="32">
        <f t="shared" si="77"/>
        <v>3</v>
      </c>
      <c r="AF116" s="66" t="str">
        <f t="shared" si="87"/>
        <v>고수</v>
      </c>
      <c r="AG116" s="66" t="str">
        <f t="shared" si="88"/>
        <v>고수</v>
      </c>
      <c r="AH116" s="66" t="str">
        <f t="shared" si="89"/>
        <v>고수</v>
      </c>
      <c r="AI116" s="66" t="str">
        <f t="shared" si="90"/>
        <v>고수</v>
      </c>
      <c r="AJ116" s="66" t="str">
        <f t="shared" si="91"/>
        <v>고수</v>
      </c>
      <c r="AK116" s="66" t="str">
        <f t="shared" si="92"/>
        <v>고수</v>
      </c>
      <c r="AL116" s="58" t="str">
        <f t="shared" si="93"/>
        <v>0 : 6</v>
      </c>
      <c r="AM116" s="66">
        <f t="shared" si="94"/>
        <v>0</v>
      </c>
      <c r="AN116" s="66">
        <f t="shared" si="95"/>
        <v>6</v>
      </c>
      <c r="AO116" s="66">
        <f t="shared" si="96"/>
        <v>21</v>
      </c>
      <c r="AP116" s="66" t="str">
        <f t="shared" si="97"/>
        <v>X</v>
      </c>
      <c r="AQ116" s="66" t="str">
        <f t="shared" si="98"/>
        <v>X</v>
      </c>
      <c r="AR116" s="66" t="str">
        <f t="shared" si="99"/>
        <v>X</v>
      </c>
      <c r="AS116" s="66" t="str">
        <f t="shared" si="100"/>
        <v>X</v>
      </c>
      <c r="AT116" s="66" t="str">
        <f t="shared" si="101"/>
        <v>X</v>
      </c>
      <c r="AU116" s="66" t="str">
        <f t="shared" si="102"/>
        <v>X</v>
      </c>
      <c r="AV116" s="66" t="str">
        <f t="shared" si="103"/>
        <v>X</v>
      </c>
      <c r="AW116" s="66" t="str">
        <f t="shared" si="104"/>
        <v>O</v>
      </c>
      <c r="AX116" s="66" t="str">
        <f t="shared" si="105"/>
        <v>X</v>
      </c>
      <c r="AY116" s="66" t="str">
        <f t="shared" si="106"/>
        <v>X</v>
      </c>
      <c r="AZ116" s="66" t="str">
        <f t="shared" si="107"/>
        <v>O</v>
      </c>
      <c r="BA116" s="66" t="str">
        <f t="shared" si="108"/>
        <v>X</v>
      </c>
      <c r="BB116" s="66">
        <f t="shared" si="109"/>
        <v>2</v>
      </c>
      <c r="BC116" s="127" t="str">
        <f t="shared" si="80"/>
        <v>2G</v>
      </c>
      <c r="BD116" s="127" t="str">
        <f t="shared" si="81"/>
        <v>2G</v>
      </c>
      <c r="BE116" s="127" t="str">
        <f t="shared" si="82"/>
        <v>2G</v>
      </c>
      <c r="BF116" s="127" t="str">
        <f t="shared" si="83"/>
        <v>3G</v>
      </c>
      <c r="BG116" s="127" t="str">
        <f t="shared" si="84"/>
        <v>3G</v>
      </c>
      <c r="BH116" s="127" t="str">
        <f t="shared" si="85"/>
        <v>3G</v>
      </c>
      <c r="BI116" s="127">
        <f t="shared" si="110"/>
        <v>0</v>
      </c>
      <c r="BJ116" s="127">
        <f t="shared" si="111"/>
        <v>3</v>
      </c>
      <c r="BK116" s="127">
        <f t="shared" si="112"/>
        <v>3</v>
      </c>
      <c r="BL116" s="127" t="str">
        <f t="shared" si="113"/>
        <v>033</v>
      </c>
      <c r="BS116"/>
      <c r="CL116" s="28">
        <v>115</v>
      </c>
      <c r="CM116" s="28">
        <v>110</v>
      </c>
      <c r="CO116"/>
    </row>
    <row r="117" spans="1:93" ht="16.5" hidden="1">
      <c r="B117" s="17">
        <v>113</v>
      </c>
      <c r="C117" s="363" t="s">
        <v>143</v>
      </c>
      <c r="D117" s="18">
        <v>9</v>
      </c>
      <c r="E117" s="20">
        <v>1561528934</v>
      </c>
      <c r="F117" s="18">
        <v>43</v>
      </c>
      <c r="G117" s="20">
        <v>54471940</v>
      </c>
      <c r="H117" s="20">
        <v>1479</v>
      </c>
      <c r="I117" s="20">
        <v>1583701</v>
      </c>
      <c r="J117" s="20">
        <v>72711</v>
      </c>
      <c r="K117" s="20">
        <v>64428</v>
      </c>
      <c r="L117" s="20">
        <v>1241238</v>
      </c>
      <c r="M117" s="20">
        <v>5000</v>
      </c>
      <c r="N117" s="167">
        <v>4</v>
      </c>
      <c r="O117" s="167">
        <v>9</v>
      </c>
      <c r="P117" s="167">
        <v>28</v>
      </c>
      <c r="Q117" s="167">
        <v>33</v>
      </c>
      <c r="R117" s="167">
        <v>36</v>
      </c>
      <c r="S117" s="167">
        <v>45</v>
      </c>
      <c r="T117" s="167">
        <v>26</v>
      </c>
      <c r="U117" s="28">
        <f t="shared" si="86"/>
        <v>155</v>
      </c>
      <c r="W117" s="32" t="str">
        <f t="shared" si="69"/>
        <v>짝수</v>
      </c>
      <c r="X117" s="32" t="str">
        <f t="shared" si="70"/>
        <v>홀수</v>
      </c>
      <c r="Y117" s="32" t="str">
        <f t="shared" si="71"/>
        <v>짝수</v>
      </c>
      <c r="Z117" s="32" t="str">
        <f t="shared" si="72"/>
        <v>홀수</v>
      </c>
      <c r="AA117" s="32" t="str">
        <f t="shared" si="73"/>
        <v>짝수</v>
      </c>
      <c r="AB117" s="32" t="str">
        <f t="shared" si="74"/>
        <v>홀수</v>
      </c>
      <c r="AC117" s="58" t="str">
        <f t="shared" si="75"/>
        <v>3 : 3</v>
      </c>
      <c r="AD117" s="32">
        <f t="shared" si="76"/>
        <v>3</v>
      </c>
      <c r="AE117" s="32">
        <f t="shared" si="77"/>
        <v>3</v>
      </c>
      <c r="AF117" s="66" t="str">
        <f t="shared" si="87"/>
        <v>저수</v>
      </c>
      <c r="AG117" s="66" t="str">
        <f t="shared" si="88"/>
        <v>저수</v>
      </c>
      <c r="AH117" s="66" t="str">
        <f t="shared" si="89"/>
        <v>고수</v>
      </c>
      <c r="AI117" s="66" t="str">
        <f t="shared" si="90"/>
        <v>고수</v>
      </c>
      <c r="AJ117" s="66" t="str">
        <f t="shared" si="91"/>
        <v>고수</v>
      </c>
      <c r="AK117" s="66" t="str">
        <f t="shared" si="92"/>
        <v>고수</v>
      </c>
      <c r="AL117" s="58" t="str">
        <f t="shared" si="93"/>
        <v>2 : 4</v>
      </c>
      <c r="AM117" s="66">
        <f t="shared" si="94"/>
        <v>2</v>
      </c>
      <c r="AN117" s="66">
        <f t="shared" si="95"/>
        <v>4</v>
      </c>
      <c r="AO117" s="66">
        <f t="shared" si="96"/>
        <v>35</v>
      </c>
      <c r="AP117" s="66" t="str">
        <f t="shared" si="97"/>
        <v>X</v>
      </c>
      <c r="AQ117" s="66" t="str">
        <f t="shared" si="98"/>
        <v>X</v>
      </c>
      <c r="AR117" s="66" t="str">
        <f t="shared" si="99"/>
        <v>X</v>
      </c>
      <c r="AS117" s="66" t="str">
        <f t="shared" si="100"/>
        <v>X</v>
      </c>
      <c r="AT117" s="66" t="str">
        <f t="shared" si="101"/>
        <v>X</v>
      </c>
      <c r="AU117" s="66" t="str">
        <f t="shared" si="102"/>
        <v>X</v>
      </c>
      <c r="AV117" s="66" t="str">
        <f t="shared" si="103"/>
        <v>X</v>
      </c>
      <c r="AW117" s="66" t="str">
        <f t="shared" si="104"/>
        <v>X</v>
      </c>
      <c r="AX117" s="66" t="str">
        <f t="shared" si="105"/>
        <v>X</v>
      </c>
      <c r="AY117" s="66" t="str">
        <f t="shared" si="106"/>
        <v>X</v>
      </c>
      <c r="AZ117" s="66" t="str">
        <f t="shared" si="107"/>
        <v>X</v>
      </c>
      <c r="BA117" s="66" t="str">
        <f t="shared" si="108"/>
        <v>X</v>
      </c>
      <c r="BB117" s="66">
        <f t="shared" si="109"/>
        <v>0</v>
      </c>
      <c r="BC117" s="127" t="str">
        <f t="shared" si="80"/>
        <v>1G</v>
      </c>
      <c r="BD117" s="127" t="str">
        <f t="shared" si="81"/>
        <v>1G</v>
      </c>
      <c r="BE117" s="127" t="str">
        <f t="shared" si="82"/>
        <v>2G</v>
      </c>
      <c r="BF117" s="127" t="str">
        <f t="shared" si="83"/>
        <v>3G</v>
      </c>
      <c r="BG117" s="127" t="str">
        <f t="shared" si="84"/>
        <v>3G</v>
      </c>
      <c r="BH117" s="127" t="str">
        <f t="shared" si="85"/>
        <v>3G</v>
      </c>
      <c r="BI117" s="127">
        <f t="shared" si="110"/>
        <v>2</v>
      </c>
      <c r="BJ117" s="127">
        <f t="shared" si="111"/>
        <v>1</v>
      </c>
      <c r="BK117" s="127">
        <f t="shared" si="112"/>
        <v>3</v>
      </c>
      <c r="BL117" s="127" t="str">
        <f t="shared" si="113"/>
        <v>213</v>
      </c>
      <c r="BS117"/>
      <c r="CL117" s="28">
        <v>115</v>
      </c>
      <c r="CM117" s="28">
        <v>110</v>
      </c>
      <c r="CO117"/>
    </row>
    <row r="118" spans="1:93" ht="16.5" hidden="1">
      <c r="B118" s="17">
        <v>114</v>
      </c>
      <c r="C118" s="363" t="s">
        <v>144</v>
      </c>
      <c r="D118" s="18">
        <v>6</v>
      </c>
      <c r="E118" s="20">
        <v>2362345050</v>
      </c>
      <c r="F118" s="18">
        <v>41</v>
      </c>
      <c r="G118" s="20">
        <v>57618172</v>
      </c>
      <c r="H118" s="20">
        <v>1491</v>
      </c>
      <c r="I118" s="20">
        <v>1584404</v>
      </c>
      <c r="J118" s="20">
        <v>78504</v>
      </c>
      <c r="K118" s="20">
        <v>60185</v>
      </c>
      <c r="L118" s="20">
        <v>1283250</v>
      </c>
      <c r="M118" s="20">
        <v>5000</v>
      </c>
      <c r="N118" s="167">
        <v>11</v>
      </c>
      <c r="O118" s="167">
        <v>14</v>
      </c>
      <c r="P118" s="167">
        <v>19</v>
      </c>
      <c r="Q118" s="167">
        <v>26</v>
      </c>
      <c r="R118" s="167">
        <v>28</v>
      </c>
      <c r="S118" s="167">
        <v>41</v>
      </c>
      <c r="T118" s="167">
        <v>2</v>
      </c>
      <c r="U118" s="28">
        <f t="shared" si="86"/>
        <v>139</v>
      </c>
      <c r="W118" s="32" t="str">
        <f t="shared" ref="W118:W181" si="116">IF(RIGHT(N118,1)="1","홀수",IF(RIGHT(N118,1)="3","홀수",IF(RIGHT(N118,1)="5","홀수",IF(RIGHT(N118,1)="7","홀수",IF(RIGHT(N118,1)="9","홀수","짝수")))))</f>
        <v>홀수</v>
      </c>
      <c r="X118" s="32" t="str">
        <f t="shared" ref="X118:X181" si="117">IF(RIGHT(O118,1)="1","홀수",IF(RIGHT(O118,1)="3","홀수",IF(RIGHT(O118,1)="5","홀수",IF(RIGHT(O118,1)="7","홀수",IF(RIGHT(O118,1)="9","홀수","짝수")))))</f>
        <v>짝수</v>
      </c>
      <c r="Y118" s="32" t="str">
        <f t="shared" ref="Y118:Y181" si="118">IF(RIGHT(P118,1)="1","홀수",IF(RIGHT(P118,1)="3","홀수",IF(RIGHT(P118,1)="5","홀수",IF(RIGHT(P118,1)="7","홀수",IF(RIGHT(P118,1)="9","홀수","짝수")))))</f>
        <v>홀수</v>
      </c>
      <c r="Z118" s="32" t="str">
        <f t="shared" ref="Z118:Z181" si="119">IF(RIGHT(Q118,1)="1","홀수",IF(RIGHT(Q118,1)="3","홀수",IF(RIGHT(Q118,1)="5","홀수",IF(RIGHT(Q118,1)="7","홀수",IF(RIGHT(Q118,1)="9","홀수","짝수")))))</f>
        <v>짝수</v>
      </c>
      <c r="AA118" s="32" t="str">
        <f t="shared" ref="AA118:AA181" si="120">IF(RIGHT(R118,1)="1","홀수",IF(RIGHT(R118,1)="3","홀수",IF(RIGHT(R118,1)="5","홀수",IF(RIGHT(R118,1)="7","홀수",IF(RIGHT(R118,1)="9","홀수","짝수")))))</f>
        <v>짝수</v>
      </c>
      <c r="AB118" s="32" t="str">
        <f t="shared" ref="AB118:AB181" si="121">IF(RIGHT(S118,1)="1","홀수",IF(RIGHT(S118,1)="3","홀수",IF(RIGHT(S118,1)="5","홀수",IF(RIGHT(S118,1)="7","홀수",IF(RIGHT(S118,1)="9","홀수","짝수")))))</f>
        <v>홀수</v>
      </c>
      <c r="AC118" s="58" t="str">
        <f t="shared" ref="AC118:AC181" si="122">AD118&amp;" : "&amp;AE118</f>
        <v>3 : 3</v>
      </c>
      <c r="AD118" s="32">
        <f t="shared" ref="AD118:AD181" si="123">COUNTIF(W118:AB118,"홀수")</f>
        <v>3</v>
      </c>
      <c r="AE118" s="32">
        <f t="shared" ref="AE118:AE181" si="124">COUNTIF(W118:AB118,"짝수")</f>
        <v>3</v>
      </c>
      <c r="AF118" s="66" t="str">
        <f t="shared" si="87"/>
        <v>저수</v>
      </c>
      <c r="AG118" s="66" t="str">
        <f t="shared" si="88"/>
        <v>저수</v>
      </c>
      <c r="AH118" s="66" t="str">
        <f t="shared" si="89"/>
        <v>저수</v>
      </c>
      <c r="AI118" s="66" t="str">
        <f t="shared" si="90"/>
        <v>고수</v>
      </c>
      <c r="AJ118" s="66" t="str">
        <f t="shared" si="91"/>
        <v>고수</v>
      </c>
      <c r="AK118" s="66" t="str">
        <f t="shared" si="92"/>
        <v>고수</v>
      </c>
      <c r="AL118" s="58" t="str">
        <f t="shared" si="93"/>
        <v>3 : 3</v>
      </c>
      <c r="AM118" s="66">
        <f t="shared" si="94"/>
        <v>3</v>
      </c>
      <c r="AN118" s="66">
        <f t="shared" si="95"/>
        <v>3</v>
      </c>
      <c r="AO118" s="66">
        <f t="shared" si="96"/>
        <v>29</v>
      </c>
      <c r="AP118" s="66" t="str">
        <f t="shared" si="97"/>
        <v>O</v>
      </c>
      <c r="AQ118" s="66" t="str">
        <f t="shared" si="98"/>
        <v>X</v>
      </c>
      <c r="AR118" s="66" t="str">
        <f t="shared" si="99"/>
        <v>O</v>
      </c>
      <c r="AS118" s="66" t="str">
        <f t="shared" si="100"/>
        <v>X</v>
      </c>
      <c r="AT118" s="66" t="str">
        <f t="shared" si="101"/>
        <v>X</v>
      </c>
      <c r="AU118" s="66" t="str">
        <f t="shared" si="102"/>
        <v>X</v>
      </c>
      <c r="AV118" s="66" t="str">
        <f t="shared" si="103"/>
        <v>X</v>
      </c>
      <c r="AW118" s="66" t="str">
        <f t="shared" si="104"/>
        <v>X</v>
      </c>
      <c r="AX118" s="66" t="str">
        <f t="shared" si="105"/>
        <v>X</v>
      </c>
      <c r="AY118" s="66" t="str">
        <f t="shared" si="106"/>
        <v>X</v>
      </c>
      <c r="AZ118" s="66" t="str">
        <f t="shared" si="107"/>
        <v>X</v>
      </c>
      <c r="BA118" s="66" t="str">
        <f t="shared" si="108"/>
        <v>O</v>
      </c>
      <c r="BB118" s="66">
        <f t="shared" si="109"/>
        <v>3</v>
      </c>
      <c r="BC118" s="127" t="str">
        <f t="shared" si="80"/>
        <v>1G</v>
      </c>
      <c r="BD118" s="127" t="str">
        <f t="shared" si="81"/>
        <v>1G</v>
      </c>
      <c r="BE118" s="127" t="str">
        <f t="shared" si="82"/>
        <v>2G</v>
      </c>
      <c r="BF118" s="127" t="str">
        <f t="shared" si="83"/>
        <v>2G</v>
      </c>
      <c r="BG118" s="127" t="str">
        <f t="shared" si="84"/>
        <v>2G</v>
      </c>
      <c r="BH118" s="127" t="str">
        <f t="shared" si="85"/>
        <v>3G</v>
      </c>
      <c r="BI118" s="127">
        <f t="shared" si="110"/>
        <v>2</v>
      </c>
      <c r="BJ118" s="127">
        <f t="shared" si="111"/>
        <v>3</v>
      </c>
      <c r="BK118" s="127">
        <f t="shared" si="112"/>
        <v>1</v>
      </c>
      <c r="BL118" s="127" t="str">
        <f t="shared" si="113"/>
        <v>231</v>
      </c>
      <c r="BS118"/>
      <c r="CL118" s="28">
        <v>116</v>
      </c>
      <c r="CM118" s="28">
        <v>110</v>
      </c>
      <c r="CO118"/>
    </row>
    <row r="119" spans="1:93" ht="16.5" hidden="1">
      <c r="B119" s="17">
        <v>115</v>
      </c>
      <c r="C119" s="363" t="s">
        <v>145</v>
      </c>
      <c r="D119" s="18">
        <v>9</v>
      </c>
      <c r="E119" s="20">
        <v>1488589567</v>
      </c>
      <c r="F119" s="18">
        <v>34</v>
      </c>
      <c r="G119" s="20">
        <v>65673070</v>
      </c>
      <c r="H119" s="20">
        <v>1990</v>
      </c>
      <c r="I119" s="20">
        <v>1122053</v>
      </c>
      <c r="J119" s="20">
        <v>91627</v>
      </c>
      <c r="K119" s="20">
        <v>48739</v>
      </c>
      <c r="L119" s="20">
        <v>1447287</v>
      </c>
      <c r="M119" s="20">
        <v>5000</v>
      </c>
      <c r="N119" s="167">
        <v>1</v>
      </c>
      <c r="O119" s="167">
        <v>2</v>
      </c>
      <c r="P119" s="167">
        <v>6</v>
      </c>
      <c r="Q119" s="167">
        <v>9</v>
      </c>
      <c r="R119" s="167">
        <v>25</v>
      </c>
      <c r="S119" s="167">
        <v>28</v>
      </c>
      <c r="T119" s="167">
        <v>31</v>
      </c>
      <c r="U119" s="28">
        <f t="shared" si="86"/>
        <v>71</v>
      </c>
      <c r="W119" s="32" t="str">
        <f t="shared" si="116"/>
        <v>홀수</v>
      </c>
      <c r="X119" s="32" t="str">
        <f t="shared" si="117"/>
        <v>짝수</v>
      </c>
      <c r="Y119" s="32" t="str">
        <f t="shared" si="118"/>
        <v>짝수</v>
      </c>
      <c r="Z119" s="32" t="str">
        <f t="shared" si="119"/>
        <v>홀수</v>
      </c>
      <c r="AA119" s="32" t="str">
        <f t="shared" si="120"/>
        <v>홀수</v>
      </c>
      <c r="AB119" s="32" t="str">
        <f t="shared" si="121"/>
        <v>짝수</v>
      </c>
      <c r="AC119" s="58" t="str">
        <f t="shared" si="122"/>
        <v>3 : 3</v>
      </c>
      <c r="AD119" s="32">
        <f t="shared" si="123"/>
        <v>3</v>
      </c>
      <c r="AE119" s="32">
        <f t="shared" si="124"/>
        <v>3</v>
      </c>
      <c r="AF119" s="66" t="str">
        <f t="shared" si="87"/>
        <v>저수</v>
      </c>
      <c r="AG119" s="66" t="str">
        <f t="shared" si="88"/>
        <v>저수</v>
      </c>
      <c r="AH119" s="66" t="str">
        <f t="shared" si="89"/>
        <v>저수</v>
      </c>
      <c r="AI119" s="66" t="str">
        <f t="shared" si="90"/>
        <v>저수</v>
      </c>
      <c r="AJ119" s="66" t="str">
        <f t="shared" si="91"/>
        <v>고수</v>
      </c>
      <c r="AK119" s="66" t="str">
        <f t="shared" si="92"/>
        <v>고수</v>
      </c>
      <c r="AL119" s="58" t="str">
        <f t="shared" si="93"/>
        <v>4 : 2</v>
      </c>
      <c r="AM119" s="66">
        <f t="shared" si="94"/>
        <v>4</v>
      </c>
      <c r="AN119" s="66">
        <f t="shared" si="95"/>
        <v>2</v>
      </c>
      <c r="AO119" s="66">
        <f t="shared" si="96"/>
        <v>31</v>
      </c>
      <c r="AP119" s="66" t="str">
        <f t="shared" si="97"/>
        <v>X</v>
      </c>
      <c r="AQ119" s="66" t="str">
        <f t="shared" si="98"/>
        <v>O</v>
      </c>
      <c r="AR119" s="66" t="str">
        <f t="shared" si="99"/>
        <v>X</v>
      </c>
      <c r="AS119" s="66" t="str">
        <f t="shared" si="100"/>
        <v>X</v>
      </c>
      <c r="AT119" s="66" t="str">
        <f t="shared" si="101"/>
        <v>X</v>
      </c>
      <c r="AU119" s="66" t="str">
        <f t="shared" si="102"/>
        <v>X</v>
      </c>
      <c r="AV119" s="66" t="str">
        <f t="shared" si="103"/>
        <v>X</v>
      </c>
      <c r="AW119" s="66" t="str">
        <f t="shared" si="104"/>
        <v>X</v>
      </c>
      <c r="AX119" s="66" t="str">
        <f t="shared" si="105"/>
        <v>X</v>
      </c>
      <c r="AY119" s="66" t="str">
        <f t="shared" si="106"/>
        <v>X</v>
      </c>
      <c r="AZ119" s="66" t="str">
        <f t="shared" si="107"/>
        <v>X</v>
      </c>
      <c r="BA119" s="66" t="str">
        <f t="shared" si="108"/>
        <v>X</v>
      </c>
      <c r="BB119" s="66">
        <f t="shared" si="109"/>
        <v>1</v>
      </c>
      <c r="BC119" s="127" t="str">
        <f t="shared" si="80"/>
        <v>1G</v>
      </c>
      <c r="BD119" s="127" t="str">
        <f t="shared" si="81"/>
        <v>1G</v>
      </c>
      <c r="BE119" s="127" t="str">
        <f t="shared" si="82"/>
        <v>1G</v>
      </c>
      <c r="BF119" s="127" t="str">
        <f t="shared" si="83"/>
        <v>1G</v>
      </c>
      <c r="BG119" s="127" t="str">
        <f t="shared" si="84"/>
        <v>2G</v>
      </c>
      <c r="BH119" s="127" t="str">
        <f t="shared" si="85"/>
        <v>2G</v>
      </c>
      <c r="BI119" s="127">
        <f t="shared" si="110"/>
        <v>4</v>
      </c>
      <c r="BJ119" s="127">
        <f t="shared" si="111"/>
        <v>2</v>
      </c>
      <c r="BK119" s="127">
        <f t="shared" si="112"/>
        <v>0</v>
      </c>
      <c r="BL119" s="127" t="str">
        <f t="shared" si="113"/>
        <v>420</v>
      </c>
      <c r="BS119"/>
      <c r="CL119" s="28">
        <v>116</v>
      </c>
      <c r="CM119" s="28">
        <v>110</v>
      </c>
      <c r="CO119"/>
    </row>
    <row r="120" spans="1:93" ht="16.5" hidden="1">
      <c r="B120" s="17">
        <v>116</v>
      </c>
      <c r="C120" s="363" t="s">
        <v>146</v>
      </c>
      <c r="D120" s="18">
        <v>7</v>
      </c>
      <c r="E120" s="20">
        <v>1997747315</v>
      </c>
      <c r="F120" s="18">
        <v>56</v>
      </c>
      <c r="G120" s="20">
        <v>41619736</v>
      </c>
      <c r="H120" s="20">
        <v>1735</v>
      </c>
      <c r="I120" s="20">
        <v>1343346</v>
      </c>
      <c r="J120" s="20">
        <v>91897</v>
      </c>
      <c r="K120" s="20">
        <v>50725</v>
      </c>
      <c r="L120" s="20">
        <v>1499198</v>
      </c>
      <c r="M120" s="20">
        <v>5000</v>
      </c>
      <c r="N120" s="167">
        <v>2</v>
      </c>
      <c r="O120" s="167">
        <v>4</v>
      </c>
      <c r="P120" s="167">
        <v>25</v>
      </c>
      <c r="Q120" s="167">
        <v>31</v>
      </c>
      <c r="R120" s="167">
        <v>34</v>
      </c>
      <c r="S120" s="167">
        <v>37</v>
      </c>
      <c r="T120" s="167">
        <v>17</v>
      </c>
      <c r="U120" s="28">
        <f t="shared" si="86"/>
        <v>133</v>
      </c>
      <c r="W120" s="32" t="str">
        <f t="shared" si="116"/>
        <v>짝수</v>
      </c>
      <c r="X120" s="32" t="str">
        <f t="shared" si="117"/>
        <v>짝수</v>
      </c>
      <c r="Y120" s="32" t="str">
        <f t="shared" si="118"/>
        <v>홀수</v>
      </c>
      <c r="Z120" s="32" t="str">
        <f t="shared" si="119"/>
        <v>홀수</v>
      </c>
      <c r="AA120" s="32" t="str">
        <f t="shared" si="120"/>
        <v>짝수</v>
      </c>
      <c r="AB120" s="32" t="str">
        <f t="shared" si="121"/>
        <v>홀수</v>
      </c>
      <c r="AC120" s="58" t="str">
        <f t="shared" si="122"/>
        <v>3 : 3</v>
      </c>
      <c r="AD120" s="32">
        <f t="shared" si="123"/>
        <v>3</v>
      </c>
      <c r="AE120" s="32">
        <f t="shared" si="124"/>
        <v>3</v>
      </c>
      <c r="AF120" s="66" t="str">
        <f t="shared" si="87"/>
        <v>저수</v>
      </c>
      <c r="AG120" s="66" t="str">
        <f t="shared" si="88"/>
        <v>저수</v>
      </c>
      <c r="AH120" s="66" t="str">
        <f t="shared" si="89"/>
        <v>고수</v>
      </c>
      <c r="AI120" s="66" t="str">
        <f t="shared" si="90"/>
        <v>고수</v>
      </c>
      <c r="AJ120" s="66" t="str">
        <f t="shared" si="91"/>
        <v>고수</v>
      </c>
      <c r="AK120" s="66" t="str">
        <f t="shared" si="92"/>
        <v>고수</v>
      </c>
      <c r="AL120" s="58" t="str">
        <f t="shared" si="93"/>
        <v>2 : 4</v>
      </c>
      <c r="AM120" s="66">
        <f t="shared" si="94"/>
        <v>2</v>
      </c>
      <c r="AN120" s="66">
        <f t="shared" si="95"/>
        <v>4</v>
      </c>
      <c r="AO120" s="66">
        <f t="shared" si="96"/>
        <v>23</v>
      </c>
      <c r="AP120" s="66" t="str">
        <f t="shared" si="97"/>
        <v>O</v>
      </c>
      <c r="AQ120" s="66" t="str">
        <f t="shared" si="98"/>
        <v>X</v>
      </c>
      <c r="AR120" s="66" t="str">
        <f t="shared" si="99"/>
        <v>X</v>
      </c>
      <c r="AS120" s="66" t="str">
        <f t="shared" si="100"/>
        <v>X</v>
      </c>
      <c r="AT120" s="66" t="str">
        <f t="shared" si="101"/>
        <v>X</v>
      </c>
      <c r="AU120" s="66" t="str">
        <f t="shared" si="102"/>
        <v>X</v>
      </c>
      <c r="AV120" s="66" t="str">
        <f t="shared" si="103"/>
        <v>X</v>
      </c>
      <c r="AW120" s="66" t="str">
        <f t="shared" si="104"/>
        <v>X</v>
      </c>
      <c r="AX120" s="66" t="str">
        <f t="shared" si="105"/>
        <v>X</v>
      </c>
      <c r="AY120" s="66" t="str">
        <f t="shared" si="106"/>
        <v>O</v>
      </c>
      <c r="AZ120" s="66" t="str">
        <f t="shared" si="107"/>
        <v>X</v>
      </c>
      <c r="BA120" s="66" t="str">
        <f t="shared" si="108"/>
        <v>O</v>
      </c>
      <c r="BB120" s="66">
        <f t="shared" si="109"/>
        <v>3</v>
      </c>
      <c r="BC120" s="127" t="str">
        <f t="shared" si="80"/>
        <v>1G</v>
      </c>
      <c r="BD120" s="127" t="str">
        <f t="shared" si="81"/>
        <v>1G</v>
      </c>
      <c r="BE120" s="127" t="str">
        <f t="shared" si="82"/>
        <v>2G</v>
      </c>
      <c r="BF120" s="127" t="str">
        <f t="shared" si="83"/>
        <v>3G</v>
      </c>
      <c r="BG120" s="127" t="str">
        <f t="shared" si="84"/>
        <v>3G</v>
      </c>
      <c r="BH120" s="127" t="str">
        <f t="shared" si="85"/>
        <v>3G</v>
      </c>
      <c r="BI120" s="127">
        <f t="shared" si="110"/>
        <v>2</v>
      </c>
      <c r="BJ120" s="127">
        <f t="shared" si="111"/>
        <v>1</v>
      </c>
      <c r="BK120" s="127">
        <f t="shared" si="112"/>
        <v>3</v>
      </c>
      <c r="BL120" s="127" t="str">
        <f t="shared" si="113"/>
        <v>213</v>
      </c>
      <c r="BS120"/>
      <c r="CL120" s="28">
        <v>116</v>
      </c>
      <c r="CM120" s="28">
        <v>110</v>
      </c>
      <c r="CO120"/>
    </row>
    <row r="121" spans="1:93" ht="16.5" hidden="1">
      <c r="B121" s="17">
        <v>117</v>
      </c>
      <c r="C121" s="363" t="s">
        <v>147</v>
      </c>
      <c r="D121" s="18">
        <v>9</v>
      </c>
      <c r="E121" s="20">
        <v>1558378334</v>
      </c>
      <c r="F121" s="18">
        <v>50</v>
      </c>
      <c r="G121" s="20">
        <v>46751350</v>
      </c>
      <c r="H121" s="20">
        <v>1642</v>
      </c>
      <c r="I121" s="20">
        <v>1423610</v>
      </c>
      <c r="J121" s="20">
        <v>78361</v>
      </c>
      <c r="K121" s="20">
        <v>59662</v>
      </c>
      <c r="L121" s="20">
        <v>1267826</v>
      </c>
      <c r="M121" s="20">
        <v>5000</v>
      </c>
      <c r="N121" s="167">
        <v>5</v>
      </c>
      <c r="O121" s="167">
        <v>10</v>
      </c>
      <c r="P121" s="167">
        <v>22</v>
      </c>
      <c r="Q121" s="167">
        <v>34</v>
      </c>
      <c r="R121" s="167">
        <v>36</v>
      </c>
      <c r="S121" s="167">
        <v>44</v>
      </c>
      <c r="T121" s="167">
        <v>35</v>
      </c>
      <c r="U121" s="28">
        <f t="shared" si="86"/>
        <v>151</v>
      </c>
      <c r="W121" s="32" t="str">
        <f t="shared" si="116"/>
        <v>홀수</v>
      </c>
      <c r="X121" s="32" t="str">
        <f t="shared" si="117"/>
        <v>짝수</v>
      </c>
      <c r="Y121" s="32" t="str">
        <f t="shared" si="118"/>
        <v>짝수</v>
      </c>
      <c r="Z121" s="32" t="str">
        <f t="shared" si="119"/>
        <v>짝수</v>
      </c>
      <c r="AA121" s="32" t="str">
        <f t="shared" si="120"/>
        <v>짝수</v>
      </c>
      <c r="AB121" s="32" t="str">
        <f t="shared" si="121"/>
        <v>짝수</v>
      </c>
      <c r="AC121" s="58" t="str">
        <f t="shared" si="122"/>
        <v>1 : 5</v>
      </c>
      <c r="AD121" s="32">
        <f t="shared" si="123"/>
        <v>1</v>
      </c>
      <c r="AE121" s="32">
        <f t="shared" si="124"/>
        <v>5</v>
      </c>
      <c r="AF121" s="66" t="str">
        <f t="shared" si="87"/>
        <v>저수</v>
      </c>
      <c r="AG121" s="66" t="str">
        <f t="shared" si="88"/>
        <v>저수</v>
      </c>
      <c r="AH121" s="66" t="str">
        <f t="shared" si="89"/>
        <v>저수</v>
      </c>
      <c r="AI121" s="66" t="str">
        <f t="shared" si="90"/>
        <v>고수</v>
      </c>
      <c r="AJ121" s="66" t="str">
        <f t="shared" si="91"/>
        <v>고수</v>
      </c>
      <c r="AK121" s="66" t="str">
        <f t="shared" si="92"/>
        <v>고수</v>
      </c>
      <c r="AL121" s="58" t="str">
        <f t="shared" si="93"/>
        <v>3 : 3</v>
      </c>
      <c r="AM121" s="66">
        <f t="shared" si="94"/>
        <v>3</v>
      </c>
      <c r="AN121" s="66">
        <f t="shared" si="95"/>
        <v>3</v>
      </c>
      <c r="AO121" s="66">
        <f t="shared" si="96"/>
        <v>21</v>
      </c>
      <c r="AP121" s="66" t="str">
        <f t="shared" si="97"/>
        <v>O</v>
      </c>
      <c r="AQ121" s="66" t="str">
        <f t="shared" si="98"/>
        <v>X</v>
      </c>
      <c r="AR121" s="66" t="str">
        <f t="shared" si="99"/>
        <v>X</v>
      </c>
      <c r="AS121" s="66" t="str">
        <f t="shared" si="100"/>
        <v>X</v>
      </c>
      <c r="AT121" s="66" t="str">
        <f t="shared" si="101"/>
        <v>X</v>
      </c>
      <c r="AU121" s="66" t="str">
        <f t="shared" si="102"/>
        <v>X</v>
      </c>
      <c r="AV121" s="66" t="str">
        <f t="shared" si="103"/>
        <v>X</v>
      </c>
      <c r="AW121" s="66" t="str">
        <f t="shared" si="104"/>
        <v>X</v>
      </c>
      <c r="AX121" s="66" t="str">
        <f t="shared" si="105"/>
        <v>X</v>
      </c>
      <c r="AY121" s="66" t="str">
        <f t="shared" si="106"/>
        <v>X</v>
      </c>
      <c r="AZ121" s="66" t="str">
        <f t="shared" si="107"/>
        <v>X</v>
      </c>
      <c r="BA121" s="66" t="str">
        <f t="shared" si="108"/>
        <v>X</v>
      </c>
      <c r="BB121" s="66">
        <f t="shared" si="109"/>
        <v>1</v>
      </c>
      <c r="BC121" s="127" t="str">
        <f t="shared" si="80"/>
        <v>1G</v>
      </c>
      <c r="BD121" s="127" t="str">
        <f t="shared" si="81"/>
        <v>1G</v>
      </c>
      <c r="BE121" s="127" t="str">
        <f t="shared" si="82"/>
        <v>2G</v>
      </c>
      <c r="BF121" s="127" t="str">
        <f t="shared" si="83"/>
        <v>3G</v>
      </c>
      <c r="BG121" s="127" t="str">
        <f t="shared" si="84"/>
        <v>3G</v>
      </c>
      <c r="BH121" s="127" t="str">
        <f t="shared" si="85"/>
        <v>3G</v>
      </c>
      <c r="BI121" s="127">
        <f t="shared" si="110"/>
        <v>2</v>
      </c>
      <c r="BJ121" s="127">
        <f t="shared" si="111"/>
        <v>1</v>
      </c>
      <c r="BK121" s="127">
        <f t="shared" si="112"/>
        <v>3</v>
      </c>
      <c r="BL121" s="127" t="str">
        <f t="shared" si="113"/>
        <v>213</v>
      </c>
      <c r="BS121"/>
      <c r="CL121" s="28">
        <v>116</v>
      </c>
      <c r="CM121" s="28">
        <v>110</v>
      </c>
      <c r="CO121"/>
    </row>
    <row r="122" spans="1:93" ht="16.5" hidden="1">
      <c r="B122" s="17">
        <v>118</v>
      </c>
      <c r="C122" s="363" t="s">
        <v>148</v>
      </c>
      <c r="D122" s="18">
        <v>10</v>
      </c>
      <c r="E122" s="20">
        <v>1297989720</v>
      </c>
      <c r="F122" s="18">
        <v>41</v>
      </c>
      <c r="G122" s="20">
        <v>52763810</v>
      </c>
      <c r="H122" s="20">
        <v>1671</v>
      </c>
      <c r="I122" s="20">
        <v>1294624</v>
      </c>
      <c r="J122" s="20">
        <v>83233</v>
      </c>
      <c r="K122" s="20">
        <v>51983</v>
      </c>
      <c r="L122" s="20">
        <v>1390561</v>
      </c>
      <c r="M122" s="20">
        <v>5000</v>
      </c>
      <c r="N122" s="167">
        <v>3</v>
      </c>
      <c r="O122" s="167">
        <v>4</v>
      </c>
      <c r="P122" s="167">
        <v>10</v>
      </c>
      <c r="Q122" s="167">
        <v>17</v>
      </c>
      <c r="R122" s="167">
        <v>19</v>
      </c>
      <c r="S122" s="167">
        <v>22</v>
      </c>
      <c r="T122" s="167">
        <v>38</v>
      </c>
      <c r="U122" s="28">
        <f t="shared" si="86"/>
        <v>75</v>
      </c>
      <c r="W122" s="32" t="str">
        <f t="shared" si="116"/>
        <v>홀수</v>
      </c>
      <c r="X122" s="32" t="str">
        <f t="shared" si="117"/>
        <v>짝수</v>
      </c>
      <c r="Y122" s="32" t="str">
        <f t="shared" si="118"/>
        <v>짝수</v>
      </c>
      <c r="Z122" s="32" t="str">
        <f t="shared" si="119"/>
        <v>홀수</v>
      </c>
      <c r="AA122" s="32" t="str">
        <f t="shared" si="120"/>
        <v>홀수</v>
      </c>
      <c r="AB122" s="32" t="str">
        <f t="shared" si="121"/>
        <v>짝수</v>
      </c>
      <c r="AC122" s="58" t="str">
        <f t="shared" si="122"/>
        <v>3 : 3</v>
      </c>
      <c r="AD122" s="32">
        <f t="shared" si="123"/>
        <v>3</v>
      </c>
      <c r="AE122" s="32">
        <f t="shared" si="124"/>
        <v>3</v>
      </c>
      <c r="AF122" s="66" t="str">
        <f t="shared" si="87"/>
        <v>저수</v>
      </c>
      <c r="AG122" s="66" t="str">
        <f t="shared" si="88"/>
        <v>저수</v>
      </c>
      <c r="AH122" s="66" t="str">
        <f t="shared" si="89"/>
        <v>저수</v>
      </c>
      <c r="AI122" s="66" t="str">
        <f t="shared" si="90"/>
        <v>저수</v>
      </c>
      <c r="AJ122" s="66" t="str">
        <f t="shared" si="91"/>
        <v>저수</v>
      </c>
      <c r="AK122" s="66" t="str">
        <f t="shared" si="92"/>
        <v>저수</v>
      </c>
      <c r="AL122" s="58" t="str">
        <f t="shared" si="93"/>
        <v>6 : 0</v>
      </c>
      <c r="AM122" s="66">
        <f t="shared" si="94"/>
        <v>6</v>
      </c>
      <c r="AN122" s="66">
        <f t="shared" si="95"/>
        <v>0</v>
      </c>
      <c r="AO122" s="66">
        <f t="shared" si="96"/>
        <v>25</v>
      </c>
      <c r="AP122" s="66" t="str">
        <f t="shared" si="97"/>
        <v>O</v>
      </c>
      <c r="AQ122" s="66" t="str">
        <f t="shared" si="98"/>
        <v>X</v>
      </c>
      <c r="AR122" s="66" t="str">
        <f t="shared" si="99"/>
        <v>X</v>
      </c>
      <c r="AS122" s="66" t="str">
        <f t="shared" si="100"/>
        <v>O</v>
      </c>
      <c r="AT122" s="66" t="str">
        <f t="shared" si="101"/>
        <v>O</v>
      </c>
      <c r="AU122" s="66" t="str">
        <f t="shared" si="102"/>
        <v>X</v>
      </c>
      <c r="AV122" s="66" t="str">
        <f t="shared" si="103"/>
        <v>X</v>
      </c>
      <c r="AW122" s="66" t="str">
        <f t="shared" si="104"/>
        <v>X</v>
      </c>
      <c r="AX122" s="66" t="str">
        <f t="shared" si="105"/>
        <v>X</v>
      </c>
      <c r="AY122" s="66" t="str">
        <f t="shared" si="106"/>
        <v>X</v>
      </c>
      <c r="AZ122" s="66" t="str">
        <f t="shared" si="107"/>
        <v>X</v>
      </c>
      <c r="BA122" s="66" t="str">
        <f t="shared" si="108"/>
        <v>X</v>
      </c>
      <c r="BB122" s="66">
        <f t="shared" si="109"/>
        <v>3</v>
      </c>
      <c r="BC122" s="127" t="str">
        <f t="shared" si="80"/>
        <v>1G</v>
      </c>
      <c r="BD122" s="127" t="str">
        <f t="shared" si="81"/>
        <v>1G</v>
      </c>
      <c r="BE122" s="127" t="str">
        <f t="shared" si="82"/>
        <v>1G</v>
      </c>
      <c r="BF122" s="127" t="str">
        <f t="shared" si="83"/>
        <v>2G</v>
      </c>
      <c r="BG122" s="127" t="str">
        <f t="shared" si="84"/>
        <v>2G</v>
      </c>
      <c r="BH122" s="127" t="str">
        <f t="shared" si="85"/>
        <v>2G</v>
      </c>
      <c r="BI122" s="127">
        <f t="shared" si="110"/>
        <v>3</v>
      </c>
      <c r="BJ122" s="127">
        <f t="shared" si="111"/>
        <v>3</v>
      </c>
      <c r="BK122" s="127">
        <f t="shared" si="112"/>
        <v>0</v>
      </c>
      <c r="BL122" s="127" t="str">
        <f t="shared" si="113"/>
        <v>330</v>
      </c>
      <c r="BS122"/>
      <c r="CL122" s="28">
        <v>116</v>
      </c>
      <c r="CM122" s="28">
        <v>110</v>
      </c>
      <c r="CO122"/>
    </row>
    <row r="123" spans="1:93" ht="16.5" hidden="1">
      <c r="B123" s="17">
        <v>119</v>
      </c>
      <c r="C123" s="363" t="s">
        <v>149</v>
      </c>
      <c r="D123" s="18">
        <v>9</v>
      </c>
      <c r="E123" s="20">
        <v>1474899400</v>
      </c>
      <c r="F123" s="18">
        <v>49</v>
      </c>
      <c r="G123" s="20">
        <v>45149982</v>
      </c>
      <c r="H123" s="20">
        <v>1936</v>
      </c>
      <c r="I123" s="20">
        <v>1142743</v>
      </c>
      <c r="J123" s="20">
        <v>85327</v>
      </c>
      <c r="K123" s="20">
        <v>51856</v>
      </c>
      <c r="L123" s="20">
        <v>1355365</v>
      </c>
      <c r="M123" s="20">
        <v>5000</v>
      </c>
      <c r="N123" s="167">
        <v>3</v>
      </c>
      <c r="O123" s="167">
        <v>11</v>
      </c>
      <c r="P123" s="167">
        <v>13</v>
      </c>
      <c r="Q123" s="167">
        <v>14</v>
      </c>
      <c r="R123" s="167">
        <v>17</v>
      </c>
      <c r="S123" s="167">
        <v>21</v>
      </c>
      <c r="T123" s="167">
        <v>38</v>
      </c>
      <c r="U123" s="28">
        <f t="shared" si="86"/>
        <v>79</v>
      </c>
      <c r="W123" s="32" t="str">
        <f t="shared" si="116"/>
        <v>홀수</v>
      </c>
      <c r="X123" s="32" t="str">
        <f t="shared" si="117"/>
        <v>홀수</v>
      </c>
      <c r="Y123" s="32" t="str">
        <f t="shared" si="118"/>
        <v>홀수</v>
      </c>
      <c r="Z123" s="32" t="str">
        <f t="shared" si="119"/>
        <v>짝수</v>
      </c>
      <c r="AA123" s="32" t="str">
        <f t="shared" si="120"/>
        <v>홀수</v>
      </c>
      <c r="AB123" s="32" t="str">
        <f t="shared" si="121"/>
        <v>홀수</v>
      </c>
      <c r="AC123" s="58" t="str">
        <f t="shared" si="122"/>
        <v>5 : 1</v>
      </c>
      <c r="AD123" s="32">
        <f t="shared" si="123"/>
        <v>5</v>
      </c>
      <c r="AE123" s="32">
        <f t="shared" si="124"/>
        <v>1</v>
      </c>
      <c r="AF123" s="66" t="str">
        <f t="shared" si="87"/>
        <v>저수</v>
      </c>
      <c r="AG123" s="66" t="str">
        <f t="shared" si="88"/>
        <v>저수</v>
      </c>
      <c r="AH123" s="66" t="str">
        <f t="shared" si="89"/>
        <v>저수</v>
      </c>
      <c r="AI123" s="66" t="str">
        <f t="shared" si="90"/>
        <v>저수</v>
      </c>
      <c r="AJ123" s="66" t="str">
        <f t="shared" si="91"/>
        <v>저수</v>
      </c>
      <c r="AK123" s="66" t="str">
        <f t="shared" si="92"/>
        <v>저수</v>
      </c>
      <c r="AL123" s="58" t="str">
        <f t="shared" si="93"/>
        <v>6 : 0</v>
      </c>
      <c r="AM123" s="66">
        <f t="shared" si="94"/>
        <v>6</v>
      </c>
      <c r="AN123" s="66">
        <f t="shared" si="95"/>
        <v>0</v>
      </c>
      <c r="AO123" s="66">
        <f t="shared" si="96"/>
        <v>19</v>
      </c>
      <c r="AP123" s="66" t="str">
        <f t="shared" si="97"/>
        <v>O</v>
      </c>
      <c r="AQ123" s="66" t="str">
        <f t="shared" si="98"/>
        <v>O</v>
      </c>
      <c r="AR123" s="66" t="str">
        <f t="shared" si="99"/>
        <v>O</v>
      </c>
      <c r="AS123" s="66" t="str">
        <f t="shared" si="100"/>
        <v>X</v>
      </c>
      <c r="AT123" s="66" t="str">
        <f t="shared" si="101"/>
        <v>O</v>
      </c>
      <c r="AU123" s="66" t="str">
        <f t="shared" si="102"/>
        <v>X</v>
      </c>
      <c r="AV123" s="66" t="str">
        <f t="shared" si="103"/>
        <v>X</v>
      </c>
      <c r="AW123" s="66" t="str">
        <f t="shared" si="104"/>
        <v>X</v>
      </c>
      <c r="AX123" s="66" t="str">
        <f t="shared" si="105"/>
        <v>X</v>
      </c>
      <c r="AY123" s="66" t="str">
        <f t="shared" si="106"/>
        <v>X</v>
      </c>
      <c r="AZ123" s="66" t="str">
        <f t="shared" si="107"/>
        <v>X</v>
      </c>
      <c r="BA123" s="66" t="str">
        <f t="shared" si="108"/>
        <v>X</v>
      </c>
      <c r="BB123" s="66">
        <f t="shared" si="109"/>
        <v>4</v>
      </c>
      <c r="BC123" s="127" t="str">
        <f t="shared" si="80"/>
        <v>1G</v>
      </c>
      <c r="BD123" s="127" t="str">
        <f t="shared" si="81"/>
        <v>1G</v>
      </c>
      <c r="BE123" s="127" t="str">
        <f t="shared" si="82"/>
        <v>1G</v>
      </c>
      <c r="BF123" s="127" t="str">
        <f t="shared" si="83"/>
        <v>1G</v>
      </c>
      <c r="BG123" s="127" t="str">
        <f t="shared" si="84"/>
        <v>2G</v>
      </c>
      <c r="BH123" s="127" t="str">
        <f t="shared" si="85"/>
        <v>2G</v>
      </c>
      <c r="BI123" s="127">
        <f t="shared" si="110"/>
        <v>4</v>
      </c>
      <c r="BJ123" s="127">
        <f t="shared" si="111"/>
        <v>2</v>
      </c>
      <c r="BK123" s="127">
        <f t="shared" si="112"/>
        <v>0</v>
      </c>
      <c r="BL123" s="127" t="str">
        <f t="shared" si="113"/>
        <v>420</v>
      </c>
      <c r="BS123"/>
      <c r="CL123" s="28">
        <v>116</v>
      </c>
      <c r="CM123" s="28">
        <v>110</v>
      </c>
      <c r="CO123"/>
    </row>
    <row r="124" spans="1:93" ht="16.5" hidden="1">
      <c r="B124" s="17">
        <v>120</v>
      </c>
      <c r="C124" s="363" t="s">
        <v>150</v>
      </c>
      <c r="D124" s="18">
        <v>3</v>
      </c>
      <c r="E124" s="20">
        <v>4364530300</v>
      </c>
      <c r="F124" s="18">
        <v>31</v>
      </c>
      <c r="G124" s="20">
        <v>70395650</v>
      </c>
      <c r="H124" s="20">
        <v>1605</v>
      </c>
      <c r="I124" s="20">
        <v>1359667</v>
      </c>
      <c r="J124" s="20">
        <v>80400</v>
      </c>
      <c r="K124" s="20">
        <v>54286</v>
      </c>
      <c r="L124" s="20">
        <v>1377368</v>
      </c>
      <c r="M124" s="20">
        <v>5000</v>
      </c>
      <c r="N124" s="167">
        <v>4</v>
      </c>
      <c r="O124" s="167">
        <v>6</v>
      </c>
      <c r="P124" s="167">
        <v>10</v>
      </c>
      <c r="Q124" s="167">
        <v>11</v>
      </c>
      <c r="R124" s="167">
        <v>32</v>
      </c>
      <c r="S124" s="167">
        <v>37</v>
      </c>
      <c r="T124" s="167">
        <v>30</v>
      </c>
      <c r="U124" s="28">
        <f t="shared" si="86"/>
        <v>100</v>
      </c>
      <c r="W124" s="32" t="str">
        <f t="shared" si="116"/>
        <v>짝수</v>
      </c>
      <c r="X124" s="32" t="str">
        <f t="shared" si="117"/>
        <v>짝수</v>
      </c>
      <c r="Y124" s="32" t="str">
        <f t="shared" si="118"/>
        <v>짝수</v>
      </c>
      <c r="Z124" s="32" t="str">
        <f t="shared" si="119"/>
        <v>홀수</v>
      </c>
      <c r="AA124" s="32" t="str">
        <f t="shared" si="120"/>
        <v>짝수</v>
      </c>
      <c r="AB124" s="32" t="str">
        <f t="shared" si="121"/>
        <v>홀수</v>
      </c>
      <c r="AC124" s="58" t="str">
        <f t="shared" si="122"/>
        <v>2 : 4</v>
      </c>
      <c r="AD124" s="32">
        <f t="shared" si="123"/>
        <v>2</v>
      </c>
      <c r="AE124" s="32">
        <f t="shared" si="124"/>
        <v>4</v>
      </c>
      <c r="AF124" s="66" t="str">
        <f t="shared" si="87"/>
        <v>저수</v>
      </c>
      <c r="AG124" s="66" t="str">
        <f t="shared" si="88"/>
        <v>저수</v>
      </c>
      <c r="AH124" s="66" t="str">
        <f t="shared" si="89"/>
        <v>저수</v>
      </c>
      <c r="AI124" s="66" t="str">
        <f t="shared" si="90"/>
        <v>저수</v>
      </c>
      <c r="AJ124" s="66" t="str">
        <f t="shared" si="91"/>
        <v>고수</v>
      </c>
      <c r="AK124" s="66" t="str">
        <f t="shared" si="92"/>
        <v>고수</v>
      </c>
      <c r="AL124" s="58" t="str">
        <f t="shared" si="93"/>
        <v>4 : 2</v>
      </c>
      <c r="AM124" s="66">
        <f t="shared" si="94"/>
        <v>4</v>
      </c>
      <c r="AN124" s="66">
        <f t="shared" si="95"/>
        <v>2</v>
      </c>
      <c r="AO124" s="66">
        <f t="shared" si="96"/>
        <v>20</v>
      </c>
      <c r="AP124" s="66" t="str">
        <f t="shared" si="97"/>
        <v>X</v>
      </c>
      <c r="AQ124" s="66" t="str">
        <f t="shared" si="98"/>
        <v>X</v>
      </c>
      <c r="AR124" s="66" t="str">
        <f t="shared" si="99"/>
        <v>X</v>
      </c>
      <c r="AS124" s="66" t="str">
        <f t="shared" si="100"/>
        <v>O</v>
      </c>
      <c r="AT124" s="66" t="str">
        <f t="shared" si="101"/>
        <v>X</v>
      </c>
      <c r="AU124" s="66" t="str">
        <f t="shared" si="102"/>
        <v>X</v>
      </c>
      <c r="AV124" s="66" t="str">
        <f t="shared" si="103"/>
        <v>X</v>
      </c>
      <c r="AW124" s="66" t="str">
        <f t="shared" si="104"/>
        <v>X</v>
      </c>
      <c r="AX124" s="66" t="str">
        <f t="shared" si="105"/>
        <v>X</v>
      </c>
      <c r="AY124" s="66" t="str">
        <f t="shared" si="106"/>
        <v>X</v>
      </c>
      <c r="AZ124" s="66" t="str">
        <f t="shared" si="107"/>
        <v>X</v>
      </c>
      <c r="BA124" s="66" t="str">
        <f t="shared" si="108"/>
        <v>O</v>
      </c>
      <c r="BB124" s="66">
        <f t="shared" si="109"/>
        <v>2</v>
      </c>
      <c r="BC124" s="127" t="str">
        <f t="shared" si="80"/>
        <v>1G</v>
      </c>
      <c r="BD124" s="127" t="str">
        <f t="shared" si="81"/>
        <v>1G</v>
      </c>
      <c r="BE124" s="127" t="str">
        <f t="shared" si="82"/>
        <v>1G</v>
      </c>
      <c r="BF124" s="127" t="str">
        <f t="shared" si="83"/>
        <v>1G</v>
      </c>
      <c r="BG124" s="127" t="str">
        <f t="shared" si="84"/>
        <v>3G</v>
      </c>
      <c r="BH124" s="127" t="str">
        <f t="shared" si="85"/>
        <v>3G</v>
      </c>
      <c r="BI124" s="127">
        <f t="shared" si="110"/>
        <v>4</v>
      </c>
      <c r="BJ124" s="127">
        <f t="shared" si="111"/>
        <v>0</v>
      </c>
      <c r="BK124" s="127">
        <f t="shared" si="112"/>
        <v>2</v>
      </c>
      <c r="BL124" s="127" t="str">
        <f t="shared" si="113"/>
        <v>402</v>
      </c>
      <c r="BS124"/>
      <c r="CL124" s="28">
        <v>116</v>
      </c>
      <c r="CM124" s="28">
        <v>110</v>
      </c>
      <c r="CO124"/>
    </row>
    <row r="125" spans="1:93" ht="16.5" hidden="1">
      <c r="B125" s="17">
        <v>121</v>
      </c>
      <c r="C125" s="363" t="s">
        <v>151</v>
      </c>
      <c r="D125" s="18">
        <v>2</v>
      </c>
      <c r="E125" s="20">
        <v>6839648100</v>
      </c>
      <c r="F125" s="18">
        <v>31</v>
      </c>
      <c r="G125" s="20">
        <v>73544604</v>
      </c>
      <c r="H125" s="20">
        <v>1342</v>
      </c>
      <c r="I125" s="20">
        <v>1698870</v>
      </c>
      <c r="J125" s="20">
        <v>67464</v>
      </c>
      <c r="K125" s="20">
        <v>67589</v>
      </c>
      <c r="L125" s="20">
        <v>1153689</v>
      </c>
      <c r="M125" s="20">
        <v>5000</v>
      </c>
      <c r="N125" s="167">
        <v>12</v>
      </c>
      <c r="O125" s="167">
        <v>28</v>
      </c>
      <c r="P125" s="167">
        <v>30</v>
      </c>
      <c r="Q125" s="167">
        <v>34</v>
      </c>
      <c r="R125" s="167">
        <v>38</v>
      </c>
      <c r="S125" s="167">
        <v>43</v>
      </c>
      <c r="T125" s="167">
        <v>9</v>
      </c>
      <c r="U125" s="28">
        <f t="shared" si="86"/>
        <v>185</v>
      </c>
      <c r="W125" s="32" t="str">
        <f t="shared" si="116"/>
        <v>짝수</v>
      </c>
      <c r="X125" s="32" t="str">
        <f t="shared" si="117"/>
        <v>짝수</v>
      </c>
      <c r="Y125" s="32" t="str">
        <f t="shared" si="118"/>
        <v>짝수</v>
      </c>
      <c r="Z125" s="32" t="str">
        <f t="shared" si="119"/>
        <v>짝수</v>
      </c>
      <c r="AA125" s="32" t="str">
        <f t="shared" si="120"/>
        <v>짝수</v>
      </c>
      <c r="AB125" s="32" t="str">
        <f t="shared" si="121"/>
        <v>홀수</v>
      </c>
      <c r="AC125" s="58" t="str">
        <f t="shared" si="122"/>
        <v>1 : 5</v>
      </c>
      <c r="AD125" s="32">
        <f t="shared" si="123"/>
        <v>1</v>
      </c>
      <c r="AE125" s="32">
        <f t="shared" si="124"/>
        <v>5</v>
      </c>
      <c r="AF125" s="66" t="str">
        <f t="shared" si="87"/>
        <v>저수</v>
      </c>
      <c r="AG125" s="66" t="str">
        <f t="shared" si="88"/>
        <v>고수</v>
      </c>
      <c r="AH125" s="66" t="str">
        <f t="shared" si="89"/>
        <v>고수</v>
      </c>
      <c r="AI125" s="66" t="str">
        <f t="shared" si="90"/>
        <v>고수</v>
      </c>
      <c r="AJ125" s="66" t="str">
        <f t="shared" si="91"/>
        <v>고수</v>
      </c>
      <c r="AK125" s="66" t="str">
        <f t="shared" si="92"/>
        <v>고수</v>
      </c>
      <c r="AL125" s="58" t="str">
        <f t="shared" si="93"/>
        <v>1 : 5</v>
      </c>
      <c r="AM125" s="66">
        <f t="shared" si="94"/>
        <v>1</v>
      </c>
      <c r="AN125" s="66">
        <f t="shared" si="95"/>
        <v>5</v>
      </c>
      <c r="AO125" s="66">
        <f t="shared" si="96"/>
        <v>25</v>
      </c>
      <c r="AP125" s="66" t="str">
        <f t="shared" si="97"/>
        <v>X</v>
      </c>
      <c r="AQ125" s="66" t="str">
        <f t="shared" si="98"/>
        <v>X</v>
      </c>
      <c r="AR125" s="66" t="str">
        <f t="shared" si="99"/>
        <v>X</v>
      </c>
      <c r="AS125" s="66" t="str">
        <f t="shared" si="100"/>
        <v>X</v>
      </c>
      <c r="AT125" s="66" t="str">
        <f t="shared" si="101"/>
        <v>X</v>
      </c>
      <c r="AU125" s="66" t="str">
        <f t="shared" si="102"/>
        <v>X</v>
      </c>
      <c r="AV125" s="66" t="str">
        <f t="shared" si="103"/>
        <v>X</v>
      </c>
      <c r="AW125" s="66" t="str">
        <f t="shared" si="104"/>
        <v>X</v>
      </c>
      <c r="AX125" s="66" t="str">
        <f t="shared" si="105"/>
        <v>X</v>
      </c>
      <c r="AY125" s="66" t="str">
        <f t="shared" si="106"/>
        <v>X</v>
      </c>
      <c r="AZ125" s="66" t="str">
        <f t="shared" si="107"/>
        <v>X</v>
      </c>
      <c r="BA125" s="66" t="str">
        <f t="shared" si="108"/>
        <v>O</v>
      </c>
      <c r="BB125" s="66">
        <f t="shared" si="109"/>
        <v>1</v>
      </c>
      <c r="BC125" s="127" t="str">
        <f t="shared" si="80"/>
        <v>1G</v>
      </c>
      <c r="BD125" s="127" t="str">
        <f t="shared" si="81"/>
        <v>2G</v>
      </c>
      <c r="BE125" s="127" t="str">
        <f t="shared" si="82"/>
        <v>2G</v>
      </c>
      <c r="BF125" s="127" t="str">
        <f t="shared" si="83"/>
        <v>3G</v>
      </c>
      <c r="BG125" s="127" t="str">
        <f t="shared" si="84"/>
        <v>3G</v>
      </c>
      <c r="BH125" s="127" t="str">
        <f t="shared" si="85"/>
        <v>3G</v>
      </c>
      <c r="BI125" s="127">
        <f t="shared" si="110"/>
        <v>1</v>
      </c>
      <c r="BJ125" s="127">
        <f t="shared" si="111"/>
        <v>2</v>
      </c>
      <c r="BK125" s="127">
        <f t="shared" si="112"/>
        <v>3</v>
      </c>
      <c r="BL125" s="127" t="str">
        <f t="shared" si="113"/>
        <v>123</v>
      </c>
      <c r="BS125"/>
      <c r="CL125" s="28">
        <v>117</v>
      </c>
      <c r="CM125" s="28">
        <v>110</v>
      </c>
      <c r="CO125"/>
    </row>
    <row r="126" spans="1:93" ht="16.5" hidden="1">
      <c r="B126" s="17">
        <v>122</v>
      </c>
      <c r="C126" s="363" t="s">
        <v>152</v>
      </c>
      <c r="D126" s="18">
        <v>9</v>
      </c>
      <c r="E126" s="20">
        <v>1450073800</v>
      </c>
      <c r="F126" s="18">
        <v>38</v>
      </c>
      <c r="G126" s="20">
        <v>57239756</v>
      </c>
      <c r="H126" s="20">
        <v>1403</v>
      </c>
      <c r="I126" s="20">
        <v>1550329</v>
      </c>
      <c r="J126" s="20">
        <v>72518</v>
      </c>
      <c r="K126" s="20">
        <v>59989</v>
      </c>
      <c r="L126" s="20">
        <v>1266949</v>
      </c>
      <c r="M126" s="20">
        <v>5000</v>
      </c>
      <c r="N126" s="167">
        <v>1</v>
      </c>
      <c r="O126" s="167">
        <v>11</v>
      </c>
      <c r="P126" s="167">
        <v>16</v>
      </c>
      <c r="Q126" s="167">
        <v>17</v>
      </c>
      <c r="R126" s="167">
        <v>36</v>
      </c>
      <c r="S126" s="167">
        <v>40</v>
      </c>
      <c r="T126" s="167">
        <v>8</v>
      </c>
      <c r="U126" s="28">
        <f t="shared" si="86"/>
        <v>121</v>
      </c>
      <c r="W126" s="32" t="str">
        <f t="shared" si="116"/>
        <v>홀수</v>
      </c>
      <c r="X126" s="32" t="str">
        <f t="shared" si="117"/>
        <v>홀수</v>
      </c>
      <c r="Y126" s="32" t="str">
        <f t="shared" si="118"/>
        <v>짝수</v>
      </c>
      <c r="Z126" s="32" t="str">
        <f t="shared" si="119"/>
        <v>홀수</v>
      </c>
      <c r="AA126" s="32" t="str">
        <f t="shared" si="120"/>
        <v>짝수</v>
      </c>
      <c r="AB126" s="32" t="str">
        <f t="shared" si="121"/>
        <v>짝수</v>
      </c>
      <c r="AC126" s="58" t="str">
        <f t="shared" si="122"/>
        <v>3 : 3</v>
      </c>
      <c r="AD126" s="32">
        <f t="shared" si="123"/>
        <v>3</v>
      </c>
      <c r="AE126" s="32">
        <f t="shared" si="124"/>
        <v>3</v>
      </c>
      <c r="AF126" s="66" t="str">
        <f t="shared" si="87"/>
        <v>저수</v>
      </c>
      <c r="AG126" s="66" t="str">
        <f t="shared" si="88"/>
        <v>저수</v>
      </c>
      <c r="AH126" s="66" t="str">
        <f t="shared" si="89"/>
        <v>저수</v>
      </c>
      <c r="AI126" s="66" t="str">
        <f t="shared" si="90"/>
        <v>저수</v>
      </c>
      <c r="AJ126" s="66" t="str">
        <f t="shared" si="91"/>
        <v>고수</v>
      </c>
      <c r="AK126" s="66" t="str">
        <f t="shared" si="92"/>
        <v>고수</v>
      </c>
      <c r="AL126" s="58" t="str">
        <f t="shared" si="93"/>
        <v>4 : 2</v>
      </c>
      <c r="AM126" s="66">
        <f t="shared" si="94"/>
        <v>4</v>
      </c>
      <c r="AN126" s="66">
        <f t="shared" si="95"/>
        <v>2</v>
      </c>
      <c r="AO126" s="66">
        <f t="shared" si="96"/>
        <v>21</v>
      </c>
      <c r="AP126" s="66" t="str">
        <f t="shared" si="97"/>
        <v>X</v>
      </c>
      <c r="AQ126" s="66" t="str">
        <f t="shared" si="98"/>
        <v>O</v>
      </c>
      <c r="AR126" s="66" t="str">
        <f t="shared" si="99"/>
        <v>X</v>
      </c>
      <c r="AS126" s="66" t="str">
        <f t="shared" si="100"/>
        <v>O</v>
      </c>
      <c r="AT126" s="66" t="str">
        <f t="shared" si="101"/>
        <v>X</v>
      </c>
      <c r="AU126" s="66" t="str">
        <f t="shared" si="102"/>
        <v>X</v>
      </c>
      <c r="AV126" s="66" t="str">
        <f t="shared" si="103"/>
        <v>X</v>
      </c>
      <c r="AW126" s="66" t="str">
        <f t="shared" si="104"/>
        <v>X</v>
      </c>
      <c r="AX126" s="66" t="str">
        <f t="shared" si="105"/>
        <v>X</v>
      </c>
      <c r="AY126" s="66" t="str">
        <f t="shared" si="106"/>
        <v>X</v>
      </c>
      <c r="AZ126" s="66" t="str">
        <f t="shared" si="107"/>
        <v>X</v>
      </c>
      <c r="BA126" s="66" t="str">
        <f t="shared" si="108"/>
        <v>X</v>
      </c>
      <c r="BB126" s="66">
        <f t="shared" si="109"/>
        <v>2</v>
      </c>
      <c r="BC126" s="127" t="str">
        <f t="shared" si="80"/>
        <v>1G</v>
      </c>
      <c r="BD126" s="127" t="str">
        <f t="shared" si="81"/>
        <v>1G</v>
      </c>
      <c r="BE126" s="127" t="str">
        <f t="shared" si="82"/>
        <v>2G</v>
      </c>
      <c r="BF126" s="127" t="str">
        <f t="shared" si="83"/>
        <v>2G</v>
      </c>
      <c r="BG126" s="127" t="str">
        <f t="shared" si="84"/>
        <v>3G</v>
      </c>
      <c r="BH126" s="127" t="str">
        <f t="shared" si="85"/>
        <v>3G</v>
      </c>
      <c r="BI126" s="127">
        <f t="shared" si="110"/>
        <v>2</v>
      </c>
      <c r="BJ126" s="127">
        <f t="shared" si="111"/>
        <v>2</v>
      </c>
      <c r="BK126" s="127">
        <f t="shared" si="112"/>
        <v>2</v>
      </c>
      <c r="BL126" s="127" t="str">
        <f t="shared" si="113"/>
        <v>222</v>
      </c>
      <c r="BS126"/>
      <c r="CL126" s="28">
        <v>117</v>
      </c>
      <c r="CM126" s="28">
        <v>110</v>
      </c>
      <c r="CO126"/>
    </row>
    <row r="127" spans="1:93" ht="16.5" hidden="1">
      <c r="B127" s="17">
        <v>123</v>
      </c>
      <c r="C127" s="363" t="s">
        <v>153</v>
      </c>
      <c r="D127" s="18">
        <v>5</v>
      </c>
      <c r="E127" s="20">
        <v>2532982680</v>
      </c>
      <c r="F127" s="18">
        <v>38</v>
      </c>
      <c r="G127" s="20">
        <v>55547866</v>
      </c>
      <c r="H127" s="20">
        <v>1477</v>
      </c>
      <c r="I127" s="20">
        <v>1429126</v>
      </c>
      <c r="J127" s="20">
        <v>72742</v>
      </c>
      <c r="K127" s="20">
        <v>58036</v>
      </c>
      <c r="L127" s="20">
        <v>1188107</v>
      </c>
      <c r="M127" s="20">
        <v>5000</v>
      </c>
      <c r="N127" s="167">
        <v>7</v>
      </c>
      <c r="O127" s="167">
        <v>17</v>
      </c>
      <c r="P127" s="167">
        <v>18</v>
      </c>
      <c r="Q127" s="167">
        <v>28</v>
      </c>
      <c r="R127" s="167">
        <v>30</v>
      </c>
      <c r="S127" s="167">
        <v>45</v>
      </c>
      <c r="T127" s="167">
        <v>27</v>
      </c>
      <c r="U127" s="28">
        <f t="shared" si="86"/>
        <v>145</v>
      </c>
      <c r="W127" s="32" t="str">
        <f t="shared" si="116"/>
        <v>홀수</v>
      </c>
      <c r="X127" s="32" t="str">
        <f t="shared" si="117"/>
        <v>홀수</v>
      </c>
      <c r="Y127" s="32" t="str">
        <f t="shared" si="118"/>
        <v>짝수</v>
      </c>
      <c r="Z127" s="32" t="str">
        <f t="shared" si="119"/>
        <v>짝수</v>
      </c>
      <c r="AA127" s="32" t="str">
        <f t="shared" si="120"/>
        <v>짝수</v>
      </c>
      <c r="AB127" s="32" t="str">
        <f t="shared" si="121"/>
        <v>홀수</v>
      </c>
      <c r="AC127" s="58" t="str">
        <f t="shared" si="122"/>
        <v>3 : 3</v>
      </c>
      <c r="AD127" s="32">
        <f t="shared" si="123"/>
        <v>3</v>
      </c>
      <c r="AE127" s="32">
        <f t="shared" si="124"/>
        <v>3</v>
      </c>
      <c r="AF127" s="66" t="str">
        <f t="shared" si="87"/>
        <v>저수</v>
      </c>
      <c r="AG127" s="66" t="str">
        <f t="shared" si="88"/>
        <v>저수</v>
      </c>
      <c r="AH127" s="66" t="str">
        <f t="shared" si="89"/>
        <v>저수</v>
      </c>
      <c r="AI127" s="66" t="str">
        <f t="shared" si="90"/>
        <v>고수</v>
      </c>
      <c r="AJ127" s="66" t="str">
        <f t="shared" si="91"/>
        <v>고수</v>
      </c>
      <c r="AK127" s="66" t="str">
        <f t="shared" si="92"/>
        <v>고수</v>
      </c>
      <c r="AL127" s="58" t="str">
        <f t="shared" si="93"/>
        <v>3 : 3</v>
      </c>
      <c r="AM127" s="66">
        <f t="shared" si="94"/>
        <v>3</v>
      </c>
      <c r="AN127" s="66">
        <f t="shared" si="95"/>
        <v>3</v>
      </c>
      <c r="AO127" s="66">
        <f t="shared" si="96"/>
        <v>35</v>
      </c>
      <c r="AP127" s="66" t="str">
        <f t="shared" si="97"/>
        <v>O</v>
      </c>
      <c r="AQ127" s="66" t="str">
        <f t="shared" si="98"/>
        <v>O</v>
      </c>
      <c r="AR127" s="66" t="str">
        <f t="shared" si="99"/>
        <v>X</v>
      </c>
      <c r="AS127" s="66" t="str">
        <f t="shared" si="100"/>
        <v>X</v>
      </c>
      <c r="AT127" s="66" t="str">
        <f t="shared" si="101"/>
        <v>X</v>
      </c>
      <c r="AU127" s="66" t="str">
        <f t="shared" si="102"/>
        <v>X</v>
      </c>
      <c r="AV127" s="66" t="str">
        <f t="shared" si="103"/>
        <v>X</v>
      </c>
      <c r="AW127" s="66" t="str">
        <f t="shared" si="104"/>
        <v>X</v>
      </c>
      <c r="AX127" s="66" t="str">
        <f t="shared" si="105"/>
        <v>X</v>
      </c>
      <c r="AY127" s="66" t="str">
        <f t="shared" si="106"/>
        <v>X</v>
      </c>
      <c r="AZ127" s="66" t="str">
        <f t="shared" si="107"/>
        <v>X</v>
      </c>
      <c r="BA127" s="66" t="str">
        <f t="shared" si="108"/>
        <v>X</v>
      </c>
      <c r="BB127" s="66">
        <f t="shared" si="109"/>
        <v>2</v>
      </c>
      <c r="BC127" s="127" t="str">
        <f t="shared" si="80"/>
        <v>1G</v>
      </c>
      <c r="BD127" s="127" t="str">
        <f t="shared" si="81"/>
        <v>2G</v>
      </c>
      <c r="BE127" s="127" t="str">
        <f t="shared" si="82"/>
        <v>2G</v>
      </c>
      <c r="BF127" s="127" t="str">
        <f t="shared" si="83"/>
        <v>2G</v>
      </c>
      <c r="BG127" s="127" t="str">
        <f t="shared" si="84"/>
        <v>2G</v>
      </c>
      <c r="BH127" s="127" t="str">
        <f t="shared" si="85"/>
        <v>3G</v>
      </c>
      <c r="BI127" s="127">
        <f t="shared" si="110"/>
        <v>1</v>
      </c>
      <c r="BJ127" s="127">
        <f t="shared" si="111"/>
        <v>4</v>
      </c>
      <c r="BK127" s="127">
        <f t="shared" si="112"/>
        <v>1</v>
      </c>
      <c r="BL127" s="127" t="str">
        <f t="shared" si="113"/>
        <v>141</v>
      </c>
      <c r="BS127"/>
      <c r="CL127" s="28">
        <v>117</v>
      </c>
      <c r="CM127" s="28">
        <v>110</v>
      </c>
      <c r="CO127"/>
    </row>
    <row r="128" spans="1:93" ht="16.5" hidden="1">
      <c r="B128" s="17">
        <v>124</v>
      </c>
      <c r="C128" s="363" t="s">
        <v>154</v>
      </c>
      <c r="D128" s="18">
        <v>9</v>
      </c>
      <c r="E128" s="20">
        <v>1395936267</v>
      </c>
      <c r="F128" s="18">
        <v>37</v>
      </c>
      <c r="G128" s="20">
        <v>56592011</v>
      </c>
      <c r="H128" s="20">
        <v>1540</v>
      </c>
      <c r="I128" s="20">
        <v>1359679</v>
      </c>
      <c r="J128" s="20">
        <v>75040</v>
      </c>
      <c r="K128" s="20">
        <v>55808</v>
      </c>
      <c r="L128" s="20">
        <v>1230275</v>
      </c>
      <c r="M128" s="20">
        <v>5000</v>
      </c>
      <c r="N128" s="167">
        <v>4</v>
      </c>
      <c r="O128" s="167">
        <v>16</v>
      </c>
      <c r="P128" s="167">
        <v>23</v>
      </c>
      <c r="Q128" s="167">
        <v>25</v>
      </c>
      <c r="R128" s="167">
        <v>29</v>
      </c>
      <c r="S128" s="167">
        <v>42</v>
      </c>
      <c r="T128" s="167">
        <v>1</v>
      </c>
      <c r="U128" s="28">
        <f t="shared" si="86"/>
        <v>139</v>
      </c>
      <c r="W128" s="32" t="str">
        <f t="shared" si="116"/>
        <v>짝수</v>
      </c>
      <c r="X128" s="32" t="str">
        <f t="shared" si="117"/>
        <v>짝수</v>
      </c>
      <c r="Y128" s="32" t="str">
        <f t="shared" si="118"/>
        <v>홀수</v>
      </c>
      <c r="Z128" s="32" t="str">
        <f t="shared" si="119"/>
        <v>홀수</v>
      </c>
      <c r="AA128" s="32" t="str">
        <f t="shared" si="120"/>
        <v>홀수</v>
      </c>
      <c r="AB128" s="32" t="str">
        <f t="shared" si="121"/>
        <v>짝수</v>
      </c>
      <c r="AC128" s="58" t="str">
        <f t="shared" si="122"/>
        <v>3 : 3</v>
      </c>
      <c r="AD128" s="32">
        <f t="shared" si="123"/>
        <v>3</v>
      </c>
      <c r="AE128" s="32">
        <f t="shared" si="124"/>
        <v>3</v>
      </c>
      <c r="AF128" s="66" t="str">
        <f t="shared" si="87"/>
        <v>저수</v>
      </c>
      <c r="AG128" s="66" t="str">
        <f t="shared" si="88"/>
        <v>저수</v>
      </c>
      <c r="AH128" s="66" t="str">
        <f t="shared" si="89"/>
        <v>고수</v>
      </c>
      <c r="AI128" s="66" t="str">
        <f t="shared" si="90"/>
        <v>고수</v>
      </c>
      <c r="AJ128" s="66" t="str">
        <f t="shared" si="91"/>
        <v>고수</v>
      </c>
      <c r="AK128" s="66" t="str">
        <f t="shared" si="92"/>
        <v>고수</v>
      </c>
      <c r="AL128" s="58" t="str">
        <f t="shared" si="93"/>
        <v>2 : 4</v>
      </c>
      <c r="AM128" s="66">
        <f t="shared" si="94"/>
        <v>2</v>
      </c>
      <c r="AN128" s="66">
        <f t="shared" si="95"/>
        <v>4</v>
      </c>
      <c r="AO128" s="66">
        <f t="shared" si="96"/>
        <v>29</v>
      </c>
      <c r="AP128" s="66" t="str">
        <f t="shared" si="97"/>
        <v>X</v>
      </c>
      <c r="AQ128" s="66" t="str">
        <f t="shared" si="98"/>
        <v>X</v>
      </c>
      <c r="AR128" s="66" t="str">
        <f t="shared" si="99"/>
        <v>X</v>
      </c>
      <c r="AS128" s="66" t="str">
        <f t="shared" si="100"/>
        <v>X</v>
      </c>
      <c r="AT128" s="66" t="str">
        <f t="shared" si="101"/>
        <v>X</v>
      </c>
      <c r="AU128" s="66" t="str">
        <f t="shared" si="102"/>
        <v>X</v>
      </c>
      <c r="AV128" s="66" t="str">
        <f t="shared" si="103"/>
        <v>X</v>
      </c>
      <c r="AW128" s="66" t="str">
        <f t="shared" si="104"/>
        <v>X</v>
      </c>
      <c r="AX128" s="66" t="str">
        <f t="shared" si="105"/>
        <v>O</v>
      </c>
      <c r="AY128" s="66" t="str">
        <f t="shared" si="106"/>
        <v>X</v>
      </c>
      <c r="AZ128" s="66" t="str">
        <f t="shared" si="107"/>
        <v>O</v>
      </c>
      <c r="BA128" s="66" t="str">
        <f t="shared" si="108"/>
        <v>X</v>
      </c>
      <c r="BB128" s="66">
        <f t="shared" si="109"/>
        <v>2</v>
      </c>
      <c r="BC128" s="127" t="str">
        <f t="shared" si="80"/>
        <v>1G</v>
      </c>
      <c r="BD128" s="127" t="str">
        <f t="shared" si="81"/>
        <v>2G</v>
      </c>
      <c r="BE128" s="127" t="str">
        <f t="shared" si="82"/>
        <v>2G</v>
      </c>
      <c r="BF128" s="127" t="str">
        <f t="shared" si="83"/>
        <v>2G</v>
      </c>
      <c r="BG128" s="127" t="str">
        <f t="shared" si="84"/>
        <v>2G</v>
      </c>
      <c r="BH128" s="127" t="str">
        <f t="shared" si="85"/>
        <v>3G</v>
      </c>
      <c r="BI128" s="127">
        <f t="shared" si="110"/>
        <v>1</v>
      </c>
      <c r="BJ128" s="127">
        <f t="shared" si="111"/>
        <v>4</v>
      </c>
      <c r="BK128" s="127">
        <f t="shared" si="112"/>
        <v>1</v>
      </c>
      <c r="BL128" s="127" t="str">
        <f t="shared" si="113"/>
        <v>141</v>
      </c>
      <c r="BS128"/>
      <c r="CL128" s="28">
        <v>117</v>
      </c>
      <c r="CM128" s="28">
        <v>110</v>
      </c>
      <c r="CO128"/>
    </row>
    <row r="129" spans="2:93" ht="16.5" hidden="1">
      <c r="B129" s="17">
        <v>125</v>
      </c>
      <c r="C129" s="363" t="s">
        <v>155</v>
      </c>
      <c r="D129" s="18">
        <v>7</v>
      </c>
      <c r="E129" s="20">
        <v>1754870786</v>
      </c>
      <c r="F129" s="18">
        <v>36</v>
      </c>
      <c r="G129" s="20">
        <v>56870813</v>
      </c>
      <c r="H129" s="20">
        <v>1444</v>
      </c>
      <c r="I129" s="20">
        <v>1417832</v>
      </c>
      <c r="J129" s="20">
        <v>74261</v>
      </c>
      <c r="K129" s="20">
        <v>55140</v>
      </c>
      <c r="L129" s="20">
        <v>1220272</v>
      </c>
      <c r="M129" s="20">
        <v>5000</v>
      </c>
      <c r="N129" s="167">
        <v>2</v>
      </c>
      <c r="O129" s="167">
        <v>8</v>
      </c>
      <c r="P129" s="167">
        <v>32</v>
      </c>
      <c r="Q129" s="167">
        <v>33</v>
      </c>
      <c r="R129" s="167">
        <v>35</v>
      </c>
      <c r="S129" s="167">
        <v>36</v>
      </c>
      <c r="T129" s="167">
        <v>18</v>
      </c>
      <c r="U129" s="28">
        <f t="shared" si="86"/>
        <v>146</v>
      </c>
      <c r="W129" s="32" t="str">
        <f t="shared" si="116"/>
        <v>짝수</v>
      </c>
      <c r="X129" s="32" t="str">
        <f t="shared" si="117"/>
        <v>짝수</v>
      </c>
      <c r="Y129" s="32" t="str">
        <f t="shared" si="118"/>
        <v>짝수</v>
      </c>
      <c r="Z129" s="32" t="str">
        <f t="shared" si="119"/>
        <v>홀수</v>
      </c>
      <c r="AA129" s="32" t="str">
        <f t="shared" si="120"/>
        <v>홀수</v>
      </c>
      <c r="AB129" s="32" t="str">
        <f t="shared" si="121"/>
        <v>짝수</v>
      </c>
      <c r="AC129" s="58" t="str">
        <f t="shared" si="122"/>
        <v>2 : 4</v>
      </c>
      <c r="AD129" s="32">
        <f t="shared" si="123"/>
        <v>2</v>
      </c>
      <c r="AE129" s="32">
        <f t="shared" si="124"/>
        <v>4</v>
      </c>
      <c r="AF129" s="66" t="str">
        <f t="shared" si="87"/>
        <v>저수</v>
      </c>
      <c r="AG129" s="66" t="str">
        <f t="shared" si="88"/>
        <v>저수</v>
      </c>
      <c r="AH129" s="66" t="str">
        <f t="shared" si="89"/>
        <v>고수</v>
      </c>
      <c r="AI129" s="66" t="str">
        <f t="shared" si="90"/>
        <v>고수</v>
      </c>
      <c r="AJ129" s="66" t="str">
        <f t="shared" si="91"/>
        <v>고수</v>
      </c>
      <c r="AK129" s="66" t="str">
        <f t="shared" si="92"/>
        <v>고수</v>
      </c>
      <c r="AL129" s="58" t="str">
        <f t="shared" si="93"/>
        <v>2 : 4</v>
      </c>
      <c r="AM129" s="66">
        <f t="shared" si="94"/>
        <v>2</v>
      </c>
      <c r="AN129" s="66">
        <f t="shared" si="95"/>
        <v>4</v>
      </c>
      <c r="AO129" s="66">
        <f t="shared" si="96"/>
        <v>26</v>
      </c>
      <c r="AP129" s="66" t="str">
        <f t="shared" si="97"/>
        <v>O</v>
      </c>
      <c r="AQ129" s="66" t="str">
        <f t="shared" si="98"/>
        <v>X</v>
      </c>
      <c r="AR129" s="66" t="str">
        <f t="shared" si="99"/>
        <v>X</v>
      </c>
      <c r="AS129" s="66" t="str">
        <f t="shared" si="100"/>
        <v>X</v>
      </c>
      <c r="AT129" s="66" t="str">
        <f t="shared" si="101"/>
        <v>X</v>
      </c>
      <c r="AU129" s="66" t="str">
        <f t="shared" si="102"/>
        <v>X</v>
      </c>
      <c r="AV129" s="66" t="str">
        <f t="shared" si="103"/>
        <v>X</v>
      </c>
      <c r="AW129" s="66" t="str">
        <f t="shared" si="104"/>
        <v>X</v>
      </c>
      <c r="AX129" s="66" t="str">
        <f t="shared" si="105"/>
        <v>X</v>
      </c>
      <c r="AY129" s="66" t="str">
        <f t="shared" si="106"/>
        <v>X</v>
      </c>
      <c r="AZ129" s="66" t="str">
        <f t="shared" si="107"/>
        <v>X</v>
      </c>
      <c r="BA129" s="66" t="str">
        <f t="shared" si="108"/>
        <v>X</v>
      </c>
      <c r="BB129" s="66">
        <f t="shared" si="109"/>
        <v>1</v>
      </c>
      <c r="BC129" s="127" t="str">
        <f t="shared" si="80"/>
        <v>1G</v>
      </c>
      <c r="BD129" s="127" t="str">
        <f t="shared" si="81"/>
        <v>1G</v>
      </c>
      <c r="BE129" s="127" t="str">
        <f t="shared" si="82"/>
        <v>3G</v>
      </c>
      <c r="BF129" s="127" t="str">
        <f t="shared" si="83"/>
        <v>3G</v>
      </c>
      <c r="BG129" s="127" t="str">
        <f t="shared" si="84"/>
        <v>3G</v>
      </c>
      <c r="BH129" s="127" t="str">
        <f t="shared" si="85"/>
        <v>3G</v>
      </c>
      <c r="BI129" s="127">
        <f t="shared" si="110"/>
        <v>2</v>
      </c>
      <c r="BJ129" s="127">
        <f t="shared" si="111"/>
        <v>0</v>
      </c>
      <c r="BK129" s="127">
        <f t="shared" si="112"/>
        <v>4</v>
      </c>
      <c r="BL129" s="127" t="str">
        <f t="shared" si="113"/>
        <v>204</v>
      </c>
      <c r="BS129"/>
      <c r="CL129" s="28">
        <v>117</v>
      </c>
      <c r="CM129" s="28">
        <v>110</v>
      </c>
      <c r="CO129"/>
    </row>
    <row r="130" spans="2:93" ht="16.5" hidden="1">
      <c r="B130" s="17">
        <v>126</v>
      </c>
      <c r="C130" s="363" t="s">
        <v>156</v>
      </c>
      <c r="D130" s="18">
        <v>9</v>
      </c>
      <c r="E130" s="20">
        <v>1369301500</v>
      </c>
      <c r="F130" s="18">
        <v>35</v>
      </c>
      <c r="G130" s="20">
        <v>58684350</v>
      </c>
      <c r="H130" s="20">
        <v>1439</v>
      </c>
      <c r="I130" s="20">
        <v>1427347</v>
      </c>
      <c r="J130" s="20">
        <v>71370</v>
      </c>
      <c r="K130" s="20">
        <v>57558</v>
      </c>
      <c r="L130" s="20">
        <v>1166992</v>
      </c>
      <c r="M130" s="20">
        <v>5000</v>
      </c>
      <c r="N130" s="167">
        <v>7</v>
      </c>
      <c r="O130" s="167">
        <v>20</v>
      </c>
      <c r="P130" s="167">
        <v>22</v>
      </c>
      <c r="Q130" s="167">
        <v>27</v>
      </c>
      <c r="R130" s="167">
        <v>40</v>
      </c>
      <c r="S130" s="167">
        <v>43</v>
      </c>
      <c r="T130" s="167">
        <v>1</v>
      </c>
      <c r="U130" s="28">
        <f t="shared" si="86"/>
        <v>159</v>
      </c>
      <c r="W130" s="32" t="str">
        <f t="shared" si="116"/>
        <v>홀수</v>
      </c>
      <c r="X130" s="32" t="str">
        <f t="shared" si="117"/>
        <v>짝수</v>
      </c>
      <c r="Y130" s="32" t="str">
        <f t="shared" si="118"/>
        <v>짝수</v>
      </c>
      <c r="Z130" s="32" t="str">
        <f t="shared" si="119"/>
        <v>홀수</v>
      </c>
      <c r="AA130" s="32" t="str">
        <f t="shared" si="120"/>
        <v>짝수</v>
      </c>
      <c r="AB130" s="32" t="str">
        <f t="shared" si="121"/>
        <v>홀수</v>
      </c>
      <c r="AC130" s="58" t="str">
        <f t="shared" si="122"/>
        <v>3 : 3</v>
      </c>
      <c r="AD130" s="32">
        <f t="shared" si="123"/>
        <v>3</v>
      </c>
      <c r="AE130" s="32">
        <f t="shared" si="124"/>
        <v>3</v>
      </c>
      <c r="AF130" s="66" t="str">
        <f t="shared" si="87"/>
        <v>저수</v>
      </c>
      <c r="AG130" s="66" t="str">
        <f t="shared" si="88"/>
        <v>저수</v>
      </c>
      <c r="AH130" s="66" t="str">
        <f t="shared" si="89"/>
        <v>저수</v>
      </c>
      <c r="AI130" s="66" t="str">
        <f t="shared" si="90"/>
        <v>고수</v>
      </c>
      <c r="AJ130" s="66" t="str">
        <f t="shared" si="91"/>
        <v>고수</v>
      </c>
      <c r="AK130" s="66" t="str">
        <f t="shared" si="92"/>
        <v>고수</v>
      </c>
      <c r="AL130" s="58" t="str">
        <f t="shared" si="93"/>
        <v>3 : 3</v>
      </c>
      <c r="AM130" s="66">
        <f t="shared" si="94"/>
        <v>3</v>
      </c>
      <c r="AN130" s="66">
        <f t="shared" si="95"/>
        <v>3</v>
      </c>
      <c r="AO130" s="66">
        <f t="shared" si="96"/>
        <v>19</v>
      </c>
      <c r="AP130" s="66" t="str">
        <f t="shared" si="97"/>
        <v>O</v>
      </c>
      <c r="AQ130" s="66" t="str">
        <f t="shared" si="98"/>
        <v>X</v>
      </c>
      <c r="AR130" s="66" t="str">
        <f t="shared" si="99"/>
        <v>X</v>
      </c>
      <c r="AS130" s="66" t="str">
        <f t="shared" si="100"/>
        <v>X</v>
      </c>
      <c r="AT130" s="66" t="str">
        <f t="shared" si="101"/>
        <v>X</v>
      </c>
      <c r="AU130" s="66" t="str">
        <f t="shared" si="102"/>
        <v>X</v>
      </c>
      <c r="AV130" s="66" t="str">
        <f t="shared" si="103"/>
        <v>X</v>
      </c>
      <c r="AW130" s="66" t="str">
        <f t="shared" si="104"/>
        <v>X</v>
      </c>
      <c r="AX130" s="66" t="str">
        <f t="shared" si="105"/>
        <v>X</v>
      </c>
      <c r="AY130" s="66" t="str">
        <f t="shared" si="106"/>
        <v>X</v>
      </c>
      <c r="AZ130" s="66" t="str">
        <f t="shared" si="107"/>
        <v>X</v>
      </c>
      <c r="BA130" s="66" t="str">
        <f t="shared" si="108"/>
        <v>O</v>
      </c>
      <c r="BB130" s="66">
        <f t="shared" si="109"/>
        <v>2</v>
      </c>
      <c r="BC130" s="127" t="str">
        <f t="shared" si="80"/>
        <v>1G</v>
      </c>
      <c r="BD130" s="127" t="str">
        <f t="shared" si="81"/>
        <v>2G</v>
      </c>
      <c r="BE130" s="127" t="str">
        <f t="shared" si="82"/>
        <v>2G</v>
      </c>
      <c r="BF130" s="127" t="str">
        <f t="shared" si="83"/>
        <v>2G</v>
      </c>
      <c r="BG130" s="127" t="str">
        <f t="shared" si="84"/>
        <v>3G</v>
      </c>
      <c r="BH130" s="127" t="str">
        <f t="shared" si="85"/>
        <v>3G</v>
      </c>
      <c r="BI130" s="127">
        <f t="shared" si="110"/>
        <v>1</v>
      </c>
      <c r="BJ130" s="127">
        <f t="shared" si="111"/>
        <v>3</v>
      </c>
      <c r="BK130" s="127">
        <f t="shared" si="112"/>
        <v>2</v>
      </c>
      <c r="BL130" s="127" t="str">
        <f t="shared" si="113"/>
        <v>132</v>
      </c>
      <c r="BS130"/>
      <c r="CL130" s="28">
        <v>118</v>
      </c>
      <c r="CM130" s="28">
        <v>110</v>
      </c>
      <c r="CO130"/>
    </row>
    <row r="131" spans="2:93" ht="16.5" hidden="1">
      <c r="B131" s="17">
        <v>127</v>
      </c>
      <c r="C131" s="363" t="s">
        <v>157</v>
      </c>
      <c r="D131" s="18">
        <v>6</v>
      </c>
      <c r="E131" s="20">
        <v>1965939150</v>
      </c>
      <c r="F131" s="18">
        <v>43</v>
      </c>
      <c r="G131" s="20">
        <v>45719516</v>
      </c>
      <c r="H131" s="20">
        <v>1279</v>
      </c>
      <c r="I131" s="20">
        <v>1537091</v>
      </c>
      <c r="J131" s="20">
        <v>67175</v>
      </c>
      <c r="K131" s="20">
        <v>58532</v>
      </c>
      <c r="L131" s="20">
        <v>1143382</v>
      </c>
      <c r="M131" s="20">
        <v>5000</v>
      </c>
      <c r="N131" s="167">
        <v>3</v>
      </c>
      <c r="O131" s="167">
        <v>5</v>
      </c>
      <c r="P131" s="167">
        <v>10</v>
      </c>
      <c r="Q131" s="167">
        <v>29</v>
      </c>
      <c r="R131" s="167">
        <v>32</v>
      </c>
      <c r="S131" s="167">
        <v>43</v>
      </c>
      <c r="T131" s="167">
        <v>35</v>
      </c>
      <c r="U131" s="28">
        <f t="shared" si="86"/>
        <v>122</v>
      </c>
      <c r="W131" s="32" t="str">
        <f t="shared" si="116"/>
        <v>홀수</v>
      </c>
      <c r="X131" s="32" t="str">
        <f t="shared" si="117"/>
        <v>홀수</v>
      </c>
      <c r="Y131" s="32" t="str">
        <f t="shared" si="118"/>
        <v>짝수</v>
      </c>
      <c r="Z131" s="32" t="str">
        <f t="shared" si="119"/>
        <v>홀수</v>
      </c>
      <c r="AA131" s="32" t="str">
        <f t="shared" si="120"/>
        <v>짝수</v>
      </c>
      <c r="AB131" s="32" t="str">
        <f t="shared" si="121"/>
        <v>홀수</v>
      </c>
      <c r="AC131" s="58" t="str">
        <f t="shared" si="122"/>
        <v>4 : 2</v>
      </c>
      <c r="AD131" s="32">
        <f t="shared" si="123"/>
        <v>4</v>
      </c>
      <c r="AE131" s="32">
        <f t="shared" si="124"/>
        <v>2</v>
      </c>
      <c r="AF131" s="66" t="str">
        <f t="shared" si="87"/>
        <v>저수</v>
      </c>
      <c r="AG131" s="66" t="str">
        <f t="shared" si="88"/>
        <v>저수</v>
      </c>
      <c r="AH131" s="66" t="str">
        <f t="shared" si="89"/>
        <v>저수</v>
      </c>
      <c r="AI131" s="66" t="str">
        <f t="shared" si="90"/>
        <v>고수</v>
      </c>
      <c r="AJ131" s="66" t="str">
        <f t="shared" si="91"/>
        <v>고수</v>
      </c>
      <c r="AK131" s="66" t="str">
        <f t="shared" si="92"/>
        <v>고수</v>
      </c>
      <c r="AL131" s="58" t="str">
        <f t="shared" si="93"/>
        <v>3 : 3</v>
      </c>
      <c r="AM131" s="66">
        <f t="shared" si="94"/>
        <v>3</v>
      </c>
      <c r="AN131" s="66">
        <f t="shared" si="95"/>
        <v>3</v>
      </c>
      <c r="AO131" s="66">
        <f t="shared" si="96"/>
        <v>22</v>
      </c>
      <c r="AP131" s="66" t="str">
        <f t="shared" si="97"/>
        <v>O</v>
      </c>
      <c r="AQ131" s="66" t="str">
        <f t="shared" si="98"/>
        <v>O</v>
      </c>
      <c r="AR131" s="66" t="str">
        <f t="shared" si="99"/>
        <v>X</v>
      </c>
      <c r="AS131" s="66" t="str">
        <f t="shared" si="100"/>
        <v>X</v>
      </c>
      <c r="AT131" s="66" t="str">
        <f t="shared" si="101"/>
        <v>X</v>
      </c>
      <c r="AU131" s="66" t="str">
        <f t="shared" si="102"/>
        <v>X</v>
      </c>
      <c r="AV131" s="66" t="str">
        <f t="shared" si="103"/>
        <v>X</v>
      </c>
      <c r="AW131" s="66" t="str">
        <f t="shared" si="104"/>
        <v>X</v>
      </c>
      <c r="AX131" s="66" t="str">
        <f t="shared" si="105"/>
        <v>X</v>
      </c>
      <c r="AY131" s="66" t="str">
        <f t="shared" si="106"/>
        <v>O</v>
      </c>
      <c r="AZ131" s="66" t="str">
        <f t="shared" si="107"/>
        <v>X</v>
      </c>
      <c r="BA131" s="66" t="str">
        <f t="shared" si="108"/>
        <v>O</v>
      </c>
      <c r="BB131" s="66">
        <f t="shared" si="109"/>
        <v>4</v>
      </c>
      <c r="BC131" s="127" t="str">
        <f t="shared" si="80"/>
        <v>1G</v>
      </c>
      <c r="BD131" s="127" t="str">
        <f t="shared" si="81"/>
        <v>1G</v>
      </c>
      <c r="BE131" s="127" t="str">
        <f t="shared" si="82"/>
        <v>1G</v>
      </c>
      <c r="BF131" s="127" t="str">
        <f t="shared" si="83"/>
        <v>2G</v>
      </c>
      <c r="BG131" s="127" t="str">
        <f t="shared" si="84"/>
        <v>3G</v>
      </c>
      <c r="BH131" s="127" t="str">
        <f t="shared" si="85"/>
        <v>3G</v>
      </c>
      <c r="BI131" s="127">
        <f t="shared" si="110"/>
        <v>3</v>
      </c>
      <c r="BJ131" s="127">
        <f t="shared" si="111"/>
        <v>1</v>
      </c>
      <c r="BK131" s="127">
        <f t="shared" si="112"/>
        <v>2</v>
      </c>
      <c r="BL131" s="127" t="str">
        <f t="shared" si="113"/>
        <v>312</v>
      </c>
      <c r="BS131"/>
      <c r="CL131" s="28">
        <v>118</v>
      </c>
      <c r="CM131" s="28">
        <v>110</v>
      </c>
      <c r="CO131"/>
    </row>
    <row r="132" spans="2:93" ht="16.5" hidden="1">
      <c r="B132" s="17">
        <v>128</v>
      </c>
      <c r="C132" s="363" t="s">
        <v>158</v>
      </c>
      <c r="D132" s="18">
        <v>6</v>
      </c>
      <c r="E132" s="20">
        <v>2064043100</v>
      </c>
      <c r="F132" s="18">
        <v>23</v>
      </c>
      <c r="G132" s="20">
        <v>89741005</v>
      </c>
      <c r="H132" s="20">
        <v>1192</v>
      </c>
      <c r="I132" s="20">
        <v>1731580</v>
      </c>
      <c r="J132" s="20">
        <v>63294</v>
      </c>
      <c r="K132" s="20">
        <v>65221</v>
      </c>
      <c r="L132" s="20">
        <v>1102953</v>
      </c>
      <c r="M132" s="20">
        <v>5000</v>
      </c>
      <c r="N132" s="167">
        <v>12</v>
      </c>
      <c r="O132" s="167">
        <v>30</v>
      </c>
      <c r="P132" s="167">
        <v>34</v>
      </c>
      <c r="Q132" s="167">
        <v>36</v>
      </c>
      <c r="R132" s="167">
        <v>37</v>
      </c>
      <c r="S132" s="167">
        <v>45</v>
      </c>
      <c r="T132" s="167">
        <v>39</v>
      </c>
      <c r="U132" s="28">
        <f t="shared" si="86"/>
        <v>194</v>
      </c>
      <c r="W132" s="32" t="str">
        <f t="shared" si="116"/>
        <v>짝수</v>
      </c>
      <c r="X132" s="32" t="str">
        <f t="shared" si="117"/>
        <v>짝수</v>
      </c>
      <c r="Y132" s="32" t="str">
        <f t="shared" si="118"/>
        <v>짝수</v>
      </c>
      <c r="Z132" s="32" t="str">
        <f t="shared" si="119"/>
        <v>짝수</v>
      </c>
      <c r="AA132" s="32" t="str">
        <f t="shared" si="120"/>
        <v>홀수</v>
      </c>
      <c r="AB132" s="32" t="str">
        <f t="shared" si="121"/>
        <v>홀수</v>
      </c>
      <c r="AC132" s="58" t="str">
        <f t="shared" si="122"/>
        <v>2 : 4</v>
      </c>
      <c r="AD132" s="32">
        <f t="shared" si="123"/>
        <v>2</v>
      </c>
      <c r="AE132" s="32">
        <f t="shared" si="124"/>
        <v>4</v>
      </c>
      <c r="AF132" s="66" t="str">
        <f t="shared" si="87"/>
        <v>저수</v>
      </c>
      <c r="AG132" s="66" t="str">
        <f t="shared" si="88"/>
        <v>고수</v>
      </c>
      <c r="AH132" s="66" t="str">
        <f t="shared" si="89"/>
        <v>고수</v>
      </c>
      <c r="AI132" s="66" t="str">
        <f t="shared" si="90"/>
        <v>고수</v>
      </c>
      <c r="AJ132" s="66" t="str">
        <f t="shared" si="91"/>
        <v>고수</v>
      </c>
      <c r="AK132" s="66" t="str">
        <f t="shared" si="92"/>
        <v>고수</v>
      </c>
      <c r="AL132" s="58" t="str">
        <f t="shared" si="93"/>
        <v>1 : 5</v>
      </c>
      <c r="AM132" s="66">
        <f t="shared" si="94"/>
        <v>1</v>
      </c>
      <c r="AN132" s="66">
        <f t="shared" si="95"/>
        <v>5</v>
      </c>
      <c r="AO132" s="66">
        <f t="shared" si="96"/>
        <v>24</v>
      </c>
      <c r="AP132" s="66" t="str">
        <f t="shared" si="97"/>
        <v>X</v>
      </c>
      <c r="AQ132" s="66" t="str">
        <f t="shared" si="98"/>
        <v>X</v>
      </c>
      <c r="AR132" s="66" t="str">
        <f t="shared" si="99"/>
        <v>X</v>
      </c>
      <c r="AS132" s="66" t="str">
        <f t="shared" si="100"/>
        <v>X</v>
      </c>
      <c r="AT132" s="66" t="str">
        <f t="shared" si="101"/>
        <v>X</v>
      </c>
      <c r="AU132" s="66" t="str">
        <f t="shared" si="102"/>
        <v>X</v>
      </c>
      <c r="AV132" s="66" t="str">
        <f t="shared" si="103"/>
        <v>X</v>
      </c>
      <c r="AW132" s="66" t="str">
        <f t="shared" si="104"/>
        <v>X</v>
      </c>
      <c r="AX132" s="66" t="str">
        <f t="shared" si="105"/>
        <v>X</v>
      </c>
      <c r="AY132" s="66" t="str">
        <f t="shared" si="106"/>
        <v>X</v>
      </c>
      <c r="AZ132" s="66" t="str">
        <f t="shared" si="107"/>
        <v>O</v>
      </c>
      <c r="BA132" s="66" t="str">
        <f t="shared" si="108"/>
        <v>X</v>
      </c>
      <c r="BB132" s="66">
        <f t="shared" si="109"/>
        <v>1</v>
      </c>
      <c r="BC132" s="127" t="str">
        <f t="shared" si="80"/>
        <v>1G</v>
      </c>
      <c r="BD132" s="127" t="str">
        <f t="shared" si="81"/>
        <v>2G</v>
      </c>
      <c r="BE132" s="127" t="str">
        <f t="shared" si="82"/>
        <v>3G</v>
      </c>
      <c r="BF132" s="127" t="str">
        <f t="shared" si="83"/>
        <v>3G</v>
      </c>
      <c r="BG132" s="127" t="str">
        <f t="shared" si="84"/>
        <v>3G</v>
      </c>
      <c r="BH132" s="127" t="str">
        <f t="shared" si="85"/>
        <v>3G</v>
      </c>
      <c r="BI132" s="127">
        <f t="shared" si="110"/>
        <v>1</v>
      </c>
      <c r="BJ132" s="127">
        <f t="shared" si="111"/>
        <v>1</v>
      </c>
      <c r="BK132" s="127">
        <f t="shared" si="112"/>
        <v>4</v>
      </c>
      <c r="BL132" s="127" t="str">
        <f t="shared" si="113"/>
        <v>114</v>
      </c>
      <c r="BS132"/>
      <c r="CL132" s="28">
        <v>118</v>
      </c>
      <c r="CM132" s="28">
        <v>110</v>
      </c>
      <c r="CO132"/>
    </row>
    <row r="133" spans="2:93" ht="16.5" hidden="1">
      <c r="B133" s="17">
        <v>129</v>
      </c>
      <c r="C133" s="363" t="s">
        <v>159</v>
      </c>
      <c r="D133" s="18">
        <v>11</v>
      </c>
      <c r="E133" s="20">
        <v>1093629655</v>
      </c>
      <c r="F133" s="18">
        <v>50</v>
      </c>
      <c r="G133" s="20">
        <v>40099754</v>
      </c>
      <c r="H133" s="20">
        <v>1473</v>
      </c>
      <c r="I133" s="20">
        <v>1361160</v>
      </c>
      <c r="J133" s="20">
        <v>71124</v>
      </c>
      <c r="K133" s="20">
        <v>56381</v>
      </c>
      <c r="L133" s="20">
        <v>1145600</v>
      </c>
      <c r="M133" s="20">
        <v>5000</v>
      </c>
      <c r="N133" s="167">
        <v>19</v>
      </c>
      <c r="O133" s="167">
        <v>23</v>
      </c>
      <c r="P133" s="167">
        <v>25</v>
      </c>
      <c r="Q133" s="167">
        <v>28</v>
      </c>
      <c r="R133" s="167">
        <v>38</v>
      </c>
      <c r="S133" s="167">
        <v>42</v>
      </c>
      <c r="T133" s="167">
        <v>17</v>
      </c>
      <c r="U133" s="28">
        <f t="shared" si="86"/>
        <v>175</v>
      </c>
      <c r="W133" s="32" t="str">
        <f t="shared" si="116"/>
        <v>홀수</v>
      </c>
      <c r="X133" s="32" t="str">
        <f t="shared" si="117"/>
        <v>홀수</v>
      </c>
      <c r="Y133" s="32" t="str">
        <f t="shared" si="118"/>
        <v>홀수</v>
      </c>
      <c r="Z133" s="32" t="str">
        <f t="shared" si="119"/>
        <v>짝수</v>
      </c>
      <c r="AA133" s="32" t="str">
        <f t="shared" si="120"/>
        <v>짝수</v>
      </c>
      <c r="AB133" s="32" t="str">
        <f t="shared" si="121"/>
        <v>짝수</v>
      </c>
      <c r="AC133" s="58" t="str">
        <f t="shared" si="122"/>
        <v>3 : 3</v>
      </c>
      <c r="AD133" s="32">
        <f t="shared" si="123"/>
        <v>3</v>
      </c>
      <c r="AE133" s="32">
        <f t="shared" si="124"/>
        <v>3</v>
      </c>
      <c r="AF133" s="66" t="str">
        <f t="shared" si="87"/>
        <v>저수</v>
      </c>
      <c r="AG133" s="66" t="str">
        <f t="shared" si="88"/>
        <v>고수</v>
      </c>
      <c r="AH133" s="66" t="str">
        <f t="shared" si="89"/>
        <v>고수</v>
      </c>
      <c r="AI133" s="66" t="str">
        <f t="shared" si="90"/>
        <v>고수</v>
      </c>
      <c r="AJ133" s="66" t="str">
        <f t="shared" si="91"/>
        <v>고수</v>
      </c>
      <c r="AK133" s="66" t="str">
        <f t="shared" si="92"/>
        <v>고수</v>
      </c>
      <c r="AL133" s="58" t="str">
        <f t="shared" si="93"/>
        <v>1 : 5</v>
      </c>
      <c r="AM133" s="66">
        <f t="shared" si="94"/>
        <v>1</v>
      </c>
      <c r="AN133" s="66">
        <f t="shared" si="95"/>
        <v>5</v>
      </c>
      <c r="AO133" s="66">
        <f t="shared" si="96"/>
        <v>35</v>
      </c>
      <c r="AP133" s="66" t="str">
        <f t="shared" si="97"/>
        <v>O</v>
      </c>
      <c r="AQ133" s="66" t="str">
        <f t="shared" si="98"/>
        <v>X</v>
      </c>
      <c r="AR133" s="66" t="str">
        <f t="shared" si="99"/>
        <v>X</v>
      </c>
      <c r="AS133" s="66" t="str">
        <f t="shared" si="100"/>
        <v>X</v>
      </c>
      <c r="AT133" s="66" t="str">
        <f t="shared" si="101"/>
        <v>X</v>
      </c>
      <c r="AU133" s="66" t="str">
        <f t="shared" si="102"/>
        <v>X</v>
      </c>
      <c r="AV133" s="66" t="str">
        <f t="shared" si="103"/>
        <v>X</v>
      </c>
      <c r="AW133" s="66" t="str">
        <f t="shared" si="104"/>
        <v>O</v>
      </c>
      <c r="AX133" s="66" t="str">
        <f t="shared" si="105"/>
        <v>X</v>
      </c>
      <c r="AY133" s="66" t="str">
        <f t="shared" si="106"/>
        <v>X</v>
      </c>
      <c r="AZ133" s="66" t="str">
        <f t="shared" si="107"/>
        <v>X</v>
      </c>
      <c r="BA133" s="66" t="str">
        <f t="shared" si="108"/>
        <v>X</v>
      </c>
      <c r="BB133" s="66">
        <f t="shared" si="109"/>
        <v>2</v>
      </c>
      <c r="BC133" s="127" t="str">
        <f t="shared" ref="BC133:BC196" si="125">VLOOKUP(N133,삼그룹,6,FALSE)</f>
        <v>2G</v>
      </c>
      <c r="BD133" s="127" t="str">
        <f t="shared" ref="BD133:BD196" si="126">VLOOKUP(O133,삼그룹,6,FALSE)</f>
        <v>2G</v>
      </c>
      <c r="BE133" s="127" t="str">
        <f t="shared" ref="BE133:BE196" si="127">VLOOKUP(P133,삼그룹,6,FALSE)</f>
        <v>2G</v>
      </c>
      <c r="BF133" s="127" t="str">
        <f t="shared" ref="BF133:BF196" si="128">VLOOKUP(Q133,삼그룹,6,FALSE)</f>
        <v>2G</v>
      </c>
      <c r="BG133" s="127" t="str">
        <f t="shared" ref="BG133:BG196" si="129">VLOOKUP(R133,삼그룹,6,FALSE)</f>
        <v>3G</v>
      </c>
      <c r="BH133" s="127" t="str">
        <f t="shared" ref="BH133:BH196" si="130">VLOOKUP(S133,삼그룹,6,FALSE)</f>
        <v>3G</v>
      </c>
      <c r="BI133" s="127">
        <f t="shared" si="110"/>
        <v>0</v>
      </c>
      <c r="BJ133" s="127">
        <f t="shared" si="111"/>
        <v>4</v>
      </c>
      <c r="BK133" s="127">
        <f t="shared" si="112"/>
        <v>2</v>
      </c>
      <c r="BL133" s="127" t="str">
        <f t="shared" si="113"/>
        <v>042</v>
      </c>
      <c r="BS133"/>
      <c r="CL133" s="28">
        <v>119</v>
      </c>
      <c r="CM133" s="28">
        <v>110</v>
      </c>
      <c r="CO133"/>
    </row>
    <row r="134" spans="2:93" ht="16.5" hidden="1">
      <c r="B134" s="17">
        <v>130</v>
      </c>
      <c r="C134" s="363" t="s">
        <v>160</v>
      </c>
      <c r="D134" s="18">
        <v>4</v>
      </c>
      <c r="E134" s="20">
        <v>3036496650</v>
      </c>
      <c r="F134" s="18">
        <v>30</v>
      </c>
      <c r="G134" s="20">
        <v>67477704</v>
      </c>
      <c r="H134" s="20">
        <v>1273</v>
      </c>
      <c r="I134" s="20">
        <v>1590206</v>
      </c>
      <c r="J134" s="20">
        <v>63587</v>
      </c>
      <c r="K134" s="20">
        <v>63672</v>
      </c>
      <c r="L134" s="20">
        <v>1087239</v>
      </c>
      <c r="M134" s="20">
        <v>5000</v>
      </c>
      <c r="N134" s="167">
        <v>7</v>
      </c>
      <c r="O134" s="167">
        <v>19</v>
      </c>
      <c r="P134" s="167">
        <v>24</v>
      </c>
      <c r="Q134" s="167">
        <v>27</v>
      </c>
      <c r="R134" s="167">
        <v>42</v>
      </c>
      <c r="S134" s="167">
        <v>45</v>
      </c>
      <c r="T134" s="167">
        <v>31</v>
      </c>
      <c r="U134" s="28">
        <f t="shared" ref="U134:U197" si="131">SUM(N134:S134)</f>
        <v>164</v>
      </c>
      <c r="W134" s="32" t="str">
        <f t="shared" si="116"/>
        <v>홀수</v>
      </c>
      <c r="X134" s="32" t="str">
        <f t="shared" si="117"/>
        <v>홀수</v>
      </c>
      <c r="Y134" s="32" t="str">
        <f t="shared" si="118"/>
        <v>짝수</v>
      </c>
      <c r="Z134" s="32" t="str">
        <f t="shared" si="119"/>
        <v>홀수</v>
      </c>
      <c r="AA134" s="32" t="str">
        <f t="shared" si="120"/>
        <v>짝수</v>
      </c>
      <c r="AB134" s="32" t="str">
        <f t="shared" si="121"/>
        <v>홀수</v>
      </c>
      <c r="AC134" s="58" t="str">
        <f t="shared" si="122"/>
        <v>4 : 2</v>
      </c>
      <c r="AD134" s="32">
        <f t="shared" si="123"/>
        <v>4</v>
      </c>
      <c r="AE134" s="32">
        <f t="shared" si="124"/>
        <v>2</v>
      </c>
      <c r="AF134" s="66" t="str">
        <f t="shared" ref="AF134:AF197" si="132">IF(N134&lt;23,"저수","고수")</f>
        <v>저수</v>
      </c>
      <c r="AG134" s="66" t="str">
        <f t="shared" ref="AG134:AG197" si="133">IF(O134&lt;23,"저수","고수")</f>
        <v>저수</v>
      </c>
      <c r="AH134" s="66" t="str">
        <f t="shared" ref="AH134:AH197" si="134">IF(P134&lt;23,"저수","고수")</f>
        <v>고수</v>
      </c>
      <c r="AI134" s="66" t="str">
        <f t="shared" ref="AI134:AI197" si="135">IF(Q134&lt;23,"저수","고수")</f>
        <v>고수</v>
      </c>
      <c r="AJ134" s="66" t="str">
        <f t="shared" ref="AJ134:AJ197" si="136">IF(R134&lt;23,"저수","고수")</f>
        <v>고수</v>
      </c>
      <c r="AK134" s="66" t="str">
        <f t="shared" ref="AK134:AK197" si="137">IF(S134&lt;23,"저수","고수")</f>
        <v>고수</v>
      </c>
      <c r="AL134" s="58" t="str">
        <f t="shared" ref="AL134:AL197" si="138">AM134&amp;" : "&amp;AN134</f>
        <v>2 : 4</v>
      </c>
      <c r="AM134" s="66">
        <f t="shared" ref="AM134:AM197" si="139">COUNTIF(AF134:AK134,"저수")</f>
        <v>2</v>
      </c>
      <c r="AN134" s="66">
        <f t="shared" ref="AN134:AN197" si="140">COUNTIF(AF134:AK134,"고수")</f>
        <v>4</v>
      </c>
      <c r="AO134" s="66">
        <f t="shared" ref="AO134:AO197" si="141">RIGHT(N134,1)+RIGHT(O134,1)+RIGHT(P134,1)+RIGHT(Q134,1)+RIGHT(R134,1)+RIGHT(S134,1)</f>
        <v>34</v>
      </c>
      <c r="AP134" s="66" t="str">
        <f t="shared" ref="AP134:AP197" si="142">IF(N134=2,"O",IF(N134=3,"O",IF(N134=5,"O",IF(N134=7,"O",IF(N134=11,"O",IF(N134=13,"O",IF(N134=17,"O",IF(N134=19,"O","X"))))))))</f>
        <v>O</v>
      </c>
      <c r="AQ134" s="66" t="str">
        <f t="shared" ref="AQ134:AQ197" si="143">IF(O134=2,"O",IF(O134=3,"O",IF(O134=5,"O",IF(O134=7,"O",IF(O134=11,"O",IF(O134=13,"O",IF(O134=17,"O",IF(O134=19,"O","X"))))))))</f>
        <v>O</v>
      </c>
      <c r="AR134" s="66" t="str">
        <f t="shared" ref="AR134:AR197" si="144">IF(P134=2,"O",IF(P134=3,"O",IF(P134=5,"O",IF(P134=7,"O",IF(P134=11,"O",IF(P134=13,"O",IF(P134=17,"O",IF(P134=19,"O","X"))))))))</f>
        <v>X</v>
      </c>
      <c r="AS134" s="66" t="str">
        <f t="shared" ref="AS134:AS197" si="145">IF(Q134=2,"O",IF(Q134=3,"O",IF(Q134=5,"O",IF(Q134=7,"O",IF(Q134=11,"O",IF(Q134=13,"O",IF(Q134=17,"O",IF(Q134=19,"O","X"))))))))</f>
        <v>X</v>
      </c>
      <c r="AT134" s="66" t="str">
        <f t="shared" ref="AT134:AT197" si="146">IF(R134=2,"O",IF(R134=3,"O",IF(R134=5,"O",IF(R134=7,"O",IF(R134=11,"O",IF(R134=13,"O",IF(R134=17,"O",IF(R134=19,"O","X"))))))))</f>
        <v>X</v>
      </c>
      <c r="AU134" s="66" t="str">
        <f t="shared" ref="AU134:AU197" si="147">IF(S134=2,"O",IF(S134=3,"O",IF(S134=5,"O",IF(S134=7,"O",IF(S134=11,"O",IF(S134=13,"O",IF(S134=17,"O",IF(S134=19,"O","X"))))))))</f>
        <v>X</v>
      </c>
      <c r="AV134" s="66" t="str">
        <f t="shared" ref="AV134:AV197" si="148">IF(N134=23,"O",IF(N134=29,"O",IF(N134=31,"O",IF(N134=37,"O",IF(N134=41,"O",IF(N134=43,"O","X"))))))</f>
        <v>X</v>
      </c>
      <c r="AW134" s="66" t="str">
        <f t="shared" ref="AW134:AW197" si="149">IF(O134=23,"O",IF(O134=29,"O",IF(O134=31,"O",IF(O134=37,"O",IF(O134=41,"O",IF(O134=43,"O","X"))))))</f>
        <v>X</v>
      </c>
      <c r="AX134" s="66" t="str">
        <f t="shared" ref="AX134:AX197" si="150">IF(P134=23,"O",IF(P134=29,"O",IF(P134=31,"O",IF(P134=37,"O",IF(P134=41,"O",IF(P134=43,"O","X"))))))</f>
        <v>X</v>
      </c>
      <c r="AY134" s="66" t="str">
        <f t="shared" ref="AY134:AY197" si="151">IF(Q134=23,"O",IF(Q134=29,"O",IF(Q134=31,"O",IF(Q134=37,"O",IF(Q134=41,"O",IF(Q134=43,"O","X"))))))</f>
        <v>X</v>
      </c>
      <c r="AZ134" s="66" t="str">
        <f t="shared" ref="AZ134:AZ197" si="152">IF(R134=23,"O",IF(R134=29,"O",IF(R134=31,"O",IF(R134=37,"O",IF(R134=41,"O",IF(R134=43,"O","X"))))))</f>
        <v>X</v>
      </c>
      <c r="BA134" s="66" t="str">
        <f t="shared" ref="BA134:BA197" si="153">IF(S134=23,"O",IF(S134=29,"O",IF(S134=31,"O",IF(S134=37,"O",IF(S134=41,"O",IF(S134=43,"O","X"))))))</f>
        <v>X</v>
      </c>
      <c r="BB134" s="66">
        <f t="shared" ref="BB134:BB197" si="154">COUNTIF(AP134:BA134,"O")</f>
        <v>2</v>
      </c>
      <c r="BC134" s="127" t="str">
        <f t="shared" si="125"/>
        <v>1G</v>
      </c>
      <c r="BD134" s="127" t="str">
        <f t="shared" si="126"/>
        <v>2G</v>
      </c>
      <c r="BE134" s="127" t="str">
        <f t="shared" si="127"/>
        <v>2G</v>
      </c>
      <c r="BF134" s="127" t="str">
        <f t="shared" si="128"/>
        <v>2G</v>
      </c>
      <c r="BG134" s="127" t="str">
        <f t="shared" si="129"/>
        <v>3G</v>
      </c>
      <c r="BH134" s="127" t="str">
        <f t="shared" si="130"/>
        <v>3G</v>
      </c>
      <c r="BI134" s="127">
        <f t="shared" ref="BI134:BI197" si="155">COUNTIF($BC134:$BH134,"1G")</f>
        <v>1</v>
      </c>
      <c r="BJ134" s="127">
        <f t="shared" ref="BJ134:BJ197" si="156">COUNTIF($BC134:$BH134,"2G")</f>
        <v>3</v>
      </c>
      <c r="BK134" s="127">
        <f t="shared" ref="BK134:BK197" si="157">COUNTIF($BC134:$BH134,"3G")</f>
        <v>2</v>
      </c>
      <c r="BL134" s="127" t="str">
        <f t="shared" ref="BL134:BL197" si="158">BI134&amp;BJ134&amp;BK134</f>
        <v>132</v>
      </c>
      <c r="BS134"/>
      <c r="CL134" s="28">
        <v>119</v>
      </c>
      <c r="CM134" s="28">
        <v>110</v>
      </c>
      <c r="CO134"/>
    </row>
    <row r="135" spans="2:93" ht="16.5" hidden="1">
      <c r="B135" s="17">
        <v>131</v>
      </c>
      <c r="C135" s="363" t="s">
        <v>161</v>
      </c>
      <c r="D135" s="18">
        <v>8</v>
      </c>
      <c r="E135" s="20">
        <v>1451214488</v>
      </c>
      <c r="F135" s="18">
        <v>33</v>
      </c>
      <c r="G135" s="20">
        <v>58634929</v>
      </c>
      <c r="H135" s="20">
        <v>1645</v>
      </c>
      <c r="I135" s="20">
        <v>1176264</v>
      </c>
      <c r="J135" s="20">
        <v>73893</v>
      </c>
      <c r="K135" s="20">
        <v>52372</v>
      </c>
      <c r="L135" s="20">
        <v>1153272</v>
      </c>
      <c r="M135" s="20">
        <v>5000</v>
      </c>
      <c r="N135" s="167">
        <v>8</v>
      </c>
      <c r="O135" s="167">
        <v>10</v>
      </c>
      <c r="P135" s="167">
        <v>11</v>
      </c>
      <c r="Q135" s="167">
        <v>14</v>
      </c>
      <c r="R135" s="167">
        <v>15</v>
      </c>
      <c r="S135" s="167">
        <v>21</v>
      </c>
      <c r="T135" s="167">
        <v>37</v>
      </c>
      <c r="U135" s="28">
        <f t="shared" si="131"/>
        <v>79</v>
      </c>
      <c r="W135" s="32" t="str">
        <f t="shared" si="116"/>
        <v>짝수</v>
      </c>
      <c r="X135" s="32" t="str">
        <f t="shared" si="117"/>
        <v>짝수</v>
      </c>
      <c r="Y135" s="32" t="str">
        <f t="shared" si="118"/>
        <v>홀수</v>
      </c>
      <c r="Z135" s="32" t="str">
        <f t="shared" si="119"/>
        <v>짝수</v>
      </c>
      <c r="AA135" s="32" t="str">
        <f t="shared" si="120"/>
        <v>홀수</v>
      </c>
      <c r="AB135" s="32" t="str">
        <f t="shared" si="121"/>
        <v>홀수</v>
      </c>
      <c r="AC135" s="58" t="str">
        <f t="shared" si="122"/>
        <v>3 : 3</v>
      </c>
      <c r="AD135" s="32">
        <f t="shared" si="123"/>
        <v>3</v>
      </c>
      <c r="AE135" s="32">
        <f t="shared" si="124"/>
        <v>3</v>
      </c>
      <c r="AF135" s="66" t="str">
        <f t="shared" si="132"/>
        <v>저수</v>
      </c>
      <c r="AG135" s="66" t="str">
        <f t="shared" si="133"/>
        <v>저수</v>
      </c>
      <c r="AH135" s="66" t="str">
        <f t="shared" si="134"/>
        <v>저수</v>
      </c>
      <c r="AI135" s="66" t="str">
        <f t="shared" si="135"/>
        <v>저수</v>
      </c>
      <c r="AJ135" s="66" t="str">
        <f t="shared" si="136"/>
        <v>저수</v>
      </c>
      <c r="AK135" s="66" t="str">
        <f t="shared" si="137"/>
        <v>저수</v>
      </c>
      <c r="AL135" s="58" t="str">
        <f t="shared" si="138"/>
        <v>6 : 0</v>
      </c>
      <c r="AM135" s="66">
        <f t="shared" si="139"/>
        <v>6</v>
      </c>
      <c r="AN135" s="66">
        <f t="shared" si="140"/>
        <v>0</v>
      </c>
      <c r="AO135" s="66">
        <f t="shared" si="141"/>
        <v>19</v>
      </c>
      <c r="AP135" s="66" t="str">
        <f t="shared" si="142"/>
        <v>X</v>
      </c>
      <c r="AQ135" s="66" t="str">
        <f t="shared" si="143"/>
        <v>X</v>
      </c>
      <c r="AR135" s="66" t="str">
        <f t="shared" si="144"/>
        <v>O</v>
      </c>
      <c r="AS135" s="66" t="str">
        <f t="shared" si="145"/>
        <v>X</v>
      </c>
      <c r="AT135" s="66" t="str">
        <f t="shared" si="146"/>
        <v>X</v>
      </c>
      <c r="AU135" s="66" t="str">
        <f t="shared" si="147"/>
        <v>X</v>
      </c>
      <c r="AV135" s="66" t="str">
        <f t="shared" si="148"/>
        <v>X</v>
      </c>
      <c r="AW135" s="66" t="str">
        <f t="shared" si="149"/>
        <v>X</v>
      </c>
      <c r="AX135" s="66" t="str">
        <f t="shared" si="150"/>
        <v>X</v>
      </c>
      <c r="AY135" s="66" t="str">
        <f t="shared" si="151"/>
        <v>X</v>
      </c>
      <c r="AZ135" s="66" t="str">
        <f t="shared" si="152"/>
        <v>X</v>
      </c>
      <c r="BA135" s="66" t="str">
        <f t="shared" si="153"/>
        <v>X</v>
      </c>
      <c r="BB135" s="66">
        <f t="shared" si="154"/>
        <v>1</v>
      </c>
      <c r="BC135" s="127" t="str">
        <f t="shared" si="125"/>
        <v>1G</v>
      </c>
      <c r="BD135" s="127" t="str">
        <f t="shared" si="126"/>
        <v>1G</v>
      </c>
      <c r="BE135" s="127" t="str">
        <f t="shared" si="127"/>
        <v>1G</v>
      </c>
      <c r="BF135" s="127" t="str">
        <f t="shared" si="128"/>
        <v>1G</v>
      </c>
      <c r="BG135" s="127" t="str">
        <f t="shared" si="129"/>
        <v>1G</v>
      </c>
      <c r="BH135" s="127" t="str">
        <f t="shared" si="130"/>
        <v>2G</v>
      </c>
      <c r="BI135" s="127">
        <f t="shared" si="155"/>
        <v>5</v>
      </c>
      <c r="BJ135" s="127">
        <f t="shared" si="156"/>
        <v>1</v>
      </c>
      <c r="BK135" s="127">
        <f t="shared" si="157"/>
        <v>0</v>
      </c>
      <c r="BL135" s="127" t="str">
        <f t="shared" si="158"/>
        <v>510</v>
      </c>
      <c r="BS135"/>
      <c r="CL135" s="28">
        <v>120</v>
      </c>
      <c r="CM135" s="28">
        <v>120</v>
      </c>
      <c r="CO135"/>
    </row>
    <row r="136" spans="2:93" ht="16.5" hidden="1">
      <c r="B136" s="17">
        <v>132</v>
      </c>
      <c r="C136" s="363" t="s">
        <v>162</v>
      </c>
      <c r="D136" s="18">
        <v>4</v>
      </c>
      <c r="E136" s="20">
        <v>2920473525</v>
      </c>
      <c r="F136" s="18">
        <v>34</v>
      </c>
      <c r="G136" s="20">
        <v>57264187</v>
      </c>
      <c r="H136" s="20">
        <v>1382</v>
      </c>
      <c r="I136" s="20">
        <v>1408816</v>
      </c>
      <c r="J136" s="20">
        <v>65277</v>
      </c>
      <c r="K136" s="20">
        <v>59653</v>
      </c>
      <c r="L136" s="20">
        <v>1098225</v>
      </c>
      <c r="M136" s="20">
        <v>5000</v>
      </c>
      <c r="N136" s="167">
        <v>3</v>
      </c>
      <c r="O136" s="167">
        <v>17</v>
      </c>
      <c r="P136" s="167">
        <v>23</v>
      </c>
      <c r="Q136" s="167">
        <v>34</v>
      </c>
      <c r="R136" s="167">
        <v>41</v>
      </c>
      <c r="S136" s="167">
        <v>45</v>
      </c>
      <c r="T136" s="167">
        <v>43</v>
      </c>
      <c r="U136" s="28">
        <f t="shared" si="131"/>
        <v>163</v>
      </c>
      <c r="W136" s="32" t="str">
        <f t="shared" si="116"/>
        <v>홀수</v>
      </c>
      <c r="X136" s="32" t="str">
        <f t="shared" si="117"/>
        <v>홀수</v>
      </c>
      <c r="Y136" s="32" t="str">
        <f t="shared" si="118"/>
        <v>홀수</v>
      </c>
      <c r="Z136" s="32" t="str">
        <f t="shared" si="119"/>
        <v>짝수</v>
      </c>
      <c r="AA136" s="32" t="str">
        <f t="shared" si="120"/>
        <v>홀수</v>
      </c>
      <c r="AB136" s="32" t="str">
        <f t="shared" si="121"/>
        <v>홀수</v>
      </c>
      <c r="AC136" s="58" t="str">
        <f t="shared" si="122"/>
        <v>5 : 1</v>
      </c>
      <c r="AD136" s="32">
        <f t="shared" si="123"/>
        <v>5</v>
      </c>
      <c r="AE136" s="32">
        <f t="shared" si="124"/>
        <v>1</v>
      </c>
      <c r="AF136" s="66" t="str">
        <f t="shared" si="132"/>
        <v>저수</v>
      </c>
      <c r="AG136" s="66" t="str">
        <f t="shared" si="133"/>
        <v>저수</v>
      </c>
      <c r="AH136" s="66" t="str">
        <f t="shared" si="134"/>
        <v>고수</v>
      </c>
      <c r="AI136" s="66" t="str">
        <f t="shared" si="135"/>
        <v>고수</v>
      </c>
      <c r="AJ136" s="66" t="str">
        <f t="shared" si="136"/>
        <v>고수</v>
      </c>
      <c r="AK136" s="66" t="str">
        <f t="shared" si="137"/>
        <v>고수</v>
      </c>
      <c r="AL136" s="58" t="str">
        <f t="shared" si="138"/>
        <v>2 : 4</v>
      </c>
      <c r="AM136" s="66">
        <f t="shared" si="139"/>
        <v>2</v>
      </c>
      <c r="AN136" s="66">
        <f t="shared" si="140"/>
        <v>4</v>
      </c>
      <c r="AO136" s="66">
        <f t="shared" si="141"/>
        <v>23</v>
      </c>
      <c r="AP136" s="66" t="str">
        <f t="shared" si="142"/>
        <v>O</v>
      </c>
      <c r="AQ136" s="66" t="str">
        <f t="shared" si="143"/>
        <v>O</v>
      </c>
      <c r="AR136" s="66" t="str">
        <f t="shared" si="144"/>
        <v>X</v>
      </c>
      <c r="AS136" s="66" t="str">
        <f t="shared" si="145"/>
        <v>X</v>
      </c>
      <c r="AT136" s="66" t="str">
        <f t="shared" si="146"/>
        <v>X</v>
      </c>
      <c r="AU136" s="66" t="str">
        <f t="shared" si="147"/>
        <v>X</v>
      </c>
      <c r="AV136" s="66" t="str">
        <f t="shared" si="148"/>
        <v>X</v>
      </c>
      <c r="AW136" s="66" t="str">
        <f t="shared" si="149"/>
        <v>X</v>
      </c>
      <c r="AX136" s="66" t="str">
        <f t="shared" si="150"/>
        <v>O</v>
      </c>
      <c r="AY136" s="66" t="str">
        <f t="shared" si="151"/>
        <v>X</v>
      </c>
      <c r="AZ136" s="66" t="str">
        <f t="shared" si="152"/>
        <v>O</v>
      </c>
      <c r="BA136" s="66" t="str">
        <f t="shared" si="153"/>
        <v>X</v>
      </c>
      <c r="BB136" s="66">
        <f t="shared" si="154"/>
        <v>4</v>
      </c>
      <c r="BC136" s="127" t="str">
        <f t="shared" si="125"/>
        <v>1G</v>
      </c>
      <c r="BD136" s="127" t="str">
        <f t="shared" si="126"/>
        <v>2G</v>
      </c>
      <c r="BE136" s="127" t="str">
        <f t="shared" si="127"/>
        <v>2G</v>
      </c>
      <c r="BF136" s="127" t="str">
        <f t="shared" si="128"/>
        <v>3G</v>
      </c>
      <c r="BG136" s="127" t="str">
        <f t="shared" si="129"/>
        <v>3G</v>
      </c>
      <c r="BH136" s="127" t="str">
        <f t="shared" si="130"/>
        <v>3G</v>
      </c>
      <c r="BI136" s="127">
        <f t="shared" si="155"/>
        <v>1</v>
      </c>
      <c r="BJ136" s="127">
        <f t="shared" si="156"/>
        <v>2</v>
      </c>
      <c r="BK136" s="127">
        <f t="shared" si="157"/>
        <v>3</v>
      </c>
      <c r="BL136" s="127" t="str">
        <f t="shared" si="158"/>
        <v>123</v>
      </c>
      <c r="BS136"/>
      <c r="CL136" s="28">
        <v>120</v>
      </c>
      <c r="CM136" s="28">
        <v>120</v>
      </c>
      <c r="CO136"/>
    </row>
    <row r="137" spans="2:93" ht="16.5" hidden="1">
      <c r="B137" s="17">
        <v>133</v>
      </c>
      <c r="C137" s="363" t="s">
        <v>163</v>
      </c>
      <c r="D137" s="18">
        <v>8</v>
      </c>
      <c r="E137" s="20">
        <v>1450242600</v>
      </c>
      <c r="F137" s="18">
        <v>51</v>
      </c>
      <c r="G137" s="20">
        <v>37914840</v>
      </c>
      <c r="H137" s="20">
        <v>1466</v>
      </c>
      <c r="I137" s="20">
        <v>1319002</v>
      </c>
      <c r="J137" s="20">
        <v>76266</v>
      </c>
      <c r="K137" s="20">
        <v>50709</v>
      </c>
      <c r="L137" s="20">
        <v>1221679</v>
      </c>
      <c r="M137" s="20">
        <v>5000</v>
      </c>
      <c r="N137" s="167">
        <v>4</v>
      </c>
      <c r="O137" s="167">
        <v>7</v>
      </c>
      <c r="P137" s="167">
        <v>15</v>
      </c>
      <c r="Q137" s="167">
        <v>18</v>
      </c>
      <c r="R137" s="167">
        <v>23</v>
      </c>
      <c r="S137" s="167">
        <v>26</v>
      </c>
      <c r="T137" s="167">
        <v>13</v>
      </c>
      <c r="U137" s="28">
        <f t="shared" si="131"/>
        <v>93</v>
      </c>
      <c r="W137" s="32" t="str">
        <f t="shared" si="116"/>
        <v>짝수</v>
      </c>
      <c r="X137" s="32" t="str">
        <f t="shared" si="117"/>
        <v>홀수</v>
      </c>
      <c r="Y137" s="32" t="str">
        <f t="shared" si="118"/>
        <v>홀수</v>
      </c>
      <c r="Z137" s="32" t="str">
        <f t="shared" si="119"/>
        <v>짝수</v>
      </c>
      <c r="AA137" s="32" t="str">
        <f t="shared" si="120"/>
        <v>홀수</v>
      </c>
      <c r="AB137" s="32" t="str">
        <f t="shared" si="121"/>
        <v>짝수</v>
      </c>
      <c r="AC137" s="58" t="str">
        <f t="shared" si="122"/>
        <v>3 : 3</v>
      </c>
      <c r="AD137" s="32">
        <f t="shared" si="123"/>
        <v>3</v>
      </c>
      <c r="AE137" s="32">
        <f t="shared" si="124"/>
        <v>3</v>
      </c>
      <c r="AF137" s="66" t="str">
        <f t="shared" si="132"/>
        <v>저수</v>
      </c>
      <c r="AG137" s="66" t="str">
        <f t="shared" si="133"/>
        <v>저수</v>
      </c>
      <c r="AH137" s="66" t="str">
        <f t="shared" si="134"/>
        <v>저수</v>
      </c>
      <c r="AI137" s="66" t="str">
        <f t="shared" si="135"/>
        <v>저수</v>
      </c>
      <c r="AJ137" s="66" t="str">
        <f t="shared" si="136"/>
        <v>고수</v>
      </c>
      <c r="AK137" s="66" t="str">
        <f t="shared" si="137"/>
        <v>고수</v>
      </c>
      <c r="AL137" s="58" t="str">
        <f t="shared" si="138"/>
        <v>4 : 2</v>
      </c>
      <c r="AM137" s="66">
        <f t="shared" si="139"/>
        <v>4</v>
      </c>
      <c r="AN137" s="66">
        <f t="shared" si="140"/>
        <v>2</v>
      </c>
      <c r="AO137" s="66">
        <f t="shared" si="141"/>
        <v>33</v>
      </c>
      <c r="AP137" s="66" t="str">
        <f t="shared" si="142"/>
        <v>X</v>
      </c>
      <c r="AQ137" s="66" t="str">
        <f t="shared" si="143"/>
        <v>O</v>
      </c>
      <c r="AR137" s="66" t="str">
        <f t="shared" si="144"/>
        <v>X</v>
      </c>
      <c r="AS137" s="66" t="str">
        <f t="shared" si="145"/>
        <v>X</v>
      </c>
      <c r="AT137" s="66" t="str">
        <f t="shared" si="146"/>
        <v>X</v>
      </c>
      <c r="AU137" s="66" t="str">
        <f t="shared" si="147"/>
        <v>X</v>
      </c>
      <c r="AV137" s="66" t="str">
        <f t="shared" si="148"/>
        <v>X</v>
      </c>
      <c r="AW137" s="66" t="str">
        <f t="shared" si="149"/>
        <v>X</v>
      </c>
      <c r="AX137" s="66" t="str">
        <f t="shared" si="150"/>
        <v>X</v>
      </c>
      <c r="AY137" s="66" t="str">
        <f t="shared" si="151"/>
        <v>X</v>
      </c>
      <c r="AZ137" s="66" t="str">
        <f t="shared" si="152"/>
        <v>O</v>
      </c>
      <c r="BA137" s="66" t="str">
        <f t="shared" si="153"/>
        <v>X</v>
      </c>
      <c r="BB137" s="66">
        <f t="shared" si="154"/>
        <v>2</v>
      </c>
      <c r="BC137" s="127" t="str">
        <f t="shared" si="125"/>
        <v>1G</v>
      </c>
      <c r="BD137" s="127" t="str">
        <f t="shared" si="126"/>
        <v>1G</v>
      </c>
      <c r="BE137" s="127" t="str">
        <f t="shared" si="127"/>
        <v>1G</v>
      </c>
      <c r="BF137" s="127" t="str">
        <f t="shared" si="128"/>
        <v>2G</v>
      </c>
      <c r="BG137" s="127" t="str">
        <f t="shared" si="129"/>
        <v>2G</v>
      </c>
      <c r="BH137" s="127" t="str">
        <f t="shared" si="130"/>
        <v>2G</v>
      </c>
      <c r="BI137" s="127">
        <f t="shared" si="155"/>
        <v>3</v>
      </c>
      <c r="BJ137" s="127">
        <f t="shared" si="156"/>
        <v>3</v>
      </c>
      <c r="BK137" s="127">
        <f t="shared" si="157"/>
        <v>0</v>
      </c>
      <c r="BL137" s="127" t="str">
        <f t="shared" si="158"/>
        <v>330</v>
      </c>
      <c r="BS137"/>
      <c r="CL137" s="28">
        <v>120</v>
      </c>
      <c r="CM137" s="28">
        <v>120</v>
      </c>
      <c r="CO137"/>
    </row>
    <row r="138" spans="2:93" ht="16.5" hidden="1">
      <c r="B138" s="17">
        <v>134</v>
      </c>
      <c r="C138" s="363" t="s">
        <v>164</v>
      </c>
      <c r="D138" s="18">
        <v>5</v>
      </c>
      <c r="E138" s="20">
        <v>2349155100</v>
      </c>
      <c r="F138" s="18">
        <v>50</v>
      </c>
      <c r="G138" s="20">
        <v>39152585</v>
      </c>
      <c r="H138" s="20">
        <v>1433</v>
      </c>
      <c r="I138" s="20">
        <v>1366106</v>
      </c>
      <c r="J138" s="20">
        <v>69698</v>
      </c>
      <c r="K138" s="20">
        <v>56175</v>
      </c>
      <c r="L138" s="20">
        <v>1129299</v>
      </c>
      <c r="M138" s="20">
        <v>5000</v>
      </c>
      <c r="N138" s="167">
        <v>3</v>
      </c>
      <c r="O138" s="167">
        <v>12</v>
      </c>
      <c r="P138" s="167">
        <v>20</v>
      </c>
      <c r="Q138" s="167">
        <v>23</v>
      </c>
      <c r="R138" s="167">
        <v>31</v>
      </c>
      <c r="S138" s="167">
        <v>35</v>
      </c>
      <c r="T138" s="167">
        <v>43</v>
      </c>
      <c r="U138" s="28">
        <f t="shared" si="131"/>
        <v>124</v>
      </c>
      <c r="W138" s="32" t="str">
        <f t="shared" si="116"/>
        <v>홀수</v>
      </c>
      <c r="X138" s="32" t="str">
        <f t="shared" si="117"/>
        <v>짝수</v>
      </c>
      <c r="Y138" s="32" t="str">
        <f t="shared" si="118"/>
        <v>짝수</v>
      </c>
      <c r="Z138" s="32" t="str">
        <f t="shared" si="119"/>
        <v>홀수</v>
      </c>
      <c r="AA138" s="32" t="str">
        <f t="shared" si="120"/>
        <v>홀수</v>
      </c>
      <c r="AB138" s="32" t="str">
        <f t="shared" si="121"/>
        <v>홀수</v>
      </c>
      <c r="AC138" s="58" t="str">
        <f t="shared" si="122"/>
        <v>4 : 2</v>
      </c>
      <c r="AD138" s="32">
        <f t="shared" si="123"/>
        <v>4</v>
      </c>
      <c r="AE138" s="32">
        <f t="shared" si="124"/>
        <v>2</v>
      </c>
      <c r="AF138" s="66" t="str">
        <f t="shared" si="132"/>
        <v>저수</v>
      </c>
      <c r="AG138" s="66" t="str">
        <f t="shared" si="133"/>
        <v>저수</v>
      </c>
      <c r="AH138" s="66" t="str">
        <f t="shared" si="134"/>
        <v>저수</v>
      </c>
      <c r="AI138" s="66" t="str">
        <f t="shared" si="135"/>
        <v>고수</v>
      </c>
      <c r="AJ138" s="66" t="str">
        <f t="shared" si="136"/>
        <v>고수</v>
      </c>
      <c r="AK138" s="66" t="str">
        <f t="shared" si="137"/>
        <v>고수</v>
      </c>
      <c r="AL138" s="58" t="str">
        <f t="shared" si="138"/>
        <v>3 : 3</v>
      </c>
      <c r="AM138" s="66">
        <f t="shared" si="139"/>
        <v>3</v>
      </c>
      <c r="AN138" s="66">
        <f t="shared" si="140"/>
        <v>3</v>
      </c>
      <c r="AO138" s="66">
        <f t="shared" si="141"/>
        <v>14</v>
      </c>
      <c r="AP138" s="66" t="str">
        <f t="shared" si="142"/>
        <v>O</v>
      </c>
      <c r="AQ138" s="66" t="str">
        <f t="shared" si="143"/>
        <v>X</v>
      </c>
      <c r="AR138" s="66" t="str">
        <f t="shared" si="144"/>
        <v>X</v>
      </c>
      <c r="AS138" s="66" t="str">
        <f t="shared" si="145"/>
        <v>X</v>
      </c>
      <c r="AT138" s="66" t="str">
        <f t="shared" si="146"/>
        <v>X</v>
      </c>
      <c r="AU138" s="66" t="str">
        <f t="shared" si="147"/>
        <v>X</v>
      </c>
      <c r="AV138" s="66" t="str">
        <f t="shared" si="148"/>
        <v>X</v>
      </c>
      <c r="AW138" s="66" t="str">
        <f t="shared" si="149"/>
        <v>X</v>
      </c>
      <c r="AX138" s="66" t="str">
        <f t="shared" si="150"/>
        <v>X</v>
      </c>
      <c r="AY138" s="66" t="str">
        <f t="shared" si="151"/>
        <v>O</v>
      </c>
      <c r="AZ138" s="66" t="str">
        <f t="shared" si="152"/>
        <v>O</v>
      </c>
      <c r="BA138" s="66" t="str">
        <f t="shared" si="153"/>
        <v>X</v>
      </c>
      <c r="BB138" s="66">
        <f t="shared" si="154"/>
        <v>3</v>
      </c>
      <c r="BC138" s="127" t="str">
        <f t="shared" si="125"/>
        <v>1G</v>
      </c>
      <c r="BD138" s="127" t="str">
        <f t="shared" si="126"/>
        <v>1G</v>
      </c>
      <c r="BE138" s="127" t="str">
        <f t="shared" si="127"/>
        <v>2G</v>
      </c>
      <c r="BF138" s="127" t="str">
        <f t="shared" si="128"/>
        <v>2G</v>
      </c>
      <c r="BG138" s="127" t="str">
        <f t="shared" si="129"/>
        <v>3G</v>
      </c>
      <c r="BH138" s="127" t="str">
        <f t="shared" si="130"/>
        <v>3G</v>
      </c>
      <c r="BI138" s="127">
        <f t="shared" si="155"/>
        <v>2</v>
      </c>
      <c r="BJ138" s="127">
        <f t="shared" si="156"/>
        <v>2</v>
      </c>
      <c r="BK138" s="127">
        <f t="shared" si="157"/>
        <v>2</v>
      </c>
      <c r="BL138" s="127" t="str">
        <f t="shared" si="158"/>
        <v>222</v>
      </c>
      <c r="BS138"/>
      <c r="CL138" s="28">
        <v>120</v>
      </c>
      <c r="CM138" s="28">
        <v>120</v>
      </c>
      <c r="CO138"/>
    </row>
    <row r="139" spans="2:93" ht="16.5" hidden="1">
      <c r="B139" s="17">
        <v>135</v>
      </c>
      <c r="C139" s="363" t="s">
        <v>165</v>
      </c>
      <c r="D139" s="18">
        <v>7</v>
      </c>
      <c r="E139" s="20">
        <v>1717293515</v>
      </c>
      <c r="F139" s="18">
        <v>28</v>
      </c>
      <c r="G139" s="20">
        <v>71553897</v>
      </c>
      <c r="H139" s="20">
        <v>1424</v>
      </c>
      <c r="I139" s="20">
        <v>1406959</v>
      </c>
      <c r="J139" s="20">
        <v>66201</v>
      </c>
      <c r="K139" s="20">
        <v>60529</v>
      </c>
      <c r="L139" s="20">
        <v>1099249</v>
      </c>
      <c r="M139" s="20">
        <v>5000</v>
      </c>
      <c r="N139" s="167">
        <v>6</v>
      </c>
      <c r="O139" s="167">
        <v>14</v>
      </c>
      <c r="P139" s="167">
        <v>22</v>
      </c>
      <c r="Q139" s="167">
        <v>28</v>
      </c>
      <c r="R139" s="167">
        <v>35</v>
      </c>
      <c r="S139" s="167">
        <v>39</v>
      </c>
      <c r="T139" s="167">
        <v>16</v>
      </c>
      <c r="U139" s="28">
        <f t="shared" si="131"/>
        <v>144</v>
      </c>
      <c r="W139" s="32" t="str">
        <f t="shared" si="116"/>
        <v>짝수</v>
      </c>
      <c r="X139" s="32" t="str">
        <f t="shared" si="117"/>
        <v>짝수</v>
      </c>
      <c r="Y139" s="32" t="str">
        <f t="shared" si="118"/>
        <v>짝수</v>
      </c>
      <c r="Z139" s="32" t="str">
        <f t="shared" si="119"/>
        <v>짝수</v>
      </c>
      <c r="AA139" s="32" t="str">
        <f t="shared" si="120"/>
        <v>홀수</v>
      </c>
      <c r="AB139" s="32" t="str">
        <f t="shared" si="121"/>
        <v>홀수</v>
      </c>
      <c r="AC139" s="58" t="str">
        <f t="shared" si="122"/>
        <v>2 : 4</v>
      </c>
      <c r="AD139" s="32">
        <f t="shared" si="123"/>
        <v>2</v>
      </c>
      <c r="AE139" s="32">
        <f t="shared" si="124"/>
        <v>4</v>
      </c>
      <c r="AF139" s="66" t="str">
        <f t="shared" si="132"/>
        <v>저수</v>
      </c>
      <c r="AG139" s="66" t="str">
        <f t="shared" si="133"/>
        <v>저수</v>
      </c>
      <c r="AH139" s="66" t="str">
        <f t="shared" si="134"/>
        <v>저수</v>
      </c>
      <c r="AI139" s="66" t="str">
        <f t="shared" si="135"/>
        <v>고수</v>
      </c>
      <c r="AJ139" s="66" t="str">
        <f t="shared" si="136"/>
        <v>고수</v>
      </c>
      <c r="AK139" s="66" t="str">
        <f t="shared" si="137"/>
        <v>고수</v>
      </c>
      <c r="AL139" s="58" t="str">
        <f t="shared" si="138"/>
        <v>3 : 3</v>
      </c>
      <c r="AM139" s="66">
        <f t="shared" si="139"/>
        <v>3</v>
      </c>
      <c r="AN139" s="66">
        <f t="shared" si="140"/>
        <v>3</v>
      </c>
      <c r="AO139" s="66">
        <f t="shared" si="141"/>
        <v>34</v>
      </c>
      <c r="AP139" s="66" t="str">
        <f t="shared" si="142"/>
        <v>X</v>
      </c>
      <c r="AQ139" s="66" t="str">
        <f t="shared" si="143"/>
        <v>X</v>
      </c>
      <c r="AR139" s="66" t="str">
        <f t="shared" si="144"/>
        <v>X</v>
      </c>
      <c r="AS139" s="66" t="str">
        <f t="shared" si="145"/>
        <v>X</v>
      </c>
      <c r="AT139" s="66" t="str">
        <f t="shared" si="146"/>
        <v>X</v>
      </c>
      <c r="AU139" s="66" t="str">
        <f t="shared" si="147"/>
        <v>X</v>
      </c>
      <c r="AV139" s="66" t="str">
        <f t="shared" si="148"/>
        <v>X</v>
      </c>
      <c r="AW139" s="66" t="str">
        <f t="shared" si="149"/>
        <v>X</v>
      </c>
      <c r="AX139" s="66" t="str">
        <f t="shared" si="150"/>
        <v>X</v>
      </c>
      <c r="AY139" s="66" t="str">
        <f t="shared" si="151"/>
        <v>X</v>
      </c>
      <c r="AZ139" s="66" t="str">
        <f t="shared" si="152"/>
        <v>X</v>
      </c>
      <c r="BA139" s="66" t="str">
        <f t="shared" si="153"/>
        <v>X</v>
      </c>
      <c r="BB139" s="66">
        <f t="shared" si="154"/>
        <v>0</v>
      </c>
      <c r="BC139" s="127" t="str">
        <f t="shared" si="125"/>
        <v>1G</v>
      </c>
      <c r="BD139" s="127" t="str">
        <f t="shared" si="126"/>
        <v>1G</v>
      </c>
      <c r="BE139" s="127" t="str">
        <f t="shared" si="127"/>
        <v>2G</v>
      </c>
      <c r="BF139" s="127" t="str">
        <f t="shared" si="128"/>
        <v>2G</v>
      </c>
      <c r="BG139" s="127" t="str">
        <f t="shared" si="129"/>
        <v>3G</v>
      </c>
      <c r="BH139" s="127" t="str">
        <f t="shared" si="130"/>
        <v>3G</v>
      </c>
      <c r="BI139" s="127">
        <f t="shared" si="155"/>
        <v>2</v>
      </c>
      <c r="BJ139" s="127">
        <f t="shared" si="156"/>
        <v>2</v>
      </c>
      <c r="BK139" s="127">
        <f t="shared" si="157"/>
        <v>2</v>
      </c>
      <c r="BL139" s="127" t="str">
        <f t="shared" si="158"/>
        <v>222</v>
      </c>
      <c r="BS139"/>
      <c r="CL139" s="28">
        <v>120</v>
      </c>
      <c r="CM139" s="28">
        <v>120</v>
      </c>
      <c r="CO139"/>
    </row>
    <row r="140" spans="2:93" ht="16.5" hidden="1">
      <c r="B140" s="17">
        <v>136</v>
      </c>
      <c r="C140" s="363" t="s">
        <v>166</v>
      </c>
      <c r="D140" s="18">
        <v>6</v>
      </c>
      <c r="E140" s="20">
        <v>1997694150</v>
      </c>
      <c r="F140" s="18">
        <v>26</v>
      </c>
      <c r="G140" s="20">
        <v>76834391</v>
      </c>
      <c r="H140" s="20">
        <v>1279</v>
      </c>
      <c r="I140" s="20">
        <v>1561919</v>
      </c>
      <c r="J140" s="20">
        <v>66993</v>
      </c>
      <c r="K140" s="20">
        <v>59639</v>
      </c>
      <c r="L140" s="20">
        <v>1119075</v>
      </c>
      <c r="M140" s="20">
        <v>5000</v>
      </c>
      <c r="N140" s="167">
        <v>2</v>
      </c>
      <c r="O140" s="167">
        <v>16</v>
      </c>
      <c r="P140" s="167">
        <v>30</v>
      </c>
      <c r="Q140" s="167">
        <v>36</v>
      </c>
      <c r="R140" s="167">
        <v>41</v>
      </c>
      <c r="S140" s="167">
        <v>42</v>
      </c>
      <c r="T140" s="167">
        <v>11</v>
      </c>
      <c r="U140" s="28">
        <f t="shared" si="131"/>
        <v>167</v>
      </c>
      <c r="W140" s="32" t="str">
        <f t="shared" si="116"/>
        <v>짝수</v>
      </c>
      <c r="X140" s="32" t="str">
        <f t="shared" si="117"/>
        <v>짝수</v>
      </c>
      <c r="Y140" s="32" t="str">
        <f t="shared" si="118"/>
        <v>짝수</v>
      </c>
      <c r="Z140" s="32" t="str">
        <f t="shared" si="119"/>
        <v>짝수</v>
      </c>
      <c r="AA140" s="32" t="str">
        <f t="shared" si="120"/>
        <v>홀수</v>
      </c>
      <c r="AB140" s="32" t="str">
        <f t="shared" si="121"/>
        <v>짝수</v>
      </c>
      <c r="AC140" s="58" t="str">
        <f t="shared" si="122"/>
        <v>1 : 5</v>
      </c>
      <c r="AD140" s="32">
        <f t="shared" si="123"/>
        <v>1</v>
      </c>
      <c r="AE140" s="32">
        <f t="shared" si="124"/>
        <v>5</v>
      </c>
      <c r="AF140" s="66" t="str">
        <f t="shared" si="132"/>
        <v>저수</v>
      </c>
      <c r="AG140" s="66" t="str">
        <f t="shared" si="133"/>
        <v>저수</v>
      </c>
      <c r="AH140" s="66" t="str">
        <f t="shared" si="134"/>
        <v>고수</v>
      </c>
      <c r="AI140" s="66" t="str">
        <f t="shared" si="135"/>
        <v>고수</v>
      </c>
      <c r="AJ140" s="66" t="str">
        <f t="shared" si="136"/>
        <v>고수</v>
      </c>
      <c r="AK140" s="66" t="str">
        <f t="shared" si="137"/>
        <v>고수</v>
      </c>
      <c r="AL140" s="58" t="str">
        <f t="shared" si="138"/>
        <v>2 : 4</v>
      </c>
      <c r="AM140" s="66">
        <f t="shared" si="139"/>
        <v>2</v>
      </c>
      <c r="AN140" s="66">
        <f t="shared" si="140"/>
        <v>4</v>
      </c>
      <c r="AO140" s="66">
        <f t="shared" si="141"/>
        <v>17</v>
      </c>
      <c r="AP140" s="66" t="str">
        <f t="shared" si="142"/>
        <v>O</v>
      </c>
      <c r="AQ140" s="66" t="str">
        <f t="shared" si="143"/>
        <v>X</v>
      </c>
      <c r="AR140" s="66" t="str">
        <f t="shared" si="144"/>
        <v>X</v>
      </c>
      <c r="AS140" s="66" t="str">
        <f t="shared" si="145"/>
        <v>X</v>
      </c>
      <c r="AT140" s="66" t="str">
        <f t="shared" si="146"/>
        <v>X</v>
      </c>
      <c r="AU140" s="66" t="str">
        <f t="shared" si="147"/>
        <v>X</v>
      </c>
      <c r="AV140" s="66" t="str">
        <f t="shared" si="148"/>
        <v>X</v>
      </c>
      <c r="AW140" s="66" t="str">
        <f t="shared" si="149"/>
        <v>X</v>
      </c>
      <c r="AX140" s="66" t="str">
        <f t="shared" si="150"/>
        <v>X</v>
      </c>
      <c r="AY140" s="66" t="str">
        <f t="shared" si="151"/>
        <v>X</v>
      </c>
      <c r="AZ140" s="66" t="str">
        <f t="shared" si="152"/>
        <v>O</v>
      </c>
      <c r="BA140" s="66" t="str">
        <f t="shared" si="153"/>
        <v>X</v>
      </c>
      <c r="BB140" s="66">
        <f t="shared" si="154"/>
        <v>2</v>
      </c>
      <c r="BC140" s="127" t="str">
        <f t="shared" si="125"/>
        <v>1G</v>
      </c>
      <c r="BD140" s="127" t="str">
        <f t="shared" si="126"/>
        <v>2G</v>
      </c>
      <c r="BE140" s="127" t="str">
        <f t="shared" si="127"/>
        <v>2G</v>
      </c>
      <c r="BF140" s="127" t="str">
        <f t="shared" si="128"/>
        <v>3G</v>
      </c>
      <c r="BG140" s="127" t="str">
        <f t="shared" si="129"/>
        <v>3G</v>
      </c>
      <c r="BH140" s="127" t="str">
        <f t="shared" si="130"/>
        <v>3G</v>
      </c>
      <c r="BI140" s="127">
        <f t="shared" si="155"/>
        <v>1</v>
      </c>
      <c r="BJ140" s="127">
        <f t="shared" si="156"/>
        <v>2</v>
      </c>
      <c r="BK140" s="127">
        <f t="shared" si="157"/>
        <v>3</v>
      </c>
      <c r="BL140" s="127" t="str">
        <f t="shared" si="158"/>
        <v>123</v>
      </c>
      <c r="BS140"/>
      <c r="CL140" s="28">
        <v>121</v>
      </c>
      <c r="CM140" s="28">
        <v>120</v>
      </c>
      <c r="CO140"/>
    </row>
    <row r="141" spans="2:93" ht="16.5" hidden="1">
      <c r="B141" s="17">
        <v>137</v>
      </c>
      <c r="C141" s="363" t="s">
        <v>167</v>
      </c>
      <c r="D141" s="18">
        <v>9</v>
      </c>
      <c r="E141" s="20">
        <v>1270403467</v>
      </c>
      <c r="F141" s="18">
        <v>40</v>
      </c>
      <c r="G141" s="20">
        <v>47640130</v>
      </c>
      <c r="H141" s="20">
        <v>1578</v>
      </c>
      <c r="I141" s="20">
        <v>1207608</v>
      </c>
      <c r="J141" s="20">
        <v>72935</v>
      </c>
      <c r="K141" s="20">
        <v>52255</v>
      </c>
      <c r="L141" s="20">
        <v>1186655</v>
      </c>
      <c r="M141" s="20">
        <v>5000</v>
      </c>
      <c r="N141" s="167">
        <v>7</v>
      </c>
      <c r="O141" s="167">
        <v>9</v>
      </c>
      <c r="P141" s="167">
        <v>20</v>
      </c>
      <c r="Q141" s="167">
        <v>25</v>
      </c>
      <c r="R141" s="167">
        <v>36</v>
      </c>
      <c r="S141" s="167">
        <v>39</v>
      </c>
      <c r="T141" s="167">
        <v>15</v>
      </c>
      <c r="U141" s="28">
        <f t="shared" si="131"/>
        <v>136</v>
      </c>
      <c r="W141" s="32" t="str">
        <f t="shared" si="116"/>
        <v>홀수</v>
      </c>
      <c r="X141" s="32" t="str">
        <f t="shared" si="117"/>
        <v>홀수</v>
      </c>
      <c r="Y141" s="32" t="str">
        <f t="shared" si="118"/>
        <v>짝수</v>
      </c>
      <c r="Z141" s="32" t="str">
        <f t="shared" si="119"/>
        <v>홀수</v>
      </c>
      <c r="AA141" s="32" t="str">
        <f t="shared" si="120"/>
        <v>짝수</v>
      </c>
      <c r="AB141" s="32" t="str">
        <f t="shared" si="121"/>
        <v>홀수</v>
      </c>
      <c r="AC141" s="58" t="str">
        <f t="shared" si="122"/>
        <v>4 : 2</v>
      </c>
      <c r="AD141" s="32">
        <f t="shared" si="123"/>
        <v>4</v>
      </c>
      <c r="AE141" s="32">
        <f t="shared" si="124"/>
        <v>2</v>
      </c>
      <c r="AF141" s="66" t="str">
        <f t="shared" si="132"/>
        <v>저수</v>
      </c>
      <c r="AG141" s="66" t="str">
        <f t="shared" si="133"/>
        <v>저수</v>
      </c>
      <c r="AH141" s="66" t="str">
        <f t="shared" si="134"/>
        <v>저수</v>
      </c>
      <c r="AI141" s="66" t="str">
        <f t="shared" si="135"/>
        <v>고수</v>
      </c>
      <c r="AJ141" s="66" t="str">
        <f t="shared" si="136"/>
        <v>고수</v>
      </c>
      <c r="AK141" s="66" t="str">
        <f t="shared" si="137"/>
        <v>고수</v>
      </c>
      <c r="AL141" s="58" t="str">
        <f t="shared" si="138"/>
        <v>3 : 3</v>
      </c>
      <c r="AM141" s="66">
        <f t="shared" si="139"/>
        <v>3</v>
      </c>
      <c r="AN141" s="66">
        <f t="shared" si="140"/>
        <v>3</v>
      </c>
      <c r="AO141" s="66">
        <f t="shared" si="141"/>
        <v>36</v>
      </c>
      <c r="AP141" s="66" t="str">
        <f t="shared" si="142"/>
        <v>O</v>
      </c>
      <c r="AQ141" s="66" t="str">
        <f t="shared" si="143"/>
        <v>X</v>
      </c>
      <c r="AR141" s="66" t="str">
        <f t="shared" si="144"/>
        <v>X</v>
      </c>
      <c r="AS141" s="66" t="str">
        <f t="shared" si="145"/>
        <v>X</v>
      </c>
      <c r="AT141" s="66" t="str">
        <f t="shared" si="146"/>
        <v>X</v>
      </c>
      <c r="AU141" s="66" t="str">
        <f t="shared" si="147"/>
        <v>X</v>
      </c>
      <c r="AV141" s="66" t="str">
        <f t="shared" si="148"/>
        <v>X</v>
      </c>
      <c r="AW141" s="66" t="str">
        <f t="shared" si="149"/>
        <v>X</v>
      </c>
      <c r="AX141" s="66" t="str">
        <f t="shared" si="150"/>
        <v>X</v>
      </c>
      <c r="AY141" s="66" t="str">
        <f t="shared" si="151"/>
        <v>X</v>
      </c>
      <c r="AZ141" s="66" t="str">
        <f t="shared" si="152"/>
        <v>X</v>
      </c>
      <c r="BA141" s="66" t="str">
        <f t="shared" si="153"/>
        <v>X</v>
      </c>
      <c r="BB141" s="66">
        <f t="shared" si="154"/>
        <v>1</v>
      </c>
      <c r="BC141" s="127" t="str">
        <f t="shared" si="125"/>
        <v>1G</v>
      </c>
      <c r="BD141" s="127" t="str">
        <f t="shared" si="126"/>
        <v>1G</v>
      </c>
      <c r="BE141" s="127" t="str">
        <f t="shared" si="127"/>
        <v>2G</v>
      </c>
      <c r="BF141" s="127" t="str">
        <f t="shared" si="128"/>
        <v>2G</v>
      </c>
      <c r="BG141" s="127" t="str">
        <f t="shared" si="129"/>
        <v>3G</v>
      </c>
      <c r="BH141" s="127" t="str">
        <f t="shared" si="130"/>
        <v>3G</v>
      </c>
      <c r="BI141" s="127">
        <f t="shared" si="155"/>
        <v>2</v>
      </c>
      <c r="BJ141" s="127">
        <f t="shared" si="156"/>
        <v>2</v>
      </c>
      <c r="BK141" s="127">
        <f t="shared" si="157"/>
        <v>2</v>
      </c>
      <c r="BL141" s="127" t="str">
        <f t="shared" si="158"/>
        <v>222</v>
      </c>
      <c r="BS141"/>
      <c r="CL141" s="28">
        <v>121</v>
      </c>
      <c r="CM141" s="28">
        <v>120</v>
      </c>
      <c r="CO141"/>
    </row>
    <row r="142" spans="2:93" ht="16.5" hidden="1">
      <c r="B142" s="17">
        <v>138</v>
      </c>
      <c r="C142" s="363" t="s">
        <v>168</v>
      </c>
      <c r="D142" s="18">
        <v>5</v>
      </c>
      <c r="E142" s="20">
        <v>2227152000</v>
      </c>
      <c r="F142" s="18">
        <v>32</v>
      </c>
      <c r="G142" s="20">
        <v>57998750</v>
      </c>
      <c r="H142" s="20">
        <v>1251</v>
      </c>
      <c r="I142" s="20">
        <v>1483582</v>
      </c>
      <c r="J142" s="20">
        <v>61230</v>
      </c>
      <c r="K142" s="20">
        <v>60623</v>
      </c>
      <c r="L142" s="20">
        <v>1056925</v>
      </c>
      <c r="M142" s="20">
        <v>5000</v>
      </c>
      <c r="N142" s="167">
        <v>10</v>
      </c>
      <c r="O142" s="167">
        <v>11</v>
      </c>
      <c r="P142" s="167">
        <v>27</v>
      </c>
      <c r="Q142" s="167">
        <v>28</v>
      </c>
      <c r="R142" s="167">
        <v>37</v>
      </c>
      <c r="S142" s="167">
        <v>39</v>
      </c>
      <c r="T142" s="167">
        <v>19</v>
      </c>
      <c r="U142" s="28">
        <f t="shared" si="131"/>
        <v>152</v>
      </c>
      <c r="W142" s="32" t="str">
        <f t="shared" si="116"/>
        <v>짝수</v>
      </c>
      <c r="X142" s="32" t="str">
        <f t="shared" si="117"/>
        <v>홀수</v>
      </c>
      <c r="Y142" s="32" t="str">
        <f t="shared" si="118"/>
        <v>홀수</v>
      </c>
      <c r="Z142" s="32" t="str">
        <f t="shared" si="119"/>
        <v>짝수</v>
      </c>
      <c r="AA142" s="32" t="str">
        <f t="shared" si="120"/>
        <v>홀수</v>
      </c>
      <c r="AB142" s="32" t="str">
        <f t="shared" si="121"/>
        <v>홀수</v>
      </c>
      <c r="AC142" s="58" t="str">
        <f t="shared" si="122"/>
        <v>4 : 2</v>
      </c>
      <c r="AD142" s="32">
        <f t="shared" si="123"/>
        <v>4</v>
      </c>
      <c r="AE142" s="32">
        <f t="shared" si="124"/>
        <v>2</v>
      </c>
      <c r="AF142" s="66" t="str">
        <f t="shared" si="132"/>
        <v>저수</v>
      </c>
      <c r="AG142" s="66" t="str">
        <f t="shared" si="133"/>
        <v>저수</v>
      </c>
      <c r="AH142" s="66" t="str">
        <f t="shared" si="134"/>
        <v>고수</v>
      </c>
      <c r="AI142" s="66" t="str">
        <f t="shared" si="135"/>
        <v>고수</v>
      </c>
      <c r="AJ142" s="66" t="str">
        <f t="shared" si="136"/>
        <v>고수</v>
      </c>
      <c r="AK142" s="66" t="str">
        <f t="shared" si="137"/>
        <v>고수</v>
      </c>
      <c r="AL142" s="58" t="str">
        <f t="shared" si="138"/>
        <v>2 : 4</v>
      </c>
      <c r="AM142" s="66">
        <f t="shared" si="139"/>
        <v>2</v>
      </c>
      <c r="AN142" s="66">
        <f t="shared" si="140"/>
        <v>4</v>
      </c>
      <c r="AO142" s="66">
        <f t="shared" si="141"/>
        <v>32</v>
      </c>
      <c r="AP142" s="66" t="str">
        <f t="shared" si="142"/>
        <v>X</v>
      </c>
      <c r="AQ142" s="66" t="str">
        <f t="shared" si="143"/>
        <v>O</v>
      </c>
      <c r="AR142" s="66" t="str">
        <f t="shared" si="144"/>
        <v>X</v>
      </c>
      <c r="AS142" s="66" t="str">
        <f t="shared" si="145"/>
        <v>X</v>
      </c>
      <c r="AT142" s="66" t="str">
        <f t="shared" si="146"/>
        <v>X</v>
      </c>
      <c r="AU142" s="66" t="str">
        <f t="shared" si="147"/>
        <v>X</v>
      </c>
      <c r="AV142" s="66" t="str">
        <f t="shared" si="148"/>
        <v>X</v>
      </c>
      <c r="AW142" s="66" t="str">
        <f t="shared" si="149"/>
        <v>X</v>
      </c>
      <c r="AX142" s="66" t="str">
        <f t="shared" si="150"/>
        <v>X</v>
      </c>
      <c r="AY142" s="66" t="str">
        <f t="shared" si="151"/>
        <v>X</v>
      </c>
      <c r="AZ142" s="66" t="str">
        <f t="shared" si="152"/>
        <v>O</v>
      </c>
      <c r="BA142" s="66" t="str">
        <f t="shared" si="153"/>
        <v>X</v>
      </c>
      <c r="BB142" s="66">
        <f t="shared" si="154"/>
        <v>2</v>
      </c>
      <c r="BC142" s="127" t="str">
        <f t="shared" si="125"/>
        <v>1G</v>
      </c>
      <c r="BD142" s="127" t="str">
        <f t="shared" si="126"/>
        <v>1G</v>
      </c>
      <c r="BE142" s="127" t="str">
        <f t="shared" si="127"/>
        <v>2G</v>
      </c>
      <c r="BF142" s="127" t="str">
        <f t="shared" si="128"/>
        <v>2G</v>
      </c>
      <c r="BG142" s="127" t="str">
        <f t="shared" si="129"/>
        <v>3G</v>
      </c>
      <c r="BH142" s="127" t="str">
        <f t="shared" si="130"/>
        <v>3G</v>
      </c>
      <c r="BI142" s="127">
        <f t="shared" si="155"/>
        <v>2</v>
      </c>
      <c r="BJ142" s="127">
        <f t="shared" si="156"/>
        <v>2</v>
      </c>
      <c r="BK142" s="127">
        <f t="shared" si="157"/>
        <v>2</v>
      </c>
      <c r="BL142" s="127" t="str">
        <f t="shared" si="158"/>
        <v>222</v>
      </c>
      <c r="BS142"/>
      <c r="CL142" s="28">
        <v>121</v>
      </c>
      <c r="CM142" s="28">
        <v>120</v>
      </c>
      <c r="CO142"/>
    </row>
    <row r="143" spans="2:93" ht="16.5" hidden="1">
      <c r="B143" s="17">
        <v>139</v>
      </c>
      <c r="C143" s="363" t="s">
        <v>169</v>
      </c>
      <c r="D143" s="18">
        <v>7</v>
      </c>
      <c r="E143" s="20">
        <v>1650210215</v>
      </c>
      <c r="F143" s="18">
        <v>28</v>
      </c>
      <c r="G143" s="20">
        <v>68758759</v>
      </c>
      <c r="H143" s="20">
        <v>1128</v>
      </c>
      <c r="I143" s="20">
        <v>1706778</v>
      </c>
      <c r="J143" s="20">
        <v>57271</v>
      </c>
      <c r="K143" s="20">
        <v>67233</v>
      </c>
      <c r="L143" s="20">
        <v>986618</v>
      </c>
      <c r="M143" s="20">
        <v>5000</v>
      </c>
      <c r="N143" s="167">
        <v>9</v>
      </c>
      <c r="O143" s="167">
        <v>11</v>
      </c>
      <c r="P143" s="167">
        <v>15</v>
      </c>
      <c r="Q143" s="167">
        <v>20</v>
      </c>
      <c r="R143" s="167">
        <v>28</v>
      </c>
      <c r="S143" s="167">
        <v>43</v>
      </c>
      <c r="T143" s="167">
        <v>13</v>
      </c>
      <c r="U143" s="28">
        <f t="shared" si="131"/>
        <v>126</v>
      </c>
      <c r="W143" s="32" t="str">
        <f t="shared" si="116"/>
        <v>홀수</v>
      </c>
      <c r="X143" s="32" t="str">
        <f t="shared" si="117"/>
        <v>홀수</v>
      </c>
      <c r="Y143" s="32" t="str">
        <f t="shared" si="118"/>
        <v>홀수</v>
      </c>
      <c r="Z143" s="32" t="str">
        <f t="shared" si="119"/>
        <v>짝수</v>
      </c>
      <c r="AA143" s="32" t="str">
        <f t="shared" si="120"/>
        <v>짝수</v>
      </c>
      <c r="AB143" s="32" t="str">
        <f t="shared" si="121"/>
        <v>홀수</v>
      </c>
      <c r="AC143" s="58" t="str">
        <f t="shared" si="122"/>
        <v>4 : 2</v>
      </c>
      <c r="AD143" s="32">
        <f t="shared" si="123"/>
        <v>4</v>
      </c>
      <c r="AE143" s="32">
        <f t="shared" si="124"/>
        <v>2</v>
      </c>
      <c r="AF143" s="66" t="str">
        <f t="shared" si="132"/>
        <v>저수</v>
      </c>
      <c r="AG143" s="66" t="str">
        <f t="shared" si="133"/>
        <v>저수</v>
      </c>
      <c r="AH143" s="66" t="str">
        <f t="shared" si="134"/>
        <v>저수</v>
      </c>
      <c r="AI143" s="66" t="str">
        <f t="shared" si="135"/>
        <v>저수</v>
      </c>
      <c r="AJ143" s="66" t="str">
        <f t="shared" si="136"/>
        <v>고수</v>
      </c>
      <c r="AK143" s="66" t="str">
        <f t="shared" si="137"/>
        <v>고수</v>
      </c>
      <c r="AL143" s="58" t="str">
        <f t="shared" si="138"/>
        <v>4 : 2</v>
      </c>
      <c r="AM143" s="66">
        <f t="shared" si="139"/>
        <v>4</v>
      </c>
      <c r="AN143" s="66">
        <f t="shared" si="140"/>
        <v>2</v>
      </c>
      <c r="AO143" s="66">
        <f t="shared" si="141"/>
        <v>26</v>
      </c>
      <c r="AP143" s="66" t="str">
        <f t="shared" si="142"/>
        <v>X</v>
      </c>
      <c r="AQ143" s="66" t="str">
        <f t="shared" si="143"/>
        <v>O</v>
      </c>
      <c r="AR143" s="66" t="str">
        <f t="shared" si="144"/>
        <v>X</v>
      </c>
      <c r="AS143" s="66" t="str">
        <f t="shared" si="145"/>
        <v>X</v>
      </c>
      <c r="AT143" s="66" t="str">
        <f t="shared" si="146"/>
        <v>X</v>
      </c>
      <c r="AU143" s="66" t="str">
        <f t="shared" si="147"/>
        <v>X</v>
      </c>
      <c r="AV143" s="66" t="str">
        <f t="shared" si="148"/>
        <v>X</v>
      </c>
      <c r="AW143" s="66" t="str">
        <f t="shared" si="149"/>
        <v>X</v>
      </c>
      <c r="AX143" s="66" t="str">
        <f t="shared" si="150"/>
        <v>X</v>
      </c>
      <c r="AY143" s="66" t="str">
        <f t="shared" si="151"/>
        <v>X</v>
      </c>
      <c r="AZ143" s="66" t="str">
        <f t="shared" si="152"/>
        <v>X</v>
      </c>
      <c r="BA143" s="66" t="str">
        <f t="shared" si="153"/>
        <v>O</v>
      </c>
      <c r="BB143" s="66">
        <f t="shared" si="154"/>
        <v>2</v>
      </c>
      <c r="BC143" s="127" t="str">
        <f t="shared" si="125"/>
        <v>1G</v>
      </c>
      <c r="BD143" s="127" t="str">
        <f t="shared" si="126"/>
        <v>1G</v>
      </c>
      <c r="BE143" s="127" t="str">
        <f t="shared" si="127"/>
        <v>1G</v>
      </c>
      <c r="BF143" s="127" t="str">
        <f t="shared" si="128"/>
        <v>2G</v>
      </c>
      <c r="BG143" s="127" t="str">
        <f t="shared" si="129"/>
        <v>2G</v>
      </c>
      <c r="BH143" s="127" t="str">
        <f t="shared" si="130"/>
        <v>3G</v>
      </c>
      <c r="BI143" s="127">
        <f t="shared" si="155"/>
        <v>3</v>
      </c>
      <c r="BJ143" s="127">
        <f t="shared" si="156"/>
        <v>2</v>
      </c>
      <c r="BK143" s="127">
        <f t="shared" si="157"/>
        <v>1</v>
      </c>
      <c r="BL143" s="127" t="str">
        <f t="shared" si="158"/>
        <v>321</v>
      </c>
      <c r="BS143"/>
      <c r="CL143" s="28">
        <v>121</v>
      </c>
      <c r="CM143" s="28">
        <v>120</v>
      </c>
      <c r="CO143"/>
    </row>
    <row r="144" spans="2:93" ht="16.5" hidden="1">
      <c r="B144" s="17">
        <v>140</v>
      </c>
      <c r="C144" s="363" t="s">
        <v>170</v>
      </c>
      <c r="D144" s="18">
        <v>5</v>
      </c>
      <c r="E144" s="20">
        <v>2109462840</v>
      </c>
      <c r="F144" s="18">
        <v>34</v>
      </c>
      <c r="G144" s="20">
        <v>51702521</v>
      </c>
      <c r="H144" s="20">
        <v>1310</v>
      </c>
      <c r="I144" s="20">
        <v>1341898</v>
      </c>
      <c r="J144" s="20">
        <v>64372</v>
      </c>
      <c r="K144" s="20">
        <v>54617</v>
      </c>
      <c r="L144" s="20">
        <v>1082575</v>
      </c>
      <c r="M144" s="20">
        <v>5000</v>
      </c>
      <c r="N144" s="167">
        <v>3</v>
      </c>
      <c r="O144" s="167">
        <v>13</v>
      </c>
      <c r="P144" s="167">
        <v>17</v>
      </c>
      <c r="Q144" s="167">
        <v>18</v>
      </c>
      <c r="R144" s="167">
        <v>19</v>
      </c>
      <c r="S144" s="167">
        <v>28</v>
      </c>
      <c r="T144" s="167">
        <v>8</v>
      </c>
      <c r="U144" s="28">
        <f t="shared" si="131"/>
        <v>98</v>
      </c>
      <c r="W144" s="32" t="str">
        <f t="shared" si="116"/>
        <v>홀수</v>
      </c>
      <c r="X144" s="32" t="str">
        <f t="shared" si="117"/>
        <v>홀수</v>
      </c>
      <c r="Y144" s="32" t="str">
        <f t="shared" si="118"/>
        <v>홀수</v>
      </c>
      <c r="Z144" s="32" t="str">
        <f t="shared" si="119"/>
        <v>짝수</v>
      </c>
      <c r="AA144" s="32" t="str">
        <f t="shared" si="120"/>
        <v>홀수</v>
      </c>
      <c r="AB144" s="32" t="str">
        <f t="shared" si="121"/>
        <v>짝수</v>
      </c>
      <c r="AC144" s="58" t="str">
        <f t="shared" si="122"/>
        <v>4 : 2</v>
      </c>
      <c r="AD144" s="32">
        <f t="shared" si="123"/>
        <v>4</v>
      </c>
      <c r="AE144" s="32">
        <f t="shared" si="124"/>
        <v>2</v>
      </c>
      <c r="AF144" s="66" t="str">
        <f t="shared" si="132"/>
        <v>저수</v>
      </c>
      <c r="AG144" s="66" t="str">
        <f t="shared" si="133"/>
        <v>저수</v>
      </c>
      <c r="AH144" s="66" t="str">
        <f t="shared" si="134"/>
        <v>저수</v>
      </c>
      <c r="AI144" s="66" t="str">
        <f t="shared" si="135"/>
        <v>저수</v>
      </c>
      <c r="AJ144" s="66" t="str">
        <f t="shared" si="136"/>
        <v>저수</v>
      </c>
      <c r="AK144" s="66" t="str">
        <f t="shared" si="137"/>
        <v>고수</v>
      </c>
      <c r="AL144" s="58" t="str">
        <f t="shared" si="138"/>
        <v>5 : 1</v>
      </c>
      <c r="AM144" s="66">
        <f t="shared" si="139"/>
        <v>5</v>
      </c>
      <c r="AN144" s="66">
        <f t="shared" si="140"/>
        <v>1</v>
      </c>
      <c r="AO144" s="66">
        <f t="shared" si="141"/>
        <v>38</v>
      </c>
      <c r="AP144" s="66" t="str">
        <f t="shared" si="142"/>
        <v>O</v>
      </c>
      <c r="AQ144" s="66" t="str">
        <f t="shared" si="143"/>
        <v>O</v>
      </c>
      <c r="AR144" s="66" t="str">
        <f t="shared" si="144"/>
        <v>O</v>
      </c>
      <c r="AS144" s="66" t="str">
        <f t="shared" si="145"/>
        <v>X</v>
      </c>
      <c r="AT144" s="66" t="str">
        <f t="shared" si="146"/>
        <v>O</v>
      </c>
      <c r="AU144" s="66" t="str">
        <f t="shared" si="147"/>
        <v>X</v>
      </c>
      <c r="AV144" s="66" t="str">
        <f t="shared" si="148"/>
        <v>X</v>
      </c>
      <c r="AW144" s="66" t="str">
        <f t="shared" si="149"/>
        <v>X</v>
      </c>
      <c r="AX144" s="66" t="str">
        <f t="shared" si="150"/>
        <v>X</v>
      </c>
      <c r="AY144" s="66" t="str">
        <f t="shared" si="151"/>
        <v>X</v>
      </c>
      <c r="AZ144" s="66" t="str">
        <f t="shared" si="152"/>
        <v>X</v>
      </c>
      <c r="BA144" s="66" t="str">
        <f t="shared" si="153"/>
        <v>X</v>
      </c>
      <c r="BB144" s="66">
        <f t="shared" si="154"/>
        <v>4</v>
      </c>
      <c r="BC144" s="127" t="str">
        <f t="shared" si="125"/>
        <v>1G</v>
      </c>
      <c r="BD144" s="127" t="str">
        <f t="shared" si="126"/>
        <v>1G</v>
      </c>
      <c r="BE144" s="127" t="str">
        <f t="shared" si="127"/>
        <v>2G</v>
      </c>
      <c r="BF144" s="127" t="str">
        <f t="shared" si="128"/>
        <v>2G</v>
      </c>
      <c r="BG144" s="127" t="str">
        <f t="shared" si="129"/>
        <v>2G</v>
      </c>
      <c r="BH144" s="127" t="str">
        <f t="shared" si="130"/>
        <v>2G</v>
      </c>
      <c r="BI144" s="127">
        <f t="shared" si="155"/>
        <v>2</v>
      </c>
      <c r="BJ144" s="127">
        <f t="shared" si="156"/>
        <v>4</v>
      </c>
      <c r="BK144" s="127">
        <f t="shared" si="157"/>
        <v>0</v>
      </c>
      <c r="BL144" s="127" t="str">
        <f t="shared" si="158"/>
        <v>240</v>
      </c>
      <c r="BS144"/>
      <c r="CL144" s="28">
        <v>121</v>
      </c>
      <c r="CM144" s="28">
        <v>120</v>
      </c>
      <c r="CO144"/>
    </row>
    <row r="145" spans="2:93" ht="16.5" hidden="1">
      <c r="B145" s="17">
        <v>141</v>
      </c>
      <c r="C145" s="363" t="s">
        <v>171</v>
      </c>
      <c r="D145" s="18">
        <v>6</v>
      </c>
      <c r="E145" s="20">
        <v>1900552400</v>
      </c>
      <c r="F145" s="18">
        <v>29</v>
      </c>
      <c r="G145" s="20">
        <v>65536290</v>
      </c>
      <c r="H145" s="20">
        <v>1144</v>
      </c>
      <c r="I145" s="20">
        <v>1661323</v>
      </c>
      <c r="J145" s="20">
        <v>58203</v>
      </c>
      <c r="K145" s="20">
        <v>65308</v>
      </c>
      <c r="L145" s="20">
        <v>1000591</v>
      </c>
      <c r="M145" s="20">
        <v>5000</v>
      </c>
      <c r="N145" s="167">
        <v>8</v>
      </c>
      <c r="O145" s="167">
        <v>12</v>
      </c>
      <c r="P145" s="167">
        <v>29</v>
      </c>
      <c r="Q145" s="167">
        <v>31</v>
      </c>
      <c r="R145" s="167">
        <v>42</v>
      </c>
      <c r="S145" s="167">
        <v>43</v>
      </c>
      <c r="T145" s="167">
        <v>2</v>
      </c>
      <c r="U145" s="28">
        <f t="shared" si="131"/>
        <v>165</v>
      </c>
      <c r="W145" s="32" t="str">
        <f t="shared" si="116"/>
        <v>짝수</v>
      </c>
      <c r="X145" s="32" t="str">
        <f t="shared" si="117"/>
        <v>짝수</v>
      </c>
      <c r="Y145" s="32" t="str">
        <f t="shared" si="118"/>
        <v>홀수</v>
      </c>
      <c r="Z145" s="32" t="str">
        <f t="shared" si="119"/>
        <v>홀수</v>
      </c>
      <c r="AA145" s="32" t="str">
        <f t="shared" si="120"/>
        <v>짝수</v>
      </c>
      <c r="AB145" s="32" t="str">
        <f t="shared" si="121"/>
        <v>홀수</v>
      </c>
      <c r="AC145" s="58" t="str">
        <f t="shared" si="122"/>
        <v>3 : 3</v>
      </c>
      <c r="AD145" s="32">
        <f t="shared" si="123"/>
        <v>3</v>
      </c>
      <c r="AE145" s="32">
        <f t="shared" si="124"/>
        <v>3</v>
      </c>
      <c r="AF145" s="66" t="str">
        <f t="shared" si="132"/>
        <v>저수</v>
      </c>
      <c r="AG145" s="66" t="str">
        <f t="shared" si="133"/>
        <v>저수</v>
      </c>
      <c r="AH145" s="66" t="str">
        <f t="shared" si="134"/>
        <v>고수</v>
      </c>
      <c r="AI145" s="66" t="str">
        <f t="shared" si="135"/>
        <v>고수</v>
      </c>
      <c r="AJ145" s="66" t="str">
        <f t="shared" si="136"/>
        <v>고수</v>
      </c>
      <c r="AK145" s="66" t="str">
        <f t="shared" si="137"/>
        <v>고수</v>
      </c>
      <c r="AL145" s="58" t="str">
        <f t="shared" si="138"/>
        <v>2 : 4</v>
      </c>
      <c r="AM145" s="66">
        <f t="shared" si="139"/>
        <v>2</v>
      </c>
      <c r="AN145" s="66">
        <f t="shared" si="140"/>
        <v>4</v>
      </c>
      <c r="AO145" s="66">
        <f t="shared" si="141"/>
        <v>25</v>
      </c>
      <c r="AP145" s="66" t="str">
        <f t="shared" si="142"/>
        <v>X</v>
      </c>
      <c r="AQ145" s="66" t="str">
        <f t="shared" si="143"/>
        <v>X</v>
      </c>
      <c r="AR145" s="66" t="str">
        <f t="shared" si="144"/>
        <v>X</v>
      </c>
      <c r="AS145" s="66" t="str">
        <f t="shared" si="145"/>
        <v>X</v>
      </c>
      <c r="AT145" s="66" t="str">
        <f t="shared" si="146"/>
        <v>X</v>
      </c>
      <c r="AU145" s="66" t="str">
        <f t="shared" si="147"/>
        <v>X</v>
      </c>
      <c r="AV145" s="66" t="str">
        <f t="shared" si="148"/>
        <v>X</v>
      </c>
      <c r="AW145" s="66" t="str">
        <f t="shared" si="149"/>
        <v>X</v>
      </c>
      <c r="AX145" s="66" t="str">
        <f t="shared" si="150"/>
        <v>O</v>
      </c>
      <c r="AY145" s="66" t="str">
        <f t="shared" si="151"/>
        <v>O</v>
      </c>
      <c r="AZ145" s="66" t="str">
        <f t="shared" si="152"/>
        <v>X</v>
      </c>
      <c r="BA145" s="66" t="str">
        <f t="shared" si="153"/>
        <v>O</v>
      </c>
      <c r="BB145" s="66">
        <f t="shared" si="154"/>
        <v>3</v>
      </c>
      <c r="BC145" s="127" t="str">
        <f t="shared" si="125"/>
        <v>1G</v>
      </c>
      <c r="BD145" s="127" t="str">
        <f t="shared" si="126"/>
        <v>1G</v>
      </c>
      <c r="BE145" s="127" t="str">
        <f t="shared" si="127"/>
        <v>2G</v>
      </c>
      <c r="BF145" s="127" t="str">
        <f t="shared" si="128"/>
        <v>3G</v>
      </c>
      <c r="BG145" s="127" t="str">
        <f t="shared" si="129"/>
        <v>3G</v>
      </c>
      <c r="BH145" s="127" t="str">
        <f t="shared" si="130"/>
        <v>3G</v>
      </c>
      <c r="BI145" s="127">
        <f t="shared" si="155"/>
        <v>2</v>
      </c>
      <c r="BJ145" s="127">
        <f t="shared" si="156"/>
        <v>1</v>
      </c>
      <c r="BK145" s="127">
        <f t="shared" si="157"/>
        <v>3</v>
      </c>
      <c r="BL145" s="127" t="str">
        <f t="shared" si="158"/>
        <v>213</v>
      </c>
      <c r="BS145"/>
      <c r="CL145" s="28">
        <v>121</v>
      </c>
      <c r="CM145" s="28">
        <v>120</v>
      </c>
      <c r="CO145"/>
    </row>
    <row r="146" spans="2:93" ht="16.5" hidden="1">
      <c r="B146" s="17">
        <v>142</v>
      </c>
      <c r="C146" s="363" t="s">
        <v>172</v>
      </c>
      <c r="D146" s="18">
        <v>11</v>
      </c>
      <c r="E146" s="20">
        <v>1018265564</v>
      </c>
      <c r="F146" s="18">
        <v>28</v>
      </c>
      <c r="G146" s="20">
        <v>66672150</v>
      </c>
      <c r="H146" s="20">
        <v>1326</v>
      </c>
      <c r="I146" s="20">
        <v>1407859</v>
      </c>
      <c r="J146" s="20">
        <v>64602</v>
      </c>
      <c r="K146" s="20">
        <v>57795</v>
      </c>
      <c r="L146" s="20">
        <v>1067644</v>
      </c>
      <c r="M146" s="20">
        <v>5000</v>
      </c>
      <c r="N146" s="167">
        <v>12</v>
      </c>
      <c r="O146" s="167">
        <v>16</v>
      </c>
      <c r="P146" s="167">
        <v>30</v>
      </c>
      <c r="Q146" s="167">
        <v>34</v>
      </c>
      <c r="R146" s="167">
        <v>40</v>
      </c>
      <c r="S146" s="167">
        <v>44</v>
      </c>
      <c r="T146" s="167">
        <v>19</v>
      </c>
      <c r="U146" s="28">
        <f t="shared" si="131"/>
        <v>176</v>
      </c>
      <c r="W146" s="32" t="str">
        <f t="shared" si="116"/>
        <v>짝수</v>
      </c>
      <c r="X146" s="32" t="str">
        <f t="shared" si="117"/>
        <v>짝수</v>
      </c>
      <c r="Y146" s="32" t="str">
        <f t="shared" si="118"/>
        <v>짝수</v>
      </c>
      <c r="Z146" s="32" t="str">
        <f t="shared" si="119"/>
        <v>짝수</v>
      </c>
      <c r="AA146" s="32" t="str">
        <f t="shared" si="120"/>
        <v>짝수</v>
      </c>
      <c r="AB146" s="32" t="str">
        <f t="shared" si="121"/>
        <v>짝수</v>
      </c>
      <c r="AC146" s="58" t="str">
        <f t="shared" si="122"/>
        <v>0 : 6</v>
      </c>
      <c r="AD146" s="32">
        <f t="shared" si="123"/>
        <v>0</v>
      </c>
      <c r="AE146" s="32">
        <f t="shared" si="124"/>
        <v>6</v>
      </c>
      <c r="AF146" s="66" t="str">
        <f t="shared" si="132"/>
        <v>저수</v>
      </c>
      <c r="AG146" s="66" t="str">
        <f t="shared" si="133"/>
        <v>저수</v>
      </c>
      <c r="AH146" s="66" t="str">
        <f t="shared" si="134"/>
        <v>고수</v>
      </c>
      <c r="AI146" s="66" t="str">
        <f t="shared" si="135"/>
        <v>고수</v>
      </c>
      <c r="AJ146" s="66" t="str">
        <f t="shared" si="136"/>
        <v>고수</v>
      </c>
      <c r="AK146" s="66" t="str">
        <f t="shared" si="137"/>
        <v>고수</v>
      </c>
      <c r="AL146" s="58" t="str">
        <f t="shared" si="138"/>
        <v>2 : 4</v>
      </c>
      <c r="AM146" s="66">
        <f t="shared" si="139"/>
        <v>2</v>
      </c>
      <c r="AN146" s="66">
        <f t="shared" si="140"/>
        <v>4</v>
      </c>
      <c r="AO146" s="66">
        <f t="shared" si="141"/>
        <v>16</v>
      </c>
      <c r="AP146" s="66" t="str">
        <f t="shared" si="142"/>
        <v>X</v>
      </c>
      <c r="AQ146" s="66" t="str">
        <f t="shared" si="143"/>
        <v>X</v>
      </c>
      <c r="AR146" s="66" t="str">
        <f t="shared" si="144"/>
        <v>X</v>
      </c>
      <c r="AS146" s="66" t="str">
        <f t="shared" si="145"/>
        <v>X</v>
      </c>
      <c r="AT146" s="66" t="str">
        <f t="shared" si="146"/>
        <v>X</v>
      </c>
      <c r="AU146" s="66" t="str">
        <f t="shared" si="147"/>
        <v>X</v>
      </c>
      <c r="AV146" s="66" t="str">
        <f t="shared" si="148"/>
        <v>X</v>
      </c>
      <c r="AW146" s="66" t="str">
        <f t="shared" si="149"/>
        <v>X</v>
      </c>
      <c r="AX146" s="66" t="str">
        <f t="shared" si="150"/>
        <v>X</v>
      </c>
      <c r="AY146" s="66" t="str">
        <f t="shared" si="151"/>
        <v>X</v>
      </c>
      <c r="AZ146" s="66" t="str">
        <f t="shared" si="152"/>
        <v>X</v>
      </c>
      <c r="BA146" s="66" t="str">
        <f t="shared" si="153"/>
        <v>X</v>
      </c>
      <c r="BB146" s="66">
        <f t="shared" si="154"/>
        <v>0</v>
      </c>
      <c r="BC146" s="127" t="str">
        <f t="shared" si="125"/>
        <v>1G</v>
      </c>
      <c r="BD146" s="127" t="str">
        <f t="shared" si="126"/>
        <v>2G</v>
      </c>
      <c r="BE146" s="127" t="str">
        <f t="shared" si="127"/>
        <v>2G</v>
      </c>
      <c r="BF146" s="127" t="str">
        <f t="shared" si="128"/>
        <v>3G</v>
      </c>
      <c r="BG146" s="127" t="str">
        <f t="shared" si="129"/>
        <v>3G</v>
      </c>
      <c r="BH146" s="127" t="str">
        <f t="shared" si="130"/>
        <v>3G</v>
      </c>
      <c r="BI146" s="127">
        <f t="shared" si="155"/>
        <v>1</v>
      </c>
      <c r="BJ146" s="127">
        <f t="shared" si="156"/>
        <v>2</v>
      </c>
      <c r="BK146" s="127">
        <f t="shared" si="157"/>
        <v>3</v>
      </c>
      <c r="BL146" s="127" t="str">
        <f t="shared" si="158"/>
        <v>123</v>
      </c>
      <c r="BS146"/>
      <c r="CL146" s="28">
        <v>122</v>
      </c>
      <c r="CM146" s="28">
        <v>120</v>
      </c>
      <c r="CO146"/>
    </row>
    <row r="147" spans="2:93" ht="16.5" hidden="1">
      <c r="B147" s="17">
        <v>143</v>
      </c>
      <c r="C147" s="363" t="s">
        <v>173</v>
      </c>
      <c r="D147" s="18">
        <v>3</v>
      </c>
      <c r="E147" s="20">
        <v>3954584700</v>
      </c>
      <c r="F147" s="18">
        <v>35</v>
      </c>
      <c r="G147" s="20">
        <v>56494068</v>
      </c>
      <c r="H147" s="20">
        <v>1182</v>
      </c>
      <c r="I147" s="20">
        <v>1672837</v>
      </c>
      <c r="J147" s="20">
        <v>57130</v>
      </c>
      <c r="K147" s="20">
        <v>69221</v>
      </c>
      <c r="L147" s="20">
        <v>986951</v>
      </c>
      <c r="M147" s="20">
        <v>5000</v>
      </c>
      <c r="N147" s="167">
        <v>26</v>
      </c>
      <c r="O147" s="167">
        <v>27</v>
      </c>
      <c r="P147" s="167">
        <v>28</v>
      </c>
      <c r="Q147" s="167">
        <v>42</v>
      </c>
      <c r="R147" s="167">
        <v>43</v>
      </c>
      <c r="S147" s="167">
        <v>45</v>
      </c>
      <c r="T147" s="167">
        <v>8</v>
      </c>
      <c r="U147" s="28">
        <f t="shared" si="131"/>
        <v>211</v>
      </c>
      <c r="W147" s="32" t="str">
        <f t="shared" si="116"/>
        <v>짝수</v>
      </c>
      <c r="X147" s="32" t="str">
        <f t="shared" si="117"/>
        <v>홀수</v>
      </c>
      <c r="Y147" s="32" t="str">
        <f t="shared" si="118"/>
        <v>짝수</v>
      </c>
      <c r="Z147" s="32" t="str">
        <f t="shared" si="119"/>
        <v>짝수</v>
      </c>
      <c r="AA147" s="32" t="str">
        <f t="shared" si="120"/>
        <v>홀수</v>
      </c>
      <c r="AB147" s="32" t="str">
        <f t="shared" si="121"/>
        <v>홀수</v>
      </c>
      <c r="AC147" s="58" t="str">
        <f t="shared" si="122"/>
        <v>3 : 3</v>
      </c>
      <c r="AD147" s="32">
        <f t="shared" si="123"/>
        <v>3</v>
      </c>
      <c r="AE147" s="32">
        <f t="shared" si="124"/>
        <v>3</v>
      </c>
      <c r="AF147" s="66" t="str">
        <f t="shared" si="132"/>
        <v>고수</v>
      </c>
      <c r="AG147" s="66" t="str">
        <f t="shared" si="133"/>
        <v>고수</v>
      </c>
      <c r="AH147" s="66" t="str">
        <f t="shared" si="134"/>
        <v>고수</v>
      </c>
      <c r="AI147" s="66" t="str">
        <f t="shared" si="135"/>
        <v>고수</v>
      </c>
      <c r="AJ147" s="66" t="str">
        <f t="shared" si="136"/>
        <v>고수</v>
      </c>
      <c r="AK147" s="66" t="str">
        <f t="shared" si="137"/>
        <v>고수</v>
      </c>
      <c r="AL147" s="58" t="str">
        <f t="shared" si="138"/>
        <v>0 : 6</v>
      </c>
      <c r="AM147" s="66">
        <f t="shared" si="139"/>
        <v>0</v>
      </c>
      <c r="AN147" s="66">
        <f t="shared" si="140"/>
        <v>6</v>
      </c>
      <c r="AO147" s="66">
        <f t="shared" si="141"/>
        <v>31</v>
      </c>
      <c r="AP147" s="66" t="str">
        <f t="shared" si="142"/>
        <v>X</v>
      </c>
      <c r="AQ147" s="66" t="str">
        <f t="shared" si="143"/>
        <v>X</v>
      </c>
      <c r="AR147" s="66" t="str">
        <f t="shared" si="144"/>
        <v>X</v>
      </c>
      <c r="AS147" s="66" t="str">
        <f t="shared" si="145"/>
        <v>X</v>
      </c>
      <c r="AT147" s="66" t="str">
        <f t="shared" si="146"/>
        <v>X</v>
      </c>
      <c r="AU147" s="66" t="str">
        <f t="shared" si="147"/>
        <v>X</v>
      </c>
      <c r="AV147" s="66" t="str">
        <f t="shared" si="148"/>
        <v>X</v>
      </c>
      <c r="AW147" s="66" t="str">
        <f t="shared" si="149"/>
        <v>X</v>
      </c>
      <c r="AX147" s="66" t="str">
        <f t="shared" si="150"/>
        <v>X</v>
      </c>
      <c r="AY147" s="66" t="str">
        <f t="shared" si="151"/>
        <v>X</v>
      </c>
      <c r="AZ147" s="66" t="str">
        <f t="shared" si="152"/>
        <v>O</v>
      </c>
      <c r="BA147" s="66" t="str">
        <f t="shared" si="153"/>
        <v>X</v>
      </c>
      <c r="BB147" s="66">
        <f t="shared" si="154"/>
        <v>1</v>
      </c>
      <c r="BC147" s="127" t="str">
        <f t="shared" si="125"/>
        <v>2G</v>
      </c>
      <c r="BD147" s="127" t="str">
        <f t="shared" si="126"/>
        <v>2G</v>
      </c>
      <c r="BE147" s="127" t="str">
        <f t="shared" si="127"/>
        <v>2G</v>
      </c>
      <c r="BF147" s="127" t="str">
        <f t="shared" si="128"/>
        <v>3G</v>
      </c>
      <c r="BG147" s="127" t="str">
        <f t="shared" si="129"/>
        <v>3G</v>
      </c>
      <c r="BH147" s="127" t="str">
        <f t="shared" si="130"/>
        <v>3G</v>
      </c>
      <c r="BI147" s="127">
        <f t="shared" si="155"/>
        <v>0</v>
      </c>
      <c r="BJ147" s="127">
        <f t="shared" si="156"/>
        <v>3</v>
      </c>
      <c r="BK147" s="127">
        <f t="shared" si="157"/>
        <v>3</v>
      </c>
      <c r="BL147" s="127" t="str">
        <f t="shared" si="158"/>
        <v>033</v>
      </c>
      <c r="BS147"/>
      <c r="CL147" s="28">
        <v>122</v>
      </c>
      <c r="CM147" s="28">
        <v>120</v>
      </c>
      <c r="CO147"/>
    </row>
    <row r="148" spans="2:93" ht="16.5" hidden="1">
      <c r="B148" s="17">
        <v>144</v>
      </c>
      <c r="C148" s="363" t="s">
        <v>174</v>
      </c>
      <c r="D148" s="18">
        <v>8</v>
      </c>
      <c r="E148" s="20">
        <v>1402440413</v>
      </c>
      <c r="F148" s="18">
        <v>38</v>
      </c>
      <c r="G148" s="20">
        <v>49208436</v>
      </c>
      <c r="H148" s="20">
        <v>1498</v>
      </c>
      <c r="I148" s="20">
        <v>1248279</v>
      </c>
      <c r="J148" s="20">
        <v>74181</v>
      </c>
      <c r="K148" s="20">
        <v>50416</v>
      </c>
      <c r="L148" s="20">
        <v>1180411</v>
      </c>
      <c r="M148" s="20">
        <v>5000</v>
      </c>
      <c r="N148" s="167">
        <v>4</v>
      </c>
      <c r="O148" s="167">
        <v>15</v>
      </c>
      <c r="P148" s="167">
        <v>17</v>
      </c>
      <c r="Q148" s="167">
        <v>26</v>
      </c>
      <c r="R148" s="167">
        <v>36</v>
      </c>
      <c r="S148" s="167">
        <v>37</v>
      </c>
      <c r="T148" s="167">
        <v>43</v>
      </c>
      <c r="U148" s="28">
        <f t="shared" si="131"/>
        <v>135</v>
      </c>
      <c r="W148" s="32" t="str">
        <f t="shared" si="116"/>
        <v>짝수</v>
      </c>
      <c r="X148" s="32" t="str">
        <f t="shared" si="117"/>
        <v>홀수</v>
      </c>
      <c r="Y148" s="32" t="str">
        <f t="shared" si="118"/>
        <v>홀수</v>
      </c>
      <c r="Z148" s="32" t="str">
        <f t="shared" si="119"/>
        <v>짝수</v>
      </c>
      <c r="AA148" s="32" t="str">
        <f t="shared" si="120"/>
        <v>짝수</v>
      </c>
      <c r="AB148" s="32" t="str">
        <f t="shared" si="121"/>
        <v>홀수</v>
      </c>
      <c r="AC148" s="58" t="str">
        <f t="shared" si="122"/>
        <v>3 : 3</v>
      </c>
      <c r="AD148" s="32">
        <f t="shared" si="123"/>
        <v>3</v>
      </c>
      <c r="AE148" s="32">
        <f t="shared" si="124"/>
        <v>3</v>
      </c>
      <c r="AF148" s="66" t="str">
        <f t="shared" si="132"/>
        <v>저수</v>
      </c>
      <c r="AG148" s="66" t="str">
        <f t="shared" si="133"/>
        <v>저수</v>
      </c>
      <c r="AH148" s="66" t="str">
        <f t="shared" si="134"/>
        <v>저수</v>
      </c>
      <c r="AI148" s="66" t="str">
        <f t="shared" si="135"/>
        <v>고수</v>
      </c>
      <c r="AJ148" s="66" t="str">
        <f t="shared" si="136"/>
        <v>고수</v>
      </c>
      <c r="AK148" s="66" t="str">
        <f t="shared" si="137"/>
        <v>고수</v>
      </c>
      <c r="AL148" s="58" t="str">
        <f t="shared" si="138"/>
        <v>3 : 3</v>
      </c>
      <c r="AM148" s="66">
        <f t="shared" si="139"/>
        <v>3</v>
      </c>
      <c r="AN148" s="66">
        <f t="shared" si="140"/>
        <v>3</v>
      </c>
      <c r="AO148" s="66">
        <f t="shared" si="141"/>
        <v>35</v>
      </c>
      <c r="AP148" s="66" t="str">
        <f t="shared" si="142"/>
        <v>X</v>
      </c>
      <c r="AQ148" s="66" t="str">
        <f t="shared" si="143"/>
        <v>X</v>
      </c>
      <c r="AR148" s="66" t="str">
        <f t="shared" si="144"/>
        <v>O</v>
      </c>
      <c r="AS148" s="66" t="str">
        <f t="shared" si="145"/>
        <v>X</v>
      </c>
      <c r="AT148" s="66" t="str">
        <f t="shared" si="146"/>
        <v>X</v>
      </c>
      <c r="AU148" s="66" t="str">
        <f t="shared" si="147"/>
        <v>X</v>
      </c>
      <c r="AV148" s="66" t="str">
        <f t="shared" si="148"/>
        <v>X</v>
      </c>
      <c r="AW148" s="66" t="str">
        <f t="shared" si="149"/>
        <v>X</v>
      </c>
      <c r="AX148" s="66" t="str">
        <f t="shared" si="150"/>
        <v>X</v>
      </c>
      <c r="AY148" s="66" t="str">
        <f t="shared" si="151"/>
        <v>X</v>
      </c>
      <c r="AZ148" s="66" t="str">
        <f t="shared" si="152"/>
        <v>X</v>
      </c>
      <c r="BA148" s="66" t="str">
        <f t="shared" si="153"/>
        <v>O</v>
      </c>
      <c r="BB148" s="66">
        <f t="shared" si="154"/>
        <v>2</v>
      </c>
      <c r="BC148" s="127" t="str">
        <f t="shared" si="125"/>
        <v>1G</v>
      </c>
      <c r="BD148" s="127" t="str">
        <f t="shared" si="126"/>
        <v>1G</v>
      </c>
      <c r="BE148" s="127" t="str">
        <f t="shared" si="127"/>
        <v>2G</v>
      </c>
      <c r="BF148" s="127" t="str">
        <f t="shared" si="128"/>
        <v>2G</v>
      </c>
      <c r="BG148" s="127" t="str">
        <f t="shared" si="129"/>
        <v>3G</v>
      </c>
      <c r="BH148" s="127" t="str">
        <f t="shared" si="130"/>
        <v>3G</v>
      </c>
      <c r="BI148" s="127">
        <f t="shared" si="155"/>
        <v>2</v>
      </c>
      <c r="BJ148" s="127">
        <f t="shared" si="156"/>
        <v>2</v>
      </c>
      <c r="BK148" s="127">
        <f t="shared" si="157"/>
        <v>2</v>
      </c>
      <c r="BL148" s="127" t="str">
        <f t="shared" si="158"/>
        <v>222</v>
      </c>
      <c r="BS148"/>
      <c r="CL148" s="28">
        <v>122</v>
      </c>
      <c r="CM148" s="28">
        <v>120</v>
      </c>
      <c r="CO148"/>
    </row>
    <row r="149" spans="2:93" ht="16.5" hidden="1">
      <c r="B149" s="17">
        <v>145</v>
      </c>
      <c r="C149" s="363" t="s">
        <v>175</v>
      </c>
      <c r="D149" s="18">
        <v>3</v>
      </c>
      <c r="E149" s="20">
        <v>3797838200</v>
      </c>
      <c r="F149" s="18">
        <v>38</v>
      </c>
      <c r="G149" s="20">
        <v>49971556</v>
      </c>
      <c r="H149" s="20">
        <v>1217</v>
      </c>
      <c r="I149" s="20">
        <v>1560328</v>
      </c>
      <c r="J149" s="20">
        <v>63120</v>
      </c>
      <c r="K149" s="20">
        <v>60169</v>
      </c>
      <c r="L149" s="20">
        <v>1093545</v>
      </c>
      <c r="M149" s="20">
        <v>5000</v>
      </c>
      <c r="N149" s="167">
        <v>2</v>
      </c>
      <c r="O149" s="167">
        <v>3</v>
      </c>
      <c r="P149" s="167">
        <v>13</v>
      </c>
      <c r="Q149" s="167">
        <v>20</v>
      </c>
      <c r="R149" s="167">
        <v>27</v>
      </c>
      <c r="S149" s="167">
        <v>44</v>
      </c>
      <c r="T149" s="167">
        <v>9</v>
      </c>
      <c r="U149" s="28">
        <f t="shared" si="131"/>
        <v>109</v>
      </c>
      <c r="W149" s="32" t="str">
        <f t="shared" si="116"/>
        <v>짝수</v>
      </c>
      <c r="X149" s="32" t="str">
        <f t="shared" si="117"/>
        <v>홀수</v>
      </c>
      <c r="Y149" s="32" t="str">
        <f t="shared" si="118"/>
        <v>홀수</v>
      </c>
      <c r="Z149" s="32" t="str">
        <f t="shared" si="119"/>
        <v>짝수</v>
      </c>
      <c r="AA149" s="32" t="str">
        <f t="shared" si="120"/>
        <v>홀수</v>
      </c>
      <c r="AB149" s="32" t="str">
        <f t="shared" si="121"/>
        <v>짝수</v>
      </c>
      <c r="AC149" s="58" t="str">
        <f t="shared" si="122"/>
        <v>3 : 3</v>
      </c>
      <c r="AD149" s="32">
        <f t="shared" si="123"/>
        <v>3</v>
      </c>
      <c r="AE149" s="32">
        <f t="shared" si="124"/>
        <v>3</v>
      </c>
      <c r="AF149" s="66" t="str">
        <f t="shared" si="132"/>
        <v>저수</v>
      </c>
      <c r="AG149" s="66" t="str">
        <f t="shared" si="133"/>
        <v>저수</v>
      </c>
      <c r="AH149" s="66" t="str">
        <f t="shared" si="134"/>
        <v>저수</v>
      </c>
      <c r="AI149" s="66" t="str">
        <f t="shared" si="135"/>
        <v>저수</v>
      </c>
      <c r="AJ149" s="66" t="str">
        <f t="shared" si="136"/>
        <v>고수</v>
      </c>
      <c r="AK149" s="66" t="str">
        <f t="shared" si="137"/>
        <v>고수</v>
      </c>
      <c r="AL149" s="58" t="str">
        <f t="shared" si="138"/>
        <v>4 : 2</v>
      </c>
      <c r="AM149" s="66">
        <f t="shared" si="139"/>
        <v>4</v>
      </c>
      <c r="AN149" s="66">
        <f t="shared" si="140"/>
        <v>2</v>
      </c>
      <c r="AO149" s="66">
        <f t="shared" si="141"/>
        <v>19</v>
      </c>
      <c r="AP149" s="66" t="str">
        <f t="shared" si="142"/>
        <v>O</v>
      </c>
      <c r="AQ149" s="66" t="str">
        <f t="shared" si="143"/>
        <v>O</v>
      </c>
      <c r="AR149" s="66" t="str">
        <f t="shared" si="144"/>
        <v>O</v>
      </c>
      <c r="AS149" s="66" t="str">
        <f t="shared" si="145"/>
        <v>X</v>
      </c>
      <c r="AT149" s="66" t="str">
        <f t="shared" si="146"/>
        <v>X</v>
      </c>
      <c r="AU149" s="66" t="str">
        <f t="shared" si="147"/>
        <v>X</v>
      </c>
      <c r="AV149" s="66" t="str">
        <f t="shared" si="148"/>
        <v>X</v>
      </c>
      <c r="AW149" s="66" t="str">
        <f t="shared" si="149"/>
        <v>X</v>
      </c>
      <c r="AX149" s="66" t="str">
        <f t="shared" si="150"/>
        <v>X</v>
      </c>
      <c r="AY149" s="66" t="str">
        <f t="shared" si="151"/>
        <v>X</v>
      </c>
      <c r="AZ149" s="66" t="str">
        <f t="shared" si="152"/>
        <v>X</v>
      </c>
      <c r="BA149" s="66" t="str">
        <f t="shared" si="153"/>
        <v>X</v>
      </c>
      <c r="BB149" s="66">
        <f t="shared" si="154"/>
        <v>3</v>
      </c>
      <c r="BC149" s="127" t="str">
        <f t="shared" si="125"/>
        <v>1G</v>
      </c>
      <c r="BD149" s="127" t="str">
        <f t="shared" si="126"/>
        <v>1G</v>
      </c>
      <c r="BE149" s="127" t="str">
        <f t="shared" si="127"/>
        <v>1G</v>
      </c>
      <c r="BF149" s="127" t="str">
        <f t="shared" si="128"/>
        <v>2G</v>
      </c>
      <c r="BG149" s="127" t="str">
        <f t="shared" si="129"/>
        <v>2G</v>
      </c>
      <c r="BH149" s="127" t="str">
        <f t="shared" si="130"/>
        <v>3G</v>
      </c>
      <c r="BI149" s="127">
        <f t="shared" si="155"/>
        <v>3</v>
      </c>
      <c r="BJ149" s="127">
        <f t="shared" si="156"/>
        <v>2</v>
      </c>
      <c r="BK149" s="127">
        <f t="shared" si="157"/>
        <v>1</v>
      </c>
      <c r="BL149" s="127" t="str">
        <f t="shared" si="158"/>
        <v>321</v>
      </c>
      <c r="BS149"/>
      <c r="CL149" s="28">
        <v>122</v>
      </c>
      <c r="CM149" s="28">
        <v>120</v>
      </c>
      <c r="CO149"/>
    </row>
    <row r="150" spans="2:93" ht="16.5" hidden="1">
      <c r="B150" s="17">
        <v>146</v>
      </c>
      <c r="C150" s="363" t="s">
        <v>176</v>
      </c>
      <c r="D150" s="18">
        <v>2</v>
      </c>
      <c r="E150" s="20">
        <v>6043415250</v>
      </c>
      <c r="F150" s="18">
        <v>34</v>
      </c>
      <c r="G150" s="20">
        <v>59249170</v>
      </c>
      <c r="H150" s="20">
        <v>1383</v>
      </c>
      <c r="I150" s="20">
        <v>1456596</v>
      </c>
      <c r="J150" s="20">
        <v>62524</v>
      </c>
      <c r="K150" s="20">
        <v>64439</v>
      </c>
      <c r="L150" s="20">
        <v>1038812</v>
      </c>
      <c r="M150" s="20">
        <v>5000</v>
      </c>
      <c r="N150" s="167">
        <v>2</v>
      </c>
      <c r="O150" s="167">
        <v>19</v>
      </c>
      <c r="P150" s="167">
        <v>27</v>
      </c>
      <c r="Q150" s="167">
        <v>35</v>
      </c>
      <c r="R150" s="167">
        <v>41</v>
      </c>
      <c r="S150" s="167">
        <v>42</v>
      </c>
      <c r="T150" s="167">
        <v>25</v>
      </c>
      <c r="U150" s="28">
        <f t="shared" si="131"/>
        <v>166</v>
      </c>
      <c r="W150" s="32" t="str">
        <f t="shared" si="116"/>
        <v>짝수</v>
      </c>
      <c r="X150" s="32" t="str">
        <f t="shared" si="117"/>
        <v>홀수</v>
      </c>
      <c r="Y150" s="32" t="str">
        <f t="shared" si="118"/>
        <v>홀수</v>
      </c>
      <c r="Z150" s="32" t="str">
        <f t="shared" si="119"/>
        <v>홀수</v>
      </c>
      <c r="AA150" s="32" t="str">
        <f t="shared" si="120"/>
        <v>홀수</v>
      </c>
      <c r="AB150" s="32" t="str">
        <f t="shared" si="121"/>
        <v>짝수</v>
      </c>
      <c r="AC150" s="58" t="str">
        <f t="shared" si="122"/>
        <v>4 : 2</v>
      </c>
      <c r="AD150" s="32">
        <f t="shared" si="123"/>
        <v>4</v>
      </c>
      <c r="AE150" s="32">
        <f t="shared" si="124"/>
        <v>2</v>
      </c>
      <c r="AF150" s="66" t="str">
        <f t="shared" si="132"/>
        <v>저수</v>
      </c>
      <c r="AG150" s="66" t="str">
        <f t="shared" si="133"/>
        <v>저수</v>
      </c>
      <c r="AH150" s="66" t="str">
        <f t="shared" si="134"/>
        <v>고수</v>
      </c>
      <c r="AI150" s="66" t="str">
        <f t="shared" si="135"/>
        <v>고수</v>
      </c>
      <c r="AJ150" s="66" t="str">
        <f t="shared" si="136"/>
        <v>고수</v>
      </c>
      <c r="AK150" s="66" t="str">
        <f t="shared" si="137"/>
        <v>고수</v>
      </c>
      <c r="AL150" s="58" t="str">
        <f t="shared" si="138"/>
        <v>2 : 4</v>
      </c>
      <c r="AM150" s="66">
        <f t="shared" si="139"/>
        <v>2</v>
      </c>
      <c r="AN150" s="66">
        <f t="shared" si="140"/>
        <v>4</v>
      </c>
      <c r="AO150" s="66">
        <f t="shared" si="141"/>
        <v>26</v>
      </c>
      <c r="AP150" s="66" t="str">
        <f t="shared" si="142"/>
        <v>O</v>
      </c>
      <c r="AQ150" s="66" t="str">
        <f t="shared" si="143"/>
        <v>O</v>
      </c>
      <c r="AR150" s="66" t="str">
        <f t="shared" si="144"/>
        <v>X</v>
      </c>
      <c r="AS150" s="66" t="str">
        <f t="shared" si="145"/>
        <v>X</v>
      </c>
      <c r="AT150" s="66" t="str">
        <f t="shared" si="146"/>
        <v>X</v>
      </c>
      <c r="AU150" s="66" t="str">
        <f t="shared" si="147"/>
        <v>X</v>
      </c>
      <c r="AV150" s="66" t="str">
        <f t="shared" si="148"/>
        <v>X</v>
      </c>
      <c r="AW150" s="66" t="str">
        <f t="shared" si="149"/>
        <v>X</v>
      </c>
      <c r="AX150" s="66" t="str">
        <f t="shared" si="150"/>
        <v>X</v>
      </c>
      <c r="AY150" s="66" t="str">
        <f t="shared" si="151"/>
        <v>X</v>
      </c>
      <c r="AZ150" s="66" t="str">
        <f t="shared" si="152"/>
        <v>O</v>
      </c>
      <c r="BA150" s="66" t="str">
        <f t="shared" si="153"/>
        <v>X</v>
      </c>
      <c r="BB150" s="66">
        <f t="shared" si="154"/>
        <v>3</v>
      </c>
      <c r="BC150" s="127" t="str">
        <f t="shared" si="125"/>
        <v>1G</v>
      </c>
      <c r="BD150" s="127" t="str">
        <f t="shared" si="126"/>
        <v>2G</v>
      </c>
      <c r="BE150" s="127" t="str">
        <f t="shared" si="127"/>
        <v>2G</v>
      </c>
      <c r="BF150" s="127" t="str">
        <f t="shared" si="128"/>
        <v>3G</v>
      </c>
      <c r="BG150" s="127" t="str">
        <f t="shared" si="129"/>
        <v>3G</v>
      </c>
      <c r="BH150" s="127" t="str">
        <f t="shared" si="130"/>
        <v>3G</v>
      </c>
      <c r="BI150" s="127">
        <f t="shared" si="155"/>
        <v>1</v>
      </c>
      <c r="BJ150" s="127">
        <f t="shared" si="156"/>
        <v>2</v>
      </c>
      <c r="BK150" s="127">
        <f t="shared" si="157"/>
        <v>3</v>
      </c>
      <c r="BL150" s="127" t="str">
        <f t="shared" si="158"/>
        <v>123</v>
      </c>
      <c r="BS150"/>
      <c r="CL150" s="28">
        <v>122</v>
      </c>
      <c r="CM150" s="28">
        <v>120</v>
      </c>
      <c r="CO150"/>
    </row>
    <row r="151" spans="2:93" ht="16.5" hidden="1">
      <c r="B151" s="17">
        <v>147</v>
      </c>
      <c r="C151" s="363" t="s">
        <v>177</v>
      </c>
      <c r="D151" s="18">
        <v>7</v>
      </c>
      <c r="E151" s="20">
        <v>1700040215</v>
      </c>
      <c r="F151" s="18">
        <v>35</v>
      </c>
      <c r="G151" s="20">
        <v>56668008</v>
      </c>
      <c r="H151" s="20">
        <v>1215</v>
      </c>
      <c r="I151" s="20">
        <v>1632412</v>
      </c>
      <c r="J151" s="20">
        <v>62412</v>
      </c>
      <c r="K151" s="20">
        <v>63558</v>
      </c>
      <c r="L151" s="20">
        <v>1067800</v>
      </c>
      <c r="M151" s="20">
        <v>5000</v>
      </c>
      <c r="N151" s="167">
        <v>4</v>
      </c>
      <c r="O151" s="167">
        <v>6</v>
      </c>
      <c r="P151" s="167">
        <v>13</v>
      </c>
      <c r="Q151" s="167">
        <v>21</v>
      </c>
      <c r="R151" s="167">
        <v>40</v>
      </c>
      <c r="S151" s="167">
        <v>42</v>
      </c>
      <c r="T151" s="167">
        <v>36</v>
      </c>
      <c r="U151" s="28">
        <f t="shared" si="131"/>
        <v>126</v>
      </c>
      <c r="W151" s="32" t="str">
        <f t="shared" si="116"/>
        <v>짝수</v>
      </c>
      <c r="X151" s="32" t="str">
        <f t="shared" si="117"/>
        <v>짝수</v>
      </c>
      <c r="Y151" s="32" t="str">
        <f t="shared" si="118"/>
        <v>홀수</v>
      </c>
      <c r="Z151" s="32" t="str">
        <f t="shared" si="119"/>
        <v>홀수</v>
      </c>
      <c r="AA151" s="32" t="str">
        <f t="shared" si="120"/>
        <v>짝수</v>
      </c>
      <c r="AB151" s="32" t="str">
        <f t="shared" si="121"/>
        <v>짝수</v>
      </c>
      <c r="AC151" s="58" t="str">
        <f t="shared" si="122"/>
        <v>2 : 4</v>
      </c>
      <c r="AD151" s="32">
        <f t="shared" si="123"/>
        <v>2</v>
      </c>
      <c r="AE151" s="32">
        <f t="shared" si="124"/>
        <v>4</v>
      </c>
      <c r="AF151" s="66" t="str">
        <f t="shared" si="132"/>
        <v>저수</v>
      </c>
      <c r="AG151" s="66" t="str">
        <f t="shared" si="133"/>
        <v>저수</v>
      </c>
      <c r="AH151" s="66" t="str">
        <f t="shared" si="134"/>
        <v>저수</v>
      </c>
      <c r="AI151" s="66" t="str">
        <f t="shared" si="135"/>
        <v>저수</v>
      </c>
      <c r="AJ151" s="66" t="str">
        <f t="shared" si="136"/>
        <v>고수</v>
      </c>
      <c r="AK151" s="66" t="str">
        <f t="shared" si="137"/>
        <v>고수</v>
      </c>
      <c r="AL151" s="58" t="str">
        <f t="shared" si="138"/>
        <v>4 : 2</v>
      </c>
      <c r="AM151" s="66">
        <f t="shared" si="139"/>
        <v>4</v>
      </c>
      <c r="AN151" s="66">
        <f t="shared" si="140"/>
        <v>2</v>
      </c>
      <c r="AO151" s="66">
        <f t="shared" si="141"/>
        <v>16</v>
      </c>
      <c r="AP151" s="66" t="str">
        <f t="shared" si="142"/>
        <v>X</v>
      </c>
      <c r="AQ151" s="66" t="str">
        <f t="shared" si="143"/>
        <v>X</v>
      </c>
      <c r="AR151" s="66" t="str">
        <f t="shared" si="144"/>
        <v>O</v>
      </c>
      <c r="AS151" s="66" t="str">
        <f t="shared" si="145"/>
        <v>X</v>
      </c>
      <c r="AT151" s="66" t="str">
        <f t="shared" si="146"/>
        <v>X</v>
      </c>
      <c r="AU151" s="66" t="str">
        <f t="shared" si="147"/>
        <v>X</v>
      </c>
      <c r="AV151" s="66" t="str">
        <f t="shared" si="148"/>
        <v>X</v>
      </c>
      <c r="AW151" s="66" t="str">
        <f t="shared" si="149"/>
        <v>X</v>
      </c>
      <c r="AX151" s="66" t="str">
        <f t="shared" si="150"/>
        <v>X</v>
      </c>
      <c r="AY151" s="66" t="str">
        <f t="shared" si="151"/>
        <v>X</v>
      </c>
      <c r="AZ151" s="66" t="str">
        <f t="shared" si="152"/>
        <v>X</v>
      </c>
      <c r="BA151" s="66" t="str">
        <f t="shared" si="153"/>
        <v>X</v>
      </c>
      <c r="BB151" s="66">
        <f t="shared" si="154"/>
        <v>1</v>
      </c>
      <c r="BC151" s="127" t="str">
        <f t="shared" si="125"/>
        <v>1G</v>
      </c>
      <c r="BD151" s="127" t="str">
        <f t="shared" si="126"/>
        <v>1G</v>
      </c>
      <c r="BE151" s="127" t="str">
        <f t="shared" si="127"/>
        <v>1G</v>
      </c>
      <c r="BF151" s="127" t="str">
        <f t="shared" si="128"/>
        <v>2G</v>
      </c>
      <c r="BG151" s="127" t="str">
        <f t="shared" si="129"/>
        <v>3G</v>
      </c>
      <c r="BH151" s="127" t="str">
        <f t="shared" si="130"/>
        <v>3G</v>
      </c>
      <c r="BI151" s="127">
        <f t="shared" si="155"/>
        <v>3</v>
      </c>
      <c r="BJ151" s="127">
        <f t="shared" si="156"/>
        <v>1</v>
      </c>
      <c r="BK151" s="127">
        <f t="shared" si="157"/>
        <v>2</v>
      </c>
      <c r="BL151" s="127" t="str">
        <f t="shared" si="158"/>
        <v>312</v>
      </c>
      <c r="BS151"/>
      <c r="CL151" s="28">
        <v>122</v>
      </c>
      <c r="CM151" s="28">
        <v>120</v>
      </c>
      <c r="CO151"/>
    </row>
    <row r="152" spans="2:93" ht="16.5" hidden="1">
      <c r="B152" s="17">
        <v>148</v>
      </c>
      <c r="C152" s="363" t="s">
        <v>178</v>
      </c>
      <c r="D152" s="18">
        <v>5</v>
      </c>
      <c r="E152" s="20">
        <v>2323596420</v>
      </c>
      <c r="F152" s="18">
        <v>35</v>
      </c>
      <c r="G152" s="20">
        <v>55323725</v>
      </c>
      <c r="H152" s="20">
        <v>1185</v>
      </c>
      <c r="I152" s="20">
        <v>1634035</v>
      </c>
      <c r="J152" s="20">
        <v>63358</v>
      </c>
      <c r="K152" s="20">
        <v>61124</v>
      </c>
      <c r="L152" s="20">
        <v>1079664</v>
      </c>
      <c r="M152" s="20">
        <v>5000</v>
      </c>
      <c r="N152" s="167">
        <v>21</v>
      </c>
      <c r="O152" s="167">
        <v>25</v>
      </c>
      <c r="P152" s="167">
        <v>33</v>
      </c>
      <c r="Q152" s="167">
        <v>34</v>
      </c>
      <c r="R152" s="167">
        <v>35</v>
      </c>
      <c r="S152" s="167">
        <v>36</v>
      </c>
      <c r="T152" s="167">
        <v>17</v>
      </c>
      <c r="U152" s="28">
        <f t="shared" si="131"/>
        <v>184</v>
      </c>
      <c r="W152" s="32" t="str">
        <f t="shared" si="116"/>
        <v>홀수</v>
      </c>
      <c r="X152" s="32" t="str">
        <f t="shared" si="117"/>
        <v>홀수</v>
      </c>
      <c r="Y152" s="32" t="str">
        <f t="shared" si="118"/>
        <v>홀수</v>
      </c>
      <c r="Z152" s="32" t="str">
        <f t="shared" si="119"/>
        <v>짝수</v>
      </c>
      <c r="AA152" s="32" t="str">
        <f t="shared" si="120"/>
        <v>홀수</v>
      </c>
      <c r="AB152" s="32" t="str">
        <f t="shared" si="121"/>
        <v>짝수</v>
      </c>
      <c r="AC152" s="58" t="str">
        <f t="shared" si="122"/>
        <v>4 : 2</v>
      </c>
      <c r="AD152" s="32">
        <f t="shared" si="123"/>
        <v>4</v>
      </c>
      <c r="AE152" s="32">
        <f t="shared" si="124"/>
        <v>2</v>
      </c>
      <c r="AF152" s="66" t="str">
        <f t="shared" si="132"/>
        <v>저수</v>
      </c>
      <c r="AG152" s="66" t="str">
        <f t="shared" si="133"/>
        <v>고수</v>
      </c>
      <c r="AH152" s="66" t="str">
        <f t="shared" si="134"/>
        <v>고수</v>
      </c>
      <c r="AI152" s="66" t="str">
        <f t="shared" si="135"/>
        <v>고수</v>
      </c>
      <c r="AJ152" s="66" t="str">
        <f t="shared" si="136"/>
        <v>고수</v>
      </c>
      <c r="AK152" s="66" t="str">
        <f t="shared" si="137"/>
        <v>고수</v>
      </c>
      <c r="AL152" s="58" t="str">
        <f t="shared" si="138"/>
        <v>1 : 5</v>
      </c>
      <c r="AM152" s="66">
        <f t="shared" si="139"/>
        <v>1</v>
      </c>
      <c r="AN152" s="66">
        <f t="shared" si="140"/>
        <v>5</v>
      </c>
      <c r="AO152" s="66">
        <f t="shared" si="141"/>
        <v>24</v>
      </c>
      <c r="AP152" s="66" t="str">
        <f t="shared" si="142"/>
        <v>X</v>
      </c>
      <c r="AQ152" s="66" t="str">
        <f t="shared" si="143"/>
        <v>X</v>
      </c>
      <c r="AR152" s="66" t="str">
        <f t="shared" si="144"/>
        <v>X</v>
      </c>
      <c r="AS152" s="66" t="str">
        <f t="shared" si="145"/>
        <v>X</v>
      </c>
      <c r="AT152" s="66" t="str">
        <f t="shared" si="146"/>
        <v>X</v>
      </c>
      <c r="AU152" s="66" t="str">
        <f t="shared" si="147"/>
        <v>X</v>
      </c>
      <c r="AV152" s="66" t="str">
        <f t="shared" si="148"/>
        <v>X</v>
      </c>
      <c r="AW152" s="66" t="str">
        <f t="shared" si="149"/>
        <v>X</v>
      </c>
      <c r="AX152" s="66" t="str">
        <f t="shared" si="150"/>
        <v>X</v>
      </c>
      <c r="AY152" s="66" t="str">
        <f t="shared" si="151"/>
        <v>X</v>
      </c>
      <c r="AZ152" s="66" t="str">
        <f t="shared" si="152"/>
        <v>X</v>
      </c>
      <c r="BA152" s="66" t="str">
        <f t="shared" si="153"/>
        <v>X</v>
      </c>
      <c r="BB152" s="66">
        <f t="shared" si="154"/>
        <v>0</v>
      </c>
      <c r="BC152" s="127" t="str">
        <f t="shared" si="125"/>
        <v>2G</v>
      </c>
      <c r="BD152" s="127" t="str">
        <f t="shared" si="126"/>
        <v>2G</v>
      </c>
      <c r="BE152" s="127" t="str">
        <f t="shared" si="127"/>
        <v>3G</v>
      </c>
      <c r="BF152" s="127" t="str">
        <f t="shared" si="128"/>
        <v>3G</v>
      </c>
      <c r="BG152" s="127" t="str">
        <f t="shared" si="129"/>
        <v>3G</v>
      </c>
      <c r="BH152" s="127" t="str">
        <f t="shared" si="130"/>
        <v>3G</v>
      </c>
      <c r="BI152" s="127">
        <f t="shared" si="155"/>
        <v>0</v>
      </c>
      <c r="BJ152" s="127">
        <f t="shared" si="156"/>
        <v>2</v>
      </c>
      <c r="BK152" s="127">
        <f t="shared" si="157"/>
        <v>4</v>
      </c>
      <c r="BL152" s="127" t="str">
        <f t="shared" si="158"/>
        <v>024</v>
      </c>
      <c r="BS152"/>
      <c r="CL152" s="28">
        <v>123</v>
      </c>
      <c r="CM152" s="28">
        <v>120</v>
      </c>
      <c r="CO152"/>
    </row>
    <row r="153" spans="2:93" ht="16.5" hidden="1">
      <c r="B153" s="17">
        <v>149</v>
      </c>
      <c r="C153" s="363" t="s">
        <v>179</v>
      </c>
      <c r="D153" s="18">
        <v>7</v>
      </c>
      <c r="E153" s="20">
        <v>1639052143</v>
      </c>
      <c r="F153" s="18">
        <v>43</v>
      </c>
      <c r="G153" s="20">
        <v>44470407</v>
      </c>
      <c r="H153" s="20">
        <v>1171</v>
      </c>
      <c r="I153" s="20">
        <v>1632987</v>
      </c>
      <c r="J153" s="20">
        <v>60450</v>
      </c>
      <c r="K153" s="20">
        <v>63267</v>
      </c>
      <c r="L153" s="20">
        <v>1016240</v>
      </c>
      <c r="M153" s="20">
        <v>5000</v>
      </c>
      <c r="N153" s="167">
        <v>2</v>
      </c>
      <c r="O153" s="167">
        <v>11</v>
      </c>
      <c r="P153" s="167">
        <v>21</v>
      </c>
      <c r="Q153" s="167">
        <v>34</v>
      </c>
      <c r="R153" s="167">
        <v>41</v>
      </c>
      <c r="S153" s="167">
        <v>42</v>
      </c>
      <c r="T153" s="167">
        <v>27</v>
      </c>
      <c r="U153" s="28">
        <f t="shared" si="131"/>
        <v>151</v>
      </c>
      <c r="W153" s="32" t="str">
        <f t="shared" si="116"/>
        <v>짝수</v>
      </c>
      <c r="X153" s="32" t="str">
        <f t="shared" si="117"/>
        <v>홀수</v>
      </c>
      <c r="Y153" s="32" t="str">
        <f t="shared" si="118"/>
        <v>홀수</v>
      </c>
      <c r="Z153" s="32" t="str">
        <f t="shared" si="119"/>
        <v>짝수</v>
      </c>
      <c r="AA153" s="32" t="str">
        <f t="shared" si="120"/>
        <v>홀수</v>
      </c>
      <c r="AB153" s="32" t="str">
        <f t="shared" si="121"/>
        <v>짝수</v>
      </c>
      <c r="AC153" s="58" t="str">
        <f t="shared" si="122"/>
        <v>3 : 3</v>
      </c>
      <c r="AD153" s="32">
        <f t="shared" si="123"/>
        <v>3</v>
      </c>
      <c r="AE153" s="32">
        <f t="shared" si="124"/>
        <v>3</v>
      </c>
      <c r="AF153" s="66" t="str">
        <f t="shared" si="132"/>
        <v>저수</v>
      </c>
      <c r="AG153" s="66" t="str">
        <f t="shared" si="133"/>
        <v>저수</v>
      </c>
      <c r="AH153" s="66" t="str">
        <f t="shared" si="134"/>
        <v>저수</v>
      </c>
      <c r="AI153" s="66" t="str">
        <f t="shared" si="135"/>
        <v>고수</v>
      </c>
      <c r="AJ153" s="66" t="str">
        <f t="shared" si="136"/>
        <v>고수</v>
      </c>
      <c r="AK153" s="66" t="str">
        <f t="shared" si="137"/>
        <v>고수</v>
      </c>
      <c r="AL153" s="58" t="str">
        <f t="shared" si="138"/>
        <v>3 : 3</v>
      </c>
      <c r="AM153" s="66">
        <f t="shared" si="139"/>
        <v>3</v>
      </c>
      <c r="AN153" s="66">
        <f t="shared" si="140"/>
        <v>3</v>
      </c>
      <c r="AO153" s="66">
        <f t="shared" si="141"/>
        <v>11</v>
      </c>
      <c r="AP153" s="66" t="str">
        <f t="shared" si="142"/>
        <v>O</v>
      </c>
      <c r="AQ153" s="66" t="str">
        <f t="shared" si="143"/>
        <v>O</v>
      </c>
      <c r="AR153" s="66" t="str">
        <f t="shared" si="144"/>
        <v>X</v>
      </c>
      <c r="AS153" s="66" t="str">
        <f t="shared" si="145"/>
        <v>X</v>
      </c>
      <c r="AT153" s="66" t="str">
        <f t="shared" si="146"/>
        <v>X</v>
      </c>
      <c r="AU153" s="66" t="str">
        <f t="shared" si="147"/>
        <v>X</v>
      </c>
      <c r="AV153" s="66" t="str">
        <f t="shared" si="148"/>
        <v>X</v>
      </c>
      <c r="AW153" s="66" t="str">
        <f t="shared" si="149"/>
        <v>X</v>
      </c>
      <c r="AX153" s="66" t="str">
        <f t="shared" si="150"/>
        <v>X</v>
      </c>
      <c r="AY153" s="66" t="str">
        <f t="shared" si="151"/>
        <v>X</v>
      </c>
      <c r="AZ153" s="66" t="str">
        <f t="shared" si="152"/>
        <v>O</v>
      </c>
      <c r="BA153" s="66" t="str">
        <f t="shared" si="153"/>
        <v>X</v>
      </c>
      <c r="BB153" s="66">
        <f t="shared" si="154"/>
        <v>3</v>
      </c>
      <c r="BC153" s="127" t="str">
        <f t="shared" si="125"/>
        <v>1G</v>
      </c>
      <c r="BD153" s="127" t="str">
        <f t="shared" si="126"/>
        <v>1G</v>
      </c>
      <c r="BE153" s="127" t="str">
        <f t="shared" si="127"/>
        <v>2G</v>
      </c>
      <c r="BF153" s="127" t="str">
        <f t="shared" si="128"/>
        <v>3G</v>
      </c>
      <c r="BG153" s="127" t="str">
        <f t="shared" si="129"/>
        <v>3G</v>
      </c>
      <c r="BH153" s="127" t="str">
        <f t="shared" si="130"/>
        <v>3G</v>
      </c>
      <c r="BI153" s="127">
        <f t="shared" si="155"/>
        <v>2</v>
      </c>
      <c r="BJ153" s="127">
        <f t="shared" si="156"/>
        <v>1</v>
      </c>
      <c r="BK153" s="127">
        <f t="shared" si="157"/>
        <v>3</v>
      </c>
      <c r="BL153" s="127" t="str">
        <f t="shared" si="158"/>
        <v>213</v>
      </c>
      <c r="BS153"/>
      <c r="CL153" s="28">
        <v>123</v>
      </c>
      <c r="CM153" s="28">
        <v>120</v>
      </c>
      <c r="CO153"/>
    </row>
    <row r="154" spans="2:93" ht="16.5" hidden="1">
      <c r="B154" s="17">
        <v>150</v>
      </c>
      <c r="C154" s="363" t="s">
        <v>180</v>
      </c>
      <c r="D154" s="18">
        <v>4</v>
      </c>
      <c r="E154" s="20">
        <v>2831645850</v>
      </c>
      <c r="F154" s="18">
        <v>46</v>
      </c>
      <c r="G154" s="20">
        <v>41038346</v>
      </c>
      <c r="H154" s="20">
        <v>1279</v>
      </c>
      <c r="I154" s="20">
        <v>1475969</v>
      </c>
      <c r="J154" s="20">
        <v>65200</v>
      </c>
      <c r="K154" s="20">
        <v>57907</v>
      </c>
      <c r="L154" s="20">
        <v>1100850</v>
      </c>
      <c r="M154" s="20">
        <v>5000</v>
      </c>
      <c r="N154" s="167">
        <v>2</v>
      </c>
      <c r="O154" s="167">
        <v>18</v>
      </c>
      <c r="P154" s="167">
        <v>25</v>
      </c>
      <c r="Q154" s="167">
        <v>28</v>
      </c>
      <c r="R154" s="167">
        <v>37</v>
      </c>
      <c r="S154" s="167">
        <v>39</v>
      </c>
      <c r="T154" s="167">
        <v>16</v>
      </c>
      <c r="U154" s="28">
        <f t="shared" si="131"/>
        <v>149</v>
      </c>
      <c r="W154" s="32" t="str">
        <f t="shared" si="116"/>
        <v>짝수</v>
      </c>
      <c r="X154" s="32" t="str">
        <f t="shared" si="117"/>
        <v>짝수</v>
      </c>
      <c r="Y154" s="32" t="str">
        <f t="shared" si="118"/>
        <v>홀수</v>
      </c>
      <c r="Z154" s="32" t="str">
        <f t="shared" si="119"/>
        <v>짝수</v>
      </c>
      <c r="AA154" s="32" t="str">
        <f t="shared" si="120"/>
        <v>홀수</v>
      </c>
      <c r="AB154" s="32" t="str">
        <f t="shared" si="121"/>
        <v>홀수</v>
      </c>
      <c r="AC154" s="58" t="str">
        <f t="shared" si="122"/>
        <v>3 : 3</v>
      </c>
      <c r="AD154" s="32">
        <f t="shared" si="123"/>
        <v>3</v>
      </c>
      <c r="AE154" s="32">
        <f t="shared" si="124"/>
        <v>3</v>
      </c>
      <c r="AF154" s="66" t="str">
        <f t="shared" si="132"/>
        <v>저수</v>
      </c>
      <c r="AG154" s="66" t="str">
        <f t="shared" si="133"/>
        <v>저수</v>
      </c>
      <c r="AH154" s="66" t="str">
        <f t="shared" si="134"/>
        <v>고수</v>
      </c>
      <c r="AI154" s="66" t="str">
        <f t="shared" si="135"/>
        <v>고수</v>
      </c>
      <c r="AJ154" s="66" t="str">
        <f t="shared" si="136"/>
        <v>고수</v>
      </c>
      <c r="AK154" s="66" t="str">
        <f t="shared" si="137"/>
        <v>고수</v>
      </c>
      <c r="AL154" s="58" t="str">
        <f t="shared" si="138"/>
        <v>2 : 4</v>
      </c>
      <c r="AM154" s="66">
        <f t="shared" si="139"/>
        <v>2</v>
      </c>
      <c r="AN154" s="66">
        <f t="shared" si="140"/>
        <v>4</v>
      </c>
      <c r="AO154" s="66">
        <f t="shared" si="141"/>
        <v>39</v>
      </c>
      <c r="AP154" s="66" t="str">
        <f t="shared" si="142"/>
        <v>O</v>
      </c>
      <c r="AQ154" s="66" t="str">
        <f t="shared" si="143"/>
        <v>X</v>
      </c>
      <c r="AR154" s="66" t="str">
        <f t="shared" si="144"/>
        <v>X</v>
      </c>
      <c r="AS154" s="66" t="str">
        <f t="shared" si="145"/>
        <v>X</v>
      </c>
      <c r="AT154" s="66" t="str">
        <f t="shared" si="146"/>
        <v>X</v>
      </c>
      <c r="AU154" s="66" t="str">
        <f t="shared" si="147"/>
        <v>X</v>
      </c>
      <c r="AV154" s="66" t="str">
        <f t="shared" si="148"/>
        <v>X</v>
      </c>
      <c r="AW154" s="66" t="str">
        <f t="shared" si="149"/>
        <v>X</v>
      </c>
      <c r="AX154" s="66" t="str">
        <f t="shared" si="150"/>
        <v>X</v>
      </c>
      <c r="AY154" s="66" t="str">
        <f t="shared" si="151"/>
        <v>X</v>
      </c>
      <c r="AZ154" s="66" t="str">
        <f t="shared" si="152"/>
        <v>O</v>
      </c>
      <c r="BA154" s="66" t="str">
        <f t="shared" si="153"/>
        <v>X</v>
      </c>
      <c r="BB154" s="66">
        <f t="shared" si="154"/>
        <v>2</v>
      </c>
      <c r="BC154" s="127" t="str">
        <f t="shared" si="125"/>
        <v>1G</v>
      </c>
      <c r="BD154" s="127" t="str">
        <f t="shared" si="126"/>
        <v>2G</v>
      </c>
      <c r="BE154" s="127" t="str">
        <f t="shared" si="127"/>
        <v>2G</v>
      </c>
      <c r="BF154" s="127" t="str">
        <f t="shared" si="128"/>
        <v>2G</v>
      </c>
      <c r="BG154" s="127" t="str">
        <f t="shared" si="129"/>
        <v>3G</v>
      </c>
      <c r="BH154" s="127" t="str">
        <f t="shared" si="130"/>
        <v>3G</v>
      </c>
      <c r="BI154" s="127">
        <f t="shared" si="155"/>
        <v>1</v>
      </c>
      <c r="BJ154" s="127">
        <f t="shared" si="156"/>
        <v>3</v>
      </c>
      <c r="BK154" s="127">
        <f t="shared" si="157"/>
        <v>2</v>
      </c>
      <c r="BL154" s="127" t="str">
        <f t="shared" si="158"/>
        <v>132</v>
      </c>
      <c r="BS154"/>
      <c r="CL154" s="28">
        <v>123</v>
      </c>
      <c r="CM154" s="28">
        <v>120</v>
      </c>
      <c r="CO154"/>
    </row>
    <row r="155" spans="2:93" ht="16.5" hidden="1">
      <c r="B155" s="17">
        <v>151</v>
      </c>
      <c r="C155" s="363" t="s">
        <v>181</v>
      </c>
      <c r="D155" s="18">
        <v>4</v>
      </c>
      <c r="E155" s="20">
        <v>2716634025</v>
      </c>
      <c r="F155" s="18">
        <v>45</v>
      </c>
      <c r="G155" s="20">
        <v>40246430</v>
      </c>
      <c r="H155" s="20">
        <v>1491</v>
      </c>
      <c r="I155" s="20">
        <v>1214681</v>
      </c>
      <c r="J155" s="20">
        <v>68250</v>
      </c>
      <c r="K155" s="20">
        <v>53073</v>
      </c>
      <c r="L155" s="20">
        <v>1113528</v>
      </c>
      <c r="M155" s="20">
        <v>5000</v>
      </c>
      <c r="N155" s="167">
        <v>1</v>
      </c>
      <c r="O155" s="167">
        <v>2</v>
      </c>
      <c r="P155" s="167">
        <v>10</v>
      </c>
      <c r="Q155" s="167">
        <v>13</v>
      </c>
      <c r="R155" s="167">
        <v>18</v>
      </c>
      <c r="S155" s="167">
        <v>19</v>
      </c>
      <c r="T155" s="167">
        <v>15</v>
      </c>
      <c r="U155" s="28">
        <f t="shared" si="131"/>
        <v>63</v>
      </c>
      <c r="W155" s="32" t="str">
        <f t="shared" si="116"/>
        <v>홀수</v>
      </c>
      <c r="X155" s="32" t="str">
        <f t="shared" si="117"/>
        <v>짝수</v>
      </c>
      <c r="Y155" s="32" t="str">
        <f t="shared" si="118"/>
        <v>짝수</v>
      </c>
      <c r="Z155" s="32" t="str">
        <f t="shared" si="119"/>
        <v>홀수</v>
      </c>
      <c r="AA155" s="32" t="str">
        <f t="shared" si="120"/>
        <v>짝수</v>
      </c>
      <c r="AB155" s="32" t="str">
        <f t="shared" si="121"/>
        <v>홀수</v>
      </c>
      <c r="AC155" s="58" t="str">
        <f t="shared" si="122"/>
        <v>3 : 3</v>
      </c>
      <c r="AD155" s="32">
        <f t="shared" si="123"/>
        <v>3</v>
      </c>
      <c r="AE155" s="32">
        <f t="shared" si="124"/>
        <v>3</v>
      </c>
      <c r="AF155" s="66" t="str">
        <f t="shared" si="132"/>
        <v>저수</v>
      </c>
      <c r="AG155" s="66" t="str">
        <f t="shared" si="133"/>
        <v>저수</v>
      </c>
      <c r="AH155" s="66" t="str">
        <f t="shared" si="134"/>
        <v>저수</v>
      </c>
      <c r="AI155" s="66" t="str">
        <f t="shared" si="135"/>
        <v>저수</v>
      </c>
      <c r="AJ155" s="66" t="str">
        <f t="shared" si="136"/>
        <v>저수</v>
      </c>
      <c r="AK155" s="66" t="str">
        <f t="shared" si="137"/>
        <v>저수</v>
      </c>
      <c r="AL155" s="58" t="str">
        <f t="shared" si="138"/>
        <v>6 : 0</v>
      </c>
      <c r="AM155" s="66">
        <f t="shared" si="139"/>
        <v>6</v>
      </c>
      <c r="AN155" s="66">
        <f t="shared" si="140"/>
        <v>0</v>
      </c>
      <c r="AO155" s="66">
        <f t="shared" si="141"/>
        <v>23</v>
      </c>
      <c r="AP155" s="66" t="str">
        <f t="shared" si="142"/>
        <v>X</v>
      </c>
      <c r="AQ155" s="66" t="str">
        <f t="shared" si="143"/>
        <v>O</v>
      </c>
      <c r="AR155" s="66" t="str">
        <f t="shared" si="144"/>
        <v>X</v>
      </c>
      <c r="AS155" s="66" t="str">
        <f t="shared" si="145"/>
        <v>O</v>
      </c>
      <c r="AT155" s="66" t="str">
        <f t="shared" si="146"/>
        <v>X</v>
      </c>
      <c r="AU155" s="66" t="str">
        <f t="shared" si="147"/>
        <v>O</v>
      </c>
      <c r="AV155" s="66" t="str">
        <f t="shared" si="148"/>
        <v>X</v>
      </c>
      <c r="AW155" s="66" t="str">
        <f t="shared" si="149"/>
        <v>X</v>
      </c>
      <c r="AX155" s="66" t="str">
        <f t="shared" si="150"/>
        <v>X</v>
      </c>
      <c r="AY155" s="66" t="str">
        <f t="shared" si="151"/>
        <v>X</v>
      </c>
      <c r="AZ155" s="66" t="str">
        <f t="shared" si="152"/>
        <v>X</v>
      </c>
      <c r="BA155" s="66" t="str">
        <f t="shared" si="153"/>
        <v>X</v>
      </c>
      <c r="BB155" s="66">
        <f t="shared" si="154"/>
        <v>3</v>
      </c>
      <c r="BC155" s="127" t="str">
        <f t="shared" si="125"/>
        <v>1G</v>
      </c>
      <c r="BD155" s="127" t="str">
        <f t="shared" si="126"/>
        <v>1G</v>
      </c>
      <c r="BE155" s="127" t="str">
        <f t="shared" si="127"/>
        <v>1G</v>
      </c>
      <c r="BF155" s="127" t="str">
        <f t="shared" si="128"/>
        <v>1G</v>
      </c>
      <c r="BG155" s="127" t="str">
        <f t="shared" si="129"/>
        <v>2G</v>
      </c>
      <c r="BH155" s="127" t="str">
        <f t="shared" si="130"/>
        <v>2G</v>
      </c>
      <c r="BI155" s="127">
        <f t="shared" si="155"/>
        <v>4</v>
      </c>
      <c r="BJ155" s="127">
        <f t="shared" si="156"/>
        <v>2</v>
      </c>
      <c r="BK155" s="127">
        <f t="shared" si="157"/>
        <v>0</v>
      </c>
      <c r="BL155" s="127" t="str">
        <f t="shared" si="158"/>
        <v>420</v>
      </c>
      <c r="BS155"/>
      <c r="CL155" s="28">
        <v>123</v>
      </c>
      <c r="CM155" s="28">
        <v>120</v>
      </c>
      <c r="CO155"/>
    </row>
    <row r="156" spans="2:93" ht="16.5" hidden="1">
      <c r="B156" s="17">
        <v>152</v>
      </c>
      <c r="C156" s="363" t="s">
        <v>182</v>
      </c>
      <c r="D156" s="18">
        <v>5</v>
      </c>
      <c r="E156" s="20">
        <v>2278131840</v>
      </c>
      <c r="F156" s="18">
        <v>30</v>
      </c>
      <c r="G156" s="20">
        <v>63281440</v>
      </c>
      <c r="H156" s="20">
        <v>1184</v>
      </c>
      <c r="I156" s="20">
        <v>1603415</v>
      </c>
      <c r="J156" s="20">
        <v>60282</v>
      </c>
      <c r="K156" s="20">
        <v>62986</v>
      </c>
      <c r="L156" s="20">
        <v>1021147</v>
      </c>
      <c r="M156" s="20">
        <v>5000</v>
      </c>
      <c r="N156" s="167">
        <v>1</v>
      </c>
      <c r="O156" s="167">
        <v>5</v>
      </c>
      <c r="P156" s="167">
        <v>13</v>
      </c>
      <c r="Q156" s="167">
        <v>26</v>
      </c>
      <c r="R156" s="167">
        <v>29</v>
      </c>
      <c r="S156" s="167">
        <v>34</v>
      </c>
      <c r="T156" s="167">
        <v>43</v>
      </c>
      <c r="U156" s="28">
        <f t="shared" si="131"/>
        <v>108</v>
      </c>
      <c r="W156" s="32" t="str">
        <f t="shared" si="116"/>
        <v>홀수</v>
      </c>
      <c r="X156" s="32" t="str">
        <f t="shared" si="117"/>
        <v>홀수</v>
      </c>
      <c r="Y156" s="32" t="str">
        <f t="shared" si="118"/>
        <v>홀수</v>
      </c>
      <c r="Z156" s="32" t="str">
        <f t="shared" si="119"/>
        <v>짝수</v>
      </c>
      <c r="AA156" s="32" t="str">
        <f t="shared" si="120"/>
        <v>홀수</v>
      </c>
      <c r="AB156" s="32" t="str">
        <f t="shared" si="121"/>
        <v>짝수</v>
      </c>
      <c r="AC156" s="58" t="str">
        <f t="shared" si="122"/>
        <v>4 : 2</v>
      </c>
      <c r="AD156" s="32">
        <f t="shared" si="123"/>
        <v>4</v>
      </c>
      <c r="AE156" s="32">
        <f t="shared" si="124"/>
        <v>2</v>
      </c>
      <c r="AF156" s="66" t="str">
        <f t="shared" si="132"/>
        <v>저수</v>
      </c>
      <c r="AG156" s="66" t="str">
        <f t="shared" si="133"/>
        <v>저수</v>
      </c>
      <c r="AH156" s="66" t="str">
        <f t="shared" si="134"/>
        <v>저수</v>
      </c>
      <c r="AI156" s="66" t="str">
        <f t="shared" si="135"/>
        <v>고수</v>
      </c>
      <c r="AJ156" s="66" t="str">
        <f t="shared" si="136"/>
        <v>고수</v>
      </c>
      <c r="AK156" s="66" t="str">
        <f t="shared" si="137"/>
        <v>고수</v>
      </c>
      <c r="AL156" s="58" t="str">
        <f t="shared" si="138"/>
        <v>3 : 3</v>
      </c>
      <c r="AM156" s="66">
        <f t="shared" si="139"/>
        <v>3</v>
      </c>
      <c r="AN156" s="66">
        <f t="shared" si="140"/>
        <v>3</v>
      </c>
      <c r="AO156" s="66">
        <f t="shared" si="141"/>
        <v>28</v>
      </c>
      <c r="AP156" s="66" t="str">
        <f t="shared" si="142"/>
        <v>X</v>
      </c>
      <c r="AQ156" s="66" t="str">
        <f t="shared" si="143"/>
        <v>O</v>
      </c>
      <c r="AR156" s="66" t="str">
        <f t="shared" si="144"/>
        <v>O</v>
      </c>
      <c r="AS156" s="66" t="str">
        <f t="shared" si="145"/>
        <v>X</v>
      </c>
      <c r="AT156" s="66" t="str">
        <f t="shared" si="146"/>
        <v>X</v>
      </c>
      <c r="AU156" s="66" t="str">
        <f t="shared" si="147"/>
        <v>X</v>
      </c>
      <c r="AV156" s="66" t="str">
        <f t="shared" si="148"/>
        <v>X</v>
      </c>
      <c r="AW156" s="66" t="str">
        <f t="shared" si="149"/>
        <v>X</v>
      </c>
      <c r="AX156" s="66" t="str">
        <f t="shared" si="150"/>
        <v>X</v>
      </c>
      <c r="AY156" s="66" t="str">
        <f t="shared" si="151"/>
        <v>X</v>
      </c>
      <c r="AZ156" s="66" t="str">
        <f t="shared" si="152"/>
        <v>O</v>
      </c>
      <c r="BA156" s="66" t="str">
        <f t="shared" si="153"/>
        <v>X</v>
      </c>
      <c r="BB156" s="66">
        <f t="shared" si="154"/>
        <v>3</v>
      </c>
      <c r="BC156" s="127" t="str">
        <f t="shared" si="125"/>
        <v>1G</v>
      </c>
      <c r="BD156" s="127" t="str">
        <f t="shared" si="126"/>
        <v>1G</v>
      </c>
      <c r="BE156" s="127" t="str">
        <f t="shared" si="127"/>
        <v>1G</v>
      </c>
      <c r="BF156" s="127" t="str">
        <f t="shared" si="128"/>
        <v>2G</v>
      </c>
      <c r="BG156" s="127" t="str">
        <f t="shared" si="129"/>
        <v>2G</v>
      </c>
      <c r="BH156" s="127" t="str">
        <f t="shared" si="130"/>
        <v>3G</v>
      </c>
      <c r="BI156" s="127">
        <f t="shared" si="155"/>
        <v>3</v>
      </c>
      <c r="BJ156" s="127">
        <f t="shared" si="156"/>
        <v>2</v>
      </c>
      <c r="BK156" s="127">
        <f t="shared" si="157"/>
        <v>1</v>
      </c>
      <c r="BL156" s="127" t="str">
        <f t="shared" si="158"/>
        <v>321</v>
      </c>
      <c r="BS156"/>
      <c r="CL156" s="28">
        <v>123</v>
      </c>
      <c r="CM156" s="28">
        <v>120</v>
      </c>
      <c r="CO156"/>
    </row>
    <row r="157" spans="2:93" ht="16.5" hidden="1">
      <c r="B157" s="17">
        <v>153</v>
      </c>
      <c r="C157" s="363" t="s">
        <v>183</v>
      </c>
      <c r="D157" s="18">
        <v>4</v>
      </c>
      <c r="E157" s="20">
        <v>2730526125</v>
      </c>
      <c r="F157" s="18">
        <v>52</v>
      </c>
      <c r="G157" s="20">
        <v>35006746</v>
      </c>
      <c r="H157" s="20">
        <v>1446</v>
      </c>
      <c r="I157" s="20">
        <v>1258888</v>
      </c>
      <c r="J157" s="20">
        <v>71562</v>
      </c>
      <c r="K157" s="20">
        <v>50875</v>
      </c>
      <c r="L157" s="20">
        <v>1137072</v>
      </c>
      <c r="M157" s="20">
        <v>5000</v>
      </c>
      <c r="N157" s="167">
        <v>3</v>
      </c>
      <c r="O157" s="167">
        <v>8</v>
      </c>
      <c r="P157" s="167">
        <v>11</v>
      </c>
      <c r="Q157" s="167">
        <v>12</v>
      </c>
      <c r="R157" s="167">
        <v>13</v>
      </c>
      <c r="S157" s="167">
        <v>36</v>
      </c>
      <c r="T157" s="167">
        <v>33</v>
      </c>
      <c r="U157" s="28">
        <f t="shared" si="131"/>
        <v>83</v>
      </c>
      <c r="W157" s="32" t="str">
        <f t="shared" si="116"/>
        <v>홀수</v>
      </c>
      <c r="X157" s="32" t="str">
        <f t="shared" si="117"/>
        <v>짝수</v>
      </c>
      <c r="Y157" s="32" t="str">
        <f t="shared" si="118"/>
        <v>홀수</v>
      </c>
      <c r="Z157" s="32" t="str">
        <f t="shared" si="119"/>
        <v>짝수</v>
      </c>
      <c r="AA157" s="32" t="str">
        <f t="shared" si="120"/>
        <v>홀수</v>
      </c>
      <c r="AB157" s="32" t="str">
        <f t="shared" si="121"/>
        <v>짝수</v>
      </c>
      <c r="AC157" s="58" t="str">
        <f t="shared" si="122"/>
        <v>3 : 3</v>
      </c>
      <c r="AD157" s="32">
        <f t="shared" si="123"/>
        <v>3</v>
      </c>
      <c r="AE157" s="32">
        <f t="shared" si="124"/>
        <v>3</v>
      </c>
      <c r="AF157" s="66" t="str">
        <f t="shared" si="132"/>
        <v>저수</v>
      </c>
      <c r="AG157" s="66" t="str">
        <f t="shared" si="133"/>
        <v>저수</v>
      </c>
      <c r="AH157" s="66" t="str">
        <f t="shared" si="134"/>
        <v>저수</v>
      </c>
      <c r="AI157" s="66" t="str">
        <f t="shared" si="135"/>
        <v>저수</v>
      </c>
      <c r="AJ157" s="66" t="str">
        <f t="shared" si="136"/>
        <v>저수</v>
      </c>
      <c r="AK157" s="66" t="str">
        <f t="shared" si="137"/>
        <v>고수</v>
      </c>
      <c r="AL157" s="58" t="str">
        <f t="shared" si="138"/>
        <v>5 : 1</v>
      </c>
      <c r="AM157" s="66">
        <f t="shared" si="139"/>
        <v>5</v>
      </c>
      <c r="AN157" s="66">
        <f t="shared" si="140"/>
        <v>1</v>
      </c>
      <c r="AO157" s="66">
        <f t="shared" si="141"/>
        <v>23</v>
      </c>
      <c r="AP157" s="66" t="str">
        <f t="shared" si="142"/>
        <v>O</v>
      </c>
      <c r="AQ157" s="66" t="str">
        <f t="shared" si="143"/>
        <v>X</v>
      </c>
      <c r="AR157" s="66" t="str">
        <f t="shared" si="144"/>
        <v>O</v>
      </c>
      <c r="AS157" s="66" t="str">
        <f t="shared" si="145"/>
        <v>X</v>
      </c>
      <c r="AT157" s="66" t="str">
        <f t="shared" si="146"/>
        <v>O</v>
      </c>
      <c r="AU157" s="66" t="str">
        <f t="shared" si="147"/>
        <v>X</v>
      </c>
      <c r="AV157" s="66" t="str">
        <f t="shared" si="148"/>
        <v>X</v>
      </c>
      <c r="AW157" s="66" t="str">
        <f t="shared" si="149"/>
        <v>X</v>
      </c>
      <c r="AX157" s="66" t="str">
        <f t="shared" si="150"/>
        <v>X</v>
      </c>
      <c r="AY157" s="66" t="str">
        <f t="shared" si="151"/>
        <v>X</v>
      </c>
      <c r="AZ157" s="66" t="str">
        <f t="shared" si="152"/>
        <v>X</v>
      </c>
      <c r="BA157" s="66" t="str">
        <f t="shared" si="153"/>
        <v>X</v>
      </c>
      <c r="BB157" s="66">
        <f t="shared" si="154"/>
        <v>3</v>
      </c>
      <c r="BC157" s="127" t="str">
        <f t="shared" si="125"/>
        <v>1G</v>
      </c>
      <c r="BD157" s="127" t="str">
        <f t="shared" si="126"/>
        <v>1G</v>
      </c>
      <c r="BE157" s="127" t="str">
        <f t="shared" si="127"/>
        <v>1G</v>
      </c>
      <c r="BF157" s="127" t="str">
        <f t="shared" si="128"/>
        <v>1G</v>
      </c>
      <c r="BG157" s="127" t="str">
        <f t="shared" si="129"/>
        <v>1G</v>
      </c>
      <c r="BH157" s="127" t="str">
        <f t="shared" si="130"/>
        <v>3G</v>
      </c>
      <c r="BI157" s="127">
        <f t="shared" si="155"/>
        <v>5</v>
      </c>
      <c r="BJ157" s="127">
        <f t="shared" si="156"/>
        <v>0</v>
      </c>
      <c r="BK157" s="127">
        <f t="shared" si="157"/>
        <v>1</v>
      </c>
      <c r="BL157" s="127" t="str">
        <f t="shared" si="158"/>
        <v>501</v>
      </c>
      <c r="BS157"/>
      <c r="CL157" s="28">
        <v>124</v>
      </c>
      <c r="CM157" s="28">
        <v>120</v>
      </c>
      <c r="CO157"/>
    </row>
    <row r="158" spans="2:93" ht="16.5" hidden="1">
      <c r="B158" s="17">
        <v>154</v>
      </c>
      <c r="C158" s="363" t="s">
        <v>184</v>
      </c>
      <c r="D158" s="18">
        <v>4</v>
      </c>
      <c r="E158" s="20">
        <v>2836628700</v>
      </c>
      <c r="F158" s="18">
        <v>32</v>
      </c>
      <c r="G158" s="20">
        <v>59096432</v>
      </c>
      <c r="H158" s="20">
        <v>1189</v>
      </c>
      <c r="I158" s="20">
        <v>1590485</v>
      </c>
      <c r="J158" s="20">
        <v>60181</v>
      </c>
      <c r="K158" s="20">
        <v>62847</v>
      </c>
      <c r="L158" s="20">
        <v>1020067</v>
      </c>
      <c r="M158" s="20">
        <v>5000</v>
      </c>
      <c r="N158" s="167">
        <v>6</v>
      </c>
      <c r="O158" s="167">
        <v>19</v>
      </c>
      <c r="P158" s="167">
        <v>21</v>
      </c>
      <c r="Q158" s="167">
        <v>35</v>
      </c>
      <c r="R158" s="167">
        <v>40</v>
      </c>
      <c r="S158" s="167">
        <v>45</v>
      </c>
      <c r="T158" s="167">
        <v>20</v>
      </c>
      <c r="U158" s="28">
        <f t="shared" si="131"/>
        <v>166</v>
      </c>
      <c r="W158" s="32" t="str">
        <f t="shared" si="116"/>
        <v>짝수</v>
      </c>
      <c r="X158" s="32" t="str">
        <f t="shared" si="117"/>
        <v>홀수</v>
      </c>
      <c r="Y158" s="32" t="str">
        <f t="shared" si="118"/>
        <v>홀수</v>
      </c>
      <c r="Z158" s="32" t="str">
        <f t="shared" si="119"/>
        <v>홀수</v>
      </c>
      <c r="AA158" s="32" t="str">
        <f t="shared" si="120"/>
        <v>짝수</v>
      </c>
      <c r="AB158" s="32" t="str">
        <f t="shared" si="121"/>
        <v>홀수</v>
      </c>
      <c r="AC158" s="58" t="str">
        <f t="shared" si="122"/>
        <v>4 : 2</v>
      </c>
      <c r="AD158" s="32">
        <f t="shared" si="123"/>
        <v>4</v>
      </c>
      <c r="AE158" s="32">
        <f t="shared" si="124"/>
        <v>2</v>
      </c>
      <c r="AF158" s="66" t="str">
        <f t="shared" si="132"/>
        <v>저수</v>
      </c>
      <c r="AG158" s="66" t="str">
        <f t="shared" si="133"/>
        <v>저수</v>
      </c>
      <c r="AH158" s="66" t="str">
        <f t="shared" si="134"/>
        <v>저수</v>
      </c>
      <c r="AI158" s="66" t="str">
        <f t="shared" si="135"/>
        <v>고수</v>
      </c>
      <c r="AJ158" s="66" t="str">
        <f t="shared" si="136"/>
        <v>고수</v>
      </c>
      <c r="AK158" s="66" t="str">
        <f t="shared" si="137"/>
        <v>고수</v>
      </c>
      <c r="AL158" s="58" t="str">
        <f t="shared" si="138"/>
        <v>3 : 3</v>
      </c>
      <c r="AM158" s="66">
        <f t="shared" si="139"/>
        <v>3</v>
      </c>
      <c r="AN158" s="66">
        <f t="shared" si="140"/>
        <v>3</v>
      </c>
      <c r="AO158" s="66">
        <f t="shared" si="141"/>
        <v>26</v>
      </c>
      <c r="AP158" s="66" t="str">
        <f t="shared" si="142"/>
        <v>X</v>
      </c>
      <c r="AQ158" s="66" t="str">
        <f t="shared" si="143"/>
        <v>O</v>
      </c>
      <c r="AR158" s="66" t="str">
        <f t="shared" si="144"/>
        <v>X</v>
      </c>
      <c r="AS158" s="66" t="str">
        <f t="shared" si="145"/>
        <v>X</v>
      </c>
      <c r="AT158" s="66" t="str">
        <f t="shared" si="146"/>
        <v>X</v>
      </c>
      <c r="AU158" s="66" t="str">
        <f t="shared" si="147"/>
        <v>X</v>
      </c>
      <c r="AV158" s="66" t="str">
        <f t="shared" si="148"/>
        <v>X</v>
      </c>
      <c r="AW158" s="66" t="str">
        <f t="shared" si="149"/>
        <v>X</v>
      </c>
      <c r="AX158" s="66" t="str">
        <f t="shared" si="150"/>
        <v>X</v>
      </c>
      <c r="AY158" s="66" t="str">
        <f t="shared" si="151"/>
        <v>X</v>
      </c>
      <c r="AZ158" s="66" t="str">
        <f t="shared" si="152"/>
        <v>X</v>
      </c>
      <c r="BA158" s="66" t="str">
        <f t="shared" si="153"/>
        <v>X</v>
      </c>
      <c r="BB158" s="66">
        <f t="shared" si="154"/>
        <v>1</v>
      </c>
      <c r="BC158" s="127" t="str">
        <f t="shared" si="125"/>
        <v>1G</v>
      </c>
      <c r="BD158" s="127" t="str">
        <f t="shared" si="126"/>
        <v>2G</v>
      </c>
      <c r="BE158" s="127" t="str">
        <f t="shared" si="127"/>
        <v>2G</v>
      </c>
      <c r="BF158" s="127" t="str">
        <f t="shared" si="128"/>
        <v>3G</v>
      </c>
      <c r="BG158" s="127" t="str">
        <f t="shared" si="129"/>
        <v>3G</v>
      </c>
      <c r="BH158" s="127" t="str">
        <f t="shared" si="130"/>
        <v>3G</v>
      </c>
      <c r="BI158" s="127">
        <f t="shared" si="155"/>
        <v>1</v>
      </c>
      <c r="BJ158" s="127">
        <f t="shared" si="156"/>
        <v>2</v>
      </c>
      <c r="BK158" s="127">
        <f t="shared" si="157"/>
        <v>3</v>
      </c>
      <c r="BL158" s="127" t="str">
        <f t="shared" si="158"/>
        <v>123</v>
      </c>
      <c r="BS158"/>
      <c r="CL158" s="28">
        <v>124</v>
      </c>
      <c r="CM158" s="28">
        <v>120</v>
      </c>
      <c r="CO158"/>
    </row>
    <row r="159" spans="2:93" ht="16.5" hidden="1">
      <c r="B159" s="17">
        <v>155</v>
      </c>
      <c r="C159" s="363" t="s">
        <v>185</v>
      </c>
      <c r="D159" s="18">
        <v>9</v>
      </c>
      <c r="E159" s="20">
        <v>1193005734</v>
      </c>
      <c r="F159" s="18">
        <v>37</v>
      </c>
      <c r="G159" s="20">
        <v>48365098</v>
      </c>
      <c r="H159" s="20">
        <v>1287</v>
      </c>
      <c r="I159" s="20">
        <v>1390450</v>
      </c>
      <c r="J159" s="20">
        <v>62882</v>
      </c>
      <c r="K159" s="20">
        <v>56917</v>
      </c>
      <c r="L159" s="20">
        <v>1035003</v>
      </c>
      <c r="M159" s="20">
        <v>5000</v>
      </c>
      <c r="N159" s="167">
        <v>16</v>
      </c>
      <c r="O159" s="167">
        <v>19</v>
      </c>
      <c r="P159" s="167">
        <v>20</v>
      </c>
      <c r="Q159" s="167">
        <v>32</v>
      </c>
      <c r="R159" s="167">
        <v>33</v>
      </c>
      <c r="S159" s="167">
        <v>41</v>
      </c>
      <c r="T159" s="167">
        <v>4</v>
      </c>
      <c r="U159" s="28">
        <f t="shared" si="131"/>
        <v>161</v>
      </c>
      <c r="W159" s="32" t="str">
        <f t="shared" si="116"/>
        <v>짝수</v>
      </c>
      <c r="X159" s="32" t="str">
        <f t="shared" si="117"/>
        <v>홀수</v>
      </c>
      <c r="Y159" s="32" t="str">
        <f t="shared" si="118"/>
        <v>짝수</v>
      </c>
      <c r="Z159" s="32" t="str">
        <f t="shared" si="119"/>
        <v>짝수</v>
      </c>
      <c r="AA159" s="32" t="str">
        <f t="shared" si="120"/>
        <v>홀수</v>
      </c>
      <c r="AB159" s="32" t="str">
        <f t="shared" si="121"/>
        <v>홀수</v>
      </c>
      <c r="AC159" s="58" t="str">
        <f t="shared" si="122"/>
        <v>3 : 3</v>
      </c>
      <c r="AD159" s="32">
        <f t="shared" si="123"/>
        <v>3</v>
      </c>
      <c r="AE159" s="32">
        <f t="shared" si="124"/>
        <v>3</v>
      </c>
      <c r="AF159" s="66" t="str">
        <f t="shared" si="132"/>
        <v>저수</v>
      </c>
      <c r="AG159" s="66" t="str">
        <f t="shared" si="133"/>
        <v>저수</v>
      </c>
      <c r="AH159" s="66" t="str">
        <f t="shared" si="134"/>
        <v>저수</v>
      </c>
      <c r="AI159" s="66" t="str">
        <f t="shared" si="135"/>
        <v>고수</v>
      </c>
      <c r="AJ159" s="66" t="str">
        <f t="shared" si="136"/>
        <v>고수</v>
      </c>
      <c r="AK159" s="66" t="str">
        <f t="shared" si="137"/>
        <v>고수</v>
      </c>
      <c r="AL159" s="58" t="str">
        <f t="shared" si="138"/>
        <v>3 : 3</v>
      </c>
      <c r="AM159" s="66">
        <f t="shared" si="139"/>
        <v>3</v>
      </c>
      <c r="AN159" s="66">
        <f t="shared" si="140"/>
        <v>3</v>
      </c>
      <c r="AO159" s="66">
        <f t="shared" si="141"/>
        <v>21</v>
      </c>
      <c r="AP159" s="66" t="str">
        <f t="shared" si="142"/>
        <v>X</v>
      </c>
      <c r="AQ159" s="66" t="str">
        <f t="shared" si="143"/>
        <v>O</v>
      </c>
      <c r="AR159" s="66" t="str">
        <f t="shared" si="144"/>
        <v>X</v>
      </c>
      <c r="AS159" s="66" t="str">
        <f t="shared" si="145"/>
        <v>X</v>
      </c>
      <c r="AT159" s="66" t="str">
        <f t="shared" si="146"/>
        <v>X</v>
      </c>
      <c r="AU159" s="66" t="str">
        <f t="shared" si="147"/>
        <v>X</v>
      </c>
      <c r="AV159" s="66" t="str">
        <f t="shared" si="148"/>
        <v>X</v>
      </c>
      <c r="AW159" s="66" t="str">
        <f t="shared" si="149"/>
        <v>X</v>
      </c>
      <c r="AX159" s="66" t="str">
        <f t="shared" si="150"/>
        <v>X</v>
      </c>
      <c r="AY159" s="66" t="str">
        <f t="shared" si="151"/>
        <v>X</v>
      </c>
      <c r="AZ159" s="66" t="str">
        <f t="shared" si="152"/>
        <v>X</v>
      </c>
      <c r="BA159" s="66" t="str">
        <f t="shared" si="153"/>
        <v>O</v>
      </c>
      <c r="BB159" s="66">
        <f t="shared" si="154"/>
        <v>2</v>
      </c>
      <c r="BC159" s="127" t="str">
        <f t="shared" si="125"/>
        <v>2G</v>
      </c>
      <c r="BD159" s="127" t="str">
        <f t="shared" si="126"/>
        <v>2G</v>
      </c>
      <c r="BE159" s="127" t="str">
        <f t="shared" si="127"/>
        <v>2G</v>
      </c>
      <c r="BF159" s="127" t="str">
        <f t="shared" si="128"/>
        <v>3G</v>
      </c>
      <c r="BG159" s="127" t="str">
        <f t="shared" si="129"/>
        <v>3G</v>
      </c>
      <c r="BH159" s="127" t="str">
        <f t="shared" si="130"/>
        <v>3G</v>
      </c>
      <c r="BI159" s="127">
        <f t="shared" si="155"/>
        <v>0</v>
      </c>
      <c r="BJ159" s="127">
        <f t="shared" si="156"/>
        <v>3</v>
      </c>
      <c r="BK159" s="127">
        <f t="shared" si="157"/>
        <v>3</v>
      </c>
      <c r="BL159" s="127" t="str">
        <f t="shared" si="158"/>
        <v>033</v>
      </c>
      <c r="BS159"/>
      <c r="CL159" s="28">
        <v>124</v>
      </c>
      <c r="CM159" s="28">
        <v>120</v>
      </c>
      <c r="CO159"/>
    </row>
    <row r="160" spans="2:93" ht="16.5" hidden="1">
      <c r="B160" s="17">
        <v>156</v>
      </c>
      <c r="C160" s="363" t="s">
        <v>186</v>
      </c>
      <c r="D160" s="18">
        <v>8</v>
      </c>
      <c r="E160" s="20">
        <v>1401099900</v>
      </c>
      <c r="F160" s="18">
        <v>30</v>
      </c>
      <c r="G160" s="20">
        <v>62271107</v>
      </c>
      <c r="H160" s="20">
        <v>1230</v>
      </c>
      <c r="I160" s="20">
        <v>1518808</v>
      </c>
      <c r="J160" s="20">
        <v>59506</v>
      </c>
      <c r="K160" s="20">
        <v>62789</v>
      </c>
      <c r="L160" s="20">
        <v>998192</v>
      </c>
      <c r="M160" s="20">
        <v>5000</v>
      </c>
      <c r="N160" s="167">
        <v>5</v>
      </c>
      <c r="O160" s="167">
        <v>18</v>
      </c>
      <c r="P160" s="167">
        <v>28</v>
      </c>
      <c r="Q160" s="167">
        <v>30</v>
      </c>
      <c r="R160" s="167">
        <v>42</v>
      </c>
      <c r="S160" s="167">
        <v>45</v>
      </c>
      <c r="T160" s="167">
        <v>2</v>
      </c>
      <c r="U160" s="28">
        <f t="shared" si="131"/>
        <v>168</v>
      </c>
      <c r="W160" s="32" t="str">
        <f t="shared" si="116"/>
        <v>홀수</v>
      </c>
      <c r="X160" s="32" t="str">
        <f t="shared" si="117"/>
        <v>짝수</v>
      </c>
      <c r="Y160" s="32" t="str">
        <f t="shared" si="118"/>
        <v>짝수</v>
      </c>
      <c r="Z160" s="32" t="str">
        <f t="shared" si="119"/>
        <v>짝수</v>
      </c>
      <c r="AA160" s="32" t="str">
        <f t="shared" si="120"/>
        <v>짝수</v>
      </c>
      <c r="AB160" s="32" t="str">
        <f t="shared" si="121"/>
        <v>홀수</v>
      </c>
      <c r="AC160" s="58" t="str">
        <f t="shared" si="122"/>
        <v>2 : 4</v>
      </c>
      <c r="AD160" s="32">
        <f t="shared" si="123"/>
        <v>2</v>
      </c>
      <c r="AE160" s="32">
        <f t="shared" si="124"/>
        <v>4</v>
      </c>
      <c r="AF160" s="66" t="str">
        <f t="shared" si="132"/>
        <v>저수</v>
      </c>
      <c r="AG160" s="66" t="str">
        <f t="shared" si="133"/>
        <v>저수</v>
      </c>
      <c r="AH160" s="66" t="str">
        <f t="shared" si="134"/>
        <v>고수</v>
      </c>
      <c r="AI160" s="66" t="str">
        <f t="shared" si="135"/>
        <v>고수</v>
      </c>
      <c r="AJ160" s="66" t="str">
        <f t="shared" si="136"/>
        <v>고수</v>
      </c>
      <c r="AK160" s="66" t="str">
        <f t="shared" si="137"/>
        <v>고수</v>
      </c>
      <c r="AL160" s="58" t="str">
        <f t="shared" si="138"/>
        <v>2 : 4</v>
      </c>
      <c r="AM160" s="66">
        <f t="shared" si="139"/>
        <v>2</v>
      </c>
      <c r="AN160" s="66">
        <f t="shared" si="140"/>
        <v>4</v>
      </c>
      <c r="AO160" s="66">
        <f t="shared" si="141"/>
        <v>28</v>
      </c>
      <c r="AP160" s="66" t="str">
        <f t="shared" si="142"/>
        <v>O</v>
      </c>
      <c r="AQ160" s="66" t="str">
        <f t="shared" si="143"/>
        <v>X</v>
      </c>
      <c r="AR160" s="66" t="str">
        <f t="shared" si="144"/>
        <v>X</v>
      </c>
      <c r="AS160" s="66" t="str">
        <f t="shared" si="145"/>
        <v>X</v>
      </c>
      <c r="AT160" s="66" t="str">
        <f t="shared" si="146"/>
        <v>X</v>
      </c>
      <c r="AU160" s="66" t="str">
        <f t="shared" si="147"/>
        <v>X</v>
      </c>
      <c r="AV160" s="66" t="str">
        <f t="shared" si="148"/>
        <v>X</v>
      </c>
      <c r="AW160" s="66" t="str">
        <f t="shared" si="149"/>
        <v>X</v>
      </c>
      <c r="AX160" s="66" t="str">
        <f t="shared" si="150"/>
        <v>X</v>
      </c>
      <c r="AY160" s="66" t="str">
        <f t="shared" si="151"/>
        <v>X</v>
      </c>
      <c r="AZ160" s="66" t="str">
        <f t="shared" si="152"/>
        <v>X</v>
      </c>
      <c r="BA160" s="66" t="str">
        <f t="shared" si="153"/>
        <v>X</v>
      </c>
      <c r="BB160" s="66">
        <f t="shared" si="154"/>
        <v>1</v>
      </c>
      <c r="BC160" s="127" t="str">
        <f t="shared" si="125"/>
        <v>1G</v>
      </c>
      <c r="BD160" s="127" t="str">
        <f t="shared" si="126"/>
        <v>2G</v>
      </c>
      <c r="BE160" s="127" t="str">
        <f t="shared" si="127"/>
        <v>2G</v>
      </c>
      <c r="BF160" s="127" t="str">
        <f t="shared" si="128"/>
        <v>2G</v>
      </c>
      <c r="BG160" s="127" t="str">
        <f t="shared" si="129"/>
        <v>3G</v>
      </c>
      <c r="BH160" s="127" t="str">
        <f t="shared" si="130"/>
        <v>3G</v>
      </c>
      <c r="BI160" s="127">
        <f t="shared" si="155"/>
        <v>1</v>
      </c>
      <c r="BJ160" s="127">
        <f t="shared" si="156"/>
        <v>3</v>
      </c>
      <c r="BK160" s="127">
        <f t="shared" si="157"/>
        <v>2</v>
      </c>
      <c r="BL160" s="127" t="str">
        <f t="shared" si="158"/>
        <v>132</v>
      </c>
      <c r="BS160"/>
      <c r="CL160" s="28">
        <v>124</v>
      </c>
      <c r="CM160" s="28">
        <v>120</v>
      </c>
      <c r="CO160"/>
    </row>
    <row r="161" spans="1:93" ht="16.5" hidden="1">
      <c r="B161" s="17">
        <v>157</v>
      </c>
      <c r="C161" s="363" t="s">
        <v>187</v>
      </c>
      <c r="D161" s="18">
        <v>2</v>
      </c>
      <c r="E161" s="20">
        <v>5484903750</v>
      </c>
      <c r="F161" s="18">
        <v>28</v>
      </c>
      <c r="G161" s="20">
        <v>65296474</v>
      </c>
      <c r="H161" s="20">
        <v>1155</v>
      </c>
      <c r="I161" s="20">
        <v>1582945</v>
      </c>
      <c r="J161" s="20">
        <v>61650</v>
      </c>
      <c r="K161" s="20">
        <v>59313</v>
      </c>
      <c r="L161" s="20">
        <v>1028734</v>
      </c>
      <c r="M161" s="20">
        <v>5000</v>
      </c>
      <c r="N161" s="167">
        <v>19</v>
      </c>
      <c r="O161" s="167">
        <v>26</v>
      </c>
      <c r="P161" s="167">
        <v>30</v>
      </c>
      <c r="Q161" s="167">
        <v>33</v>
      </c>
      <c r="R161" s="167">
        <v>35</v>
      </c>
      <c r="S161" s="167">
        <v>39</v>
      </c>
      <c r="T161" s="167">
        <v>37</v>
      </c>
      <c r="U161" s="28">
        <f t="shared" si="131"/>
        <v>182</v>
      </c>
      <c r="W161" s="32" t="str">
        <f t="shared" si="116"/>
        <v>홀수</v>
      </c>
      <c r="X161" s="32" t="str">
        <f t="shared" si="117"/>
        <v>짝수</v>
      </c>
      <c r="Y161" s="32" t="str">
        <f t="shared" si="118"/>
        <v>짝수</v>
      </c>
      <c r="Z161" s="32" t="str">
        <f t="shared" si="119"/>
        <v>홀수</v>
      </c>
      <c r="AA161" s="32" t="str">
        <f t="shared" si="120"/>
        <v>홀수</v>
      </c>
      <c r="AB161" s="32" t="str">
        <f t="shared" si="121"/>
        <v>홀수</v>
      </c>
      <c r="AC161" s="58" t="str">
        <f t="shared" si="122"/>
        <v>4 : 2</v>
      </c>
      <c r="AD161" s="32">
        <f t="shared" si="123"/>
        <v>4</v>
      </c>
      <c r="AE161" s="32">
        <f t="shared" si="124"/>
        <v>2</v>
      </c>
      <c r="AF161" s="66" t="str">
        <f t="shared" si="132"/>
        <v>저수</v>
      </c>
      <c r="AG161" s="66" t="str">
        <f t="shared" si="133"/>
        <v>고수</v>
      </c>
      <c r="AH161" s="66" t="str">
        <f t="shared" si="134"/>
        <v>고수</v>
      </c>
      <c r="AI161" s="66" t="str">
        <f t="shared" si="135"/>
        <v>고수</v>
      </c>
      <c r="AJ161" s="66" t="str">
        <f t="shared" si="136"/>
        <v>고수</v>
      </c>
      <c r="AK161" s="66" t="str">
        <f t="shared" si="137"/>
        <v>고수</v>
      </c>
      <c r="AL161" s="58" t="str">
        <f t="shared" si="138"/>
        <v>1 : 5</v>
      </c>
      <c r="AM161" s="66">
        <f t="shared" si="139"/>
        <v>1</v>
      </c>
      <c r="AN161" s="66">
        <f t="shared" si="140"/>
        <v>5</v>
      </c>
      <c r="AO161" s="66">
        <f t="shared" si="141"/>
        <v>32</v>
      </c>
      <c r="AP161" s="66" t="str">
        <f t="shared" si="142"/>
        <v>O</v>
      </c>
      <c r="AQ161" s="66" t="str">
        <f t="shared" si="143"/>
        <v>X</v>
      </c>
      <c r="AR161" s="66" t="str">
        <f t="shared" si="144"/>
        <v>X</v>
      </c>
      <c r="AS161" s="66" t="str">
        <f t="shared" si="145"/>
        <v>X</v>
      </c>
      <c r="AT161" s="66" t="str">
        <f t="shared" si="146"/>
        <v>X</v>
      </c>
      <c r="AU161" s="66" t="str">
        <f t="shared" si="147"/>
        <v>X</v>
      </c>
      <c r="AV161" s="66" t="str">
        <f t="shared" si="148"/>
        <v>X</v>
      </c>
      <c r="AW161" s="66" t="str">
        <f t="shared" si="149"/>
        <v>X</v>
      </c>
      <c r="AX161" s="66" t="str">
        <f t="shared" si="150"/>
        <v>X</v>
      </c>
      <c r="AY161" s="66" t="str">
        <f t="shared" si="151"/>
        <v>X</v>
      </c>
      <c r="AZ161" s="66" t="str">
        <f t="shared" si="152"/>
        <v>X</v>
      </c>
      <c r="BA161" s="66" t="str">
        <f t="shared" si="153"/>
        <v>X</v>
      </c>
      <c r="BB161" s="66">
        <f t="shared" si="154"/>
        <v>1</v>
      </c>
      <c r="BC161" s="127" t="str">
        <f t="shared" si="125"/>
        <v>2G</v>
      </c>
      <c r="BD161" s="127" t="str">
        <f t="shared" si="126"/>
        <v>2G</v>
      </c>
      <c r="BE161" s="127" t="str">
        <f t="shared" si="127"/>
        <v>2G</v>
      </c>
      <c r="BF161" s="127" t="str">
        <f t="shared" si="128"/>
        <v>3G</v>
      </c>
      <c r="BG161" s="127" t="str">
        <f t="shared" si="129"/>
        <v>3G</v>
      </c>
      <c r="BH161" s="127" t="str">
        <f t="shared" si="130"/>
        <v>3G</v>
      </c>
      <c r="BI161" s="127">
        <f t="shared" si="155"/>
        <v>0</v>
      </c>
      <c r="BJ161" s="127">
        <f t="shared" si="156"/>
        <v>3</v>
      </c>
      <c r="BK161" s="127">
        <f t="shared" si="157"/>
        <v>3</v>
      </c>
      <c r="BL161" s="127" t="str">
        <f t="shared" si="158"/>
        <v>033</v>
      </c>
      <c r="BS161"/>
      <c r="CL161" s="28">
        <v>124</v>
      </c>
      <c r="CM161" s="28">
        <v>120</v>
      </c>
      <c r="CO161"/>
    </row>
    <row r="162" spans="1:93" ht="16.5" hidden="1">
      <c r="B162" s="17">
        <v>158</v>
      </c>
      <c r="C162" s="363" t="s">
        <v>188</v>
      </c>
      <c r="D162" s="18">
        <v>10</v>
      </c>
      <c r="E162" s="20">
        <v>1069544340</v>
      </c>
      <c r="F162" s="18">
        <v>45</v>
      </c>
      <c r="G162" s="20">
        <v>39612754</v>
      </c>
      <c r="H162" s="20">
        <v>1516</v>
      </c>
      <c r="I162" s="20">
        <v>1175841</v>
      </c>
      <c r="J162" s="20">
        <v>67910</v>
      </c>
      <c r="K162" s="20">
        <v>52499</v>
      </c>
      <c r="L162" s="20">
        <v>1071741</v>
      </c>
      <c r="M162" s="20">
        <v>5000</v>
      </c>
      <c r="N162" s="167">
        <v>4</v>
      </c>
      <c r="O162" s="167">
        <v>9</v>
      </c>
      <c r="P162" s="167">
        <v>13</v>
      </c>
      <c r="Q162" s="167">
        <v>18</v>
      </c>
      <c r="R162" s="167">
        <v>21</v>
      </c>
      <c r="S162" s="167">
        <v>34</v>
      </c>
      <c r="T162" s="167">
        <v>7</v>
      </c>
      <c r="U162" s="28">
        <f t="shared" si="131"/>
        <v>99</v>
      </c>
      <c r="W162" s="32" t="str">
        <f t="shared" si="116"/>
        <v>짝수</v>
      </c>
      <c r="X162" s="32" t="str">
        <f t="shared" si="117"/>
        <v>홀수</v>
      </c>
      <c r="Y162" s="32" t="str">
        <f t="shared" si="118"/>
        <v>홀수</v>
      </c>
      <c r="Z162" s="32" t="str">
        <f t="shared" si="119"/>
        <v>짝수</v>
      </c>
      <c r="AA162" s="32" t="str">
        <f t="shared" si="120"/>
        <v>홀수</v>
      </c>
      <c r="AB162" s="32" t="str">
        <f t="shared" si="121"/>
        <v>짝수</v>
      </c>
      <c r="AC162" s="58" t="str">
        <f t="shared" si="122"/>
        <v>3 : 3</v>
      </c>
      <c r="AD162" s="32">
        <f t="shared" si="123"/>
        <v>3</v>
      </c>
      <c r="AE162" s="32">
        <f t="shared" si="124"/>
        <v>3</v>
      </c>
      <c r="AF162" s="66" t="str">
        <f t="shared" si="132"/>
        <v>저수</v>
      </c>
      <c r="AG162" s="66" t="str">
        <f t="shared" si="133"/>
        <v>저수</v>
      </c>
      <c r="AH162" s="66" t="str">
        <f t="shared" si="134"/>
        <v>저수</v>
      </c>
      <c r="AI162" s="66" t="str">
        <f t="shared" si="135"/>
        <v>저수</v>
      </c>
      <c r="AJ162" s="66" t="str">
        <f t="shared" si="136"/>
        <v>저수</v>
      </c>
      <c r="AK162" s="66" t="str">
        <f t="shared" si="137"/>
        <v>고수</v>
      </c>
      <c r="AL162" s="58" t="str">
        <f t="shared" si="138"/>
        <v>5 : 1</v>
      </c>
      <c r="AM162" s="66">
        <f t="shared" si="139"/>
        <v>5</v>
      </c>
      <c r="AN162" s="66">
        <f t="shared" si="140"/>
        <v>1</v>
      </c>
      <c r="AO162" s="66">
        <f t="shared" si="141"/>
        <v>29</v>
      </c>
      <c r="AP162" s="66" t="str">
        <f t="shared" si="142"/>
        <v>X</v>
      </c>
      <c r="AQ162" s="66" t="str">
        <f t="shared" si="143"/>
        <v>X</v>
      </c>
      <c r="AR162" s="66" t="str">
        <f t="shared" si="144"/>
        <v>O</v>
      </c>
      <c r="AS162" s="66" t="str">
        <f t="shared" si="145"/>
        <v>X</v>
      </c>
      <c r="AT162" s="66" t="str">
        <f t="shared" si="146"/>
        <v>X</v>
      </c>
      <c r="AU162" s="66" t="str">
        <f t="shared" si="147"/>
        <v>X</v>
      </c>
      <c r="AV162" s="66" t="str">
        <f t="shared" si="148"/>
        <v>X</v>
      </c>
      <c r="AW162" s="66" t="str">
        <f t="shared" si="149"/>
        <v>X</v>
      </c>
      <c r="AX162" s="66" t="str">
        <f t="shared" si="150"/>
        <v>X</v>
      </c>
      <c r="AY162" s="66" t="str">
        <f t="shared" si="151"/>
        <v>X</v>
      </c>
      <c r="AZ162" s="66" t="str">
        <f t="shared" si="152"/>
        <v>X</v>
      </c>
      <c r="BA162" s="66" t="str">
        <f t="shared" si="153"/>
        <v>X</v>
      </c>
      <c r="BB162" s="66">
        <f t="shared" si="154"/>
        <v>1</v>
      </c>
      <c r="BC162" s="127" t="str">
        <f t="shared" si="125"/>
        <v>1G</v>
      </c>
      <c r="BD162" s="127" t="str">
        <f t="shared" si="126"/>
        <v>1G</v>
      </c>
      <c r="BE162" s="127" t="str">
        <f t="shared" si="127"/>
        <v>1G</v>
      </c>
      <c r="BF162" s="127" t="str">
        <f t="shared" si="128"/>
        <v>2G</v>
      </c>
      <c r="BG162" s="127" t="str">
        <f t="shared" si="129"/>
        <v>2G</v>
      </c>
      <c r="BH162" s="127" t="str">
        <f t="shared" si="130"/>
        <v>3G</v>
      </c>
      <c r="BI162" s="127">
        <f t="shared" si="155"/>
        <v>3</v>
      </c>
      <c r="BJ162" s="127">
        <f t="shared" si="156"/>
        <v>2</v>
      </c>
      <c r="BK162" s="127">
        <f t="shared" si="157"/>
        <v>1</v>
      </c>
      <c r="BL162" s="127" t="str">
        <f t="shared" si="158"/>
        <v>321</v>
      </c>
      <c r="BS162"/>
      <c r="CL162" s="28">
        <v>124</v>
      </c>
      <c r="CM162" s="28">
        <v>120</v>
      </c>
      <c r="CO162"/>
    </row>
    <row r="163" spans="1:93" ht="16.5" hidden="1">
      <c r="B163" s="17">
        <v>159</v>
      </c>
      <c r="C163" s="363" t="s">
        <v>189</v>
      </c>
      <c r="D163" s="18">
        <v>6</v>
      </c>
      <c r="E163" s="20">
        <v>1755407300</v>
      </c>
      <c r="F163" s="18">
        <v>24</v>
      </c>
      <c r="G163" s="20">
        <v>73141971</v>
      </c>
      <c r="H163" s="20">
        <v>1071</v>
      </c>
      <c r="I163" s="20">
        <v>1639036</v>
      </c>
      <c r="J163" s="20">
        <v>54933</v>
      </c>
      <c r="K163" s="20">
        <v>63911</v>
      </c>
      <c r="L163" s="20">
        <v>920378</v>
      </c>
      <c r="M163" s="20">
        <v>5000</v>
      </c>
      <c r="N163" s="167">
        <v>1</v>
      </c>
      <c r="O163" s="167">
        <v>18</v>
      </c>
      <c r="P163" s="167">
        <v>30</v>
      </c>
      <c r="Q163" s="167">
        <v>41</v>
      </c>
      <c r="R163" s="167">
        <v>42</v>
      </c>
      <c r="S163" s="167">
        <v>43</v>
      </c>
      <c r="T163" s="167">
        <v>32</v>
      </c>
      <c r="U163" s="28">
        <f t="shared" si="131"/>
        <v>175</v>
      </c>
      <c r="W163" s="32" t="str">
        <f t="shared" si="116"/>
        <v>홀수</v>
      </c>
      <c r="X163" s="32" t="str">
        <f t="shared" si="117"/>
        <v>짝수</v>
      </c>
      <c r="Y163" s="32" t="str">
        <f t="shared" si="118"/>
        <v>짝수</v>
      </c>
      <c r="Z163" s="32" t="str">
        <f t="shared" si="119"/>
        <v>홀수</v>
      </c>
      <c r="AA163" s="32" t="str">
        <f t="shared" si="120"/>
        <v>짝수</v>
      </c>
      <c r="AB163" s="32" t="str">
        <f t="shared" si="121"/>
        <v>홀수</v>
      </c>
      <c r="AC163" s="58" t="str">
        <f t="shared" si="122"/>
        <v>3 : 3</v>
      </c>
      <c r="AD163" s="32">
        <f t="shared" si="123"/>
        <v>3</v>
      </c>
      <c r="AE163" s="32">
        <f t="shared" si="124"/>
        <v>3</v>
      </c>
      <c r="AF163" s="66" t="str">
        <f t="shared" si="132"/>
        <v>저수</v>
      </c>
      <c r="AG163" s="66" t="str">
        <f t="shared" si="133"/>
        <v>저수</v>
      </c>
      <c r="AH163" s="66" t="str">
        <f t="shared" si="134"/>
        <v>고수</v>
      </c>
      <c r="AI163" s="66" t="str">
        <f t="shared" si="135"/>
        <v>고수</v>
      </c>
      <c r="AJ163" s="66" t="str">
        <f t="shared" si="136"/>
        <v>고수</v>
      </c>
      <c r="AK163" s="66" t="str">
        <f t="shared" si="137"/>
        <v>고수</v>
      </c>
      <c r="AL163" s="58" t="str">
        <f t="shared" si="138"/>
        <v>2 : 4</v>
      </c>
      <c r="AM163" s="66">
        <f t="shared" si="139"/>
        <v>2</v>
      </c>
      <c r="AN163" s="66">
        <f t="shared" si="140"/>
        <v>4</v>
      </c>
      <c r="AO163" s="66">
        <f t="shared" si="141"/>
        <v>15</v>
      </c>
      <c r="AP163" s="66" t="str">
        <f t="shared" si="142"/>
        <v>X</v>
      </c>
      <c r="AQ163" s="66" t="str">
        <f t="shared" si="143"/>
        <v>X</v>
      </c>
      <c r="AR163" s="66" t="str">
        <f t="shared" si="144"/>
        <v>X</v>
      </c>
      <c r="AS163" s="66" t="str">
        <f t="shared" si="145"/>
        <v>X</v>
      </c>
      <c r="AT163" s="66" t="str">
        <f t="shared" si="146"/>
        <v>X</v>
      </c>
      <c r="AU163" s="66" t="str">
        <f t="shared" si="147"/>
        <v>X</v>
      </c>
      <c r="AV163" s="66" t="str">
        <f t="shared" si="148"/>
        <v>X</v>
      </c>
      <c r="AW163" s="66" t="str">
        <f t="shared" si="149"/>
        <v>X</v>
      </c>
      <c r="AX163" s="66" t="str">
        <f t="shared" si="150"/>
        <v>X</v>
      </c>
      <c r="AY163" s="66" t="str">
        <f t="shared" si="151"/>
        <v>O</v>
      </c>
      <c r="AZ163" s="66" t="str">
        <f t="shared" si="152"/>
        <v>X</v>
      </c>
      <c r="BA163" s="66" t="str">
        <f t="shared" si="153"/>
        <v>O</v>
      </c>
      <c r="BB163" s="66">
        <f t="shared" si="154"/>
        <v>2</v>
      </c>
      <c r="BC163" s="127" t="str">
        <f t="shared" si="125"/>
        <v>1G</v>
      </c>
      <c r="BD163" s="127" t="str">
        <f t="shared" si="126"/>
        <v>2G</v>
      </c>
      <c r="BE163" s="127" t="str">
        <f t="shared" si="127"/>
        <v>2G</v>
      </c>
      <c r="BF163" s="127" t="str">
        <f t="shared" si="128"/>
        <v>3G</v>
      </c>
      <c r="BG163" s="127" t="str">
        <f t="shared" si="129"/>
        <v>3G</v>
      </c>
      <c r="BH163" s="127" t="str">
        <f t="shared" si="130"/>
        <v>3G</v>
      </c>
      <c r="BI163" s="127">
        <f t="shared" si="155"/>
        <v>1</v>
      </c>
      <c r="BJ163" s="127">
        <f t="shared" si="156"/>
        <v>2</v>
      </c>
      <c r="BK163" s="127">
        <f t="shared" si="157"/>
        <v>3</v>
      </c>
      <c r="BL163" s="127" t="str">
        <f t="shared" si="158"/>
        <v>123</v>
      </c>
      <c r="BS163"/>
      <c r="CL163" s="28">
        <v>124</v>
      </c>
      <c r="CM163" s="28">
        <v>120</v>
      </c>
      <c r="CO163"/>
    </row>
    <row r="164" spans="1:93" ht="16.5" hidden="1">
      <c r="B164" s="17">
        <v>160</v>
      </c>
      <c r="C164" s="363" t="s">
        <v>190</v>
      </c>
      <c r="D164" s="18">
        <v>2</v>
      </c>
      <c r="E164" s="20">
        <v>5490805350</v>
      </c>
      <c r="F164" s="18">
        <v>32</v>
      </c>
      <c r="G164" s="20">
        <v>57195890</v>
      </c>
      <c r="H164" s="20">
        <v>1079</v>
      </c>
      <c r="I164" s="20">
        <v>1696264</v>
      </c>
      <c r="J164" s="20">
        <v>58680</v>
      </c>
      <c r="K164" s="20">
        <v>62382</v>
      </c>
      <c r="L164" s="20">
        <v>1022787</v>
      </c>
      <c r="M164" s="20">
        <v>5000</v>
      </c>
      <c r="N164" s="167">
        <v>3</v>
      </c>
      <c r="O164" s="167">
        <v>7</v>
      </c>
      <c r="P164" s="167">
        <v>8</v>
      </c>
      <c r="Q164" s="167">
        <v>34</v>
      </c>
      <c r="R164" s="167">
        <v>39</v>
      </c>
      <c r="S164" s="167">
        <v>41</v>
      </c>
      <c r="T164" s="167">
        <v>1</v>
      </c>
      <c r="U164" s="28">
        <f t="shared" si="131"/>
        <v>132</v>
      </c>
      <c r="W164" s="32" t="str">
        <f t="shared" si="116"/>
        <v>홀수</v>
      </c>
      <c r="X164" s="32" t="str">
        <f t="shared" si="117"/>
        <v>홀수</v>
      </c>
      <c r="Y164" s="32" t="str">
        <f t="shared" si="118"/>
        <v>짝수</v>
      </c>
      <c r="Z164" s="32" t="str">
        <f t="shared" si="119"/>
        <v>짝수</v>
      </c>
      <c r="AA164" s="32" t="str">
        <f t="shared" si="120"/>
        <v>홀수</v>
      </c>
      <c r="AB164" s="32" t="str">
        <f t="shared" si="121"/>
        <v>홀수</v>
      </c>
      <c r="AC164" s="58" t="str">
        <f t="shared" si="122"/>
        <v>4 : 2</v>
      </c>
      <c r="AD164" s="32">
        <f t="shared" si="123"/>
        <v>4</v>
      </c>
      <c r="AE164" s="32">
        <f t="shared" si="124"/>
        <v>2</v>
      </c>
      <c r="AF164" s="66" t="str">
        <f t="shared" si="132"/>
        <v>저수</v>
      </c>
      <c r="AG164" s="66" t="str">
        <f t="shared" si="133"/>
        <v>저수</v>
      </c>
      <c r="AH164" s="66" t="str">
        <f t="shared" si="134"/>
        <v>저수</v>
      </c>
      <c r="AI164" s="66" t="str">
        <f t="shared" si="135"/>
        <v>고수</v>
      </c>
      <c r="AJ164" s="66" t="str">
        <f t="shared" si="136"/>
        <v>고수</v>
      </c>
      <c r="AK164" s="66" t="str">
        <f t="shared" si="137"/>
        <v>고수</v>
      </c>
      <c r="AL164" s="58" t="str">
        <f t="shared" si="138"/>
        <v>3 : 3</v>
      </c>
      <c r="AM164" s="66">
        <f t="shared" si="139"/>
        <v>3</v>
      </c>
      <c r="AN164" s="66">
        <f t="shared" si="140"/>
        <v>3</v>
      </c>
      <c r="AO164" s="66">
        <f t="shared" si="141"/>
        <v>32</v>
      </c>
      <c r="AP164" s="66" t="str">
        <f t="shared" si="142"/>
        <v>O</v>
      </c>
      <c r="AQ164" s="66" t="str">
        <f t="shared" si="143"/>
        <v>O</v>
      </c>
      <c r="AR164" s="66" t="str">
        <f t="shared" si="144"/>
        <v>X</v>
      </c>
      <c r="AS164" s="66" t="str">
        <f t="shared" si="145"/>
        <v>X</v>
      </c>
      <c r="AT164" s="66" t="str">
        <f t="shared" si="146"/>
        <v>X</v>
      </c>
      <c r="AU164" s="66" t="str">
        <f t="shared" si="147"/>
        <v>X</v>
      </c>
      <c r="AV164" s="66" t="str">
        <f t="shared" si="148"/>
        <v>X</v>
      </c>
      <c r="AW164" s="66" t="str">
        <f t="shared" si="149"/>
        <v>X</v>
      </c>
      <c r="AX164" s="66" t="str">
        <f t="shared" si="150"/>
        <v>X</v>
      </c>
      <c r="AY164" s="66" t="str">
        <f t="shared" si="151"/>
        <v>X</v>
      </c>
      <c r="AZ164" s="66" t="str">
        <f t="shared" si="152"/>
        <v>X</v>
      </c>
      <c r="BA164" s="66" t="str">
        <f t="shared" si="153"/>
        <v>O</v>
      </c>
      <c r="BB164" s="66">
        <f t="shared" si="154"/>
        <v>3</v>
      </c>
      <c r="BC164" s="127" t="str">
        <f t="shared" si="125"/>
        <v>1G</v>
      </c>
      <c r="BD164" s="127" t="str">
        <f t="shared" si="126"/>
        <v>1G</v>
      </c>
      <c r="BE164" s="127" t="str">
        <f t="shared" si="127"/>
        <v>1G</v>
      </c>
      <c r="BF164" s="127" t="str">
        <f t="shared" si="128"/>
        <v>3G</v>
      </c>
      <c r="BG164" s="127" t="str">
        <f t="shared" si="129"/>
        <v>3G</v>
      </c>
      <c r="BH164" s="127" t="str">
        <f t="shared" si="130"/>
        <v>3G</v>
      </c>
      <c r="BI164" s="127">
        <f t="shared" si="155"/>
        <v>3</v>
      </c>
      <c r="BJ164" s="127">
        <f t="shared" si="156"/>
        <v>0</v>
      </c>
      <c r="BK164" s="127">
        <f t="shared" si="157"/>
        <v>3</v>
      </c>
      <c r="BL164" s="127" t="str">
        <f t="shared" si="158"/>
        <v>303</v>
      </c>
      <c r="BS164"/>
      <c r="CL164" s="28">
        <v>125</v>
      </c>
      <c r="CM164" s="28">
        <v>120</v>
      </c>
      <c r="CO164"/>
    </row>
    <row r="165" spans="1:93" ht="16.5" hidden="1">
      <c r="B165" s="17">
        <v>161</v>
      </c>
      <c r="C165" s="363" t="s">
        <v>191</v>
      </c>
      <c r="D165" s="18">
        <v>7</v>
      </c>
      <c r="E165" s="20">
        <v>1996876272</v>
      </c>
      <c r="F165" s="18">
        <v>63</v>
      </c>
      <c r="G165" s="20">
        <v>33275487</v>
      </c>
      <c r="H165" s="20">
        <v>1381</v>
      </c>
      <c r="I165" s="20">
        <v>1517999</v>
      </c>
      <c r="J165" s="20">
        <v>66233</v>
      </c>
      <c r="K165" s="20">
        <v>63303</v>
      </c>
      <c r="L165" s="20">
        <v>1116934</v>
      </c>
      <c r="M165" s="20">
        <v>5000</v>
      </c>
      <c r="N165" s="167">
        <v>22</v>
      </c>
      <c r="O165" s="167">
        <v>34</v>
      </c>
      <c r="P165" s="167">
        <v>36</v>
      </c>
      <c r="Q165" s="167">
        <v>40</v>
      </c>
      <c r="R165" s="167">
        <v>42</v>
      </c>
      <c r="S165" s="167">
        <v>45</v>
      </c>
      <c r="T165" s="167">
        <v>44</v>
      </c>
      <c r="U165" s="28">
        <f t="shared" si="131"/>
        <v>219</v>
      </c>
      <c r="W165" s="32" t="str">
        <f t="shared" si="116"/>
        <v>짝수</v>
      </c>
      <c r="X165" s="32" t="str">
        <f t="shared" si="117"/>
        <v>짝수</v>
      </c>
      <c r="Y165" s="32" t="str">
        <f t="shared" si="118"/>
        <v>짝수</v>
      </c>
      <c r="Z165" s="32" t="str">
        <f t="shared" si="119"/>
        <v>짝수</v>
      </c>
      <c r="AA165" s="32" t="str">
        <f t="shared" si="120"/>
        <v>짝수</v>
      </c>
      <c r="AB165" s="32" t="str">
        <f t="shared" si="121"/>
        <v>홀수</v>
      </c>
      <c r="AC165" s="58" t="str">
        <f t="shared" si="122"/>
        <v>1 : 5</v>
      </c>
      <c r="AD165" s="32">
        <f t="shared" si="123"/>
        <v>1</v>
      </c>
      <c r="AE165" s="32">
        <f t="shared" si="124"/>
        <v>5</v>
      </c>
      <c r="AF165" s="66" t="str">
        <f t="shared" si="132"/>
        <v>저수</v>
      </c>
      <c r="AG165" s="66" t="str">
        <f t="shared" si="133"/>
        <v>고수</v>
      </c>
      <c r="AH165" s="66" t="str">
        <f t="shared" si="134"/>
        <v>고수</v>
      </c>
      <c r="AI165" s="66" t="str">
        <f t="shared" si="135"/>
        <v>고수</v>
      </c>
      <c r="AJ165" s="66" t="str">
        <f t="shared" si="136"/>
        <v>고수</v>
      </c>
      <c r="AK165" s="66" t="str">
        <f t="shared" si="137"/>
        <v>고수</v>
      </c>
      <c r="AL165" s="58" t="str">
        <f t="shared" si="138"/>
        <v>1 : 5</v>
      </c>
      <c r="AM165" s="66">
        <f t="shared" si="139"/>
        <v>1</v>
      </c>
      <c r="AN165" s="66">
        <f t="shared" si="140"/>
        <v>5</v>
      </c>
      <c r="AO165" s="66">
        <f t="shared" si="141"/>
        <v>19</v>
      </c>
      <c r="AP165" s="66" t="str">
        <f t="shared" si="142"/>
        <v>X</v>
      </c>
      <c r="AQ165" s="66" t="str">
        <f t="shared" si="143"/>
        <v>X</v>
      </c>
      <c r="AR165" s="66" t="str">
        <f t="shared" si="144"/>
        <v>X</v>
      </c>
      <c r="AS165" s="66" t="str">
        <f t="shared" si="145"/>
        <v>X</v>
      </c>
      <c r="AT165" s="66" t="str">
        <f t="shared" si="146"/>
        <v>X</v>
      </c>
      <c r="AU165" s="66" t="str">
        <f t="shared" si="147"/>
        <v>X</v>
      </c>
      <c r="AV165" s="66" t="str">
        <f t="shared" si="148"/>
        <v>X</v>
      </c>
      <c r="AW165" s="66" t="str">
        <f t="shared" si="149"/>
        <v>X</v>
      </c>
      <c r="AX165" s="66" t="str">
        <f t="shared" si="150"/>
        <v>X</v>
      </c>
      <c r="AY165" s="66" t="str">
        <f t="shared" si="151"/>
        <v>X</v>
      </c>
      <c r="AZ165" s="66" t="str">
        <f t="shared" si="152"/>
        <v>X</v>
      </c>
      <c r="BA165" s="66" t="str">
        <f t="shared" si="153"/>
        <v>X</v>
      </c>
      <c r="BB165" s="66">
        <f t="shared" si="154"/>
        <v>0</v>
      </c>
      <c r="BC165" s="127" t="str">
        <f t="shared" si="125"/>
        <v>2G</v>
      </c>
      <c r="BD165" s="127" t="str">
        <f t="shared" si="126"/>
        <v>3G</v>
      </c>
      <c r="BE165" s="127" t="str">
        <f t="shared" si="127"/>
        <v>3G</v>
      </c>
      <c r="BF165" s="127" t="str">
        <f t="shared" si="128"/>
        <v>3G</v>
      </c>
      <c r="BG165" s="127" t="str">
        <f t="shared" si="129"/>
        <v>3G</v>
      </c>
      <c r="BH165" s="127" t="str">
        <f t="shared" si="130"/>
        <v>3G</v>
      </c>
      <c r="BI165" s="127">
        <f t="shared" si="155"/>
        <v>0</v>
      </c>
      <c r="BJ165" s="127">
        <f t="shared" si="156"/>
        <v>1</v>
      </c>
      <c r="BK165" s="127">
        <f t="shared" si="157"/>
        <v>5</v>
      </c>
      <c r="BL165" s="127" t="str">
        <f t="shared" si="158"/>
        <v>015</v>
      </c>
      <c r="BS165"/>
      <c r="CL165" s="28">
        <v>125</v>
      </c>
      <c r="CM165" s="28">
        <v>120</v>
      </c>
      <c r="CO165"/>
    </row>
    <row r="166" spans="1:93" ht="16.5" hidden="1">
      <c r="A166" s="18">
        <v>2006</v>
      </c>
      <c r="B166" s="17">
        <v>162</v>
      </c>
      <c r="C166" s="363" t="s">
        <v>192</v>
      </c>
      <c r="D166" s="18">
        <v>5</v>
      </c>
      <c r="E166" s="20">
        <v>2308265760</v>
      </c>
      <c r="F166" s="18">
        <v>33</v>
      </c>
      <c r="G166" s="20">
        <v>58289540</v>
      </c>
      <c r="H166" s="20">
        <v>1172</v>
      </c>
      <c r="I166" s="20">
        <v>1641259</v>
      </c>
      <c r="J166" s="20">
        <v>61205</v>
      </c>
      <c r="K166" s="20">
        <v>62857</v>
      </c>
      <c r="L166" s="20">
        <v>1057899</v>
      </c>
      <c r="M166" s="20">
        <v>5000</v>
      </c>
      <c r="N166" s="167">
        <v>1</v>
      </c>
      <c r="O166" s="167">
        <v>5</v>
      </c>
      <c r="P166" s="167">
        <v>21</v>
      </c>
      <c r="Q166" s="167">
        <v>25</v>
      </c>
      <c r="R166" s="167">
        <v>38</v>
      </c>
      <c r="S166" s="167">
        <v>41</v>
      </c>
      <c r="T166" s="167">
        <v>24</v>
      </c>
      <c r="U166" s="28">
        <f t="shared" si="131"/>
        <v>131</v>
      </c>
      <c r="W166" s="32" t="str">
        <f t="shared" si="116"/>
        <v>홀수</v>
      </c>
      <c r="X166" s="32" t="str">
        <f t="shared" si="117"/>
        <v>홀수</v>
      </c>
      <c r="Y166" s="32" t="str">
        <f t="shared" si="118"/>
        <v>홀수</v>
      </c>
      <c r="Z166" s="32" t="str">
        <f t="shared" si="119"/>
        <v>홀수</v>
      </c>
      <c r="AA166" s="32" t="str">
        <f t="shared" si="120"/>
        <v>짝수</v>
      </c>
      <c r="AB166" s="32" t="str">
        <f t="shared" si="121"/>
        <v>홀수</v>
      </c>
      <c r="AC166" s="58" t="str">
        <f t="shared" si="122"/>
        <v>5 : 1</v>
      </c>
      <c r="AD166" s="32">
        <f t="shared" si="123"/>
        <v>5</v>
      </c>
      <c r="AE166" s="32">
        <f t="shared" si="124"/>
        <v>1</v>
      </c>
      <c r="AF166" s="66" t="str">
        <f t="shared" si="132"/>
        <v>저수</v>
      </c>
      <c r="AG166" s="66" t="str">
        <f t="shared" si="133"/>
        <v>저수</v>
      </c>
      <c r="AH166" s="66" t="str">
        <f t="shared" si="134"/>
        <v>저수</v>
      </c>
      <c r="AI166" s="66" t="str">
        <f t="shared" si="135"/>
        <v>고수</v>
      </c>
      <c r="AJ166" s="66" t="str">
        <f t="shared" si="136"/>
        <v>고수</v>
      </c>
      <c r="AK166" s="66" t="str">
        <f t="shared" si="137"/>
        <v>고수</v>
      </c>
      <c r="AL166" s="58" t="str">
        <f t="shared" si="138"/>
        <v>3 : 3</v>
      </c>
      <c r="AM166" s="66">
        <f t="shared" si="139"/>
        <v>3</v>
      </c>
      <c r="AN166" s="66">
        <f t="shared" si="140"/>
        <v>3</v>
      </c>
      <c r="AO166" s="66">
        <f t="shared" si="141"/>
        <v>21</v>
      </c>
      <c r="AP166" s="66" t="str">
        <f t="shared" si="142"/>
        <v>X</v>
      </c>
      <c r="AQ166" s="66" t="str">
        <f t="shared" si="143"/>
        <v>O</v>
      </c>
      <c r="AR166" s="66" t="str">
        <f t="shared" si="144"/>
        <v>X</v>
      </c>
      <c r="AS166" s="66" t="str">
        <f t="shared" si="145"/>
        <v>X</v>
      </c>
      <c r="AT166" s="66" t="str">
        <f t="shared" si="146"/>
        <v>X</v>
      </c>
      <c r="AU166" s="66" t="str">
        <f t="shared" si="147"/>
        <v>X</v>
      </c>
      <c r="AV166" s="66" t="str">
        <f t="shared" si="148"/>
        <v>X</v>
      </c>
      <c r="AW166" s="66" t="str">
        <f t="shared" si="149"/>
        <v>X</v>
      </c>
      <c r="AX166" s="66" t="str">
        <f t="shared" si="150"/>
        <v>X</v>
      </c>
      <c r="AY166" s="66" t="str">
        <f t="shared" si="151"/>
        <v>X</v>
      </c>
      <c r="AZ166" s="66" t="str">
        <f t="shared" si="152"/>
        <v>X</v>
      </c>
      <c r="BA166" s="66" t="str">
        <f t="shared" si="153"/>
        <v>O</v>
      </c>
      <c r="BB166" s="66">
        <f t="shared" si="154"/>
        <v>2</v>
      </c>
      <c r="BC166" s="127" t="str">
        <f t="shared" si="125"/>
        <v>1G</v>
      </c>
      <c r="BD166" s="127" t="str">
        <f t="shared" si="126"/>
        <v>1G</v>
      </c>
      <c r="BE166" s="127" t="str">
        <f t="shared" si="127"/>
        <v>2G</v>
      </c>
      <c r="BF166" s="127" t="str">
        <f t="shared" si="128"/>
        <v>2G</v>
      </c>
      <c r="BG166" s="127" t="str">
        <f t="shared" si="129"/>
        <v>3G</v>
      </c>
      <c r="BH166" s="127" t="str">
        <f t="shared" si="130"/>
        <v>3G</v>
      </c>
      <c r="BI166" s="127">
        <f t="shared" si="155"/>
        <v>2</v>
      </c>
      <c r="BJ166" s="127">
        <f t="shared" si="156"/>
        <v>2</v>
      </c>
      <c r="BK166" s="127">
        <f t="shared" si="157"/>
        <v>2</v>
      </c>
      <c r="BL166" s="127" t="str">
        <f t="shared" si="158"/>
        <v>222</v>
      </c>
      <c r="BS166"/>
      <c r="CL166" s="28">
        <v>125</v>
      </c>
      <c r="CM166" s="28">
        <v>120</v>
      </c>
      <c r="CO166"/>
    </row>
    <row r="167" spans="1:93" ht="16.5" hidden="1">
      <c r="B167" s="17">
        <v>163</v>
      </c>
      <c r="C167" s="363" t="s">
        <v>193</v>
      </c>
      <c r="D167" s="18">
        <v>7</v>
      </c>
      <c r="E167" s="20">
        <v>1629726515</v>
      </c>
      <c r="F167" s="18">
        <v>47</v>
      </c>
      <c r="G167" s="20">
        <v>40454205</v>
      </c>
      <c r="H167" s="20">
        <v>1390</v>
      </c>
      <c r="I167" s="20">
        <v>1367876</v>
      </c>
      <c r="J167" s="20">
        <v>66604</v>
      </c>
      <c r="K167" s="20">
        <v>57095</v>
      </c>
      <c r="L167" s="20">
        <v>1099200</v>
      </c>
      <c r="M167" s="20">
        <v>5000</v>
      </c>
      <c r="N167" s="167">
        <v>7</v>
      </c>
      <c r="O167" s="167">
        <v>11</v>
      </c>
      <c r="P167" s="167">
        <v>26</v>
      </c>
      <c r="Q167" s="167">
        <v>28</v>
      </c>
      <c r="R167" s="167">
        <v>29</v>
      </c>
      <c r="S167" s="167">
        <v>44</v>
      </c>
      <c r="T167" s="167">
        <v>16</v>
      </c>
      <c r="U167" s="28">
        <f t="shared" si="131"/>
        <v>145</v>
      </c>
      <c r="W167" s="32" t="str">
        <f t="shared" si="116"/>
        <v>홀수</v>
      </c>
      <c r="X167" s="32" t="str">
        <f t="shared" si="117"/>
        <v>홀수</v>
      </c>
      <c r="Y167" s="32" t="str">
        <f t="shared" si="118"/>
        <v>짝수</v>
      </c>
      <c r="Z167" s="32" t="str">
        <f t="shared" si="119"/>
        <v>짝수</v>
      </c>
      <c r="AA167" s="32" t="str">
        <f t="shared" si="120"/>
        <v>홀수</v>
      </c>
      <c r="AB167" s="32" t="str">
        <f t="shared" si="121"/>
        <v>짝수</v>
      </c>
      <c r="AC167" s="58" t="str">
        <f t="shared" si="122"/>
        <v>3 : 3</v>
      </c>
      <c r="AD167" s="32">
        <f t="shared" si="123"/>
        <v>3</v>
      </c>
      <c r="AE167" s="32">
        <f t="shared" si="124"/>
        <v>3</v>
      </c>
      <c r="AF167" s="66" t="str">
        <f t="shared" si="132"/>
        <v>저수</v>
      </c>
      <c r="AG167" s="66" t="str">
        <f t="shared" si="133"/>
        <v>저수</v>
      </c>
      <c r="AH167" s="66" t="str">
        <f t="shared" si="134"/>
        <v>고수</v>
      </c>
      <c r="AI167" s="66" t="str">
        <f t="shared" si="135"/>
        <v>고수</v>
      </c>
      <c r="AJ167" s="66" t="str">
        <f t="shared" si="136"/>
        <v>고수</v>
      </c>
      <c r="AK167" s="66" t="str">
        <f t="shared" si="137"/>
        <v>고수</v>
      </c>
      <c r="AL167" s="58" t="str">
        <f t="shared" si="138"/>
        <v>2 : 4</v>
      </c>
      <c r="AM167" s="66">
        <f t="shared" si="139"/>
        <v>2</v>
      </c>
      <c r="AN167" s="66">
        <f t="shared" si="140"/>
        <v>4</v>
      </c>
      <c r="AO167" s="66">
        <f t="shared" si="141"/>
        <v>35</v>
      </c>
      <c r="AP167" s="66" t="str">
        <f t="shared" si="142"/>
        <v>O</v>
      </c>
      <c r="AQ167" s="66" t="str">
        <f t="shared" si="143"/>
        <v>O</v>
      </c>
      <c r="AR167" s="66" t="str">
        <f t="shared" si="144"/>
        <v>X</v>
      </c>
      <c r="AS167" s="66" t="str">
        <f t="shared" si="145"/>
        <v>X</v>
      </c>
      <c r="AT167" s="66" t="str">
        <f t="shared" si="146"/>
        <v>X</v>
      </c>
      <c r="AU167" s="66" t="str">
        <f t="shared" si="147"/>
        <v>X</v>
      </c>
      <c r="AV167" s="66" t="str">
        <f t="shared" si="148"/>
        <v>X</v>
      </c>
      <c r="AW167" s="66" t="str">
        <f t="shared" si="149"/>
        <v>X</v>
      </c>
      <c r="AX167" s="66" t="str">
        <f t="shared" si="150"/>
        <v>X</v>
      </c>
      <c r="AY167" s="66" t="str">
        <f t="shared" si="151"/>
        <v>X</v>
      </c>
      <c r="AZ167" s="66" t="str">
        <f t="shared" si="152"/>
        <v>O</v>
      </c>
      <c r="BA167" s="66" t="str">
        <f t="shared" si="153"/>
        <v>X</v>
      </c>
      <c r="BB167" s="66">
        <f t="shared" si="154"/>
        <v>3</v>
      </c>
      <c r="BC167" s="127" t="str">
        <f t="shared" si="125"/>
        <v>1G</v>
      </c>
      <c r="BD167" s="127" t="str">
        <f t="shared" si="126"/>
        <v>1G</v>
      </c>
      <c r="BE167" s="127" t="str">
        <f t="shared" si="127"/>
        <v>2G</v>
      </c>
      <c r="BF167" s="127" t="str">
        <f t="shared" si="128"/>
        <v>2G</v>
      </c>
      <c r="BG167" s="127" t="str">
        <f t="shared" si="129"/>
        <v>2G</v>
      </c>
      <c r="BH167" s="127" t="str">
        <f t="shared" si="130"/>
        <v>3G</v>
      </c>
      <c r="BI167" s="127">
        <f t="shared" si="155"/>
        <v>2</v>
      </c>
      <c r="BJ167" s="127">
        <f t="shared" si="156"/>
        <v>3</v>
      </c>
      <c r="BK167" s="127">
        <f t="shared" si="157"/>
        <v>1</v>
      </c>
      <c r="BL167" s="127" t="str">
        <f t="shared" si="158"/>
        <v>231</v>
      </c>
      <c r="BS167"/>
      <c r="CL167" s="28">
        <v>125</v>
      </c>
      <c r="CM167" s="28">
        <v>120</v>
      </c>
      <c r="CO167"/>
    </row>
    <row r="168" spans="1:93" ht="16.5" hidden="1">
      <c r="B168" s="17">
        <v>164</v>
      </c>
      <c r="C168" s="363" t="s">
        <v>194</v>
      </c>
      <c r="D168" s="18">
        <v>3</v>
      </c>
      <c r="E168" s="20">
        <v>4054937900</v>
      </c>
      <c r="F168" s="18">
        <v>39</v>
      </c>
      <c r="G168" s="20">
        <v>51986384</v>
      </c>
      <c r="H168" s="20">
        <v>1626</v>
      </c>
      <c r="I168" s="20">
        <v>1246906</v>
      </c>
      <c r="J168" s="20">
        <v>74835</v>
      </c>
      <c r="K168" s="20">
        <v>54186</v>
      </c>
      <c r="L168" s="20">
        <v>1250274</v>
      </c>
      <c r="M168" s="20">
        <v>5000</v>
      </c>
      <c r="N168" s="167">
        <v>6</v>
      </c>
      <c r="O168" s="167">
        <v>9</v>
      </c>
      <c r="P168" s="167">
        <v>10</v>
      </c>
      <c r="Q168" s="167">
        <v>11</v>
      </c>
      <c r="R168" s="167">
        <v>39</v>
      </c>
      <c r="S168" s="167">
        <v>41</v>
      </c>
      <c r="T168" s="167">
        <v>27</v>
      </c>
      <c r="U168" s="28">
        <f t="shared" si="131"/>
        <v>116</v>
      </c>
      <c r="W168" s="32" t="str">
        <f t="shared" si="116"/>
        <v>짝수</v>
      </c>
      <c r="X168" s="32" t="str">
        <f t="shared" si="117"/>
        <v>홀수</v>
      </c>
      <c r="Y168" s="32" t="str">
        <f t="shared" si="118"/>
        <v>짝수</v>
      </c>
      <c r="Z168" s="32" t="str">
        <f t="shared" si="119"/>
        <v>홀수</v>
      </c>
      <c r="AA168" s="32" t="str">
        <f t="shared" si="120"/>
        <v>홀수</v>
      </c>
      <c r="AB168" s="32" t="str">
        <f t="shared" si="121"/>
        <v>홀수</v>
      </c>
      <c r="AC168" s="58" t="str">
        <f t="shared" si="122"/>
        <v>4 : 2</v>
      </c>
      <c r="AD168" s="32">
        <f t="shared" si="123"/>
        <v>4</v>
      </c>
      <c r="AE168" s="32">
        <f t="shared" si="124"/>
        <v>2</v>
      </c>
      <c r="AF168" s="66" t="str">
        <f t="shared" si="132"/>
        <v>저수</v>
      </c>
      <c r="AG168" s="66" t="str">
        <f t="shared" si="133"/>
        <v>저수</v>
      </c>
      <c r="AH168" s="66" t="str">
        <f t="shared" si="134"/>
        <v>저수</v>
      </c>
      <c r="AI168" s="66" t="str">
        <f t="shared" si="135"/>
        <v>저수</v>
      </c>
      <c r="AJ168" s="66" t="str">
        <f t="shared" si="136"/>
        <v>고수</v>
      </c>
      <c r="AK168" s="66" t="str">
        <f t="shared" si="137"/>
        <v>고수</v>
      </c>
      <c r="AL168" s="58" t="str">
        <f t="shared" si="138"/>
        <v>4 : 2</v>
      </c>
      <c r="AM168" s="66">
        <f t="shared" si="139"/>
        <v>4</v>
      </c>
      <c r="AN168" s="66">
        <f t="shared" si="140"/>
        <v>2</v>
      </c>
      <c r="AO168" s="66">
        <f t="shared" si="141"/>
        <v>26</v>
      </c>
      <c r="AP168" s="66" t="str">
        <f t="shared" si="142"/>
        <v>X</v>
      </c>
      <c r="AQ168" s="66" t="str">
        <f t="shared" si="143"/>
        <v>X</v>
      </c>
      <c r="AR168" s="66" t="str">
        <f t="shared" si="144"/>
        <v>X</v>
      </c>
      <c r="AS168" s="66" t="str">
        <f t="shared" si="145"/>
        <v>O</v>
      </c>
      <c r="AT168" s="66" t="str">
        <f t="shared" si="146"/>
        <v>X</v>
      </c>
      <c r="AU168" s="66" t="str">
        <f t="shared" si="147"/>
        <v>X</v>
      </c>
      <c r="AV168" s="66" t="str">
        <f t="shared" si="148"/>
        <v>X</v>
      </c>
      <c r="AW168" s="66" t="str">
        <f t="shared" si="149"/>
        <v>X</v>
      </c>
      <c r="AX168" s="66" t="str">
        <f t="shared" si="150"/>
        <v>X</v>
      </c>
      <c r="AY168" s="66" t="str">
        <f t="shared" si="151"/>
        <v>X</v>
      </c>
      <c r="AZ168" s="66" t="str">
        <f t="shared" si="152"/>
        <v>X</v>
      </c>
      <c r="BA168" s="66" t="str">
        <f t="shared" si="153"/>
        <v>O</v>
      </c>
      <c r="BB168" s="66">
        <f t="shared" si="154"/>
        <v>2</v>
      </c>
      <c r="BC168" s="127" t="str">
        <f t="shared" si="125"/>
        <v>1G</v>
      </c>
      <c r="BD168" s="127" t="str">
        <f t="shared" si="126"/>
        <v>1G</v>
      </c>
      <c r="BE168" s="127" t="str">
        <f t="shared" si="127"/>
        <v>1G</v>
      </c>
      <c r="BF168" s="127" t="str">
        <f t="shared" si="128"/>
        <v>1G</v>
      </c>
      <c r="BG168" s="127" t="str">
        <f t="shared" si="129"/>
        <v>3G</v>
      </c>
      <c r="BH168" s="127" t="str">
        <f t="shared" si="130"/>
        <v>3G</v>
      </c>
      <c r="BI168" s="127">
        <f t="shared" si="155"/>
        <v>4</v>
      </c>
      <c r="BJ168" s="127">
        <f t="shared" si="156"/>
        <v>0</v>
      </c>
      <c r="BK168" s="127">
        <f t="shared" si="157"/>
        <v>2</v>
      </c>
      <c r="BL168" s="127" t="str">
        <f t="shared" si="158"/>
        <v>402</v>
      </c>
      <c r="BS168"/>
      <c r="CL168" s="28">
        <v>125</v>
      </c>
      <c r="CM168" s="28">
        <v>120</v>
      </c>
      <c r="CO168"/>
    </row>
    <row r="169" spans="1:93" ht="16.5" hidden="1">
      <c r="B169" s="17">
        <v>165</v>
      </c>
      <c r="C169" s="363" t="s">
        <v>195</v>
      </c>
      <c r="D169" s="18">
        <v>2</v>
      </c>
      <c r="E169" s="20">
        <v>6767426700</v>
      </c>
      <c r="F169" s="18">
        <v>40</v>
      </c>
      <c r="G169" s="20">
        <v>56395223</v>
      </c>
      <c r="H169" s="20">
        <v>1535</v>
      </c>
      <c r="I169" s="20">
        <v>1469583</v>
      </c>
      <c r="J169" s="20">
        <v>78820</v>
      </c>
      <c r="K169" s="20">
        <v>57240</v>
      </c>
      <c r="L169" s="20">
        <v>1297194</v>
      </c>
      <c r="M169" s="20">
        <v>5000</v>
      </c>
      <c r="N169" s="167">
        <v>5</v>
      </c>
      <c r="O169" s="167">
        <v>13</v>
      </c>
      <c r="P169" s="167">
        <v>18</v>
      </c>
      <c r="Q169" s="167">
        <v>19</v>
      </c>
      <c r="R169" s="167">
        <v>22</v>
      </c>
      <c r="S169" s="167">
        <v>42</v>
      </c>
      <c r="T169" s="167">
        <v>31</v>
      </c>
      <c r="U169" s="28">
        <f t="shared" si="131"/>
        <v>119</v>
      </c>
      <c r="W169" s="32" t="str">
        <f t="shared" si="116"/>
        <v>홀수</v>
      </c>
      <c r="X169" s="32" t="str">
        <f t="shared" si="117"/>
        <v>홀수</v>
      </c>
      <c r="Y169" s="32" t="str">
        <f t="shared" si="118"/>
        <v>짝수</v>
      </c>
      <c r="Z169" s="32" t="str">
        <f t="shared" si="119"/>
        <v>홀수</v>
      </c>
      <c r="AA169" s="32" t="str">
        <f t="shared" si="120"/>
        <v>짝수</v>
      </c>
      <c r="AB169" s="32" t="str">
        <f t="shared" si="121"/>
        <v>짝수</v>
      </c>
      <c r="AC169" s="58" t="str">
        <f t="shared" si="122"/>
        <v>3 : 3</v>
      </c>
      <c r="AD169" s="32">
        <f t="shared" si="123"/>
        <v>3</v>
      </c>
      <c r="AE169" s="32">
        <f t="shared" si="124"/>
        <v>3</v>
      </c>
      <c r="AF169" s="66" t="str">
        <f t="shared" si="132"/>
        <v>저수</v>
      </c>
      <c r="AG169" s="66" t="str">
        <f t="shared" si="133"/>
        <v>저수</v>
      </c>
      <c r="AH169" s="66" t="str">
        <f t="shared" si="134"/>
        <v>저수</v>
      </c>
      <c r="AI169" s="66" t="str">
        <f t="shared" si="135"/>
        <v>저수</v>
      </c>
      <c r="AJ169" s="66" t="str">
        <f t="shared" si="136"/>
        <v>저수</v>
      </c>
      <c r="AK169" s="66" t="str">
        <f t="shared" si="137"/>
        <v>고수</v>
      </c>
      <c r="AL169" s="58" t="str">
        <f t="shared" si="138"/>
        <v>5 : 1</v>
      </c>
      <c r="AM169" s="66">
        <f t="shared" si="139"/>
        <v>5</v>
      </c>
      <c r="AN169" s="66">
        <f t="shared" si="140"/>
        <v>1</v>
      </c>
      <c r="AO169" s="66">
        <f t="shared" si="141"/>
        <v>29</v>
      </c>
      <c r="AP169" s="66" t="str">
        <f t="shared" si="142"/>
        <v>O</v>
      </c>
      <c r="AQ169" s="66" t="str">
        <f t="shared" si="143"/>
        <v>O</v>
      </c>
      <c r="AR169" s="66" t="str">
        <f t="shared" si="144"/>
        <v>X</v>
      </c>
      <c r="AS169" s="66" t="str">
        <f t="shared" si="145"/>
        <v>O</v>
      </c>
      <c r="AT169" s="66" t="str">
        <f t="shared" si="146"/>
        <v>X</v>
      </c>
      <c r="AU169" s="66" t="str">
        <f t="shared" si="147"/>
        <v>X</v>
      </c>
      <c r="AV169" s="66" t="str">
        <f t="shared" si="148"/>
        <v>X</v>
      </c>
      <c r="AW169" s="66" t="str">
        <f t="shared" si="149"/>
        <v>X</v>
      </c>
      <c r="AX169" s="66" t="str">
        <f t="shared" si="150"/>
        <v>X</v>
      </c>
      <c r="AY169" s="66" t="str">
        <f t="shared" si="151"/>
        <v>X</v>
      </c>
      <c r="AZ169" s="66" t="str">
        <f t="shared" si="152"/>
        <v>X</v>
      </c>
      <c r="BA169" s="66" t="str">
        <f t="shared" si="153"/>
        <v>X</v>
      </c>
      <c r="BB169" s="66">
        <f t="shared" si="154"/>
        <v>3</v>
      </c>
      <c r="BC169" s="127" t="str">
        <f t="shared" si="125"/>
        <v>1G</v>
      </c>
      <c r="BD169" s="127" t="str">
        <f t="shared" si="126"/>
        <v>1G</v>
      </c>
      <c r="BE169" s="127" t="str">
        <f t="shared" si="127"/>
        <v>2G</v>
      </c>
      <c r="BF169" s="127" t="str">
        <f t="shared" si="128"/>
        <v>2G</v>
      </c>
      <c r="BG169" s="127" t="str">
        <f t="shared" si="129"/>
        <v>2G</v>
      </c>
      <c r="BH169" s="127" t="str">
        <f t="shared" si="130"/>
        <v>3G</v>
      </c>
      <c r="BI169" s="127">
        <f t="shared" si="155"/>
        <v>2</v>
      </c>
      <c r="BJ169" s="127">
        <f t="shared" si="156"/>
        <v>3</v>
      </c>
      <c r="BK169" s="127">
        <f t="shared" si="157"/>
        <v>1</v>
      </c>
      <c r="BL169" s="127" t="str">
        <f t="shared" si="158"/>
        <v>231</v>
      </c>
      <c r="BS169"/>
      <c r="CL169" s="28">
        <v>126</v>
      </c>
      <c r="CM169" s="28">
        <v>120</v>
      </c>
      <c r="CO169"/>
    </row>
    <row r="170" spans="1:93" ht="16.5" hidden="1">
      <c r="B170" s="17">
        <v>166</v>
      </c>
      <c r="C170" s="363" t="s">
        <v>196</v>
      </c>
      <c r="D170" s="18">
        <v>11</v>
      </c>
      <c r="E170" s="20">
        <v>1111299982</v>
      </c>
      <c r="F170" s="18">
        <v>28</v>
      </c>
      <c r="G170" s="20">
        <v>72763690</v>
      </c>
      <c r="H170" s="20">
        <v>1507</v>
      </c>
      <c r="I170" s="20">
        <v>1351947</v>
      </c>
      <c r="J170" s="20">
        <v>70751</v>
      </c>
      <c r="K170" s="20">
        <v>57594</v>
      </c>
      <c r="L170" s="20">
        <v>1140980</v>
      </c>
      <c r="M170" s="20">
        <v>5000</v>
      </c>
      <c r="N170" s="167">
        <v>9</v>
      </c>
      <c r="O170" s="167">
        <v>12</v>
      </c>
      <c r="P170" s="167">
        <v>27</v>
      </c>
      <c r="Q170" s="167">
        <v>36</v>
      </c>
      <c r="R170" s="167">
        <v>39</v>
      </c>
      <c r="S170" s="167">
        <v>45</v>
      </c>
      <c r="T170" s="167">
        <v>14</v>
      </c>
      <c r="U170" s="28">
        <f t="shared" si="131"/>
        <v>168</v>
      </c>
      <c r="W170" s="32" t="str">
        <f t="shared" si="116"/>
        <v>홀수</v>
      </c>
      <c r="X170" s="32" t="str">
        <f t="shared" si="117"/>
        <v>짝수</v>
      </c>
      <c r="Y170" s="32" t="str">
        <f t="shared" si="118"/>
        <v>홀수</v>
      </c>
      <c r="Z170" s="32" t="str">
        <f t="shared" si="119"/>
        <v>짝수</v>
      </c>
      <c r="AA170" s="32" t="str">
        <f t="shared" si="120"/>
        <v>홀수</v>
      </c>
      <c r="AB170" s="32" t="str">
        <f t="shared" si="121"/>
        <v>홀수</v>
      </c>
      <c r="AC170" s="58" t="str">
        <f t="shared" si="122"/>
        <v>4 : 2</v>
      </c>
      <c r="AD170" s="32">
        <f t="shared" si="123"/>
        <v>4</v>
      </c>
      <c r="AE170" s="32">
        <f t="shared" si="124"/>
        <v>2</v>
      </c>
      <c r="AF170" s="66" t="str">
        <f t="shared" si="132"/>
        <v>저수</v>
      </c>
      <c r="AG170" s="66" t="str">
        <f t="shared" si="133"/>
        <v>저수</v>
      </c>
      <c r="AH170" s="66" t="str">
        <f t="shared" si="134"/>
        <v>고수</v>
      </c>
      <c r="AI170" s="66" t="str">
        <f t="shared" si="135"/>
        <v>고수</v>
      </c>
      <c r="AJ170" s="66" t="str">
        <f t="shared" si="136"/>
        <v>고수</v>
      </c>
      <c r="AK170" s="66" t="str">
        <f t="shared" si="137"/>
        <v>고수</v>
      </c>
      <c r="AL170" s="58" t="str">
        <f t="shared" si="138"/>
        <v>2 : 4</v>
      </c>
      <c r="AM170" s="66">
        <f t="shared" si="139"/>
        <v>2</v>
      </c>
      <c r="AN170" s="66">
        <f t="shared" si="140"/>
        <v>4</v>
      </c>
      <c r="AO170" s="66">
        <f t="shared" si="141"/>
        <v>38</v>
      </c>
      <c r="AP170" s="66" t="str">
        <f t="shared" si="142"/>
        <v>X</v>
      </c>
      <c r="AQ170" s="66" t="str">
        <f t="shared" si="143"/>
        <v>X</v>
      </c>
      <c r="AR170" s="66" t="str">
        <f t="shared" si="144"/>
        <v>X</v>
      </c>
      <c r="AS170" s="66" t="str">
        <f t="shared" si="145"/>
        <v>X</v>
      </c>
      <c r="AT170" s="66" t="str">
        <f t="shared" si="146"/>
        <v>X</v>
      </c>
      <c r="AU170" s="66" t="str">
        <f t="shared" si="147"/>
        <v>X</v>
      </c>
      <c r="AV170" s="66" t="str">
        <f t="shared" si="148"/>
        <v>X</v>
      </c>
      <c r="AW170" s="66" t="str">
        <f t="shared" si="149"/>
        <v>X</v>
      </c>
      <c r="AX170" s="66" t="str">
        <f t="shared" si="150"/>
        <v>X</v>
      </c>
      <c r="AY170" s="66" t="str">
        <f t="shared" si="151"/>
        <v>X</v>
      </c>
      <c r="AZ170" s="66" t="str">
        <f t="shared" si="152"/>
        <v>X</v>
      </c>
      <c r="BA170" s="66" t="str">
        <f t="shared" si="153"/>
        <v>X</v>
      </c>
      <c r="BB170" s="66">
        <f t="shared" si="154"/>
        <v>0</v>
      </c>
      <c r="BC170" s="127" t="str">
        <f t="shared" si="125"/>
        <v>1G</v>
      </c>
      <c r="BD170" s="127" t="str">
        <f t="shared" si="126"/>
        <v>1G</v>
      </c>
      <c r="BE170" s="127" t="str">
        <f t="shared" si="127"/>
        <v>2G</v>
      </c>
      <c r="BF170" s="127" t="str">
        <f t="shared" si="128"/>
        <v>3G</v>
      </c>
      <c r="BG170" s="127" t="str">
        <f t="shared" si="129"/>
        <v>3G</v>
      </c>
      <c r="BH170" s="127" t="str">
        <f t="shared" si="130"/>
        <v>3G</v>
      </c>
      <c r="BI170" s="127">
        <f t="shared" si="155"/>
        <v>2</v>
      </c>
      <c r="BJ170" s="127">
        <f t="shared" si="156"/>
        <v>1</v>
      </c>
      <c r="BK170" s="127">
        <f t="shared" si="157"/>
        <v>3</v>
      </c>
      <c r="BL170" s="127" t="str">
        <f t="shared" si="158"/>
        <v>213</v>
      </c>
      <c r="BS170"/>
      <c r="CL170" s="28">
        <v>126</v>
      </c>
      <c r="CM170" s="28">
        <v>120</v>
      </c>
      <c r="CO170"/>
    </row>
    <row r="171" spans="1:93" ht="16.5" hidden="1">
      <c r="B171" s="17">
        <v>167</v>
      </c>
      <c r="C171" s="363" t="s">
        <v>197</v>
      </c>
      <c r="D171" s="18">
        <v>5</v>
      </c>
      <c r="E171" s="20">
        <v>2491222920</v>
      </c>
      <c r="F171" s="18">
        <v>36</v>
      </c>
      <c r="G171" s="20">
        <v>57667198</v>
      </c>
      <c r="H171" s="20">
        <v>1313</v>
      </c>
      <c r="I171" s="20">
        <v>1581127</v>
      </c>
      <c r="J171" s="20">
        <v>64208</v>
      </c>
      <c r="K171" s="20">
        <v>64666</v>
      </c>
      <c r="L171" s="20">
        <v>1122401</v>
      </c>
      <c r="M171" s="20">
        <v>5000</v>
      </c>
      <c r="N171" s="167">
        <v>24</v>
      </c>
      <c r="O171" s="167">
        <v>27</v>
      </c>
      <c r="P171" s="167">
        <v>28</v>
      </c>
      <c r="Q171" s="167">
        <v>30</v>
      </c>
      <c r="R171" s="167">
        <v>36</v>
      </c>
      <c r="S171" s="167">
        <v>39</v>
      </c>
      <c r="T171" s="167">
        <v>4</v>
      </c>
      <c r="U171" s="28">
        <f t="shared" si="131"/>
        <v>184</v>
      </c>
      <c r="W171" s="32" t="str">
        <f t="shared" si="116"/>
        <v>짝수</v>
      </c>
      <c r="X171" s="32" t="str">
        <f t="shared" si="117"/>
        <v>홀수</v>
      </c>
      <c r="Y171" s="32" t="str">
        <f t="shared" si="118"/>
        <v>짝수</v>
      </c>
      <c r="Z171" s="32" t="str">
        <f t="shared" si="119"/>
        <v>짝수</v>
      </c>
      <c r="AA171" s="32" t="str">
        <f t="shared" si="120"/>
        <v>짝수</v>
      </c>
      <c r="AB171" s="32" t="str">
        <f t="shared" si="121"/>
        <v>홀수</v>
      </c>
      <c r="AC171" s="58" t="str">
        <f t="shared" si="122"/>
        <v>2 : 4</v>
      </c>
      <c r="AD171" s="32">
        <f t="shared" si="123"/>
        <v>2</v>
      </c>
      <c r="AE171" s="32">
        <f t="shared" si="124"/>
        <v>4</v>
      </c>
      <c r="AF171" s="66" t="str">
        <f t="shared" si="132"/>
        <v>고수</v>
      </c>
      <c r="AG171" s="66" t="str">
        <f t="shared" si="133"/>
        <v>고수</v>
      </c>
      <c r="AH171" s="66" t="str">
        <f t="shared" si="134"/>
        <v>고수</v>
      </c>
      <c r="AI171" s="66" t="str">
        <f t="shared" si="135"/>
        <v>고수</v>
      </c>
      <c r="AJ171" s="66" t="str">
        <f t="shared" si="136"/>
        <v>고수</v>
      </c>
      <c r="AK171" s="66" t="str">
        <f t="shared" si="137"/>
        <v>고수</v>
      </c>
      <c r="AL171" s="58" t="str">
        <f t="shared" si="138"/>
        <v>0 : 6</v>
      </c>
      <c r="AM171" s="66">
        <f t="shared" si="139"/>
        <v>0</v>
      </c>
      <c r="AN171" s="66">
        <f t="shared" si="140"/>
        <v>6</v>
      </c>
      <c r="AO171" s="66">
        <f t="shared" si="141"/>
        <v>34</v>
      </c>
      <c r="AP171" s="66" t="str">
        <f t="shared" si="142"/>
        <v>X</v>
      </c>
      <c r="AQ171" s="66" t="str">
        <f t="shared" si="143"/>
        <v>X</v>
      </c>
      <c r="AR171" s="66" t="str">
        <f t="shared" si="144"/>
        <v>X</v>
      </c>
      <c r="AS171" s="66" t="str">
        <f t="shared" si="145"/>
        <v>X</v>
      </c>
      <c r="AT171" s="66" t="str">
        <f t="shared" si="146"/>
        <v>X</v>
      </c>
      <c r="AU171" s="66" t="str">
        <f t="shared" si="147"/>
        <v>X</v>
      </c>
      <c r="AV171" s="66" t="str">
        <f t="shared" si="148"/>
        <v>X</v>
      </c>
      <c r="AW171" s="66" t="str">
        <f t="shared" si="149"/>
        <v>X</v>
      </c>
      <c r="AX171" s="66" t="str">
        <f t="shared" si="150"/>
        <v>X</v>
      </c>
      <c r="AY171" s="66" t="str">
        <f t="shared" si="151"/>
        <v>X</v>
      </c>
      <c r="AZ171" s="66" t="str">
        <f t="shared" si="152"/>
        <v>X</v>
      </c>
      <c r="BA171" s="66" t="str">
        <f t="shared" si="153"/>
        <v>X</v>
      </c>
      <c r="BB171" s="66">
        <f t="shared" si="154"/>
        <v>0</v>
      </c>
      <c r="BC171" s="127" t="str">
        <f t="shared" si="125"/>
        <v>2G</v>
      </c>
      <c r="BD171" s="127" t="str">
        <f t="shared" si="126"/>
        <v>2G</v>
      </c>
      <c r="BE171" s="127" t="str">
        <f t="shared" si="127"/>
        <v>2G</v>
      </c>
      <c r="BF171" s="127" t="str">
        <f t="shared" si="128"/>
        <v>2G</v>
      </c>
      <c r="BG171" s="127" t="str">
        <f t="shared" si="129"/>
        <v>3G</v>
      </c>
      <c r="BH171" s="127" t="str">
        <f t="shared" si="130"/>
        <v>3G</v>
      </c>
      <c r="BI171" s="127">
        <f t="shared" si="155"/>
        <v>0</v>
      </c>
      <c r="BJ171" s="127">
        <f t="shared" si="156"/>
        <v>4</v>
      </c>
      <c r="BK171" s="127">
        <f t="shared" si="157"/>
        <v>2</v>
      </c>
      <c r="BL171" s="127" t="str">
        <f t="shared" si="158"/>
        <v>042</v>
      </c>
      <c r="BS171"/>
      <c r="CL171" s="28">
        <v>126</v>
      </c>
      <c r="CM171" s="28">
        <v>120</v>
      </c>
      <c r="CO171"/>
    </row>
    <row r="172" spans="1:93" ht="16.5" hidden="1">
      <c r="B172" s="17">
        <v>168</v>
      </c>
      <c r="C172" s="363" t="s">
        <v>198</v>
      </c>
      <c r="D172" s="18">
        <v>5</v>
      </c>
      <c r="E172" s="20">
        <v>2349946920</v>
      </c>
      <c r="F172" s="18">
        <v>54</v>
      </c>
      <c r="G172" s="20">
        <v>36264613</v>
      </c>
      <c r="H172" s="20">
        <v>1544</v>
      </c>
      <c r="I172" s="20">
        <v>1268322</v>
      </c>
      <c r="J172" s="20">
        <v>74504</v>
      </c>
      <c r="K172" s="20">
        <v>52569</v>
      </c>
      <c r="L172" s="20">
        <v>1233043</v>
      </c>
      <c r="M172" s="20">
        <v>5000</v>
      </c>
      <c r="N172" s="167">
        <v>3</v>
      </c>
      <c r="O172" s="167">
        <v>10</v>
      </c>
      <c r="P172" s="167">
        <v>31</v>
      </c>
      <c r="Q172" s="167">
        <v>40</v>
      </c>
      <c r="R172" s="167">
        <v>42</v>
      </c>
      <c r="S172" s="167">
        <v>43</v>
      </c>
      <c r="T172" s="167">
        <v>30</v>
      </c>
      <c r="U172" s="28">
        <f t="shared" si="131"/>
        <v>169</v>
      </c>
      <c r="W172" s="32" t="str">
        <f t="shared" si="116"/>
        <v>홀수</v>
      </c>
      <c r="X172" s="32" t="str">
        <f t="shared" si="117"/>
        <v>짝수</v>
      </c>
      <c r="Y172" s="32" t="str">
        <f t="shared" si="118"/>
        <v>홀수</v>
      </c>
      <c r="Z172" s="32" t="str">
        <f t="shared" si="119"/>
        <v>짝수</v>
      </c>
      <c r="AA172" s="32" t="str">
        <f t="shared" si="120"/>
        <v>짝수</v>
      </c>
      <c r="AB172" s="32" t="str">
        <f t="shared" si="121"/>
        <v>홀수</v>
      </c>
      <c r="AC172" s="58" t="str">
        <f t="shared" si="122"/>
        <v>3 : 3</v>
      </c>
      <c r="AD172" s="32">
        <f t="shared" si="123"/>
        <v>3</v>
      </c>
      <c r="AE172" s="32">
        <f t="shared" si="124"/>
        <v>3</v>
      </c>
      <c r="AF172" s="66" t="str">
        <f t="shared" si="132"/>
        <v>저수</v>
      </c>
      <c r="AG172" s="66" t="str">
        <f t="shared" si="133"/>
        <v>저수</v>
      </c>
      <c r="AH172" s="66" t="str">
        <f t="shared" si="134"/>
        <v>고수</v>
      </c>
      <c r="AI172" s="66" t="str">
        <f t="shared" si="135"/>
        <v>고수</v>
      </c>
      <c r="AJ172" s="66" t="str">
        <f t="shared" si="136"/>
        <v>고수</v>
      </c>
      <c r="AK172" s="66" t="str">
        <f t="shared" si="137"/>
        <v>고수</v>
      </c>
      <c r="AL172" s="58" t="str">
        <f t="shared" si="138"/>
        <v>2 : 4</v>
      </c>
      <c r="AM172" s="66">
        <f t="shared" si="139"/>
        <v>2</v>
      </c>
      <c r="AN172" s="66">
        <f t="shared" si="140"/>
        <v>4</v>
      </c>
      <c r="AO172" s="66">
        <f t="shared" si="141"/>
        <v>9</v>
      </c>
      <c r="AP172" s="66" t="str">
        <f t="shared" si="142"/>
        <v>O</v>
      </c>
      <c r="AQ172" s="66" t="str">
        <f t="shared" si="143"/>
        <v>X</v>
      </c>
      <c r="AR172" s="66" t="str">
        <f t="shared" si="144"/>
        <v>X</v>
      </c>
      <c r="AS172" s="66" t="str">
        <f t="shared" si="145"/>
        <v>X</v>
      </c>
      <c r="AT172" s="66" t="str">
        <f t="shared" si="146"/>
        <v>X</v>
      </c>
      <c r="AU172" s="66" t="str">
        <f t="shared" si="147"/>
        <v>X</v>
      </c>
      <c r="AV172" s="66" t="str">
        <f t="shared" si="148"/>
        <v>X</v>
      </c>
      <c r="AW172" s="66" t="str">
        <f t="shared" si="149"/>
        <v>X</v>
      </c>
      <c r="AX172" s="66" t="str">
        <f t="shared" si="150"/>
        <v>O</v>
      </c>
      <c r="AY172" s="66" t="str">
        <f t="shared" si="151"/>
        <v>X</v>
      </c>
      <c r="AZ172" s="66" t="str">
        <f t="shared" si="152"/>
        <v>X</v>
      </c>
      <c r="BA172" s="66" t="str">
        <f t="shared" si="153"/>
        <v>O</v>
      </c>
      <c r="BB172" s="66">
        <f t="shared" si="154"/>
        <v>3</v>
      </c>
      <c r="BC172" s="127" t="str">
        <f t="shared" si="125"/>
        <v>1G</v>
      </c>
      <c r="BD172" s="127" t="str">
        <f t="shared" si="126"/>
        <v>1G</v>
      </c>
      <c r="BE172" s="127" t="str">
        <f t="shared" si="127"/>
        <v>3G</v>
      </c>
      <c r="BF172" s="127" t="str">
        <f t="shared" si="128"/>
        <v>3G</v>
      </c>
      <c r="BG172" s="127" t="str">
        <f t="shared" si="129"/>
        <v>3G</v>
      </c>
      <c r="BH172" s="127" t="str">
        <f t="shared" si="130"/>
        <v>3G</v>
      </c>
      <c r="BI172" s="127">
        <f t="shared" si="155"/>
        <v>2</v>
      </c>
      <c r="BJ172" s="127">
        <f t="shared" si="156"/>
        <v>0</v>
      </c>
      <c r="BK172" s="127">
        <f t="shared" si="157"/>
        <v>4</v>
      </c>
      <c r="BL172" s="127" t="str">
        <f t="shared" si="158"/>
        <v>204</v>
      </c>
      <c r="BS172"/>
      <c r="CL172" s="28">
        <v>126</v>
      </c>
      <c r="CM172" s="28">
        <v>120</v>
      </c>
      <c r="CO172"/>
    </row>
    <row r="173" spans="1:93" ht="16.5" hidden="1">
      <c r="B173" s="17">
        <v>169</v>
      </c>
      <c r="C173" s="363" t="s">
        <v>199</v>
      </c>
      <c r="D173" s="18">
        <v>5</v>
      </c>
      <c r="E173" s="20">
        <v>2482888380</v>
      </c>
      <c r="F173" s="18">
        <v>31</v>
      </c>
      <c r="G173" s="20">
        <v>66744312</v>
      </c>
      <c r="H173" s="20">
        <v>1171</v>
      </c>
      <c r="I173" s="20">
        <v>1766929</v>
      </c>
      <c r="J173" s="20">
        <v>62705</v>
      </c>
      <c r="K173" s="20">
        <v>65994</v>
      </c>
      <c r="L173" s="20">
        <v>1069471</v>
      </c>
      <c r="M173" s="20">
        <v>5000</v>
      </c>
      <c r="N173" s="167">
        <v>16</v>
      </c>
      <c r="O173" s="167">
        <v>27</v>
      </c>
      <c r="P173" s="167">
        <v>35</v>
      </c>
      <c r="Q173" s="167">
        <v>37</v>
      </c>
      <c r="R173" s="167">
        <v>43</v>
      </c>
      <c r="S173" s="167">
        <v>45</v>
      </c>
      <c r="T173" s="167">
        <v>19</v>
      </c>
      <c r="U173" s="28">
        <f t="shared" si="131"/>
        <v>203</v>
      </c>
      <c r="W173" s="32" t="str">
        <f t="shared" si="116"/>
        <v>짝수</v>
      </c>
      <c r="X173" s="32" t="str">
        <f t="shared" si="117"/>
        <v>홀수</v>
      </c>
      <c r="Y173" s="32" t="str">
        <f t="shared" si="118"/>
        <v>홀수</v>
      </c>
      <c r="Z173" s="32" t="str">
        <f t="shared" si="119"/>
        <v>홀수</v>
      </c>
      <c r="AA173" s="32" t="str">
        <f t="shared" si="120"/>
        <v>홀수</v>
      </c>
      <c r="AB173" s="32" t="str">
        <f t="shared" si="121"/>
        <v>홀수</v>
      </c>
      <c r="AC173" s="58" t="str">
        <f t="shared" si="122"/>
        <v>5 : 1</v>
      </c>
      <c r="AD173" s="32">
        <f t="shared" si="123"/>
        <v>5</v>
      </c>
      <c r="AE173" s="32">
        <f t="shared" si="124"/>
        <v>1</v>
      </c>
      <c r="AF173" s="66" t="str">
        <f t="shared" si="132"/>
        <v>저수</v>
      </c>
      <c r="AG173" s="66" t="str">
        <f t="shared" si="133"/>
        <v>고수</v>
      </c>
      <c r="AH173" s="66" t="str">
        <f t="shared" si="134"/>
        <v>고수</v>
      </c>
      <c r="AI173" s="66" t="str">
        <f t="shared" si="135"/>
        <v>고수</v>
      </c>
      <c r="AJ173" s="66" t="str">
        <f t="shared" si="136"/>
        <v>고수</v>
      </c>
      <c r="AK173" s="66" t="str">
        <f t="shared" si="137"/>
        <v>고수</v>
      </c>
      <c r="AL173" s="58" t="str">
        <f t="shared" si="138"/>
        <v>1 : 5</v>
      </c>
      <c r="AM173" s="66">
        <f t="shared" si="139"/>
        <v>1</v>
      </c>
      <c r="AN173" s="66">
        <f t="shared" si="140"/>
        <v>5</v>
      </c>
      <c r="AO173" s="66">
        <f t="shared" si="141"/>
        <v>33</v>
      </c>
      <c r="AP173" s="66" t="str">
        <f t="shared" si="142"/>
        <v>X</v>
      </c>
      <c r="AQ173" s="66" t="str">
        <f t="shared" si="143"/>
        <v>X</v>
      </c>
      <c r="AR173" s="66" t="str">
        <f t="shared" si="144"/>
        <v>X</v>
      </c>
      <c r="AS173" s="66" t="str">
        <f t="shared" si="145"/>
        <v>X</v>
      </c>
      <c r="AT173" s="66" t="str">
        <f t="shared" si="146"/>
        <v>X</v>
      </c>
      <c r="AU173" s="66" t="str">
        <f t="shared" si="147"/>
        <v>X</v>
      </c>
      <c r="AV173" s="66" t="str">
        <f t="shared" si="148"/>
        <v>X</v>
      </c>
      <c r="AW173" s="66" t="str">
        <f t="shared" si="149"/>
        <v>X</v>
      </c>
      <c r="AX173" s="66" t="str">
        <f t="shared" si="150"/>
        <v>X</v>
      </c>
      <c r="AY173" s="66" t="str">
        <f t="shared" si="151"/>
        <v>O</v>
      </c>
      <c r="AZ173" s="66" t="str">
        <f t="shared" si="152"/>
        <v>O</v>
      </c>
      <c r="BA173" s="66" t="str">
        <f t="shared" si="153"/>
        <v>X</v>
      </c>
      <c r="BB173" s="66">
        <f t="shared" si="154"/>
        <v>2</v>
      </c>
      <c r="BC173" s="127" t="str">
        <f t="shared" si="125"/>
        <v>2G</v>
      </c>
      <c r="BD173" s="127" t="str">
        <f t="shared" si="126"/>
        <v>2G</v>
      </c>
      <c r="BE173" s="127" t="str">
        <f t="shared" si="127"/>
        <v>3G</v>
      </c>
      <c r="BF173" s="127" t="str">
        <f t="shared" si="128"/>
        <v>3G</v>
      </c>
      <c r="BG173" s="127" t="str">
        <f t="shared" si="129"/>
        <v>3G</v>
      </c>
      <c r="BH173" s="127" t="str">
        <f t="shared" si="130"/>
        <v>3G</v>
      </c>
      <c r="BI173" s="127">
        <f t="shared" si="155"/>
        <v>0</v>
      </c>
      <c r="BJ173" s="127">
        <f t="shared" si="156"/>
        <v>2</v>
      </c>
      <c r="BK173" s="127">
        <f t="shared" si="157"/>
        <v>4</v>
      </c>
      <c r="BL173" s="127" t="str">
        <f t="shared" si="158"/>
        <v>024</v>
      </c>
      <c r="BS173"/>
      <c r="CL173" s="28">
        <v>126</v>
      </c>
      <c r="CM173" s="28">
        <v>120</v>
      </c>
      <c r="CO173"/>
    </row>
    <row r="174" spans="1:93" ht="16.5" hidden="1">
      <c r="B174" s="17">
        <v>170</v>
      </c>
      <c r="C174" s="363" t="s">
        <v>200</v>
      </c>
      <c r="D174" s="18">
        <v>6</v>
      </c>
      <c r="E174" s="20">
        <v>1923108250</v>
      </c>
      <c r="F174" s="18">
        <v>27</v>
      </c>
      <c r="G174" s="20">
        <v>71226232</v>
      </c>
      <c r="H174" s="20">
        <v>1309</v>
      </c>
      <c r="I174" s="20">
        <v>1469144</v>
      </c>
      <c r="J174" s="20">
        <v>67030</v>
      </c>
      <c r="K174" s="20">
        <v>57381</v>
      </c>
      <c r="L174" s="20">
        <v>1125608</v>
      </c>
      <c r="M174" s="20">
        <v>5000</v>
      </c>
      <c r="N174" s="167">
        <v>2</v>
      </c>
      <c r="O174" s="167">
        <v>11</v>
      </c>
      <c r="P174" s="167">
        <v>13</v>
      </c>
      <c r="Q174" s="167">
        <v>15</v>
      </c>
      <c r="R174" s="167">
        <v>31</v>
      </c>
      <c r="S174" s="167">
        <v>42</v>
      </c>
      <c r="T174" s="167">
        <v>10</v>
      </c>
      <c r="U174" s="28">
        <f t="shared" si="131"/>
        <v>114</v>
      </c>
      <c r="W174" s="32" t="str">
        <f t="shared" si="116"/>
        <v>짝수</v>
      </c>
      <c r="X174" s="32" t="str">
        <f t="shared" si="117"/>
        <v>홀수</v>
      </c>
      <c r="Y174" s="32" t="str">
        <f t="shared" si="118"/>
        <v>홀수</v>
      </c>
      <c r="Z174" s="32" t="str">
        <f t="shared" si="119"/>
        <v>홀수</v>
      </c>
      <c r="AA174" s="32" t="str">
        <f t="shared" si="120"/>
        <v>홀수</v>
      </c>
      <c r="AB174" s="32" t="str">
        <f t="shared" si="121"/>
        <v>짝수</v>
      </c>
      <c r="AC174" s="58" t="str">
        <f t="shared" si="122"/>
        <v>4 : 2</v>
      </c>
      <c r="AD174" s="32">
        <f t="shared" si="123"/>
        <v>4</v>
      </c>
      <c r="AE174" s="32">
        <f t="shared" si="124"/>
        <v>2</v>
      </c>
      <c r="AF174" s="66" t="str">
        <f t="shared" si="132"/>
        <v>저수</v>
      </c>
      <c r="AG174" s="66" t="str">
        <f t="shared" si="133"/>
        <v>저수</v>
      </c>
      <c r="AH174" s="66" t="str">
        <f t="shared" si="134"/>
        <v>저수</v>
      </c>
      <c r="AI174" s="66" t="str">
        <f t="shared" si="135"/>
        <v>저수</v>
      </c>
      <c r="AJ174" s="66" t="str">
        <f t="shared" si="136"/>
        <v>고수</v>
      </c>
      <c r="AK174" s="66" t="str">
        <f t="shared" si="137"/>
        <v>고수</v>
      </c>
      <c r="AL174" s="58" t="str">
        <f t="shared" si="138"/>
        <v>4 : 2</v>
      </c>
      <c r="AM174" s="66">
        <f t="shared" si="139"/>
        <v>4</v>
      </c>
      <c r="AN174" s="66">
        <f t="shared" si="140"/>
        <v>2</v>
      </c>
      <c r="AO174" s="66">
        <f t="shared" si="141"/>
        <v>14</v>
      </c>
      <c r="AP174" s="66" t="str">
        <f t="shared" si="142"/>
        <v>O</v>
      </c>
      <c r="AQ174" s="66" t="str">
        <f t="shared" si="143"/>
        <v>O</v>
      </c>
      <c r="AR174" s="66" t="str">
        <f t="shared" si="144"/>
        <v>O</v>
      </c>
      <c r="AS174" s="66" t="str">
        <f t="shared" si="145"/>
        <v>X</v>
      </c>
      <c r="AT174" s="66" t="str">
        <f t="shared" si="146"/>
        <v>X</v>
      </c>
      <c r="AU174" s="66" t="str">
        <f t="shared" si="147"/>
        <v>X</v>
      </c>
      <c r="AV174" s="66" t="str">
        <f t="shared" si="148"/>
        <v>X</v>
      </c>
      <c r="AW174" s="66" t="str">
        <f t="shared" si="149"/>
        <v>X</v>
      </c>
      <c r="AX174" s="66" t="str">
        <f t="shared" si="150"/>
        <v>X</v>
      </c>
      <c r="AY174" s="66" t="str">
        <f t="shared" si="151"/>
        <v>X</v>
      </c>
      <c r="AZ174" s="66" t="str">
        <f t="shared" si="152"/>
        <v>O</v>
      </c>
      <c r="BA174" s="66" t="str">
        <f t="shared" si="153"/>
        <v>X</v>
      </c>
      <c r="BB174" s="66">
        <f t="shared" si="154"/>
        <v>4</v>
      </c>
      <c r="BC174" s="127" t="str">
        <f t="shared" si="125"/>
        <v>1G</v>
      </c>
      <c r="BD174" s="127" t="str">
        <f t="shared" si="126"/>
        <v>1G</v>
      </c>
      <c r="BE174" s="127" t="str">
        <f t="shared" si="127"/>
        <v>1G</v>
      </c>
      <c r="BF174" s="127" t="str">
        <f t="shared" si="128"/>
        <v>1G</v>
      </c>
      <c r="BG174" s="127" t="str">
        <f t="shared" si="129"/>
        <v>3G</v>
      </c>
      <c r="BH174" s="127" t="str">
        <f t="shared" si="130"/>
        <v>3G</v>
      </c>
      <c r="BI174" s="127">
        <f t="shared" si="155"/>
        <v>4</v>
      </c>
      <c r="BJ174" s="127">
        <f t="shared" si="156"/>
        <v>0</v>
      </c>
      <c r="BK174" s="127">
        <f t="shared" si="157"/>
        <v>2</v>
      </c>
      <c r="BL174" s="127" t="str">
        <f t="shared" si="158"/>
        <v>402</v>
      </c>
      <c r="BS174"/>
      <c r="CL174" s="28">
        <v>126</v>
      </c>
      <c r="CM174" s="28">
        <v>120</v>
      </c>
      <c r="CO174"/>
    </row>
    <row r="175" spans="1:93" ht="16.5" hidden="1">
      <c r="B175" s="17">
        <v>171</v>
      </c>
      <c r="C175" s="363" t="s">
        <v>201</v>
      </c>
      <c r="D175" s="18">
        <v>6</v>
      </c>
      <c r="E175" s="20">
        <v>1961339700</v>
      </c>
      <c r="F175" s="18">
        <v>19</v>
      </c>
      <c r="G175" s="20">
        <v>103228406</v>
      </c>
      <c r="H175" s="20">
        <v>1381</v>
      </c>
      <c r="I175" s="20">
        <v>1420232</v>
      </c>
      <c r="J175" s="20">
        <v>71461</v>
      </c>
      <c r="K175" s="20">
        <v>54893</v>
      </c>
      <c r="L175" s="20">
        <v>1113068</v>
      </c>
      <c r="M175" s="20">
        <v>5000</v>
      </c>
      <c r="N175" s="167">
        <v>4</v>
      </c>
      <c r="O175" s="167">
        <v>16</v>
      </c>
      <c r="P175" s="167">
        <v>25</v>
      </c>
      <c r="Q175" s="167">
        <v>29</v>
      </c>
      <c r="R175" s="167">
        <v>34</v>
      </c>
      <c r="S175" s="167">
        <v>35</v>
      </c>
      <c r="T175" s="167">
        <v>1</v>
      </c>
      <c r="U175" s="28">
        <f t="shared" si="131"/>
        <v>143</v>
      </c>
      <c r="W175" s="32" t="str">
        <f t="shared" si="116"/>
        <v>짝수</v>
      </c>
      <c r="X175" s="32" t="str">
        <f t="shared" si="117"/>
        <v>짝수</v>
      </c>
      <c r="Y175" s="32" t="str">
        <f t="shared" si="118"/>
        <v>홀수</v>
      </c>
      <c r="Z175" s="32" t="str">
        <f t="shared" si="119"/>
        <v>홀수</v>
      </c>
      <c r="AA175" s="32" t="str">
        <f t="shared" si="120"/>
        <v>짝수</v>
      </c>
      <c r="AB175" s="32" t="str">
        <f t="shared" si="121"/>
        <v>홀수</v>
      </c>
      <c r="AC175" s="58" t="str">
        <f t="shared" si="122"/>
        <v>3 : 3</v>
      </c>
      <c r="AD175" s="32">
        <f t="shared" si="123"/>
        <v>3</v>
      </c>
      <c r="AE175" s="32">
        <f t="shared" si="124"/>
        <v>3</v>
      </c>
      <c r="AF175" s="66" t="str">
        <f t="shared" si="132"/>
        <v>저수</v>
      </c>
      <c r="AG175" s="66" t="str">
        <f t="shared" si="133"/>
        <v>저수</v>
      </c>
      <c r="AH175" s="66" t="str">
        <f t="shared" si="134"/>
        <v>고수</v>
      </c>
      <c r="AI175" s="66" t="str">
        <f t="shared" si="135"/>
        <v>고수</v>
      </c>
      <c r="AJ175" s="66" t="str">
        <f t="shared" si="136"/>
        <v>고수</v>
      </c>
      <c r="AK175" s="66" t="str">
        <f t="shared" si="137"/>
        <v>고수</v>
      </c>
      <c r="AL175" s="58" t="str">
        <f t="shared" si="138"/>
        <v>2 : 4</v>
      </c>
      <c r="AM175" s="66">
        <f t="shared" si="139"/>
        <v>2</v>
      </c>
      <c r="AN175" s="66">
        <f t="shared" si="140"/>
        <v>4</v>
      </c>
      <c r="AO175" s="66">
        <f t="shared" si="141"/>
        <v>33</v>
      </c>
      <c r="AP175" s="66" t="str">
        <f t="shared" si="142"/>
        <v>X</v>
      </c>
      <c r="AQ175" s="66" t="str">
        <f t="shared" si="143"/>
        <v>X</v>
      </c>
      <c r="AR175" s="66" t="str">
        <f t="shared" si="144"/>
        <v>X</v>
      </c>
      <c r="AS175" s="66" t="str">
        <f t="shared" si="145"/>
        <v>X</v>
      </c>
      <c r="AT175" s="66" t="str">
        <f t="shared" si="146"/>
        <v>X</v>
      </c>
      <c r="AU175" s="66" t="str">
        <f t="shared" si="147"/>
        <v>X</v>
      </c>
      <c r="AV175" s="66" t="str">
        <f t="shared" si="148"/>
        <v>X</v>
      </c>
      <c r="AW175" s="66" t="str">
        <f t="shared" si="149"/>
        <v>X</v>
      </c>
      <c r="AX175" s="66" t="str">
        <f t="shared" si="150"/>
        <v>X</v>
      </c>
      <c r="AY175" s="66" t="str">
        <f t="shared" si="151"/>
        <v>O</v>
      </c>
      <c r="AZ175" s="66" t="str">
        <f t="shared" si="152"/>
        <v>X</v>
      </c>
      <c r="BA175" s="66" t="str">
        <f t="shared" si="153"/>
        <v>X</v>
      </c>
      <c r="BB175" s="66">
        <f t="shared" si="154"/>
        <v>1</v>
      </c>
      <c r="BC175" s="127" t="str">
        <f t="shared" si="125"/>
        <v>1G</v>
      </c>
      <c r="BD175" s="127" t="str">
        <f t="shared" si="126"/>
        <v>2G</v>
      </c>
      <c r="BE175" s="127" t="str">
        <f t="shared" si="127"/>
        <v>2G</v>
      </c>
      <c r="BF175" s="127" t="str">
        <f t="shared" si="128"/>
        <v>2G</v>
      </c>
      <c r="BG175" s="127" t="str">
        <f t="shared" si="129"/>
        <v>3G</v>
      </c>
      <c r="BH175" s="127" t="str">
        <f t="shared" si="130"/>
        <v>3G</v>
      </c>
      <c r="BI175" s="127">
        <f t="shared" si="155"/>
        <v>1</v>
      </c>
      <c r="BJ175" s="127">
        <f t="shared" si="156"/>
        <v>3</v>
      </c>
      <c r="BK175" s="127">
        <f t="shared" si="157"/>
        <v>2</v>
      </c>
      <c r="BL175" s="127" t="str">
        <f t="shared" si="158"/>
        <v>132</v>
      </c>
      <c r="BS175"/>
      <c r="CL175" s="28">
        <v>126</v>
      </c>
      <c r="CM175" s="28">
        <v>120</v>
      </c>
      <c r="CO175"/>
    </row>
    <row r="176" spans="1:93" ht="16.5" hidden="1">
      <c r="B176" s="17">
        <v>172</v>
      </c>
      <c r="C176" s="363" t="s">
        <v>202</v>
      </c>
      <c r="D176" s="18">
        <v>11</v>
      </c>
      <c r="E176" s="20">
        <v>1081154073</v>
      </c>
      <c r="F176" s="18">
        <v>19</v>
      </c>
      <c r="G176" s="20">
        <v>104321885</v>
      </c>
      <c r="H176" s="20">
        <v>1276</v>
      </c>
      <c r="I176" s="20">
        <v>1553383</v>
      </c>
      <c r="J176" s="20">
        <v>65456</v>
      </c>
      <c r="K176" s="20">
        <v>60564</v>
      </c>
      <c r="L176" s="20">
        <v>1111595</v>
      </c>
      <c r="M176" s="20">
        <v>5000</v>
      </c>
      <c r="N176" s="167">
        <v>4</v>
      </c>
      <c r="O176" s="167">
        <v>19</v>
      </c>
      <c r="P176" s="167">
        <v>21</v>
      </c>
      <c r="Q176" s="167">
        <v>24</v>
      </c>
      <c r="R176" s="167">
        <v>26</v>
      </c>
      <c r="S176" s="167">
        <v>41</v>
      </c>
      <c r="T176" s="167">
        <v>35</v>
      </c>
      <c r="U176" s="28">
        <f t="shared" si="131"/>
        <v>135</v>
      </c>
      <c r="W176" s="32" t="str">
        <f t="shared" si="116"/>
        <v>짝수</v>
      </c>
      <c r="X176" s="32" t="str">
        <f t="shared" si="117"/>
        <v>홀수</v>
      </c>
      <c r="Y176" s="32" t="str">
        <f t="shared" si="118"/>
        <v>홀수</v>
      </c>
      <c r="Z176" s="32" t="str">
        <f t="shared" si="119"/>
        <v>짝수</v>
      </c>
      <c r="AA176" s="32" t="str">
        <f t="shared" si="120"/>
        <v>짝수</v>
      </c>
      <c r="AB176" s="32" t="str">
        <f t="shared" si="121"/>
        <v>홀수</v>
      </c>
      <c r="AC176" s="58" t="str">
        <f t="shared" si="122"/>
        <v>3 : 3</v>
      </c>
      <c r="AD176" s="32">
        <f t="shared" si="123"/>
        <v>3</v>
      </c>
      <c r="AE176" s="32">
        <f t="shared" si="124"/>
        <v>3</v>
      </c>
      <c r="AF176" s="66" t="str">
        <f t="shared" si="132"/>
        <v>저수</v>
      </c>
      <c r="AG176" s="66" t="str">
        <f t="shared" si="133"/>
        <v>저수</v>
      </c>
      <c r="AH176" s="66" t="str">
        <f t="shared" si="134"/>
        <v>저수</v>
      </c>
      <c r="AI176" s="66" t="str">
        <f t="shared" si="135"/>
        <v>고수</v>
      </c>
      <c r="AJ176" s="66" t="str">
        <f t="shared" si="136"/>
        <v>고수</v>
      </c>
      <c r="AK176" s="66" t="str">
        <f t="shared" si="137"/>
        <v>고수</v>
      </c>
      <c r="AL176" s="58" t="str">
        <f t="shared" si="138"/>
        <v>3 : 3</v>
      </c>
      <c r="AM176" s="66">
        <f t="shared" si="139"/>
        <v>3</v>
      </c>
      <c r="AN176" s="66">
        <f t="shared" si="140"/>
        <v>3</v>
      </c>
      <c r="AO176" s="66">
        <f t="shared" si="141"/>
        <v>25</v>
      </c>
      <c r="AP176" s="66" t="str">
        <f t="shared" si="142"/>
        <v>X</v>
      </c>
      <c r="AQ176" s="66" t="str">
        <f t="shared" si="143"/>
        <v>O</v>
      </c>
      <c r="AR176" s="66" t="str">
        <f t="shared" si="144"/>
        <v>X</v>
      </c>
      <c r="AS176" s="66" t="str">
        <f t="shared" si="145"/>
        <v>X</v>
      </c>
      <c r="AT176" s="66" t="str">
        <f t="shared" si="146"/>
        <v>X</v>
      </c>
      <c r="AU176" s="66" t="str">
        <f t="shared" si="147"/>
        <v>X</v>
      </c>
      <c r="AV176" s="66" t="str">
        <f t="shared" si="148"/>
        <v>X</v>
      </c>
      <c r="AW176" s="66" t="str">
        <f t="shared" si="149"/>
        <v>X</v>
      </c>
      <c r="AX176" s="66" t="str">
        <f t="shared" si="150"/>
        <v>X</v>
      </c>
      <c r="AY176" s="66" t="str">
        <f t="shared" si="151"/>
        <v>X</v>
      </c>
      <c r="AZ176" s="66" t="str">
        <f t="shared" si="152"/>
        <v>X</v>
      </c>
      <c r="BA176" s="66" t="str">
        <f t="shared" si="153"/>
        <v>O</v>
      </c>
      <c r="BB176" s="66">
        <f t="shared" si="154"/>
        <v>2</v>
      </c>
      <c r="BC176" s="127" t="str">
        <f t="shared" si="125"/>
        <v>1G</v>
      </c>
      <c r="BD176" s="127" t="str">
        <f t="shared" si="126"/>
        <v>2G</v>
      </c>
      <c r="BE176" s="127" t="str">
        <f t="shared" si="127"/>
        <v>2G</v>
      </c>
      <c r="BF176" s="127" t="str">
        <f t="shared" si="128"/>
        <v>2G</v>
      </c>
      <c r="BG176" s="127" t="str">
        <f t="shared" si="129"/>
        <v>2G</v>
      </c>
      <c r="BH176" s="127" t="str">
        <f t="shared" si="130"/>
        <v>3G</v>
      </c>
      <c r="BI176" s="127">
        <f t="shared" si="155"/>
        <v>1</v>
      </c>
      <c r="BJ176" s="127">
        <f t="shared" si="156"/>
        <v>4</v>
      </c>
      <c r="BK176" s="127">
        <f t="shared" si="157"/>
        <v>1</v>
      </c>
      <c r="BL176" s="127" t="str">
        <f t="shared" si="158"/>
        <v>141</v>
      </c>
      <c r="BS176"/>
      <c r="CL176" s="28">
        <v>127</v>
      </c>
      <c r="CM176" s="28">
        <v>120</v>
      </c>
      <c r="CO176"/>
    </row>
    <row r="177" spans="2:93" ht="16.5" hidden="1">
      <c r="B177" s="17">
        <v>173</v>
      </c>
      <c r="C177" s="363" t="s">
        <v>203</v>
      </c>
      <c r="D177" s="18">
        <v>8</v>
      </c>
      <c r="E177" s="20">
        <v>1487736788</v>
      </c>
      <c r="F177" s="18">
        <v>63</v>
      </c>
      <c r="G177" s="20">
        <v>31486493</v>
      </c>
      <c r="H177" s="20">
        <v>1448</v>
      </c>
      <c r="I177" s="20">
        <v>1369924</v>
      </c>
      <c r="J177" s="20">
        <v>78349</v>
      </c>
      <c r="K177" s="20">
        <v>50637</v>
      </c>
      <c r="L177" s="20">
        <v>1261354</v>
      </c>
      <c r="M177" s="20">
        <v>5000</v>
      </c>
      <c r="N177" s="167">
        <v>3</v>
      </c>
      <c r="O177" s="167">
        <v>9</v>
      </c>
      <c r="P177" s="167">
        <v>24</v>
      </c>
      <c r="Q177" s="167">
        <v>30</v>
      </c>
      <c r="R177" s="167">
        <v>33</v>
      </c>
      <c r="S177" s="167">
        <v>34</v>
      </c>
      <c r="T177" s="167">
        <v>18</v>
      </c>
      <c r="U177" s="28">
        <f t="shared" si="131"/>
        <v>133</v>
      </c>
      <c r="W177" s="32" t="str">
        <f t="shared" si="116"/>
        <v>홀수</v>
      </c>
      <c r="X177" s="32" t="str">
        <f t="shared" si="117"/>
        <v>홀수</v>
      </c>
      <c r="Y177" s="32" t="str">
        <f t="shared" si="118"/>
        <v>짝수</v>
      </c>
      <c r="Z177" s="32" t="str">
        <f t="shared" si="119"/>
        <v>짝수</v>
      </c>
      <c r="AA177" s="32" t="str">
        <f t="shared" si="120"/>
        <v>홀수</v>
      </c>
      <c r="AB177" s="32" t="str">
        <f t="shared" si="121"/>
        <v>짝수</v>
      </c>
      <c r="AC177" s="58" t="str">
        <f t="shared" si="122"/>
        <v>3 : 3</v>
      </c>
      <c r="AD177" s="32">
        <f t="shared" si="123"/>
        <v>3</v>
      </c>
      <c r="AE177" s="32">
        <f t="shared" si="124"/>
        <v>3</v>
      </c>
      <c r="AF177" s="66" t="str">
        <f t="shared" si="132"/>
        <v>저수</v>
      </c>
      <c r="AG177" s="66" t="str">
        <f t="shared" si="133"/>
        <v>저수</v>
      </c>
      <c r="AH177" s="66" t="str">
        <f t="shared" si="134"/>
        <v>고수</v>
      </c>
      <c r="AI177" s="66" t="str">
        <f t="shared" si="135"/>
        <v>고수</v>
      </c>
      <c r="AJ177" s="66" t="str">
        <f t="shared" si="136"/>
        <v>고수</v>
      </c>
      <c r="AK177" s="66" t="str">
        <f t="shared" si="137"/>
        <v>고수</v>
      </c>
      <c r="AL177" s="58" t="str">
        <f t="shared" si="138"/>
        <v>2 : 4</v>
      </c>
      <c r="AM177" s="66">
        <f t="shared" si="139"/>
        <v>2</v>
      </c>
      <c r="AN177" s="66">
        <f t="shared" si="140"/>
        <v>4</v>
      </c>
      <c r="AO177" s="66">
        <f t="shared" si="141"/>
        <v>23</v>
      </c>
      <c r="AP177" s="66" t="str">
        <f t="shared" si="142"/>
        <v>O</v>
      </c>
      <c r="AQ177" s="66" t="str">
        <f t="shared" si="143"/>
        <v>X</v>
      </c>
      <c r="AR177" s="66" t="str">
        <f t="shared" si="144"/>
        <v>X</v>
      </c>
      <c r="AS177" s="66" t="str">
        <f t="shared" si="145"/>
        <v>X</v>
      </c>
      <c r="AT177" s="66" t="str">
        <f t="shared" si="146"/>
        <v>X</v>
      </c>
      <c r="AU177" s="66" t="str">
        <f t="shared" si="147"/>
        <v>X</v>
      </c>
      <c r="AV177" s="66" t="str">
        <f t="shared" si="148"/>
        <v>X</v>
      </c>
      <c r="AW177" s="66" t="str">
        <f t="shared" si="149"/>
        <v>X</v>
      </c>
      <c r="AX177" s="66" t="str">
        <f t="shared" si="150"/>
        <v>X</v>
      </c>
      <c r="AY177" s="66" t="str">
        <f t="shared" si="151"/>
        <v>X</v>
      </c>
      <c r="AZ177" s="66" t="str">
        <f t="shared" si="152"/>
        <v>X</v>
      </c>
      <c r="BA177" s="66" t="str">
        <f t="shared" si="153"/>
        <v>X</v>
      </c>
      <c r="BB177" s="66">
        <f t="shared" si="154"/>
        <v>1</v>
      </c>
      <c r="BC177" s="127" t="str">
        <f t="shared" si="125"/>
        <v>1G</v>
      </c>
      <c r="BD177" s="127" t="str">
        <f t="shared" si="126"/>
        <v>1G</v>
      </c>
      <c r="BE177" s="127" t="str">
        <f t="shared" si="127"/>
        <v>2G</v>
      </c>
      <c r="BF177" s="127" t="str">
        <f t="shared" si="128"/>
        <v>2G</v>
      </c>
      <c r="BG177" s="127" t="str">
        <f t="shared" si="129"/>
        <v>3G</v>
      </c>
      <c r="BH177" s="127" t="str">
        <f t="shared" si="130"/>
        <v>3G</v>
      </c>
      <c r="BI177" s="127">
        <f t="shared" si="155"/>
        <v>2</v>
      </c>
      <c r="BJ177" s="127">
        <f t="shared" si="156"/>
        <v>2</v>
      </c>
      <c r="BK177" s="127">
        <f t="shared" si="157"/>
        <v>2</v>
      </c>
      <c r="BL177" s="127" t="str">
        <f t="shared" si="158"/>
        <v>222</v>
      </c>
      <c r="BS177"/>
      <c r="CL177" s="28">
        <v>127</v>
      </c>
      <c r="CM177" s="28">
        <v>120</v>
      </c>
      <c r="CO177"/>
    </row>
    <row r="178" spans="2:93" ht="16.5" hidden="1">
      <c r="B178" s="17">
        <v>174</v>
      </c>
      <c r="C178" s="363" t="s">
        <v>204</v>
      </c>
      <c r="D178" s="18">
        <v>7</v>
      </c>
      <c r="E178" s="20">
        <v>1771103058</v>
      </c>
      <c r="F178" s="18">
        <v>26</v>
      </c>
      <c r="G178" s="20">
        <v>79472574</v>
      </c>
      <c r="H178" s="20">
        <v>1325</v>
      </c>
      <c r="I178" s="20">
        <v>1559462</v>
      </c>
      <c r="J178" s="20">
        <v>64999</v>
      </c>
      <c r="K178" s="20">
        <v>63580</v>
      </c>
      <c r="L178" s="20">
        <v>1101483</v>
      </c>
      <c r="M178" s="20">
        <v>5000</v>
      </c>
      <c r="N178" s="167">
        <v>13</v>
      </c>
      <c r="O178" s="167">
        <v>14</v>
      </c>
      <c r="P178" s="167">
        <v>18</v>
      </c>
      <c r="Q178" s="167">
        <v>22</v>
      </c>
      <c r="R178" s="167">
        <v>35</v>
      </c>
      <c r="S178" s="167">
        <v>39</v>
      </c>
      <c r="T178" s="167">
        <v>16</v>
      </c>
      <c r="U178" s="28">
        <f t="shared" si="131"/>
        <v>141</v>
      </c>
      <c r="W178" s="32" t="str">
        <f t="shared" si="116"/>
        <v>홀수</v>
      </c>
      <c r="X178" s="32" t="str">
        <f t="shared" si="117"/>
        <v>짝수</v>
      </c>
      <c r="Y178" s="32" t="str">
        <f t="shared" si="118"/>
        <v>짝수</v>
      </c>
      <c r="Z178" s="32" t="str">
        <f t="shared" si="119"/>
        <v>짝수</v>
      </c>
      <c r="AA178" s="32" t="str">
        <f t="shared" si="120"/>
        <v>홀수</v>
      </c>
      <c r="AB178" s="32" t="str">
        <f t="shared" si="121"/>
        <v>홀수</v>
      </c>
      <c r="AC178" s="58" t="str">
        <f t="shared" si="122"/>
        <v>3 : 3</v>
      </c>
      <c r="AD178" s="32">
        <f t="shared" si="123"/>
        <v>3</v>
      </c>
      <c r="AE178" s="32">
        <f t="shared" si="124"/>
        <v>3</v>
      </c>
      <c r="AF178" s="66" t="str">
        <f t="shared" si="132"/>
        <v>저수</v>
      </c>
      <c r="AG178" s="66" t="str">
        <f t="shared" si="133"/>
        <v>저수</v>
      </c>
      <c r="AH178" s="66" t="str">
        <f t="shared" si="134"/>
        <v>저수</v>
      </c>
      <c r="AI178" s="66" t="str">
        <f t="shared" si="135"/>
        <v>저수</v>
      </c>
      <c r="AJ178" s="66" t="str">
        <f t="shared" si="136"/>
        <v>고수</v>
      </c>
      <c r="AK178" s="66" t="str">
        <f t="shared" si="137"/>
        <v>고수</v>
      </c>
      <c r="AL178" s="58" t="str">
        <f t="shared" si="138"/>
        <v>4 : 2</v>
      </c>
      <c r="AM178" s="66">
        <f t="shared" si="139"/>
        <v>4</v>
      </c>
      <c r="AN178" s="66">
        <f t="shared" si="140"/>
        <v>2</v>
      </c>
      <c r="AO178" s="66">
        <f t="shared" si="141"/>
        <v>31</v>
      </c>
      <c r="AP178" s="66" t="str">
        <f t="shared" si="142"/>
        <v>O</v>
      </c>
      <c r="AQ178" s="66" t="str">
        <f t="shared" si="143"/>
        <v>X</v>
      </c>
      <c r="AR178" s="66" t="str">
        <f t="shared" si="144"/>
        <v>X</v>
      </c>
      <c r="AS178" s="66" t="str">
        <f t="shared" si="145"/>
        <v>X</v>
      </c>
      <c r="AT178" s="66" t="str">
        <f t="shared" si="146"/>
        <v>X</v>
      </c>
      <c r="AU178" s="66" t="str">
        <f t="shared" si="147"/>
        <v>X</v>
      </c>
      <c r="AV178" s="66" t="str">
        <f t="shared" si="148"/>
        <v>X</v>
      </c>
      <c r="AW178" s="66" t="str">
        <f t="shared" si="149"/>
        <v>X</v>
      </c>
      <c r="AX178" s="66" t="str">
        <f t="shared" si="150"/>
        <v>X</v>
      </c>
      <c r="AY178" s="66" t="str">
        <f t="shared" si="151"/>
        <v>X</v>
      </c>
      <c r="AZ178" s="66" t="str">
        <f t="shared" si="152"/>
        <v>X</v>
      </c>
      <c r="BA178" s="66" t="str">
        <f t="shared" si="153"/>
        <v>X</v>
      </c>
      <c r="BB178" s="66">
        <f t="shared" si="154"/>
        <v>1</v>
      </c>
      <c r="BC178" s="127" t="str">
        <f t="shared" si="125"/>
        <v>1G</v>
      </c>
      <c r="BD178" s="127" t="str">
        <f t="shared" si="126"/>
        <v>1G</v>
      </c>
      <c r="BE178" s="127" t="str">
        <f t="shared" si="127"/>
        <v>2G</v>
      </c>
      <c r="BF178" s="127" t="str">
        <f t="shared" si="128"/>
        <v>2G</v>
      </c>
      <c r="BG178" s="127" t="str">
        <f t="shared" si="129"/>
        <v>3G</v>
      </c>
      <c r="BH178" s="127" t="str">
        <f t="shared" si="130"/>
        <v>3G</v>
      </c>
      <c r="BI178" s="127">
        <f t="shared" si="155"/>
        <v>2</v>
      </c>
      <c r="BJ178" s="127">
        <f t="shared" si="156"/>
        <v>2</v>
      </c>
      <c r="BK178" s="127">
        <f t="shared" si="157"/>
        <v>2</v>
      </c>
      <c r="BL178" s="127" t="str">
        <f t="shared" si="158"/>
        <v>222</v>
      </c>
      <c r="BS178"/>
      <c r="CL178" s="28">
        <v>127</v>
      </c>
      <c r="CM178" s="28">
        <v>120</v>
      </c>
      <c r="CO178"/>
    </row>
    <row r="179" spans="2:93" ht="16.5" hidden="1">
      <c r="B179" s="17">
        <v>175</v>
      </c>
      <c r="C179" s="363" t="s">
        <v>205</v>
      </c>
      <c r="D179" s="18">
        <v>5</v>
      </c>
      <c r="E179" s="20">
        <v>2371132620</v>
      </c>
      <c r="F179" s="18">
        <v>48</v>
      </c>
      <c r="G179" s="20">
        <v>41165497</v>
      </c>
      <c r="H179" s="20">
        <v>1347</v>
      </c>
      <c r="I179" s="20">
        <v>1466922</v>
      </c>
      <c r="J179" s="20">
        <v>67585</v>
      </c>
      <c r="K179" s="20">
        <v>58473</v>
      </c>
      <c r="L179" s="20">
        <v>1137627</v>
      </c>
      <c r="M179" s="20">
        <v>5000</v>
      </c>
      <c r="N179" s="167">
        <v>19</v>
      </c>
      <c r="O179" s="167">
        <v>26</v>
      </c>
      <c r="P179" s="167">
        <v>28</v>
      </c>
      <c r="Q179" s="167">
        <v>31</v>
      </c>
      <c r="R179" s="167">
        <v>33</v>
      </c>
      <c r="S179" s="167">
        <v>36</v>
      </c>
      <c r="T179" s="167">
        <v>17</v>
      </c>
      <c r="U179" s="28">
        <f t="shared" si="131"/>
        <v>173</v>
      </c>
      <c r="W179" s="32" t="str">
        <f t="shared" si="116"/>
        <v>홀수</v>
      </c>
      <c r="X179" s="32" t="str">
        <f t="shared" si="117"/>
        <v>짝수</v>
      </c>
      <c r="Y179" s="32" t="str">
        <f t="shared" si="118"/>
        <v>짝수</v>
      </c>
      <c r="Z179" s="32" t="str">
        <f t="shared" si="119"/>
        <v>홀수</v>
      </c>
      <c r="AA179" s="32" t="str">
        <f t="shared" si="120"/>
        <v>홀수</v>
      </c>
      <c r="AB179" s="32" t="str">
        <f t="shared" si="121"/>
        <v>짝수</v>
      </c>
      <c r="AC179" s="58" t="str">
        <f t="shared" si="122"/>
        <v>3 : 3</v>
      </c>
      <c r="AD179" s="32">
        <f t="shared" si="123"/>
        <v>3</v>
      </c>
      <c r="AE179" s="32">
        <f t="shared" si="124"/>
        <v>3</v>
      </c>
      <c r="AF179" s="66" t="str">
        <f t="shared" si="132"/>
        <v>저수</v>
      </c>
      <c r="AG179" s="66" t="str">
        <f t="shared" si="133"/>
        <v>고수</v>
      </c>
      <c r="AH179" s="66" t="str">
        <f t="shared" si="134"/>
        <v>고수</v>
      </c>
      <c r="AI179" s="66" t="str">
        <f t="shared" si="135"/>
        <v>고수</v>
      </c>
      <c r="AJ179" s="66" t="str">
        <f t="shared" si="136"/>
        <v>고수</v>
      </c>
      <c r="AK179" s="66" t="str">
        <f t="shared" si="137"/>
        <v>고수</v>
      </c>
      <c r="AL179" s="58" t="str">
        <f t="shared" si="138"/>
        <v>1 : 5</v>
      </c>
      <c r="AM179" s="66">
        <f t="shared" si="139"/>
        <v>1</v>
      </c>
      <c r="AN179" s="66">
        <f t="shared" si="140"/>
        <v>5</v>
      </c>
      <c r="AO179" s="66">
        <f t="shared" si="141"/>
        <v>33</v>
      </c>
      <c r="AP179" s="66" t="str">
        <f t="shared" si="142"/>
        <v>O</v>
      </c>
      <c r="AQ179" s="66" t="str">
        <f t="shared" si="143"/>
        <v>X</v>
      </c>
      <c r="AR179" s="66" t="str">
        <f t="shared" si="144"/>
        <v>X</v>
      </c>
      <c r="AS179" s="66" t="str">
        <f t="shared" si="145"/>
        <v>X</v>
      </c>
      <c r="AT179" s="66" t="str">
        <f t="shared" si="146"/>
        <v>X</v>
      </c>
      <c r="AU179" s="66" t="str">
        <f t="shared" si="147"/>
        <v>X</v>
      </c>
      <c r="AV179" s="66" t="str">
        <f t="shared" si="148"/>
        <v>X</v>
      </c>
      <c r="AW179" s="66" t="str">
        <f t="shared" si="149"/>
        <v>X</v>
      </c>
      <c r="AX179" s="66" t="str">
        <f t="shared" si="150"/>
        <v>X</v>
      </c>
      <c r="AY179" s="66" t="str">
        <f t="shared" si="151"/>
        <v>O</v>
      </c>
      <c r="AZ179" s="66" t="str">
        <f t="shared" si="152"/>
        <v>X</v>
      </c>
      <c r="BA179" s="66" t="str">
        <f t="shared" si="153"/>
        <v>X</v>
      </c>
      <c r="BB179" s="66">
        <f t="shared" si="154"/>
        <v>2</v>
      </c>
      <c r="BC179" s="127" t="str">
        <f t="shared" si="125"/>
        <v>2G</v>
      </c>
      <c r="BD179" s="127" t="str">
        <f t="shared" si="126"/>
        <v>2G</v>
      </c>
      <c r="BE179" s="127" t="str">
        <f t="shared" si="127"/>
        <v>2G</v>
      </c>
      <c r="BF179" s="127" t="str">
        <f t="shared" si="128"/>
        <v>3G</v>
      </c>
      <c r="BG179" s="127" t="str">
        <f t="shared" si="129"/>
        <v>3G</v>
      </c>
      <c r="BH179" s="127" t="str">
        <f t="shared" si="130"/>
        <v>3G</v>
      </c>
      <c r="BI179" s="127">
        <f t="shared" si="155"/>
        <v>0</v>
      </c>
      <c r="BJ179" s="127">
        <f t="shared" si="156"/>
        <v>3</v>
      </c>
      <c r="BK179" s="127">
        <f t="shared" si="157"/>
        <v>3</v>
      </c>
      <c r="BL179" s="127" t="str">
        <f t="shared" si="158"/>
        <v>033</v>
      </c>
      <c r="BS179"/>
      <c r="CL179" s="28">
        <v>128</v>
      </c>
      <c r="CM179" s="28">
        <v>120</v>
      </c>
      <c r="CO179"/>
    </row>
    <row r="180" spans="2:93" ht="16.5" hidden="1">
      <c r="B180" s="17">
        <v>176</v>
      </c>
      <c r="C180" s="363" t="s">
        <v>206</v>
      </c>
      <c r="D180" s="18">
        <v>5</v>
      </c>
      <c r="E180" s="20">
        <v>2314663080</v>
      </c>
      <c r="F180" s="18">
        <v>40</v>
      </c>
      <c r="G180" s="20">
        <v>48222148</v>
      </c>
      <c r="H180" s="20">
        <v>1535</v>
      </c>
      <c r="I180" s="20">
        <v>1256604</v>
      </c>
      <c r="J180" s="20">
        <v>76689</v>
      </c>
      <c r="K180" s="20">
        <v>50305</v>
      </c>
      <c r="L180" s="20">
        <v>1191081</v>
      </c>
      <c r="M180" s="20">
        <v>5000</v>
      </c>
      <c r="N180" s="167">
        <v>4</v>
      </c>
      <c r="O180" s="167">
        <v>17</v>
      </c>
      <c r="P180" s="167">
        <v>30</v>
      </c>
      <c r="Q180" s="167">
        <v>32</v>
      </c>
      <c r="R180" s="167">
        <v>33</v>
      </c>
      <c r="S180" s="167">
        <v>34</v>
      </c>
      <c r="T180" s="167">
        <v>15</v>
      </c>
      <c r="U180" s="28">
        <f t="shared" si="131"/>
        <v>150</v>
      </c>
      <c r="W180" s="32" t="str">
        <f t="shared" si="116"/>
        <v>짝수</v>
      </c>
      <c r="X180" s="32" t="str">
        <f t="shared" si="117"/>
        <v>홀수</v>
      </c>
      <c r="Y180" s="32" t="str">
        <f t="shared" si="118"/>
        <v>짝수</v>
      </c>
      <c r="Z180" s="32" t="str">
        <f t="shared" si="119"/>
        <v>짝수</v>
      </c>
      <c r="AA180" s="32" t="str">
        <f t="shared" si="120"/>
        <v>홀수</v>
      </c>
      <c r="AB180" s="32" t="str">
        <f t="shared" si="121"/>
        <v>짝수</v>
      </c>
      <c r="AC180" s="58" t="str">
        <f t="shared" si="122"/>
        <v>2 : 4</v>
      </c>
      <c r="AD180" s="32">
        <f t="shared" si="123"/>
        <v>2</v>
      </c>
      <c r="AE180" s="32">
        <f t="shared" si="124"/>
        <v>4</v>
      </c>
      <c r="AF180" s="66" t="str">
        <f t="shared" si="132"/>
        <v>저수</v>
      </c>
      <c r="AG180" s="66" t="str">
        <f t="shared" si="133"/>
        <v>저수</v>
      </c>
      <c r="AH180" s="66" t="str">
        <f t="shared" si="134"/>
        <v>고수</v>
      </c>
      <c r="AI180" s="66" t="str">
        <f t="shared" si="135"/>
        <v>고수</v>
      </c>
      <c r="AJ180" s="66" t="str">
        <f t="shared" si="136"/>
        <v>고수</v>
      </c>
      <c r="AK180" s="66" t="str">
        <f t="shared" si="137"/>
        <v>고수</v>
      </c>
      <c r="AL180" s="58" t="str">
        <f t="shared" si="138"/>
        <v>2 : 4</v>
      </c>
      <c r="AM180" s="66">
        <f t="shared" si="139"/>
        <v>2</v>
      </c>
      <c r="AN180" s="66">
        <f t="shared" si="140"/>
        <v>4</v>
      </c>
      <c r="AO180" s="66">
        <f t="shared" si="141"/>
        <v>20</v>
      </c>
      <c r="AP180" s="66" t="str">
        <f t="shared" si="142"/>
        <v>X</v>
      </c>
      <c r="AQ180" s="66" t="str">
        <f t="shared" si="143"/>
        <v>O</v>
      </c>
      <c r="AR180" s="66" t="str">
        <f t="shared" si="144"/>
        <v>X</v>
      </c>
      <c r="AS180" s="66" t="str">
        <f t="shared" si="145"/>
        <v>X</v>
      </c>
      <c r="AT180" s="66" t="str">
        <f t="shared" si="146"/>
        <v>X</v>
      </c>
      <c r="AU180" s="66" t="str">
        <f t="shared" si="147"/>
        <v>X</v>
      </c>
      <c r="AV180" s="66" t="str">
        <f t="shared" si="148"/>
        <v>X</v>
      </c>
      <c r="AW180" s="66" t="str">
        <f t="shared" si="149"/>
        <v>X</v>
      </c>
      <c r="AX180" s="66" t="str">
        <f t="shared" si="150"/>
        <v>X</v>
      </c>
      <c r="AY180" s="66" t="str">
        <f t="shared" si="151"/>
        <v>X</v>
      </c>
      <c r="AZ180" s="66" t="str">
        <f t="shared" si="152"/>
        <v>X</v>
      </c>
      <c r="BA180" s="66" t="str">
        <f t="shared" si="153"/>
        <v>X</v>
      </c>
      <c r="BB180" s="66">
        <f t="shared" si="154"/>
        <v>1</v>
      </c>
      <c r="BC180" s="127" t="str">
        <f t="shared" si="125"/>
        <v>1G</v>
      </c>
      <c r="BD180" s="127" t="str">
        <f t="shared" si="126"/>
        <v>2G</v>
      </c>
      <c r="BE180" s="127" t="str">
        <f t="shared" si="127"/>
        <v>2G</v>
      </c>
      <c r="BF180" s="127" t="str">
        <f t="shared" si="128"/>
        <v>3G</v>
      </c>
      <c r="BG180" s="127" t="str">
        <f t="shared" si="129"/>
        <v>3G</v>
      </c>
      <c r="BH180" s="127" t="str">
        <f t="shared" si="130"/>
        <v>3G</v>
      </c>
      <c r="BI180" s="127">
        <f t="shared" si="155"/>
        <v>1</v>
      </c>
      <c r="BJ180" s="127">
        <f t="shared" si="156"/>
        <v>2</v>
      </c>
      <c r="BK180" s="127">
        <f t="shared" si="157"/>
        <v>3</v>
      </c>
      <c r="BL180" s="127" t="str">
        <f t="shared" si="158"/>
        <v>123</v>
      </c>
      <c r="BS180"/>
      <c r="CL180" s="28">
        <v>128</v>
      </c>
      <c r="CM180" s="28">
        <v>120</v>
      </c>
      <c r="CO180"/>
    </row>
    <row r="181" spans="2:93" ht="16.5" hidden="1">
      <c r="B181" s="17">
        <v>177</v>
      </c>
      <c r="C181" s="363" t="s">
        <v>207</v>
      </c>
      <c r="D181" s="18">
        <v>7</v>
      </c>
      <c r="E181" s="20">
        <v>1693285500</v>
      </c>
      <c r="F181" s="18">
        <v>30</v>
      </c>
      <c r="G181" s="20">
        <v>65849992</v>
      </c>
      <c r="H181" s="20">
        <v>1260</v>
      </c>
      <c r="I181" s="20">
        <v>1567857</v>
      </c>
      <c r="J181" s="20">
        <v>64437</v>
      </c>
      <c r="K181" s="20">
        <v>61316</v>
      </c>
      <c r="L181" s="20">
        <v>1097033</v>
      </c>
      <c r="M181" s="20">
        <v>5000</v>
      </c>
      <c r="N181" s="167">
        <v>1</v>
      </c>
      <c r="O181" s="167">
        <v>10</v>
      </c>
      <c r="P181" s="167">
        <v>13</v>
      </c>
      <c r="Q181" s="167">
        <v>16</v>
      </c>
      <c r="R181" s="167">
        <v>37</v>
      </c>
      <c r="S181" s="167">
        <v>43</v>
      </c>
      <c r="T181" s="167">
        <v>6</v>
      </c>
      <c r="U181" s="28">
        <f t="shared" si="131"/>
        <v>120</v>
      </c>
      <c r="W181" s="32" t="str">
        <f t="shared" si="116"/>
        <v>홀수</v>
      </c>
      <c r="X181" s="32" t="str">
        <f t="shared" si="117"/>
        <v>짝수</v>
      </c>
      <c r="Y181" s="32" t="str">
        <f t="shared" si="118"/>
        <v>홀수</v>
      </c>
      <c r="Z181" s="32" t="str">
        <f t="shared" si="119"/>
        <v>짝수</v>
      </c>
      <c r="AA181" s="32" t="str">
        <f t="shared" si="120"/>
        <v>홀수</v>
      </c>
      <c r="AB181" s="32" t="str">
        <f t="shared" si="121"/>
        <v>홀수</v>
      </c>
      <c r="AC181" s="58" t="str">
        <f t="shared" si="122"/>
        <v>4 : 2</v>
      </c>
      <c r="AD181" s="32">
        <f t="shared" si="123"/>
        <v>4</v>
      </c>
      <c r="AE181" s="32">
        <f t="shared" si="124"/>
        <v>2</v>
      </c>
      <c r="AF181" s="66" t="str">
        <f t="shared" si="132"/>
        <v>저수</v>
      </c>
      <c r="AG181" s="66" t="str">
        <f t="shared" si="133"/>
        <v>저수</v>
      </c>
      <c r="AH181" s="66" t="str">
        <f t="shared" si="134"/>
        <v>저수</v>
      </c>
      <c r="AI181" s="66" t="str">
        <f t="shared" si="135"/>
        <v>저수</v>
      </c>
      <c r="AJ181" s="66" t="str">
        <f t="shared" si="136"/>
        <v>고수</v>
      </c>
      <c r="AK181" s="66" t="str">
        <f t="shared" si="137"/>
        <v>고수</v>
      </c>
      <c r="AL181" s="58" t="str">
        <f t="shared" si="138"/>
        <v>4 : 2</v>
      </c>
      <c r="AM181" s="66">
        <f t="shared" si="139"/>
        <v>4</v>
      </c>
      <c r="AN181" s="66">
        <f t="shared" si="140"/>
        <v>2</v>
      </c>
      <c r="AO181" s="66">
        <f t="shared" si="141"/>
        <v>20</v>
      </c>
      <c r="AP181" s="66" t="str">
        <f t="shared" si="142"/>
        <v>X</v>
      </c>
      <c r="AQ181" s="66" t="str">
        <f t="shared" si="143"/>
        <v>X</v>
      </c>
      <c r="AR181" s="66" t="str">
        <f t="shared" si="144"/>
        <v>O</v>
      </c>
      <c r="AS181" s="66" t="str">
        <f t="shared" si="145"/>
        <v>X</v>
      </c>
      <c r="AT181" s="66" t="str">
        <f t="shared" si="146"/>
        <v>X</v>
      </c>
      <c r="AU181" s="66" t="str">
        <f t="shared" si="147"/>
        <v>X</v>
      </c>
      <c r="AV181" s="66" t="str">
        <f t="shared" si="148"/>
        <v>X</v>
      </c>
      <c r="AW181" s="66" t="str">
        <f t="shared" si="149"/>
        <v>X</v>
      </c>
      <c r="AX181" s="66" t="str">
        <f t="shared" si="150"/>
        <v>X</v>
      </c>
      <c r="AY181" s="66" t="str">
        <f t="shared" si="151"/>
        <v>X</v>
      </c>
      <c r="AZ181" s="66" t="str">
        <f t="shared" si="152"/>
        <v>O</v>
      </c>
      <c r="BA181" s="66" t="str">
        <f t="shared" si="153"/>
        <v>O</v>
      </c>
      <c r="BB181" s="66">
        <f t="shared" si="154"/>
        <v>3</v>
      </c>
      <c r="BC181" s="127" t="str">
        <f t="shared" si="125"/>
        <v>1G</v>
      </c>
      <c r="BD181" s="127" t="str">
        <f t="shared" si="126"/>
        <v>1G</v>
      </c>
      <c r="BE181" s="127" t="str">
        <f t="shared" si="127"/>
        <v>1G</v>
      </c>
      <c r="BF181" s="127" t="str">
        <f t="shared" si="128"/>
        <v>2G</v>
      </c>
      <c r="BG181" s="127" t="str">
        <f t="shared" si="129"/>
        <v>3G</v>
      </c>
      <c r="BH181" s="127" t="str">
        <f t="shared" si="130"/>
        <v>3G</v>
      </c>
      <c r="BI181" s="127">
        <f t="shared" si="155"/>
        <v>3</v>
      </c>
      <c r="BJ181" s="127">
        <f t="shared" si="156"/>
        <v>1</v>
      </c>
      <c r="BK181" s="127">
        <f t="shared" si="157"/>
        <v>2</v>
      </c>
      <c r="BL181" s="127" t="str">
        <f t="shared" si="158"/>
        <v>312</v>
      </c>
      <c r="BS181"/>
      <c r="CL181" s="28">
        <v>128</v>
      </c>
      <c r="CM181" s="28">
        <v>120</v>
      </c>
      <c r="CO181"/>
    </row>
    <row r="182" spans="2:93" ht="16.5" hidden="1">
      <c r="B182" s="17">
        <v>178</v>
      </c>
      <c r="C182" s="363" t="s">
        <v>208</v>
      </c>
      <c r="D182" s="18">
        <v>5</v>
      </c>
      <c r="E182" s="20">
        <v>2254621080</v>
      </c>
      <c r="F182" s="18">
        <v>44</v>
      </c>
      <c r="G182" s="20">
        <v>42701157</v>
      </c>
      <c r="H182" s="20">
        <v>1566</v>
      </c>
      <c r="I182" s="20">
        <v>1199778</v>
      </c>
      <c r="J182" s="20">
        <v>74612</v>
      </c>
      <c r="K182" s="20">
        <v>50364</v>
      </c>
      <c r="L182" s="20">
        <v>1200574</v>
      </c>
      <c r="M182" s="20">
        <v>5000</v>
      </c>
      <c r="N182" s="167">
        <v>1</v>
      </c>
      <c r="O182" s="167">
        <v>5</v>
      </c>
      <c r="P182" s="167">
        <v>11</v>
      </c>
      <c r="Q182" s="167">
        <v>12</v>
      </c>
      <c r="R182" s="167">
        <v>18</v>
      </c>
      <c r="S182" s="167">
        <v>23</v>
      </c>
      <c r="T182" s="167">
        <v>9</v>
      </c>
      <c r="U182" s="28">
        <f t="shared" si="131"/>
        <v>70</v>
      </c>
      <c r="W182" s="32" t="str">
        <f t="shared" ref="W182:W245" si="159">IF(RIGHT(N182,1)="1","홀수",IF(RIGHT(N182,1)="3","홀수",IF(RIGHT(N182,1)="5","홀수",IF(RIGHT(N182,1)="7","홀수",IF(RIGHT(N182,1)="9","홀수","짝수")))))</f>
        <v>홀수</v>
      </c>
      <c r="X182" s="32" t="str">
        <f t="shared" ref="X182:X245" si="160">IF(RIGHT(O182,1)="1","홀수",IF(RIGHT(O182,1)="3","홀수",IF(RIGHT(O182,1)="5","홀수",IF(RIGHT(O182,1)="7","홀수",IF(RIGHT(O182,1)="9","홀수","짝수")))))</f>
        <v>홀수</v>
      </c>
      <c r="Y182" s="32" t="str">
        <f t="shared" ref="Y182:Y245" si="161">IF(RIGHT(P182,1)="1","홀수",IF(RIGHT(P182,1)="3","홀수",IF(RIGHT(P182,1)="5","홀수",IF(RIGHT(P182,1)="7","홀수",IF(RIGHT(P182,1)="9","홀수","짝수")))))</f>
        <v>홀수</v>
      </c>
      <c r="Z182" s="32" t="str">
        <f t="shared" ref="Z182:Z245" si="162">IF(RIGHT(Q182,1)="1","홀수",IF(RIGHT(Q182,1)="3","홀수",IF(RIGHT(Q182,1)="5","홀수",IF(RIGHT(Q182,1)="7","홀수",IF(RIGHT(Q182,1)="9","홀수","짝수")))))</f>
        <v>짝수</v>
      </c>
      <c r="AA182" s="32" t="str">
        <f t="shared" ref="AA182:AA245" si="163">IF(RIGHT(R182,1)="1","홀수",IF(RIGHT(R182,1)="3","홀수",IF(RIGHT(R182,1)="5","홀수",IF(RIGHT(R182,1)="7","홀수",IF(RIGHT(R182,1)="9","홀수","짝수")))))</f>
        <v>짝수</v>
      </c>
      <c r="AB182" s="32" t="str">
        <f t="shared" ref="AB182:AB245" si="164">IF(RIGHT(S182,1)="1","홀수",IF(RIGHT(S182,1)="3","홀수",IF(RIGHT(S182,1)="5","홀수",IF(RIGHT(S182,1)="7","홀수",IF(RIGHT(S182,1)="9","홀수","짝수")))))</f>
        <v>홀수</v>
      </c>
      <c r="AC182" s="58" t="str">
        <f t="shared" ref="AC182:AC245" si="165">AD182&amp;" : "&amp;AE182</f>
        <v>4 : 2</v>
      </c>
      <c r="AD182" s="32">
        <f t="shared" ref="AD182:AD245" si="166">COUNTIF(W182:AB182,"홀수")</f>
        <v>4</v>
      </c>
      <c r="AE182" s="32">
        <f t="shared" ref="AE182:AE245" si="167">COUNTIF(W182:AB182,"짝수")</f>
        <v>2</v>
      </c>
      <c r="AF182" s="66" t="str">
        <f t="shared" si="132"/>
        <v>저수</v>
      </c>
      <c r="AG182" s="66" t="str">
        <f t="shared" si="133"/>
        <v>저수</v>
      </c>
      <c r="AH182" s="66" t="str">
        <f t="shared" si="134"/>
        <v>저수</v>
      </c>
      <c r="AI182" s="66" t="str">
        <f t="shared" si="135"/>
        <v>저수</v>
      </c>
      <c r="AJ182" s="66" t="str">
        <f t="shared" si="136"/>
        <v>저수</v>
      </c>
      <c r="AK182" s="66" t="str">
        <f t="shared" si="137"/>
        <v>고수</v>
      </c>
      <c r="AL182" s="58" t="str">
        <f t="shared" si="138"/>
        <v>5 : 1</v>
      </c>
      <c r="AM182" s="66">
        <f t="shared" si="139"/>
        <v>5</v>
      </c>
      <c r="AN182" s="66">
        <f t="shared" si="140"/>
        <v>1</v>
      </c>
      <c r="AO182" s="66">
        <f t="shared" si="141"/>
        <v>20</v>
      </c>
      <c r="AP182" s="66" t="str">
        <f t="shared" si="142"/>
        <v>X</v>
      </c>
      <c r="AQ182" s="66" t="str">
        <f t="shared" si="143"/>
        <v>O</v>
      </c>
      <c r="AR182" s="66" t="str">
        <f t="shared" si="144"/>
        <v>O</v>
      </c>
      <c r="AS182" s="66" t="str">
        <f t="shared" si="145"/>
        <v>X</v>
      </c>
      <c r="AT182" s="66" t="str">
        <f t="shared" si="146"/>
        <v>X</v>
      </c>
      <c r="AU182" s="66" t="str">
        <f t="shared" si="147"/>
        <v>X</v>
      </c>
      <c r="AV182" s="66" t="str">
        <f t="shared" si="148"/>
        <v>X</v>
      </c>
      <c r="AW182" s="66" t="str">
        <f t="shared" si="149"/>
        <v>X</v>
      </c>
      <c r="AX182" s="66" t="str">
        <f t="shared" si="150"/>
        <v>X</v>
      </c>
      <c r="AY182" s="66" t="str">
        <f t="shared" si="151"/>
        <v>X</v>
      </c>
      <c r="AZ182" s="66" t="str">
        <f t="shared" si="152"/>
        <v>X</v>
      </c>
      <c r="BA182" s="66" t="str">
        <f t="shared" si="153"/>
        <v>O</v>
      </c>
      <c r="BB182" s="66">
        <f t="shared" si="154"/>
        <v>3</v>
      </c>
      <c r="BC182" s="127" t="str">
        <f t="shared" si="125"/>
        <v>1G</v>
      </c>
      <c r="BD182" s="127" t="str">
        <f t="shared" si="126"/>
        <v>1G</v>
      </c>
      <c r="BE182" s="127" t="str">
        <f t="shared" si="127"/>
        <v>1G</v>
      </c>
      <c r="BF182" s="127" t="str">
        <f t="shared" si="128"/>
        <v>1G</v>
      </c>
      <c r="BG182" s="127" t="str">
        <f t="shared" si="129"/>
        <v>2G</v>
      </c>
      <c r="BH182" s="127" t="str">
        <f t="shared" si="130"/>
        <v>2G</v>
      </c>
      <c r="BI182" s="127">
        <f t="shared" si="155"/>
        <v>4</v>
      </c>
      <c r="BJ182" s="127">
        <f t="shared" si="156"/>
        <v>2</v>
      </c>
      <c r="BK182" s="127">
        <f t="shared" si="157"/>
        <v>0</v>
      </c>
      <c r="BL182" s="127" t="str">
        <f t="shared" si="158"/>
        <v>420</v>
      </c>
      <c r="BS182"/>
      <c r="CL182" s="28">
        <v>128</v>
      </c>
      <c r="CM182" s="28">
        <v>120</v>
      </c>
      <c r="CO182"/>
    </row>
    <row r="183" spans="2:93" ht="16.5" hidden="1">
      <c r="B183" s="17">
        <v>179</v>
      </c>
      <c r="C183" s="363" t="s">
        <v>209</v>
      </c>
      <c r="D183" s="18">
        <v>10</v>
      </c>
      <c r="E183" s="20">
        <v>1081093920</v>
      </c>
      <c r="F183" s="18">
        <v>53</v>
      </c>
      <c r="G183" s="20">
        <v>33996665</v>
      </c>
      <c r="H183" s="20">
        <v>1540</v>
      </c>
      <c r="I183" s="20">
        <v>1170016</v>
      </c>
      <c r="J183" s="20">
        <v>69956</v>
      </c>
      <c r="K183" s="20">
        <v>51514</v>
      </c>
      <c r="L183" s="20">
        <v>1125523</v>
      </c>
      <c r="M183" s="20">
        <v>5000</v>
      </c>
      <c r="N183" s="167">
        <v>5</v>
      </c>
      <c r="O183" s="167">
        <v>9</v>
      </c>
      <c r="P183" s="167">
        <v>17</v>
      </c>
      <c r="Q183" s="167">
        <v>25</v>
      </c>
      <c r="R183" s="167">
        <v>39</v>
      </c>
      <c r="S183" s="167">
        <v>43</v>
      </c>
      <c r="T183" s="167">
        <v>32</v>
      </c>
      <c r="U183" s="28">
        <f t="shared" si="131"/>
        <v>138</v>
      </c>
      <c r="W183" s="32" t="str">
        <f t="shared" si="159"/>
        <v>홀수</v>
      </c>
      <c r="X183" s="32" t="str">
        <f t="shared" si="160"/>
        <v>홀수</v>
      </c>
      <c r="Y183" s="32" t="str">
        <f t="shared" si="161"/>
        <v>홀수</v>
      </c>
      <c r="Z183" s="32" t="str">
        <f t="shared" si="162"/>
        <v>홀수</v>
      </c>
      <c r="AA183" s="32" t="str">
        <f t="shared" si="163"/>
        <v>홀수</v>
      </c>
      <c r="AB183" s="32" t="str">
        <f t="shared" si="164"/>
        <v>홀수</v>
      </c>
      <c r="AC183" s="58" t="str">
        <f t="shared" si="165"/>
        <v>6 : 0</v>
      </c>
      <c r="AD183" s="32">
        <f t="shared" si="166"/>
        <v>6</v>
      </c>
      <c r="AE183" s="32">
        <f t="shared" si="167"/>
        <v>0</v>
      </c>
      <c r="AF183" s="66" t="str">
        <f t="shared" si="132"/>
        <v>저수</v>
      </c>
      <c r="AG183" s="66" t="str">
        <f t="shared" si="133"/>
        <v>저수</v>
      </c>
      <c r="AH183" s="66" t="str">
        <f t="shared" si="134"/>
        <v>저수</v>
      </c>
      <c r="AI183" s="66" t="str">
        <f t="shared" si="135"/>
        <v>고수</v>
      </c>
      <c r="AJ183" s="66" t="str">
        <f t="shared" si="136"/>
        <v>고수</v>
      </c>
      <c r="AK183" s="66" t="str">
        <f t="shared" si="137"/>
        <v>고수</v>
      </c>
      <c r="AL183" s="58" t="str">
        <f t="shared" si="138"/>
        <v>3 : 3</v>
      </c>
      <c r="AM183" s="66">
        <f t="shared" si="139"/>
        <v>3</v>
      </c>
      <c r="AN183" s="66">
        <f t="shared" si="140"/>
        <v>3</v>
      </c>
      <c r="AO183" s="66">
        <f t="shared" si="141"/>
        <v>38</v>
      </c>
      <c r="AP183" s="66" t="str">
        <f t="shared" si="142"/>
        <v>O</v>
      </c>
      <c r="AQ183" s="66" t="str">
        <f t="shared" si="143"/>
        <v>X</v>
      </c>
      <c r="AR183" s="66" t="str">
        <f t="shared" si="144"/>
        <v>O</v>
      </c>
      <c r="AS183" s="66" t="str">
        <f t="shared" si="145"/>
        <v>X</v>
      </c>
      <c r="AT183" s="66" t="str">
        <f t="shared" si="146"/>
        <v>X</v>
      </c>
      <c r="AU183" s="66" t="str">
        <f t="shared" si="147"/>
        <v>X</v>
      </c>
      <c r="AV183" s="66" t="str">
        <f t="shared" si="148"/>
        <v>X</v>
      </c>
      <c r="AW183" s="66" t="str">
        <f t="shared" si="149"/>
        <v>X</v>
      </c>
      <c r="AX183" s="66" t="str">
        <f t="shared" si="150"/>
        <v>X</v>
      </c>
      <c r="AY183" s="66" t="str">
        <f t="shared" si="151"/>
        <v>X</v>
      </c>
      <c r="AZ183" s="66" t="str">
        <f t="shared" si="152"/>
        <v>X</v>
      </c>
      <c r="BA183" s="66" t="str">
        <f t="shared" si="153"/>
        <v>O</v>
      </c>
      <c r="BB183" s="66">
        <f t="shared" si="154"/>
        <v>3</v>
      </c>
      <c r="BC183" s="127" t="str">
        <f t="shared" si="125"/>
        <v>1G</v>
      </c>
      <c r="BD183" s="127" t="str">
        <f t="shared" si="126"/>
        <v>1G</v>
      </c>
      <c r="BE183" s="127" t="str">
        <f t="shared" si="127"/>
        <v>2G</v>
      </c>
      <c r="BF183" s="127" t="str">
        <f t="shared" si="128"/>
        <v>2G</v>
      </c>
      <c r="BG183" s="127" t="str">
        <f t="shared" si="129"/>
        <v>3G</v>
      </c>
      <c r="BH183" s="127" t="str">
        <f t="shared" si="130"/>
        <v>3G</v>
      </c>
      <c r="BI183" s="127">
        <f t="shared" si="155"/>
        <v>2</v>
      </c>
      <c r="BJ183" s="127">
        <f t="shared" si="156"/>
        <v>2</v>
      </c>
      <c r="BK183" s="127">
        <f t="shared" si="157"/>
        <v>2</v>
      </c>
      <c r="BL183" s="127" t="str">
        <f t="shared" si="158"/>
        <v>222</v>
      </c>
      <c r="BS183"/>
      <c r="CL183" s="28">
        <v>128</v>
      </c>
      <c r="CM183" s="28">
        <v>120</v>
      </c>
      <c r="CO183"/>
    </row>
    <row r="184" spans="2:93" ht="16.5" hidden="1">
      <c r="B184" s="17">
        <v>180</v>
      </c>
      <c r="C184" s="363" t="s">
        <v>210</v>
      </c>
      <c r="D184" s="18">
        <v>2</v>
      </c>
      <c r="E184" s="20">
        <v>5763371550</v>
      </c>
      <c r="F184" s="18">
        <v>35</v>
      </c>
      <c r="G184" s="20">
        <v>54889253</v>
      </c>
      <c r="H184" s="20">
        <v>1284</v>
      </c>
      <c r="I184" s="20">
        <v>1496203</v>
      </c>
      <c r="J184" s="20">
        <v>62876</v>
      </c>
      <c r="K184" s="20">
        <v>61109</v>
      </c>
      <c r="L184" s="20">
        <v>1047300</v>
      </c>
      <c r="M184" s="20">
        <v>5000</v>
      </c>
      <c r="N184" s="167">
        <v>2</v>
      </c>
      <c r="O184" s="167">
        <v>15</v>
      </c>
      <c r="P184" s="167">
        <v>20</v>
      </c>
      <c r="Q184" s="167">
        <v>21</v>
      </c>
      <c r="R184" s="167">
        <v>29</v>
      </c>
      <c r="S184" s="167">
        <v>34</v>
      </c>
      <c r="T184" s="167">
        <v>22</v>
      </c>
      <c r="U184" s="28">
        <f t="shared" si="131"/>
        <v>121</v>
      </c>
      <c r="W184" s="32" t="str">
        <f t="shared" si="159"/>
        <v>짝수</v>
      </c>
      <c r="X184" s="32" t="str">
        <f t="shared" si="160"/>
        <v>홀수</v>
      </c>
      <c r="Y184" s="32" t="str">
        <f t="shared" si="161"/>
        <v>짝수</v>
      </c>
      <c r="Z184" s="32" t="str">
        <f t="shared" si="162"/>
        <v>홀수</v>
      </c>
      <c r="AA184" s="32" t="str">
        <f t="shared" si="163"/>
        <v>홀수</v>
      </c>
      <c r="AB184" s="32" t="str">
        <f t="shared" si="164"/>
        <v>짝수</v>
      </c>
      <c r="AC184" s="58" t="str">
        <f t="shared" si="165"/>
        <v>3 : 3</v>
      </c>
      <c r="AD184" s="32">
        <f t="shared" si="166"/>
        <v>3</v>
      </c>
      <c r="AE184" s="32">
        <f t="shared" si="167"/>
        <v>3</v>
      </c>
      <c r="AF184" s="66" t="str">
        <f t="shared" si="132"/>
        <v>저수</v>
      </c>
      <c r="AG184" s="66" t="str">
        <f t="shared" si="133"/>
        <v>저수</v>
      </c>
      <c r="AH184" s="66" t="str">
        <f t="shared" si="134"/>
        <v>저수</v>
      </c>
      <c r="AI184" s="66" t="str">
        <f t="shared" si="135"/>
        <v>저수</v>
      </c>
      <c r="AJ184" s="66" t="str">
        <f t="shared" si="136"/>
        <v>고수</v>
      </c>
      <c r="AK184" s="66" t="str">
        <f t="shared" si="137"/>
        <v>고수</v>
      </c>
      <c r="AL184" s="58" t="str">
        <f t="shared" si="138"/>
        <v>4 : 2</v>
      </c>
      <c r="AM184" s="66">
        <f t="shared" si="139"/>
        <v>4</v>
      </c>
      <c r="AN184" s="66">
        <f t="shared" si="140"/>
        <v>2</v>
      </c>
      <c r="AO184" s="66">
        <f t="shared" si="141"/>
        <v>21</v>
      </c>
      <c r="AP184" s="66" t="str">
        <f t="shared" si="142"/>
        <v>O</v>
      </c>
      <c r="AQ184" s="66" t="str">
        <f t="shared" si="143"/>
        <v>X</v>
      </c>
      <c r="AR184" s="66" t="str">
        <f t="shared" si="144"/>
        <v>X</v>
      </c>
      <c r="AS184" s="66" t="str">
        <f t="shared" si="145"/>
        <v>X</v>
      </c>
      <c r="AT184" s="66" t="str">
        <f t="shared" si="146"/>
        <v>X</v>
      </c>
      <c r="AU184" s="66" t="str">
        <f t="shared" si="147"/>
        <v>X</v>
      </c>
      <c r="AV184" s="66" t="str">
        <f t="shared" si="148"/>
        <v>X</v>
      </c>
      <c r="AW184" s="66" t="str">
        <f t="shared" si="149"/>
        <v>X</v>
      </c>
      <c r="AX184" s="66" t="str">
        <f t="shared" si="150"/>
        <v>X</v>
      </c>
      <c r="AY184" s="66" t="str">
        <f t="shared" si="151"/>
        <v>X</v>
      </c>
      <c r="AZ184" s="66" t="str">
        <f t="shared" si="152"/>
        <v>O</v>
      </c>
      <c r="BA184" s="66" t="str">
        <f t="shared" si="153"/>
        <v>X</v>
      </c>
      <c r="BB184" s="66">
        <f t="shared" si="154"/>
        <v>2</v>
      </c>
      <c r="BC184" s="127" t="str">
        <f t="shared" si="125"/>
        <v>1G</v>
      </c>
      <c r="BD184" s="127" t="str">
        <f t="shared" si="126"/>
        <v>1G</v>
      </c>
      <c r="BE184" s="127" t="str">
        <f t="shared" si="127"/>
        <v>2G</v>
      </c>
      <c r="BF184" s="127" t="str">
        <f t="shared" si="128"/>
        <v>2G</v>
      </c>
      <c r="BG184" s="127" t="str">
        <f t="shared" si="129"/>
        <v>2G</v>
      </c>
      <c r="BH184" s="127" t="str">
        <f t="shared" si="130"/>
        <v>3G</v>
      </c>
      <c r="BI184" s="127">
        <f t="shared" si="155"/>
        <v>2</v>
      </c>
      <c r="BJ184" s="127">
        <f t="shared" si="156"/>
        <v>3</v>
      </c>
      <c r="BK184" s="127">
        <f t="shared" si="157"/>
        <v>1</v>
      </c>
      <c r="BL184" s="127" t="str">
        <f t="shared" si="158"/>
        <v>231</v>
      </c>
      <c r="BS184"/>
      <c r="CL184" s="28">
        <v>128</v>
      </c>
      <c r="CM184" s="28">
        <v>120</v>
      </c>
      <c r="CO184"/>
    </row>
    <row r="185" spans="2:93" ht="16.5" hidden="1">
      <c r="B185" s="17">
        <v>181</v>
      </c>
      <c r="C185" s="363" t="s">
        <v>211</v>
      </c>
      <c r="D185" s="18">
        <v>6</v>
      </c>
      <c r="E185" s="20">
        <v>1941763300</v>
      </c>
      <c r="F185" s="18">
        <v>24</v>
      </c>
      <c r="G185" s="20">
        <v>80906805</v>
      </c>
      <c r="H185" s="20">
        <v>1233</v>
      </c>
      <c r="I185" s="20">
        <v>1574829</v>
      </c>
      <c r="J185" s="20">
        <v>60637</v>
      </c>
      <c r="K185" s="20">
        <v>64046</v>
      </c>
      <c r="L185" s="20">
        <v>1028918</v>
      </c>
      <c r="M185" s="20">
        <v>5000</v>
      </c>
      <c r="N185" s="167">
        <v>14</v>
      </c>
      <c r="O185" s="167">
        <v>21</v>
      </c>
      <c r="P185" s="167">
        <v>23</v>
      </c>
      <c r="Q185" s="167">
        <v>32</v>
      </c>
      <c r="R185" s="167">
        <v>40</v>
      </c>
      <c r="S185" s="167">
        <v>45</v>
      </c>
      <c r="T185" s="167">
        <v>44</v>
      </c>
      <c r="U185" s="28">
        <f t="shared" si="131"/>
        <v>175</v>
      </c>
      <c r="W185" s="32" t="str">
        <f t="shared" si="159"/>
        <v>짝수</v>
      </c>
      <c r="X185" s="32" t="str">
        <f t="shared" si="160"/>
        <v>홀수</v>
      </c>
      <c r="Y185" s="32" t="str">
        <f t="shared" si="161"/>
        <v>홀수</v>
      </c>
      <c r="Z185" s="32" t="str">
        <f t="shared" si="162"/>
        <v>짝수</v>
      </c>
      <c r="AA185" s="32" t="str">
        <f t="shared" si="163"/>
        <v>짝수</v>
      </c>
      <c r="AB185" s="32" t="str">
        <f t="shared" si="164"/>
        <v>홀수</v>
      </c>
      <c r="AC185" s="58" t="str">
        <f t="shared" si="165"/>
        <v>3 : 3</v>
      </c>
      <c r="AD185" s="32">
        <f t="shared" si="166"/>
        <v>3</v>
      </c>
      <c r="AE185" s="32">
        <f t="shared" si="167"/>
        <v>3</v>
      </c>
      <c r="AF185" s="66" t="str">
        <f t="shared" si="132"/>
        <v>저수</v>
      </c>
      <c r="AG185" s="66" t="str">
        <f t="shared" si="133"/>
        <v>저수</v>
      </c>
      <c r="AH185" s="66" t="str">
        <f t="shared" si="134"/>
        <v>고수</v>
      </c>
      <c r="AI185" s="66" t="str">
        <f t="shared" si="135"/>
        <v>고수</v>
      </c>
      <c r="AJ185" s="66" t="str">
        <f t="shared" si="136"/>
        <v>고수</v>
      </c>
      <c r="AK185" s="66" t="str">
        <f t="shared" si="137"/>
        <v>고수</v>
      </c>
      <c r="AL185" s="58" t="str">
        <f t="shared" si="138"/>
        <v>2 : 4</v>
      </c>
      <c r="AM185" s="66">
        <f t="shared" si="139"/>
        <v>2</v>
      </c>
      <c r="AN185" s="66">
        <f t="shared" si="140"/>
        <v>4</v>
      </c>
      <c r="AO185" s="66">
        <f t="shared" si="141"/>
        <v>15</v>
      </c>
      <c r="AP185" s="66" t="str">
        <f t="shared" si="142"/>
        <v>X</v>
      </c>
      <c r="AQ185" s="66" t="str">
        <f t="shared" si="143"/>
        <v>X</v>
      </c>
      <c r="AR185" s="66" t="str">
        <f t="shared" si="144"/>
        <v>X</v>
      </c>
      <c r="AS185" s="66" t="str">
        <f t="shared" si="145"/>
        <v>X</v>
      </c>
      <c r="AT185" s="66" t="str">
        <f t="shared" si="146"/>
        <v>X</v>
      </c>
      <c r="AU185" s="66" t="str">
        <f t="shared" si="147"/>
        <v>X</v>
      </c>
      <c r="AV185" s="66" t="str">
        <f t="shared" si="148"/>
        <v>X</v>
      </c>
      <c r="AW185" s="66" t="str">
        <f t="shared" si="149"/>
        <v>X</v>
      </c>
      <c r="AX185" s="66" t="str">
        <f t="shared" si="150"/>
        <v>O</v>
      </c>
      <c r="AY185" s="66" t="str">
        <f t="shared" si="151"/>
        <v>X</v>
      </c>
      <c r="AZ185" s="66" t="str">
        <f t="shared" si="152"/>
        <v>X</v>
      </c>
      <c r="BA185" s="66" t="str">
        <f t="shared" si="153"/>
        <v>X</v>
      </c>
      <c r="BB185" s="66">
        <f t="shared" si="154"/>
        <v>1</v>
      </c>
      <c r="BC185" s="127" t="str">
        <f t="shared" si="125"/>
        <v>1G</v>
      </c>
      <c r="BD185" s="127" t="str">
        <f t="shared" si="126"/>
        <v>2G</v>
      </c>
      <c r="BE185" s="127" t="str">
        <f t="shared" si="127"/>
        <v>2G</v>
      </c>
      <c r="BF185" s="127" t="str">
        <f t="shared" si="128"/>
        <v>3G</v>
      </c>
      <c r="BG185" s="127" t="str">
        <f t="shared" si="129"/>
        <v>3G</v>
      </c>
      <c r="BH185" s="127" t="str">
        <f t="shared" si="130"/>
        <v>3G</v>
      </c>
      <c r="BI185" s="127">
        <f t="shared" si="155"/>
        <v>1</v>
      </c>
      <c r="BJ185" s="127">
        <f t="shared" si="156"/>
        <v>2</v>
      </c>
      <c r="BK185" s="127">
        <f t="shared" si="157"/>
        <v>3</v>
      </c>
      <c r="BL185" s="127" t="str">
        <f t="shared" si="158"/>
        <v>123</v>
      </c>
      <c r="BS185"/>
      <c r="CL185" s="28">
        <v>128</v>
      </c>
      <c r="CM185" s="28">
        <v>120</v>
      </c>
      <c r="CO185"/>
    </row>
    <row r="186" spans="2:93" ht="16.5" hidden="1">
      <c r="B186" s="17">
        <v>182</v>
      </c>
      <c r="C186" s="363" t="s">
        <v>212</v>
      </c>
      <c r="D186" s="18">
        <v>3</v>
      </c>
      <c r="E186" s="20">
        <v>3721439400</v>
      </c>
      <c r="F186" s="18">
        <v>44</v>
      </c>
      <c r="G186" s="20">
        <v>42289085</v>
      </c>
      <c r="H186" s="20">
        <v>1228</v>
      </c>
      <c r="I186" s="20">
        <v>1515245</v>
      </c>
      <c r="J186" s="20">
        <v>59004</v>
      </c>
      <c r="K186" s="20">
        <v>63071</v>
      </c>
      <c r="L186" s="20">
        <v>1000820</v>
      </c>
      <c r="M186" s="20">
        <v>5000</v>
      </c>
      <c r="N186" s="167">
        <v>13</v>
      </c>
      <c r="O186" s="167">
        <v>15</v>
      </c>
      <c r="P186" s="167">
        <v>27</v>
      </c>
      <c r="Q186" s="167">
        <v>29</v>
      </c>
      <c r="R186" s="167">
        <v>34</v>
      </c>
      <c r="S186" s="167">
        <v>40</v>
      </c>
      <c r="T186" s="167">
        <v>35</v>
      </c>
      <c r="U186" s="28">
        <f t="shared" si="131"/>
        <v>158</v>
      </c>
      <c r="W186" s="32" t="str">
        <f t="shared" si="159"/>
        <v>홀수</v>
      </c>
      <c r="X186" s="32" t="str">
        <f t="shared" si="160"/>
        <v>홀수</v>
      </c>
      <c r="Y186" s="32" t="str">
        <f t="shared" si="161"/>
        <v>홀수</v>
      </c>
      <c r="Z186" s="32" t="str">
        <f t="shared" si="162"/>
        <v>홀수</v>
      </c>
      <c r="AA186" s="32" t="str">
        <f t="shared" si="163"/>
        <v>짝수</v>
      </c>
      <c r="AB186" s="32" t="str">
        <f t="shared" si="164"/>
        <v>짝수</v>
      </c>
      <c r="AC186" s="58" t="str">
        <f t="shared" si="165"/>
        <v>4 : 2</v>
      </c>
      <c r="AD186" s="32">
        <f t="shared" si="166"/>
        <v>4</v>
      </c>
      <c r="AE186" s="32">
        <f t="shared" si="167"/>
        <v>2</v>
      </c>
      <c r="AF186" s="66" t="str">
        <f t="shared" si="132"/>
        <v>저수</v>
      </c>
      <c r="AG186" s="66" t="str">
        <f t="shared" si="133"/>
        <v>저수</v>
      </c>
      <c r="AH186" s="66" t="str">
        <f t="shared" si="134"/>
        <v>고수</v>
      </c>
      <c r="AI186" s="66" t="str">
        <f t="shared" si="135"/>
        <v>고수</v>
      </c>
      <c r="AJ186" s="66" t="str">
        <f t="shared" si="136"/>
        <v>고수</v>
      </c>
      <c r="AK186" s="66" t="str">
        <f t="shared" si="137"/>
        <v>고수</v>
      </c>
      <c r="AL186" s="58" t="str">
        <f t="shared" si="138"/>
        <v>2 : 4</v>
      </c>
      <c r="AM186" s="66">
        <f t="shared" si="139"/>
        <v>2</v>
      </c>
      <c r="AN186" s="66">
        <f t="shared" si="140"/>
        <v>4</v>
      </c>
      <c r="AO186" s="66">
        <f t="shared" si="141"/>
        <v>28</v>
      </c>
      <c r="AP186" s="66" t="str">
        <f t="shared" si="142"/>
        <v>O</v>
      </c>
      <c r="AQ186" s="66" t="str">
        <f t="shared" si="143"/>
        <v>X</v>
      </c>
      <c r="AR186" s="66" t="str">
        <f t="shared" si="144"/>
        <v>X</v>
      </c>
      <c r="AS186" s="66" t="str">
        <f t="shared" si="145"/>
        <v>X</v>
      </c>
      <c r="AT186" s="66" t="str">
        <f t="shared" si="146"/>
        <v>X</v>
      </c>
      <c r="AU186" s="66" t="str">
        <f t="shared" si="147"/>
        <v>X</v>
      </c>
      <c r="AV186" s="66" t="str">
        <f t="shared" si="148"/>
        <v>X</v>
      </c>
      <c r="AW186" s="66" t="str">
        <f t="shared" si="149"/>
        <v>X</v>
      </c>
      <c r="AX186" s="66" t="str">
        <f t="shared" si="150"/>
        <v>X</v>
      </c>
      <c r="AY186" s="66" t="str">
        <f t="shared" si="151"/>
        <v>O</v>
      </c>
      <c r="AZ186" s="66" t="str">
        <f t="shared" si="152"/>
        <v>X</v>
      </c>
      <c r="BA186" s="66" t="str">
        <f t="shared" si="153"/>
        <v>X</v>
      </c>
      <c r="BB186" s="66">
        <f t="shared" si="154"/>
        <v>2</v>
      </c>
      <c r="BC186" s="127" t="str">
        <f t="shared" si="125"/>
        <v>1G</v>
      </c>
      <c r="BD186" s="127" t="str">
        <f t="shared" si="126"/>
        <v>1G</v>
      </c>
      <c r="BE186" s="127" t="str">
        <f t="shared" si="127"/>
        <v>2G</v>
      </c>
      <c r="BF186" s="127" t="str">
        <f t="shared" si="128"/>
        <v>2G</v>
      </c>
      <c r="BG186" s="127" t="str">
        <f t="shared" si="129"/>
        <v>3G</v>
      </c>
      <c r="BH186" s="127" t="str">
        <f t="shared" si="130"/>
        <v>3G</v>
      </c>
      <c r="BI186" s="127">
        <f t="shared" si="155"/>
        <v>2</v>
      </c>
      <c r="BJ186" s="127">
        <f t="shared" si="156"/>
        <v>2</v>
      </c>
      <c r="BK186" s="127">
        <f t="shared" si="157"/>
        <v>2</v>
      </c>
      <c r="BL186" s="127" t="str">
        <f t="shared" si="158"/>
        <v>222</v>
      </c>
      <c r="BS186"/>
      <c r="CL186" s="28">
        <v>128</v>
      </c>
      <c r="CM186" s="28">
        <v>120</v>
      </c>
      <c r="CO186"/>
    </row>
    <row r="187" spans="2:93" ht="16.5" hidden="1">
      <c r="B187" s="17">
        <v>183</v>
      </c>
      <c r="C187" s="363" t="s">
        <v>213</v>
      </c>
      <c r="D187" s="18">
        <v>6</v>
      </c>
      <c r="E187" s="20">
        <v>1777221500</v>
      </c>
      <c r="F187" s="18">
        <v>25</v>
      </c>
      <c r="G187" s="20">
        <v>71088860</v>
      </c>
      <c r="H187" s="20">
        <v>1294</v>
      </c>
      <c r="I187" s="20">
        <v>1373433</v>
      </c>
      <c r="J187" s="20">
        <v>67137</v>
      </c>
      <c r="K187" s="20">
        <v>52944</v>
      </c>
      <c r="L187" s="20">
        <v>1039403</v>
      </c>
      <c r="M187" s="20">
        <v>5000</v>
      </c>
      <c r="N187" s="167">
        <v>2</v>
      </c>
      <c r="O187" s="167">
        <v>18</v>
      </c>
      <c r="P187" s="167">
        <v>24</v>
      </c>
      <c r="Q187" s="167">
        <v>34</v>
      </c>
      <c r="R187" s="167">
        <v>40</v>
      </c>
      <c r="S187" s="167">
        <v>42</v>
      </c>
      <c r="T187" s="167">
        <v>5</v>
      </c>
      <c r="U187" s="28">
        <f t="shared" si="131"/>
        <v>160</v>
      </c>
      <c r="W187" s="32" t="str">
        <f t="shared" si="159"/>
        <v>짝수</v>
      </c>
      <c r="X187" s="32" t="str">
        <f t="shared" si="160"/>
        <v>짝수</v>
      </c>
      <c r="Y187" s="32" t="str">
        <f t="shared" si="161"/>
        <v>짝수</v>
      </c>
      <c r="Z187" s="32" t="str">
        <f t="shared" si="162"/>
        <v>짝수</v>
      </c>
      <c r="AA187" s="32" t="str">
        <f t="shared" si="163"/>
        <v>짝수</v>
      </c>
      <c r="AB187" s="32" t="str">
        <f t="shared" si="164"/>
        <v>짝수</v>
      </c>
      <c r="AC187" s="58" t="str">
        <f t="shared" si="165"/>
        <v>0 : 6</v>
      </c>
      <c r="AD187" s="32">
        <f t="shared" si="166"/>
        <v>0</v>
      </c>
      <c r="AE187" s="32">
        <f t="shared" si="167"/>
        <v>6</v>
      </c>
      <c r="AF187" s="66" t="str">
        <f t="shared" si="132"/>
        <v>저수</v>
      </c>
      <c r="AG187" s="66" t="str">
        <f t="shared" si="133"/>
        <v>저수</v>
      </c>
      <c r="AH187" s="66" t="str">
        <f t="shared" si="134"/>
        <v>고수</v>
      </c>
      <c r="AI187" s="66" t="str">
        <f t="shared" si="135"/>
        <v>고수</v>
      </c>
      <c r="AJ187" s="66" t="str">
        <f t="shared" si="136"/>
        <v>고수</v>
      </c>
      <c r="AK187" s="66" t="str">
        <f t="shared" si="137"/>
        <v>고수</v>
      </c>
      <c r="AL187" s="58" t="str">
        <f t="shared" si="138"/>
        <v>2 : 4</v>
      </c>
      <c r="AM187" s="66">
        <f t="shared" si="139"/>
        <v>2</v>
      </c>
      <c r="AN187" s="66">
        <f t="shared" si="140"/>
        <v>4</v>
      </c>
      <c r="AO187" s="66">
        <f t="shared" si="141"/>
        <v>20</v>
      </c>
      <c r="AP187" s="66" t="str">
        <f t="shared" si="142"/>
        <v>O</v>
      </c>
      <c r="AQ187" s="66" t="str">
        <f t="shared" si="143"/>
        <v>X</v>
      </c>
      <c r="AR187" s="66" t="str">
        <f t="shared" si="144"/>
        <v>X</v>
      </c>
      <c r="AS187" s="66" t="str">
        <f t="shared" si="145"/>
        <v>X</v>
      </c>
      <c r="AT187" s="66" t="str">
        <f t="shared" si="146"/>
        <v>X</v>
      </c>
      <c r="AU187" s="66" t="str">
        <f t="shared" si="147"/>
        <v>X</v>
      </c>
      <c r="AV187" s="66" t="str">
        <f t="shared" si="148"/>
        <v>X</v>
      </c>
      <c r="AW187" s="66" t="str">
        <f t="shared" si="149"/>
        <v>X</v>
      </c>
      <c r="AX187" s="66" t="str">
        <f t="shared" si="150"/>
        <v>X</v>
      </c>
      <c r="AY187" s="66" t="str">
        <f t="shared" si="151"/>
        <v>X</v>
      </c>
      <c r="AZ187" s="66" t="str">
        <f t="shared" si="152"/>
        <v>X</v>
      </c>
      <c r="BA187" s="66" t="str">
        <f t="shared" si="153"/>
        <v>X</v>
      </c>
      <c r="BB187" s="66">
        <f t="shared" si="154"/>
        <v>1</v>
      </c>
      <c r="BC187" s="127" t="str">
        <f t="shared" si="125"/>
        <v>1G</v>
      </c>
      <c r="BD187" s="127" t="str">
        <f t="shared" si="126"/>
        <v>2G</v>
      </c>
      <c r="BE187" s="127" t="str">
        <f t="shared" si="127"/>
        <v>2G</v>
      </c>
      <c r="BF187" s="127" t="str">
        <f t="shared" si="128"/>
        <v>3G</v>
      </c>
      <c r="BG187" s="127" t="str">
        <f t="shared" si="129"/>
        <v>3G</v>
      </c>
      <c r="BH187" s="127" t="str">
        <f t="shared" si="130"/>
        <v>3G</v>
      </c>
      <c r="BI187" s="127">
        <f t="shared" si="155"/>
        <v>1</v>
      </c>
      <c r="BJ187" s="127">
        <f t="shared" si="156"/>
        <v>2</v>
      </c>
      <c r="BK187" s="127">
        <f t="shared" si="157"/>
        <v>3</v>
      </c>
      <c r="BL187" s="127" t="str">
        <f t="shared" si="158"/>
        <v>123</v>
      </c>
      <c r="BS187"/>
      <c r="CL187" s="28">
        <v>128</v>
      </c>
      <c r="CM187" s="28">
        <v>120</v>
      </c>
      <c r="CO187"/>
    </row>
    <row r="188" spans="2:93" ht="16.5" hidden="1">
      <c r="B188" s="17">
        <v>184</v>
      </c>
      <c r="C188" s="363" t="s">
        <v>214</v>
      </c>
      <c r="D188" s="18">
        <v>6</v>
      </c>
      <c r="E188" s="20">
        <v>1747753050</v>
      </c>
      <c r="F188" s="18">
        <v>31</v>
      </c>
      <c r="G188" s="20">
        <v>56379131</v>
      </c>
      <c r="H188" s="20">
        <v>1331</v>
      </c>
      <c r="I188" s="20">
        <v>1313113</v>
      </c>
      <c r="J188" s="20">
        <v>63344</v>
      </c>
      <c r="K188" s="20">
        <v>55183</v>
      </c>
      <c r="L188" s="20">
        <v>1054829</v>
      </c>
      <c r="M188" s="20">
        <v>5000</v>
      </c>
      <c r="N188" s="167">
        <v>1</v>
      </c>
      <c r="O188" s="167">
        <v>2</v>
      </c>
      <c r="P188" s="167">
        <v>6</v>
      </c>
      <c r="Q188" s="167">
        <v>16</v>
      </c>
      <c r="R188" s="167">
        <v>20</v>
      </c>
      <c r="S188" s="167">
        <v>33</v>
      </c>
      <c r="T188" s="167">
        <v>41</v>
      </c>
      <c r="U188" s="28">
        <f t="shared" si="131"/>
        <v>78</v>
      </c>
      <c r="W188" s="32" t="str">
        <f t="shared" si="159"/>
        <v>홀수</v>
      </c>
      <c r="X188" s="32" t="str">
        <f t="shared" si="160"/>
        <v>짝수</v>
      </c>
      <c r="Y188" s="32" t="str">
        <f t="shared" si="161"/>
        <v>짝수</v>
      </c>
      <c r="Z188" s="32" t="str">
        <f t="shared" si="162"/>
        <v>짝수</v>
      </c>
      <c r="AA188" s="32" t="str">
        <f t="shared" si="163"/>
        <v>짝수</v>
      </c>
      <c r="AB188" s="32" t="str">
        <f t="shared" si="164"/>
        <v>홀수</v>
      </c>
      <c r="AC188" s="58" t="str">
        <f t="shared" si="165"/>
        <v>2 : 4</v>
      </c>
      <c r="AD188" s="32">
        <f t="shared" si="166"/>
        <v>2</v>
      </c>
      <c r="AE188" s="32">
        <f t="shared" si="167"/>
        <v>4</v>
      </c>
      <c r="AF188" s="66" t="str">
        <f t="shared" si="132"/>
        <v>저수</v>
      </c>
      <c r="AG188" s="66" t="str">
        <f t="shared" si="133"/>
        <v>저수</v>
      </c>
      <c r="AH188" s="66" t="str">
        <f t="shared" si="134"/>
        <v>저수</v>
      </c>
      <c r="AI188" s="66" t="str">
        <f t="shared" si="135"/>
        <v>저수</v>
      </c>
      <c r="AJ188" s="66" t="str">
        <f t="shared" si="136"/>
        <v>저수</v>
      </c>
      <c r="AK188" s="66" t="str">
        <f t="shared" si="137"/>
        <v>고수</v>
      </c>
      <c r="AL188" s="58" t="str">
        <f t="shared" si="138"/>
        <v>5 : 1</v>
      </c>
      <c r="AM188" s="66">
        <f t="shared" si="139"/>
        <v>5</v>
      </c>
      <c r="AN188" s="66">
        <f t="shared" si="140"/>
        <v>1</v>
      </c>
      <c r="AO188" s="66">
        <f t="shared" si="141"/>
        <v>18</v>
      </c>
      <c r="AP188" s="66" t="str">
        <f t="shared" si="142"/>
        <v>X</v>
      </c>
      <c r="AQ188" s="66" t="str">
        <f t="shared" si="143"/>
        <v>O</v>
      </c>
      <c r="AR188" s="66" t="str">
        <f t="shared" si="144"/>
        <v>X</v>
      </c>
      <c r="AS188" s="66" t="str">
        <f t="shared" si="145"/>
        <v>X</v>
      </c>
      <c r="AT188" s="66" t="str">
        <f t="shared" si="146"/>
        <v>X</v>
      </c>
      <c r="AU188" s="66" t="str">
        <f t="shared" si="147"/>
        <v>X</v>
      </c>
      <c r="AV188" s="66" t="str">
        <f t="shared" si="148"/>
        <v>X</v>
      </c>
      <c r="AW188" s="66" t="str">
        <f t="shared" si="149"/>
        <v>X</v>
      </c>
      <c r="AX188" s="66" t="str">
        <f t="shared" si="150"/>
        <v>X</v>
      </c>
      <c r="AY188" s="66" t="str">
        <f t="shared" si="151"/>
        <v>X</v>
      </c>
      <c r="AZ188" s="66" t="str">
        <f t="shared" si="152"/>
        <v>X</v>
      </c>
      <c r="BA188" s="66" t="str">
        <f t="shared" si="153"/>
        <v>X</v>
      </c>
      <c r="BB188" s="66">
        <f t="shared" si="154"/>
        <v>1</v>
      </c>
      <c r="BC188" s="127" t="str">
        <f t="shared" si="125"/>
        <v>1G</v>
      </c>
      <c r="BD188" s="127" t="str">
        <f t="shared" si="126"/>
        <v>1G</v>
      </c>
      <c r="BE188" s="127" t="str">
        <f t="shared" si="127"/>
        <v>1G</v>
      </c>
      <c r="BF188" s="127" t="str">
        <f t="shared" si="128"/>
        <v>2G</v>
      </c>
      <c r="BG188" s="127" t="str">
        <f t="shared" si="129"/>
        <v>2G</v>
      </c>
      <c r="BH188" s="127" t="str">
        <f t="shared" si="130"/>
        <v>3G</v>
      </c>
      <c r="BI188" s="127">
        <f t="shared" si="155"/>
        <v>3</v>
      </c>
      <c r="BJ188" s="127">
        <f t="shared" si="156"/>
        <v>2</v>
      </c>
      <c r="BK188" s="127">
        <f t="shared" si="157"/>
        <v>1</v>
      </c>
      <c r="BL188" s="127" t="str">
        <f t="shared" si="158"/>
        <v>321</v>
      </c>
      <c r="BS188"/>
      <c r="CL188" s="28">
        <v>128</v>
      </c>
      <c r="CM188" s="28">
        <v>120</v>
      </c>
      <c r="CO188"/>
    </row>
    <row r="189" spans="2:93" ht="16.5" hidden="1">
      <c r="B189" s="17">
        <v>185</v>
      </c>
      <c r="C189" s="363" t="s">
        <v>215</v>
      </c>
      <c r="D189" s="18">
        <v>3</v>
      </c>
      <c r="E189" s="20">
        <v>3522485800</v>
      </c>
      <c r="F189" s="18">
        <v>34</v>
      </c>
      <c r="G189" s="20">
        <v>51801262</v>
      </c>
      <c r="H189" s="20">
        <v>1228</v>
      </c>
      <c r="I189" s="20">
        <v>1434237</v>
      </c>
      <c r="J189" s="20">
        <v>65938</v>
      </c>
      <c r="K189" s="20">
        <v>53422</v>
      </c>
      <c r="L189" s="20">
        <v>1055823</v>
      </c>
      <c r="M189" s="20">
        <v>5000</v>
      </c>
      <c r="N189" s="167">
        <v>1</v>
      </c>
      <c r="O189" s="167">
        <v>2</v>
      </c>
      <c r="P189" s="167">
        <v>4</v>
      </c>
      <c r="Q189" s="167">
        <v>8</v>
      </c>
      <c r="R189" s="167">
        <v>19</v>
      </c>
      <c r="S189" s="167">
        <v>38</v>
      </c>
      <c r="T189" s="167">
        <v>14</v>
      </c>
      <c r="U189" s="28">
        <f t="shared" si="131"/>
        <v>72</v>
      </c>
      <c r="W189" s="32" t="str">
        <f t="shared" si="159"/>
        <v>홀수</v>
      </c>
      <c r="X189" s="32" t="str">
        <f t="shared" si="160"/>
        <v>짝수</v>
      </c>
      <c r="Y189" s="32" t="str">
        <f t="shared" si="161"/>
        <v>짝수</v>
      </c>
      <c r="Z189" s="32" t="str">
        <f t="shared" si="162"/>
        <v>짝수</v>
      </c>
      <c r="AA189" s="32" t="str">
        <f t="shared" si="163"/>
        <v>홀수</v>
      </c>
      <c r="AB189" s="32" t="str">
        <f t="shared" si="164"/>
        <v>짝수</v>
      </c>
      <c r="AC189" s="58" t="str">
        <f t="shared" si="165"/>
        <v>2 : 4</v>
      </c>
      <c r="AD189" s="32">
        <f t="shared" si="166"/>
        <v>2</v>
      </c>
      <c r="AE189" s="32">
        <f t="shared" si="167"/>
        <v>4</v>
      </c>
      <c r="AF189" s="66" t="str">
        <f t="shared" si="132"/>
        <v>저수</v>
      </c>
      <c r="AG189" s="66" t="str">
        <f t="shared" si="133"/>
        <v>저수</v>
      </c>
      <c r="AH189" s="66" t="str">
        <f t="shared" si="134"/>
        <v>저수</v>
      </c>
      <c r="AI189" s="66" t="str">
        <f t="shared" si="135"/>
        <v>저수</v>
      </c>
      <c r="AJ189" s="66" t="str">
        <f t="shared" si="136"/>
        <v>저수</v>
      </c>
      <c r="AK189" s="66" t="str">
        <f t="shared" si="137"/>
        <v>고수</v>
      </c>
      <c r="AL189" s="58" t="str">
        <f t="shared" si="138"/>
        <v>5 : 1</v>
      </c>
      <c r="AM189" s="66">
        <f t="shared" si="139"/>
        <v>5</v>
      </c>
      <c r="AN189" s="66">
        <f t="shared" si="140"/>
        <v>1</v>
      </c>
      <c r="AO189" s="66">
        <f t="shared" si="141"/>
        <v>32</v>
      </c>
      <c r="AP189" s="66" t="str">
        <f t="shared" si="142"/>
        <v>X</v>
      </c>
      <c r="AQ189" s="66" t="str">
        <f t="shared" si="143"/>
        <v>O</v>
      </c>
      <c r="AR189" s="66" t="str">
        <f t="shared" si="144"/>
        <v>X</v>
      </c>
      <c r="AS189" s="66" t="str">
        <f t="shared" si="145"/>
        <v>X</v>
      </c>
      <c r="AT189" s="66" t="str">
        <f t="shared" si="146"/>
        <v>O</v>
      </c>
      <c r="AU189" s="66" t="str">
        <f t="shared" si="147"/>
        <v>X</v>
      </c>
      <c r="AV189" s="66" t="str">
        <f t="shared" si="148"/>
        <v>X</v>
      </c>
      <c r="AW189" s="66" t="str">
        <f t="shared" si="149"/>
        <v>X</v>
      </c>
      <c r="AX189" s="66" t="str">
        <f t="shared" si="150"/>
        <v>X</v>
      </c>
      <c r="AY189" s="66" t="str">
        <f t="shared" si="151"/>
        <v>X</v>
      </c>
      <c r="AZ189" s="66" t="str">
        <f t="shared" si="152"/>
        <v>X</v>
      </c>
      <c r="BA189" s="66" t="str">
        <f t="shared" si="153"/>
        <v>X</v>
      </c>
      <c r="BB189" s="66">
        <f t="shared" si="154"/>
        <v>2</v>
      </c>
      <c r="BC189" s="127" t="str">
        <f t="shared" si="125"/>
        <v>1G</v>
      </c>
      <c r="BD189" s="127" t="str">
        <f t="shared" si="126"/>
        <v>1G</v>
      </c>
      <c r="BE189" s="127" t="str">
        <f t="shared" si="127"/>
        <v>1G</v>
      </c>
      <c r="BF189" s="127" t="str">
        <f t="shared" si="128"/>
        <v>1G</v>
      </c>
      <c r="BG189" s="127" t="str">
        <f t="shared" si="129"/>
        <v>2G</v>
      </c>
      <c r="BH189" s="127" t="str">
        <f t="shared" si="130"/>
        <v>3G</v>
      </c>
      <c r="BI189" s="127">
        <f t="shared" si="155"/>
        <v>4</v>
      </c>
      <c r="BJ189" s="127">
        <f t="shared" si="156"/>
        <v>1</v>
      </c>
      <c r="BK189" s="127">
        <f t="shared" si="157"/>
        <v>1</v>
      </c>
      <c r="BL189" s="127" t="str">
        <f t="shared" si="158"/>
        <v>411</v>
      </c>
      <c r="BS189"/>
      <c r="CL189" s="28">
        <v>128</v>
      </c>
      <c r="CM189" s="28">
        <v>120</v>
      </c>
      <c r="CO189"/>
    </row>
    <row r="190" spans="2:93" ht="16.5" hidden="1">
      <c r="B190" s="17">
        <v>186</v>
      </c>
      <c r="C190" s="363" t="s">
        <v>216</v>
      </c>
      <c r="D190" s="18">
        <v>9</v>
      </c>
      <c r="E190" s="20">
        <v>1187882600</v>
      </c>
      <c r="F190" s="18">
        <v>46</v>
      </c>
      <c r="G190" s="20">
        <v>38735303</v>
      </c>
      <c r="H190" s="20">
        <v>1169</v>
      </c>
      <c r="I190" s="20">
        <v>1524230</v>
      </c>
      <c r="J190" s="20">
        <v>58566</v>
      </c>
      <c r="K190" s="20">
        <v>60849</v>
      </c>
      <c r="L190" s="20">
        <v>984795</v>
      </c>
      <c r="M190" s="20">
        <v>5000</v>
      </c>
      <c r="N190" s="167">
        <v>4</v>
      </c>
      <c r="O190" s="167">
        <v>10</v>
      </c>
      <c r="P190" s="167">
        <v>14</v>
      </c>
      <c r="Q190" s="167">
        <v>19</v>
      </c>
      <c r="R190" s="167">
        <v>21</v>
      </c>
      <c r="S190" s="167">
        <v>45</v>
      </c>
      <c r="T190" s="167">
        <v>9</v>
      </c>
      <c r="U190" s="28">
        <f t="shared" si="131"/>
        <v>113</v>
      </c>
      <c r="W190" s="32" t="str">
        <f t="shared" si="159"/>
        <v>짝수</v>
      </c>
      <c r="X190" s="32" t="str">
        <f t="shared" si="160"/>
        <v>짝수</v>
      </c>
      <c r="Y190" s="32" t="str">
        <f t="shared" si="161"/>
        <v>짝수</v>
      </c>
      <c r="Z190" s="32" t="str">
        <f t="shared" si="162"/>
        <v>홀수</v>
      </c>
      <c r="AA190" s="32" t="str">
        <f t="shared" si="163"/>
        <v>홀수</v>
      </c>
      <c r="AB190" s="32" t="str">
        <f t="shared" si="164"/>
        <v>홀수</v>
      </c>
      <c r="AC190" s="58" t="str">
        <f t="shared" si="165"/>
        <v>3 : 3</v>
      </c>
      <c r="AD190" s="32">
        <f t="shared" si="166"/>
        <v>3</v>
      </c>
      <c r="AE190" s="32">
        <f t="shared" si="167"/>
        <v>3</v>
      </c>
      <c r="AF190" s="66" t="str">
        <f t="shared" si="132"/>
        <v>저수</v>
      </c>
      <c r="AG190" s="66" t="str">
        <f t="shared" si="133"/>
        <v>저수</v>
      </c>
      <c r="AH190" s="66" t="str">
        <f t="shared" si="134"/>
        <v>저수</v>
      </c>
      <c r="AI190" s="66" t="str">
        <f t="shared" si="135"/>
        <v>저수</v>
      </c>
      <c r="AJ190" s="66" t="str">
        <f t="shared" si="136"/>
        <v>저수</v>
      </c>
      <c r="AK190" s="66" t="str">
        <f t="shared" si="137"/>
        <v>고수</v>
      </c>
      <c r="AL190" s="58" t="str">
        <f t="shared" si="138"/>
        <v>5 : 1</v>
      </c>
      <c r="AM190" s="66">
        <f t="shared" si="139"/>
        <v>5</v>
      </c>
      <c r="AN190" s="66">
        <f t="shared" si="140"/>
        <v>1</v>
      </c>
      <c r="AO190" s="66">
        <f t="shared" si="141"/>
        <v>23</v>
      </c>
      <c r="AP190" s="66" t="str">
        <f t="shared" si="142"/>
        <v>X</v>
      </c>
      <c r="AQ190" s="66" t="str">
        <f t="shared" si="143"/>
        <v>X</v>
      </c>
      <c r="AR190" s="66" t="str">
        <f t="shared" si="144"/>
        <v>X</v>
      </c>
      <c r="AS190" s="66" t="str">
        <f t="shared" si="145"/>
        <v>O</v>
      </c>
      <c r="AT190" s="66" t="str">
        <f t="shared" si="146"/>
        <v>X</v>
      </c>
      <c r="AU190" s="66" t="str">
        <f t="shared" si="147"/>
        <v>X</v>
      </c>
      <c r="AV190" s="66" t="str">
        <f t="shared" si="148"/>
        <v>X</v>
      </c>
      <c r="AW190" s="66" t="str">
        <f t="shared" si="149"/>
        <v>X</v>
      </c>
      <c r="AX190" s="66" t="str">
        <f t="shared" si="150"/>
        <v>X</v>
      </c>
      <c r="AY190" s="66" t="str">
        <f t="shared" si="151"/>
        <v>X</v>
      </c>
      <c r="AZ190" s="66" t="str">
        <f t="shared" si="152"/>
        <v>X</v>
      </c>
      <c r="BA190" s="66" t="str">
        <f t="shared" si="153"/>
        <v>X</v>
      </c>
      <c r="BB190" s="66">
        <f t="shared" si="154"/>
        <v>1</v>
      </c>
      <c r="BC190" s="127" t="str">
        <f t="shared" si="125"/>
        <v>1G</v>
      </c>
      <c r="BD190" s="127" t="str">
        <f t="shared" si="126"/>
        <v>1G</v>
      </c>
      <c r="BE190" s="127" t="str">
        <f t="shared" si="127"/>
        <v>1G</v>
      </c>
      <c r="BF190" s="127" t="str">
        <f t="shared" si="128"/>
        <v>2G</v>
      </c>
      <c r="BG190" s="127" t="str">
        <f t="shared" si="129"/>
        <v>2G</v>
      </c>
      <c r="BH190" s="127" t="str">
        <f t="shared" si="130"/>
        <v>3G</v>
      </c>
      <c r="BI190" s="127">
        <f t="shared" si="155"/>
        <v>3</v>
      </c>
      <c r="BJ190" s="127">
        <f t="shared" si="156"/>
        <v>2</v>
      </c>
      <c r="BK190" s="127">
        <f t="shared" si="157"/>
        <v>1</v>
      </c>
      <c r="BL190" s="127" t="str">
        <f t="shared" si="158"/>
        <v>321</v>
      </c>
      <c r="BS190"/>
      <c r="CL190" s="28">
        <v>129</v>
      </c>
      <c r="CM190" s="28">
        <v>120</v>
      </c>
      <c r="CO190"/>
    </row>
    <row r="191" spans="2:93" ht="16.5" hidden="1">
      <c r="B191" s="17">
        <v>187</v>
      </c>
      <c r="C191" s="363" t="s">
        <v>217</v>
      </c>
      <c r="D191" s="18">
        <v>7</v>
      </c>
      <c r="E191" s="20">
        <v>1544733900</v>
      </c>
      <c r="F191" s="18">
        <v>19</v>
      </c>
      <c r="G191" s="20">
        <v>94852082</v>
      </c>
      <c r="H191" s="20">
        <v>1253</v>
      </c>
      <c r="I191" s="20">
        <v>1438300</v>
      </c>
      <c r="J191" s="20">
        <v>59780</v>
      </c>
      <c r="K191" s="20">
        <v>60295</v>
      </c>
      <c r="L191" s="20">
        <v>981217</v>
      </c>
      <c r="M191" s="20">
        <v>5000</v>
      </c>
      <c r="N191" s="167">
        <v>1</v>
      </c>
      <c r="O191" s="167">
        <v>2</v>
      </c>
      <c r="P191" s="167">
        <v>8</v>
      </c>
      <c r="Q191" s="167">
        <v>18</v>
      </c>
      <c r="R191" s="167">
        <v>29</v>
      </c>
      <c r="S191" s="167">
        <v>38</v>
      </c>
      <c r="T191" s="167">
        <v>42</v>
      </c>
      <c r="U191" s="28">
        <f t="shared" si="131"/>
        <v>96</v>
      </c>
      <c r="W191" s="32" t="str">
        <f t="shared" si="159"/>
        <v>홀수</v>
      </c>
      <c r="X191" s="32" t="str">
        <f t="shared" si="160"/>
        <v>짝수</v>
      </c>
      <c r="Y191" s="32" t="str">
        <f t="shared" si="161"/>
        <v>짝수</v>
      </c>
      <c r="Z191" s="32" t="str">
        <f t="shared" si="162"/>
        <v>짝수</v>
      </c>
      <c r="AA191" s="32" t="str">
        <f t="shared" si="163"/>
        <v>홀수</v>
      </c>
      <c r="AB191" s="32" t="str">
        <f t="shared" si="164"/>
        <v>짝수</v>
      </c>
      <c r="AC191" s="58" t="str">
        <f t="shared" si="165"/>
        <v>2 : 4</v>
      </c>
      <c r="AD191" s="32">
        <f t="shared" si="166"/>
        <v>2</v>
      </c>
      <c r="AE191" s="32">
        <f t="shared" si="167"/>
        <v>4</v>
      </c>
      <c r="AF191" s="66" t="str">
        <f t="shared" si="132"/>
        <v>저수</v>
      </c>
      <c r="AG191" s="66" t="str">
        <f t="shared" si="133"/>
        <v>저수</v>
      </c>
      <c r="AH191" s="66" t="str">
        <f t="shared" si="134"/>
        <v>저수</v>
      </c>
      <c r="AI191" s="66" t="str">
        <f t="shared" si="135"/>
        <v>저수</v>
      </c>
      <c r="AJ191" s="66" t="str">
        <f t="shared" si="136"/>
        <v>고수</v>
      </c>
      <c r="AK191" s="66" t="str">
        <f t="shared" si="137"/>
        <v>고수</v>
      </c>
      <c r="AL191" s="58" t="str">
        <f t="shared" si="138"/>
        <v>4 : 2</v>
      </c>
      <c r="AM191" s="66">
        <f t="shared" si="139"/>
        <v>4</v>
      </c>
      <c r="AN191" s="66">
        <f t="shared" si="140"/>
        <v>2</v>
      </c>
      <c r="AO191" s="66">
        <f t="shared" si="141"/>
        <v>36</v>
      </c>
      <c r="AP191" s="66" t="str">
        <f t="shared" si="142"/>
        <v>X</v>
      </c>
      <c r="AQ191" s="66" t="str">
        <f t="shared" si="143"/>
        <v>O</v>
      </c>
      <c r="AR191" s="66" t="str">
        <f t="shared" si="144"/>
        <v>X</v>
      </c>
      <c r="AS191" s="66" t="str">
        <f t="shared" si="145"/>
        <v>X</v>
      </c>
      <c r="AT191" s="66" t="str">
        <f t="shared" si="146"/>
        <v>X</v>
      </c>
      <c r="AU191" s="66" t="str">
        <f t="shared" si="147"/>
        <v>X</v>
      </c>
      <c r="AV191" s="66" t="str">
        <f t="shared" si="148"/>
        <v>X</v>
      </c>
      <c r="AW191" s="66" t="str">
        <f t="shared" si="149"/>
        <v>X</v>
      </c>
      <c r="AX191" s="66" t="str">
        <f t="shared" si="150"/>
        <v>X</v>
      </c>
      <c r="AY191" s="66" t="str">
        <f t="shared" si="151"/>
        <v>X</v>
      </c>
      <c r="AZ191" s="66" t="str">
        <f t="shared" si="152"/>
        <v>O</v>
      </c>
      <c r="BA191" s="66" t="str">
        <f t="shared" si="153"/>
        <v>X</v>
      </c>
      <c r="BB191" s="66">
        <f t="shared" si="154"/>
        <v>2</v>
      </c>
      <c r="BC191" s="127" t="str">
        <f t="shared" si="125"/>
        <v>1G</v>
      </c>
      <c r="BD191" s="127" t="str">
        <f t="shared" si="126"/>
        <v>1G</v>
      </c>
      <c r="BE191" s="127" t="str">
        <f t="shared" si="127"/>
        <v>1G</v>
      </c>
      <c r="BF191" s="127" t="str">
        <f t="shared" si="128"/>
        <v>2G</v>
      </c>
      <c r="BG191" s="127" t="str">
        <f t="shared" si="129"/>
        <v>2G</v>
      </c>
      <c r="BH191" s="127" t="str">
        <f t="shared" si="130"/>
        <v>3G</v>
      </c>
      <c r="BI191" s="127">
        <f t="shared" si="155"/>
        <v>3</v>
      </c>
      <c r="BJ191" s="127">
        <f t="shared" si="156"/>
        <v>2</v>
      </c>
      <c r="BK191" s="127">
        <f t="shared" si="157"/>
        <v>1</v>
      </c>
      <c r="BL191" s="127" t="str">
        <f t="shared" si="158"/>
        <v>321</v>
      </c>
      <c r="BS191"/>
      <c r="CL191" s="28">
        <v>130</v>
      </c>
      <c r="CM191" s="28">
        <v>130</v>
      </c>
      <c r="CO191"/>
    </row>
    <row r="192" spans="2:93" ht="16.5" hidden="1">
      <c r="B192" s="17">
        <v>188</v>
      </c>
      <c r="C192" s="363" t="s">
        <v>218</v>
      </c>
      <c r="D192" s="18">
        <v>3</v>
      </c>
      <c r="E192" s="20">
        <v>3501405200</v>
      </c>
      <c r="F192" s="18">
        <v>33</v>
      </c>
      <c r="G192" s="20">
        <v>53051594</v>
      </c>
      <c r="H192" s="20">
        <v>1320</v>
      </c>
      <c r="I192" s="20">
        <v>1326290</v>
      </c>
      <c r="J192" s="20">
        <v>61227</v>
      </c>
      <c r="K192" s="20">
        <v>57188</v>
      </c>
      <c r="L192" s="20">
        <v>1016219</v>
      </c>
      <c r="M192" s="20">
        <v>5000</v>
      </c>
      <c r="N192" s="167">
        <v>19</v>
      </c>
      <c r="O192" s="167">
        <v>24</v>
      </c>
      <c r="P192" s="167">
        <v>27</v>
      </c>
      <c r="Q192" s="167">
        <v>30</v>
      </c>
      <c r="R192" s="167">
        <v>31</v>
      </c>
      <c r="S192" s="167">
        <v>34</v>
      </c>
      <c r="T192" s="167">
        <v>36</v>
      </c>
      <c r="U192" s="28">
        <f t="shared" si="131"/>
        <v>165</v>
      </c>
      <c r="W192" s="32" t="str">
        <f t="shared" si="159"/>
        <v>홀수</v>
      </c>
      <c r="X192" s="32" t="str">
        <f t="shared" si="160"/>
        <v>짝수</v>
      </c>
      <c r="Y192" s="32" t="str">
        <f t="shared" si="161"/>
        <v>홀수</v>
      </c>
      <c r="Z192" s="32" t="str">
        <f t="shared" si="162"/>
        <v>짝수</v>
      </c>
      <c r="AA192" s="32" t="str">
        <f t="shared" si="163"/>
        <v>홀수</v>
      </c>
      <c r="AB192" s="32" t="str">
        <f t="shared" si="164"/>
        <v>짝수</v>
      </c>
      <c r="AC192" s="58" t="str">
        <f t="shared" si="165"/>
        <v>3 : 3</v>
      </c>
      <c r="AD192" s="32">
        <f t="shared" si="166"/>
        <v>3</v>
      </c>
      <c r="AE192" s="32">
        <f t="shared" si="167"/>
        <v>3</v>
      </c>
      <c r="AF192" s="66" t="str">
        <f t="shared" si="132"/>
        <v>저수</v>
      </c>
      <c r="AG192" s="66" t="str">
        <f t="shared" si="133"/>
        <v>고수</v>
      </c>
      <c r="AH192" s="66" t="str">
        <f t="shared" si="134"/>
        <v>고수</v>
      </c>
      <c r="AI192" s="66" t="str">
        <f t="shared" si="135"/>
        <v>고수</v>
      </c>
      <c r="AJ192" s="66" t="str">
        <f t="shared" si="136"/>
        <v>고수</v>
      </c>
      <c r="AK192" s="66" t="str">
        <f t="shared" si="137"/>
        <v>고수</v>
      </c>
      <c r="AL192" s="58" t="str">
        <f t="shared" si="138"/>
        <v>1 : 5</v>
      </c>
      <c r="AM192" s="66">
        <f t="shared" si="139"/>
        <v>1</v>
      </c>
      <c r="AN192" s="66">
        <f t="shared" si="140"/>
        <v>5</v>
      </c>
      <c r="AO192" s="66">
        <f t="shared" si="141"/>
        <v>25</v>
      </c>
      <c r="AP192" s="66" t="str">
        <f t="shared" si="142"/>
        <v>O</v>
      </c>
      <c r="AQ192" s="66" t="str">
        <f t="shared" si="143"/>
        <v>X</v>
      </c>
      <c r="AR192" s="66" t="str">
        <f t="shared" si="144"/>
        <v>X</v>
      </c>
      <c r="AS192" s="66" t="str">
        <f t="shared" si="145"/>
        <v>X</v>
      </c>
      <c r="AT192" s="66" t="str">
        <f t="shared" si="146"/>
        <v>X</v>
      </c>
      <c r="AU192" s="66" t="str">
        <f t="shared" si="147"/>
        <v>X</v>
      </c>
      <c r="AV192" s="66" t="str">
        <f t="shared" si="148"/>
        <v>X</v>
      </c>
      <c r="AW192" s="66" t="str">
        <f t="shared" si="149"/>
        <v>X</v>
      </c>
      <c r="AX192" s="66" t="str">
        <f t="shared" si="150"/>
        <v>X</v>
      </c>
      <c r="AY192" s="66" t="str">
        <f t="shared" si="151"/>
        <v>X</v>
      </c>
      <c r="AZ192" s="66" t="str">
        <f t="shared" si="152"/>
        <v>O</v>
      </c>
      <c r="BA192" s="66" t="str">
        <f t="shared" si="153"/>
        <v>X</v>
      </c>
      <c r="BB192" s="66">
        <f t="shared" si="154"/>
        <v>2</v>
      </c>
      <c r="BC192" s="127" t="str">
        <f t="shared" si="125"/>
        <v>2G</v>
      </c>
      <c r="BD192" s="127" t="str">
        <f t="shared" si="126"/>
        <v>2G</v>
      </c>
      <c r="BE192" s="127" t="str">
        <f t="shared" si="127"/>
        <v>2G</v>
      </c>
      <c r="BF192" s="127" t="str">
        <f t="shared" si="128"/>
        <v>2G</v>
      </c>
      <c r="BG192" s="127" t="str">
        <f t="shared" si="129"/>
        <v>3G</v>
      </c>
      <c r="BH192" s="127" t="str">
        <f t="shared" si="130"/>
        <v>3G</v>
      </c>
      <c r="BI192" s="127">
        <f t="shared" si="155"/>
        <v>0</v>
      </c>
      <c r="BJ192" s="127">
        <f t="shared" si="156"/>
        <v>4</v>
      </c>
      <c r="BK192" s="127">
        <f t="shared" si="157"/>
        <v>2</v>
      </c>
      <c r="BL192" s="127" t="str">
        <f t="shared" si="158"/>
        <v>042</v>
      </c>
      <c r="BS192"/>
      <c r="CL192" s="28">
        <v>130</v>
      </c>
      <c r="CM192" s="28">
        <v>130</v>
      </c>
      <c r="CO192"/>
    </row>
    <row r="193" spans="2:93" ht="16.5" hidden="1">
      <c r="B193" s="17">
        <v>189</v>
      </c>
      <c r="C193" s="363" t="s">
        <v>219</v>
      </c>
      <c r="D193" s="18">
        <v>3</v>
      </c>
      <c r="E193" s="20">
        <v>3461775100</v>
      </c>
      <c r="F193" s="18">
        <v>33</v>
      </c>
      <c r="G193" s="20">
        <v>52451138</v>
      </c>
      <c r="H193" s="20">
        <v>1085</v>
      </c>
      <c r="I193" s="20">
        <v>1595289</v>
      </c>
      <c r="J193" s="20">
        <v>52193</v>
      </c>
      <c r="K193" s="20">
        <v>66327</v>
      </c>
      <c r="L193" s="20">
        <v>903280</v>
      </c>
      <c r="M193" s="20">
        <v>5000</v>
      </c>
      <c r="N193" s="167">
        <v>8</v>
      </c>
      <c r="O193" s="167">
        <v>14</v>
      </c>
      <c r="P193" s="167">
        <v>32</v>
      </c>
      <c r="Q193" s="167">
        <v>35</v>
      </c>
      <c r="R193" s="167">
        <v>37</v>
      </c>
      <c r="S193" s="167">
        <v>45</v>
      </c>
      <c r="T193" s="167">
        <v>28</v>
      </c>
      <c r="U193" s="28">
        <f t="shared" si="131"/>
        <v>171</v>
      </c>
      <c r="W193" s="32" t="str">
        <f t="shared" si="159"/>
        <v>짝수</v>
      </c>
      <c r="X193" s="32" t="str">
        <f t="shared" si="160"/>
        <v>짝수</v>
      </c>
      <c r="Y193" s="32" t="str">
        <f t="shared" si="161"/>
        <v>짝수</v>
      </c>
      <c r="Z193" s="32" t="str">
        <f t="shared" si="162"/>
        <v>홀수</v>
      </c>
      <c r="AA193" s="32" t="str">
        <f t="shared" si="163"/>
        <v>홀수</v>
      </c>
      <c r="AB193" s="32" t="str">
        <f t="shared" si="164"/>
        <v>홀수</v>
      </c>
      <c r="AC193" s="58" t="str">
        <f t="shared" si="165"/>
        <v>3 : 3</v>
      </c>
      <c r="AD193" s="32">
        <f t="shared" si="166"/>
        <v>3</v>
      </c>
      <c r="AE193" s="32">
        <f t="shared" si="167"/>
        <v>3</v>
      </c>
      <c r="AF193" s="66" t="str">
        <f t="shared" si="132"/>
        <v>저수</v>
      </c>
      <c r="AG193" s="66" t="str">
        <f t="shared" si="133"/>
        <v>저수</v>
      </c>
      <c r="AH193" s="66" t="str">
        <f t="shared" si="134"/>
        <v>고수</v>
      </c>
      <c r="AI193" s="66" t="str">
        <f t="shared" si="135"/>
        <v>고수</v>
      </c>
      <c r="AJ193" s="66" t="str">
        <f t="shared" si="136"/>
        <v>고수</v>
      </c>
      <c r="AK193" s="66" t="str">
        <f t="shared" si="137"/>
        <v>고수</v>
      </c>
      <c r="AL193" s="58" t="str">
        <f t="shared" si="138"/>
        <v>2 : 4</v>
      </c>
      <c r="AM193" s="66">
        <f t="shared" si="139"/>
        <v>2</v>
      </c>
      <c r="AN193" s="66">
        <f t="shared" si="140"/>
        <v>4</v>
      </c>
      <c r="AO193" s="66">
        <f t="shared" si="141"/>
        <v>31</v>
      </c>
      <c r="AP193" s="66" t="str">
        <f t="shared" si="142"/>
        <v>X</v>
      </c>
      <c r="AQ193" s="66" t="str">
        <f t="shared" si="143"/>
        <v>X</v>
      </c>
      <c r="AR193" s="66" t="str">
        <f t="shared" si="144"/>
        <v>X</v>
      </c>
      <c r="AS193" s="66" t="str">
        <f t="shared" si="145"/>
        <v>X</v>
      </c>
      <c r="AT193" s="66" t="str">
        <f t="shared" si="146"/>
        <v>X</v>
      </c>
      <c r="AU193" s="66" t="str">
        <f t="shared" si="147"/>
        <v>X</v>
      </c>
      <c r="AV193" s="66" t="str">
        <f t="shared" si="148"/>
        <v>X</v>
      </c>
      <c r="AW193" s="66" t="str">
        <f t="shared" si="149"/>
        <v>X</v>
      </c>
      <c r="AX193" s="66" t="str">
        <f t="shared" si="150"/>
        <v>X</v>
      </c>
      <c r="AY193" s="66" t="str">
        <f t="shared" si="151"/>
        <v>X</v>
      </c>
      <c r="AZ193" s="66" t="str">
        <f t="shared" si="152"/>
        <v>O</v>
      </c>
      <c r="BA193" s="66" t="str">
        <f t="shared" si="153"/>
        <v>X</v>
      </c>
      <c r="BB193" s="66">
        <f t="shared" si="154"/>
        <v>1</v>
      </c>
      <c r="BC193" s="127" t="str">
        <f t="shared" si="125"/>
        <v>1G</v>
      </c>
      <c r="BD193" s="127" t="str">
        <f t="shared" si="126"/>
        <v>1G</v>
      </c>
      <c r="BE193" s="127" t="str">
        <f t="shared" si="127"/>
        <v>3G</v>
      </c>
      <c r="BF193" s="127" t="str">
        <f t="shared" si="128"/>
        <v>3G</v>
      </c>
      <c r="BG193" s="127" t="str">
        <f t="shared" si="129"/>
        <v>3G</v>
      </c>
      <c r="BH193" s="127" t="str">
        <f t="shared" si="130"/>
        <v>3G</v>
      </c>
      <c r="BI193" s="127">
        <f t="shared" si="155"/>
        <v>2</v>
      </c>
      <c r="BJ193" s="127">
        <f t="shared" si="156"/>
        <v>0</v>
      </c>
      <c r="BK193" s="127">
        <f t="shared" si="157"/>
        <v>4</v>
      </c>
      <c r="BL193" s="127" t="str">
        <f t="shared" si="158"/>
        <v>204</v>
      </c>
      <c r="BS193"/>
      <c r="CL193" s="28">
        <v>130</v>
      </c>
      <c r="CM193" s="28">
        <v>130</v>
      </c>
      <c r="CO193"/>
    </row>
    <row r="194" spans="2:93" ht="16.5" hidden="1">
      <c r="B194" s="17">
        <v>190</v>
      </c>
      <c r="C194" s="363" t="s">
        <v>220</v>
      </c>
      <c r="D194" s="18">
        <v>6</v>
      </c>
      <c r="E194" s="20">
        <v>1784159450</v>
      </c>
      <c r="F194" s="18">
        <v>33</v>
      </c>
      <c r="G194" s="20">
        <v>54065438</v>
      </c>
      <c r="H194" s="20">
        <v>1016</v>
      </c>
      <c r="I194" s="20">
        <v>1756063</v>
      </c>
      <c r="J194" s="20">
        <v>53791</v>
      </c>
      <c r="K194" s="20">
        <v>66337</v>
      </c>
      <c r="L194" s="20">
        <v>918127</v>
      </c>
      <c r="M194" s="20">
        <v>5000</v>
      </c>
      <c r="N194" s="167">
        <v>8</v>
      </c>
      <c r="O194" s="167">
        <v>14</v>
      </c>
      <c r="P194" s="167">
        <v>18</v>
      </c>
      <c r="Q194" s="167">
        <v>30</v>
      </c>
      <c r="R194" s="167">
        <v>31</v>
      </c>
      <c r="S194" s="167">
        <v>44</v>
      </c>
      <c r="T194" s="167">
        <v>15</v>
      </c>
      <c r="U194" s="28">
        <f t="shared" si="131"/>
        <v>145</v>
      </c>
      <c r="W194" s="32" t="str">
        <f t="shared" si="159"/>
        <v>짝수</v>
      </c>
      <c r="X194" s="32" t="str">
        <f t="shared" si="160"/>
        <v>짝수</v>
      </c>
      <c r="Y194" s="32" t="str">
        <f t="shared" si="161"/>
        <v>짝수</v>
      </c>
      <c r="Z194" s="32" t="str">
        <f t="shared" si="162"/>
        <v>짝수</v>
      </c>
      <c r="AA194" s="32" t="str">
        <f t="shared" si="163"/>
        <v>홀수</v>
      </c>
      <c r="AB194" s="32" t="str">
        <f t="shared" si="164"/>
        <v>짝수</v>
      </c>
      <c r="AC194" s="58" t="str">
        <f t="shared" si="165"/>
        <v>1 : 5</v>
      </c>
      <c r="AD194" s="32">
        <f t="shared" si="166"/>
        <v>1</v>
      </c>
      <c r="AE194" s="32">
        <f t="shared" si="167"/>
        <v>5</v>
      </c>
      <c r="AF194" s="66" t="str">
        <f t="shared" si="132"/>
        <v>저수</v>
      </c>
      <c r="AG194" s="66" t="str">
        <f t="shared" si="133"/>
        <v>저수</v>
      </c>
      <c r="AH194" s="66" t="str">
        <f t="shared" si="134"/>
        <v>저수</v>
      </c>
      <c r="AI194" s="66" t="str">
        <f t="shared" si="135"/>
        <v>고수</v>
      </c>
      <c r="AJ194" s="66" t="str">
        <f t="shared" si="136"/>
        <v>고수</v>
      </c>
      <c r="AK194" s="66" t="str">
        <f t="shared" si="137"/>
        <v>고수</v>
      </c>
      <c r="AL194" s="58" t="str">
        <f t="shared" si="138"/>
        <v>3 : 3</v>
      </c>
      <c r="AM194" s="66">
        <f t="shared" si="139"/>
        <v>3</v>
      </c>
      <c r="AN194" s="66">
        <f t="shared" si="140"/>
        <v>3</v>
      </c>
      <c r="AO194" s="66">
        <f t="shared" si="141"/>
        <v>25</v>
      </c>
      <c r="AP194" s="66" t="str">
        <f t="shared" si="142"/>
        <v>X</v>
      </c>
      <c r="AQ194" s="66" t="str">
        <f t="shared" si="143"/>
        <v>X</v>
      </c>
      <c r="AR194" s="66" t="str">
        <f t="shared" si="144"/>
        <v>X</v>
      </c>
      <c r="AS194" s="66" t="str">
        <f t="shared" si="145"/>
        <v>X</v>
      </c>
      <c r="AT194" s="66" t="str">
        <f t="shared" si="146"/>
        <v>X</v>
      </c>
      <c r="AU194" s="66" t="str">
        <f t="shared" si="147"/>
        <v>X</v>
      </c>
      <c r="AV194" s="66" t="str">
        <f t="shared" si="148"/>
        <v>X</v>
      </c>
      <c r="AW194" s="66" t="str">
        <f t="shared" si="149"/>
        <v>X</v>
      </c>
      <c r="AX194" s="66" t="str">
        <f t="shared" si="150"/>
        <v>X</v>
      </c>
      <c r="AY194" s="66" t="str">
        <f t="shared" si="151"/>
        <v>X</v>
      </c>
      <c r="AZ194" s="66" t="str">
        <f t="shared" si="152"/>
        <v>O</v>
      </c>
      <c r="BA194" s="66" t="str">
        <f t="shared" si="153"/>
        <v>X</v>
      </c>
      <c r="BB194" s="66">
        <f t="shared" si="154"/>
        <v>1</v>
      </c>
      <c r="BC194" s="127" t="str">
        <f>VLOOKUP(N194,삼그룹,6,FALSE)</f>
        <v>1G</v>
      </c>
      <c r="BD194" s="127" t="str">
        <f t="shared" si="126"/>
        <v>1G</v>
      </c>
      <c r="BE194" s="127" t="str">
        <f t="shared" si="127"/>
        <v>2G</v>
      </c>
      <c r="BF194" s="127" t="str">
        <f t="shared" si="128"/>
        <v>2G</v>
      </c>
      <c r="BG194" s="127" t="str">
        <f t="shared" si="129"/>
        <v>3G</v>
      </c>
      <c r="BH194" s="127" t="str">
        <f t="shared" si="130"/>
        <v>3G</v>
      </c>
      <c r="BI194" s="127">
        <f t="shared" si="155"/>
        <v>2</v>
      </c>
      <c r="BJ194" s="127">
        <f t="shared" si="156"/>
        <v>2</v>
      </c>
      <c r="BK194" s="127">
        <f t="shared" si="157"/>
        <v>2</v>
      </c>
      <c r="BL194" s="127" t="str">
        <f t="shared" si="158"/>
        <v>222</v>
      </c>
      <c r="BS194"/>
      <c r="CL194" s="28">
        <v>130</v>
      </c>
      <c r="CM194" s="28">
        <v>130</v>
      </c>
      <c r="CO194"/>
    </row>
    <row r="195" spans="2:93" ht="16.5" hidden="1">
      <c r="B195" s="17">
        <v>191</v>
      </c>
      <c r="C195" s="363" t="s">
        <v>221</v>
      </c>
      <c r="D195" s="18">
        <v>4</v>
      </c>
      <c r="E195" s="20">
        <v>2577114675</v>
      </c>
      <c r="F195" s="18">
        <v>23</v>
      </c>
      <c r="G195" s="20">
        <v>74698977</v>
      </c>
      <c r="H195" s="20">
        <v>1145</v>
      </c>
      <c r="I195" s="20">
        <v>1500504</v>
      </c>
      <c r="J195" s="20">
        <v>59650</v>
      </c>
      <c r="K195" s="20">
        <v>57606</v>
      </c>
      <c r="L195" s="20">
        <v>1017334</v>
      </c>
      <c r="M195" s="20">
        <v>5000</v>
      </c>
      <c r="N195" s="167">
        <v>5</v>
      </c>
      <c r="O195" s="167">
        <v>6</v>
      </c>
      <c r="P195" s="167">
        <v>24</v>
      </c>
      <c r="Q195" s="167">
        <v>25</v>
      </c>
      <c r="R195" s="167">
        <v>32</v>
      </c>
      <c r="S195" s="167">
        <v>37</v>
      </c>
      <c r="T195" s="167">
        <v>8</v>
      </c>
      <c r="U195" s="28">
        <f t="shared" si="131"/>
        <v>129</v>
      </c>
      <c r="W195" s="32" t="str">
        <f t="shared" si="159"/>
        <v>홀수</v>
      </c>
      <c r="X195" s="32" t="str">
        <f t="shared" si="160"/>
        <v>짝수</v>
      </c>
      <c r="Y195" s="32" t="str">
        <f t="shared" si="161"/>
        <v>짝수</v>
      </c>
      <c r="Z195" s="32" t="str">
        <f t="shared" si="162"/>
        <v>홀수</v>
      </c>
      <c r="AA195" s="32" t="str">
        <f t="shared" si="163"/>
        <v>짝수</v>
      </c>
      <c r="AB195" s="32" t="str">
        <f t="shared" si="164"/>
        <v>홀수</v>
      </c>
      <c r="AC195" s="58" t="str">
        <f t="shared" si="165"/>
        <v>3 : 3</v>
      </c>
      <c r="AD195" s="32">
        <f t="shared" si="166"/>
        <v>3</v>
      </c>
      <c r="AE195" s="32">
        <f t="shared" si="167"/>
        <v>3</v>
      </c>
      <c r="AF195" s="66" t="str">
        <f t="shared" si="132"/>
        <v>저수</v>
      </c>
      <c r="AG195" s="66" t="str">
        <f t="shared" si="133"/>
        <v>저수</v>
      </c>
      <c r="AH195" s="66" t="str">
        <f t="shared" si="134"/>
        <v>고수</v>
      </c>
      <c r="AI195" s="66" t="str">
        <f t="shared" si="135"/>
        <v>고수</v>
      </c>
      <c r="AJ195" s="66" t="str">
        <f t="shared" si="136"/>
        <v>고수</v>
      </c>
      <c r="AK195" s="66" t="str">
        <f t="shared" si="137"/>
        <v>고수</v>
      </c>
      <c r="AL195" s="58" t="str">
        <f t="shared" si="138"/>
        <v>2 : 4</v>
      </c>
      <c r="AM195" s="66">
        <f t="shared" si="139"/>
        <v>2</v>
      </c>
      <c r="AN195" s="66">
        <f t="shared" si="140"/>
        <v>4</v>
      </c>
      <c r="AO195" s="66">
        <f t="shared" si="141"/>
        <v>29</v>
      </c>
      <c r="AP195" s="66" t="str">
        <f t="shared" si="142"/>
        <v>O</v>
      </c>
      <c r="AQ195" s="66" t="str">
        <f t="shared" si="143"/>
        <v>X</v>
      </c>
      <c r="AR195" s="66" t="str">
        <f t="shared" si="144"/>
        <v>X</v>
      </c>
      <c r="AS195" s="66" t="str">
        <f t="shared" si="145"/>
        <v>X</v>
      </c>
      <c r="AT195" s="66" t="str">
        <f t="shared" si="146"/>
        <v>X</v>
      </c>
      <c r="AU195" s="66" t="str">
        <f t="shared" si="147"/>
        <v>X</v>
      </c>
      <c r="AV195" s="66" t="str">
        <f t="shared" si="148"/>
        <v>X</v>
      </c>
      <c r="AW195" s="66" t="str">
        <f t="shared" si="149"/>
        <v>X</v>
      </c>
      <c r="AX195" s="66" t="str">
        <f t="shared" si="150"/>
        <v>X</v>
      </c>
      <c r="AY195" s="66" t="str">
        <f t="shared" si="151"/>
        <v>X</v>
      </c>
      <c r="AZ195" s="66" t="str">
        <f t="shared" si="152"/>
        <v>X</v>
      </c>
      <c r="BA195" s="66" t="str">
        <f t="shared" si="153"/>
        <v>O</v>
      </c>
      <c r="BB195" s="66">
        <f t="shared" si="154"/>
        <v>2</v>
      </c>
      <c r="BC195" s="127" t="str">
        <f t="shared" si="125"/>
        <v>1G</v>
      </c>
      <c r="BD195" s="127" t="str">
        <f t="shared" si="126"/>
        <v>1G</v>
      </c>
      <c r="BE195" s="127" t="str">
        <f t="shared" si="127"/>
        <v>2G</v>
      </c>
      <c r="BF195" s="127" t="str">
        <f t="shared" si="128"/>
        <v>2G</v>
      </c>
      <c r="BG195" s="127" t="str">
        <f t="shared" si="129"/>
        <v>3G</v>
      </c>
      <c r="BH195" s="127" t="str">
        <f t="shared" si="130"/>
        <v>3G</v>
      </c>
      <c r="BI195" s="127">
        <f t="shared" si="155"/>
        <v>2</v>
      </c>
      <c r="BJ195" s="127">
        <f t="shared" si="156"/>
        <v>2</v>
      </c>
      <c r="BK195" s="127">
        <f t="shared" si="157"/>
        <v>2</v>
      </c>
      <c r="BL195" s="127" t="str">
        <f t="shared" si="158"/>
        <v>222</v>
      </c>
      <c r="BS195"/>
      <c r="CL195" s="28">
        <v>130</v>
      </c>
      <c r="CM195" s="28">
        <v>130</v>
      </c>
      <c r="CO195"/>
    </row>
    <row r="196" spans="2:93" ht="16.5" hidden="1">
      <c r="B196" s="17">
        <v>192</v>
      </c>
      <c r="C196" s="363" t="s">
        <v>222</v>
      </c>
      <c r="D196" s="18">
        <v>4</v>
      </c>
      <c r="E196" s="20">
        <v>2445348375</v>
      </c>
      <c r="F196" s="18">
        <v>38</v>
      </c>
      <c r="G196" s="20">
        <v>42900849</v>
      </c>
      <c r="H196" s="20">
        <v>1098</v>
      </c>
      <c r="I196" s="20">
        <v>1484729</v>
      </c>
      <c r="J196" s="20">
        <v>55766</v>
      </c>
      <c r="K196" s="20">
        <v>58467</v>
      </c>
      <c r="L196" s="20">
        <v>943042</v>
      </c>
      <c r="M196" s="20">
        <v>5000</v>
      </c>
      <c r="N196" s="167">
        <v>4</v>
      </c>
      <c r="O196" s="167">
        <v>8</v>
      </c>
      <c r="P196" s="167">
        <v>11</v>
      </c>
      <c r="Q196" s="167">
        <v>18</v>
      </c>
      <c r="R196" s="167">
        <v>37</v>
      </c>
      <c r="S196" s="167">
        <v>45</v>
      </c>
      <c r="T196" s="167">
        <v>33</v>
      </c>
      <c r="U196" s="28">
        <f t="shared" si="131"/>
        <v>123</v>
      </c>
      <c r="W196" s="32" t="str">
        <f t="shared" si="159"/>
        <v>짝수</v>
      </c>
      <c r="X196" s="32" t="str">
        <f t="shared" si="160"/>
        <v>짝수</v>
      </c>
      <c r="Y196" s="32" t="str">
        <f t="shared" si="161"/>
        <v>홀수</v>
      </c>
      <c r="Z196" s="32" t="str">
        <f t="shared" si="162"/>
        <v>짝수</v>
      </c>
      <c r="AA196" s="32" t="str">
        <f t="shared" si="163"/>
        <v>홀수</v>
      </c>
      <c r="AB196" s="32" t="str">
        <f t="shared" si="164"/>
        <v>홀수</v>
      </c>
      <c r="AC196" s="58" t="str">
        <f t="shared" si="165"/>
        <v>3 : 3</v>
      </c>
      <c r="AD196" s="32">
        <f t="shared" si="166"/>
        <v>3</v>
      </c>
      <c r="AE196" s="32">
        <f t="shared" si="167"/>
        <v>3</v>
      </c>
      <c r="AF196" s="66" t="str">
        <f t="shared" si="132"/>
        <v>저수</v>
      </c>
      <c r="AG196" s="66" t="str">
        <f t="shared" si="133"/>
        <v>저수</v>
      </c>
      <c r="AH196" s="66" t="str">
        <f t="shared" si="134"/>
        <v>저수</v>
      </c>
      <c r="AI196" s="66" t="str">
        <f t="shared" si="135"/>
        <v>저수</v>
      </c>
      <c r="AJ196" s="66" t="str">
        <f t="shared" si="136"/>
        <v>고수</v>
      </c>
      <c r="AK196" s="66" t="str">
        <f t="shared" si="137"/>
        <v>고수</v>
      </c>
      <c r="AL196" s="58" t="str">
        <f t="shared" si="138"/>
        <v>4 : 2</v>
      </c>
      <c r="AM196" s="66">
        <f t="shared" si="139"/>
        <v>4</v>
      </c>
      <c r="AN196" s="66">
        <f t="shared" si="140"/>
        <v>2</v>
      </c>
      <c r="AO196" s="66">
        <f t="shared" si="141"/>
        <v>33</v>
      </c>
      <c r="AP196" s="66" t="str">
        <f t="shared" si="142"/>
        <v>X</v>
      </c>
      <c r="AQ196" s="66" t="str">
        <f t="shared" si="143"/>
        <v>X</v>
      </c>
      <c r="AR196" s="66" t="str">
        <f t="shared" si="144"/>
        <v>O</v>
      </c>
      <c r="AS196" s="66" t="str">
        <f t="shared" si="145"/>
        <v>X</v>
      </c>
      <c r="AT196" s="66" t="str">
        <f t="shared" si="146"/>
        <v>X</v>
      </c>
      <c r="AU196" s="66" t="str">
        <f t="shared" si="147"/>
        <v>X</v>
      </c>
      <c r="AV196" s="66" t="str">
        <f t="shared" si="148"/>
        <v>X</v>
      </c>
      <c r="AW196" s="66" t="str">
        <f t="shared" si="149"/>
        <v>X</v>
      </c>
      <c r="AX196" s="66" t="str">
        <f t="shared" si="150"/>
        <v>X</v>
      </c>
      <c r="AY196" s="66" t="str">
        <f t="shared" si="151"/>
        <v>X</v>
      </c>
      <c r="AZ196" s="66" t="str">
        <f t="shared" si="152"/>
        <v>O</v>
      </c>
      <c r="BA196" s="66" t="str">
        <f t="shared" si="153"/>
        <v>X</v>
      </c>
      <c r="BB196" s="66">
        <f t="shared" si="154"/>
        <v>2</v>
      </c>
      <c r="BC196" s="127" t="str">
        <f t="shared" si="125"/>
        <v>1G</v>
      </c>
      <c r="BD196" s="127" t="str">
        <f t="shared" si="126"/>
        <v>1G</v>
      </c>
      <c r="BE196" s="127" t="str">
        <f t="shared" si="127"/>
        <v>1G</v>
      </c>
      <c r="BF196" s="127" t="str">
        <f t="shared" si="128"/>
        <v>2G</v>
      </c>
      <c r="BG196" s="127" t="str">
        <f t="shared" si="129"/>
        <v>3G</v>
      </c>
      <c r="BH196" s="127" t="str">
        <f t="shared" si="130"/>
        <v>3G</v>
      </c>
      <c r="BI196" s="127">
        <f t="shared" si="155"/>
        <v>3</v>
      </c>
      <c r="BJ196" s="127">
        <f t="shared" si="156"/>
        <v>1</v>
      </c>
      <c r="BK196" s="127">
        <f t="shared" si="157"/>
        <v>2</v>
      </c>
      <c r="BL196" s="127" t="str">
        <f t="shared" si="158"/>
        <v>312</v>
      </c>
      <c r="BS196"/>
      <c r="CL196" s="28">
        <v>130</v>
      </c>
      <c r="CM196" s="28">
        <v>130</v>
      </c>
      <c r="CO196"/>
    </row>
    <row r="197" spans="2:93" ht="16.5" hidden="1">
      <c r="B197" s="17">
        <v>193</v>
      </c>
      <c r="C197" s="363" t="s">
        <v>223</v>
      </c>
      <c r="D197" s="18">
        <v>3</v>
      </c>
      <c r="E197" s="20">
        <v>3404449700</v>
      </c>
      <c r="F197" s="18">
        <v>20</v>
      </c>
      <c r="G197" s="20">
        <v>85111243</v>
      </c>
      <c r="H197" s="20">
        <v>1135</v>
      </c>
      <c r="I197" s="20">
        <v>1499758</v>
      </c>
      <c r="J197" s="20">
        <v>58638</v>
      </c>
      <c r="K197" s="20">
        <v>58059</v>
      </c>
      <c r="L197" s="20">
        <v>974398</v>
      </c>
      <c r="M197" s="20">
        <v>5000</v>
      </c>
      <c r="N197" s="167">
        <v>6</v>
      </c>
      <c r="O197" s="167">
        <v>14</v>
      </c>
      <c r="P197" s="167">
        <v>18</v>
      </c>
      <c r="Q197" s="167">
        <v>26</v>
      </c>
      <c r="R197" s="167">
        <v>36</v>
      </c>
      <c r="S197" s="167">
        <v>39</v>
      </c>
      <c r="T197" s="167">
        <v>13</v>
      </c>
      <c r="U197" s="28">
        <f t="shared" si="131"/>
        <v>139</v>
      </c>
      <c r="W197" s="32" t="str">
        <f t="shared" si="159"/>
        <v>짝수</v>
      </c>
      <c r="X197" s="32" t="str">
        <f t="shared" si="160"/>
        <v>짝수</v>
      </c>
      <c r="Y197" s="32" t="str">
        <f t="shared" si="161"/>
        <v>짝수</v>
      </c>
      <c r="Z197" s="32" t="str">
        <f t="shared" si="162"/>
        <v>짝수</v>
      </c>
      <c r="AA197" s="32" t="str">
        <f t="shared" si="163"/>
        <v>짝수</v>
      </c>
      <c r="AB197" s="32" t="str">
        <f t="shared" si="164"/>
        <v>홀수</v>
      </c>
      <c r="AC197" s="58" t="str">
        <f t="shared" si="165"/>
        <v>1 : 5</v>
      </c>
      <c r="AD197" s="32">
        <f t="shared" si="166"/>
        <v>1</v>
      </c>
      <c r="AE197" s="32">
        <f t="shared" si="167"/>
        <v>5</v>
      </c>
      <c r="AF197" s="66" t="str">
        <f t="shared" si="132"/>
        <v>저수</v>
      </c>
      <c r="AG197" s="66" t="str">
        <f t="shared" si="133"/>
        <v>저수</v>
      </c>
      <c r="AH197" s="66" t="str">
        <f t="shared" si="134"/>
        <v>저수</v>
      </c>
      <c r="AI197" s="66" t="str">
        <f t="shared" si="135"/>
        <v>고수</v>
      </c>
      <c r="AJ197" s="66" t="str">
        <f t="shared" si="136"/>
        <v>고수</v>
      </c>
      <c r="AK197" s="66" t="str">
        <f t="shared" si="137"/>
        <v>고수</v>
      </c>
      <c r="AL197" s="58" t="str">
        <f t="shared" si="138"/>
        <v>3 : 3</v>
      </c>
      <c r="AM197" s="66">
        <f t="shared" si="139"/>
        <v>3</v>
      </c>
      <c r="AN197" s="66">
        <f t="shared" si="140"/>
        <v>3</v>
      </c>
      <c r="AO197" s="66">
        <f t="shared" si="141"/>
        <v>39</v>
      </c>
      <c r="AP197" s="66" t="str">
        <f t="shared" si="142"/>
        <v>X</v>
      </c>
      <c r="AQ197" s="66" t="str">
        <f t="shared" si="143"/>
        <v>X</v>
      </c>
      <c r="AR197" s="66" t="str">
        <f t="shared" si="144"/>
        <v>X</v>
      </c>
      <c r="AS197" s="66" t="str">
        <f t="shared" si="145"/>
        <v>X</v>
      </c>
      <c r="AT197" s="66" t="str">
        <f t="shared" si="146"/>
        <v>X</v>
      </c>
      <c r="AU197" s="66" t="str">
        <f t="shared" si="147"/>
        <v>X</v>
      </c>
      <c r="AV197" s="66" t="str">
        <f t="shared" si="148"/>
        <v>X</v>
      </c>
      <c r="AW197" s="66" t="str">
        <f t="shared" si="149"/>
        <v>X</v>
      </c>
      <c r="AX197" s="66" t="str">
        <f t="shared" si="150"/>
        <v>X</v>
      </c>
      <c r="AY197" s="66" t="str">
        <f t="shared" si="151"/>
        <v>X</v>
      </c>
      <c r="AZ197" s="66" t="str">
        <f t="shared" si="152"/>
        <v>X</v>
      </c>
      <c r="BA197" s="66" t="str">
        <f t="shared" si="153"/>
        <v>X</v>
      </c>
      <c r="BB197" s="66">
        <f t="shared" si="154"/>
        <v>0</v>
      </c>
      <c r="BC197" s="127" t="str">
        <f t="shared" ref="BC197:BC260" si="168">VLOOKUP(N197,삼그룹,6,FALSE)</f>
        <v>1G</v>
      </c>
      <c r="BD197" s="127" t="str">
        <f t="shared" ref="BD197:BD260" si="169">VLOOKUP(O197,삼그룹,6,FALSE)</f>
        <v>1G</v>
      </c>
      <c r="BE197" s="127" t="str">
        <f t="shared" ref="BE197:BE260" si="170">VLOOKUP(P197,삼그룹,6,FALSE)</f>
        <v>2G</v>
      </c>
      <c r="BF197" s="127" t="str">
        <f t="shared" ref="BF197:BF260" si="171">VLOOKUP(Q197,삼그룹,6,FALSE)</f>
        <v>2G</v>
      </c>
      <c r="BG197" s="127" t="str">
        <f t="shared" ref="BG197:BG260" si="172">VLOOKUP(R197,삼그룹,6,FALSE)</f>
        <v>3G</v>
      </c>
      <c r="BH197" s="127" t="str">
        <f t="shared" ref="BH197:BH260" si="173">VLOOKUP(S197,삼그룹,6,FALSE)</f>
        <v>3G</v>
      </c>
      <c r="BI197" s="127">
        <f t="shared" si="155"/>
        <v>2</v>
      </c>
      <c r="BJ197" s="127">
        <f t="shared" si="156"/>
        <v>2</v>
      </c>
      <c r="BK197" s="127">
        <f t="shared" si="157"/>
        <v>2</v>
      </c>
      <c r="BL197" s="127" t="str">
        <f t="shared" si="158"/>
        <v>222</v>
      </c>
      <c r="BS197"/>
      <c r="CL197" s="28">
        <v>130</v>
      </c>
      <c r="CM197" s="28">
        <v>130</v>
      </c>
      <c r="CO197"/>
    </row>
    <row r="198" spans="2:93" ht="16.5" hidden="1">
      <c r="B198" s="17">
        <v>194</v>
      </c>
      <c r="C198" s="363" t="s">
        <v>224</v>
      </c>
      <c r="D198" s="18">
        <v>4</v>
      </c>
      <c r="E198" s="20">
        <v>2650567875</v>
      </c>
      <c r="F198" s="18">
        <v>21</v>
      </c>
      <c r="G198" s="20">
        <v>84145012</v>
      </c>
      <c r="H198" s="20">
        <v>1072</v>
      </c>
      <c r="I198" s="20">
        <v>1648364</v>
      </c>
      <c r="J198" s="20">
        <v>53559</v>
      </c>
      <c r="K198" s="20">
        <v>65985</v>
      </c>
      <c r="L198" s="20">
        <v>917061</v>
      </c>
      <c r="M198" s="20">
        <v>5000</v>
      </c>
      <c r="N198" s="167">
        <v>15</v>
      </c>
      <c r="O198" s="167">
        <v>20</v>
      </c>
      <c r="P198" s="167">
        <v>23</v>
      </c>
      <c r="Q198" s="167">
        <v>26</v>
      </c>
      <c r="R198" s="167">
        <v>39</v>
      </c>
      <c r="S198" s="167">
        <v>44</v>
      </c>
      <c r="T198" s="167">
        <v>28</v>
      </c>
      <c r="U198" s="28">
        <f t="shared" ref="U198:U239" si="174">SUM(N198:S198)</f>
        <v>167</v>
      </c>
      <c r="W198" s="32" t="str">
        <f t="shared" si="159"/>
        <v>홀수</v>
      </c>
      <c r="X198" s="32" t="str">
        <f t="shared" si="160"/>
        <v>짝수</v>
      </c>
      <c r="Y198" s="32" t="str">
        <f t="shared" si="161"/>
        <v>홀수</v>
      </c>
      <c r="Z198" s="32" t="str">
        <f t="shared" si="162"/>
        <v>짝수</v>
      </c>
      <c r="AA198" s="32" t="str">
        <f t="shared" si="163"/>
        <v>홀수</v>
      </c>
      <c r="AB198" s="32" t="str">
        <f t="shared" si="164"/>
        <v>짝수</v>
      </c>
      <c r="AC198" s="58" t="str">
        <f t="shared" si="165"/>
        <v>3 : 3</v>
      </c>
      <c r="AD198" s="32">
        <f t="shared" si="166"/>
        <v>3</v>
      </c>
      <c r="AE198" s="32">
        <f t="shared" si="167"/>
        <v>3</v>
      </c>
      <c r="AF198" s="66" t="str">
        <f t="shared" ref="AF198:AF261" si="175">IF(N198&lt;23,"저수","고수")</f>
        <v>저수</v>
      </c>
      <c r="AG198" s="66" t="str">
        <f t="shared" ref="AG198:AG261" si="176">IF(O198&lt;23,"저수","고수")</f>
        <v>저수</v>
      </c>
      <c r="AH198" s="66" t="str">
        <f t="shared" ref="AH198:AH261" si="177">IF(P198&lt;23,"저수","고수")</f>
        <v>고수</v>
      </c>
      <c r="AI198" s="66" t="str">
        <f t="shared" ref="AI198:AI261" si="178">IF(Q198&lt;23,"저수","고수")</f>
        <v>고수</v>
      </c>
      <c r="AJ198" s="66" t="str">
        <f t="shared" ref="AJ198:AJ261" si="179">IF(R198&lt;23,"저수","고수")</f>
        <v>고수</v>
      </c>
      <c r="AK198" s="66" t="str">
        <f t="shared" ref="AK198:AK261" si="180">IF(S198&lt;23,"저수","고수")</f>
        <v>고수</v>
      </c>
      <c r="AL198" s="58" t="str">
        <f t="shared" ref="AL198:AL261" si="181">AM198&amp;" : "&amp;AN198</f>
        <v>2 : 4</v>
      </c>
      <c r="AM198" s="66">
        <f t="shared" ref="AM198:AM261" si="182">COUNTIF(AF198:AK198,"저수")</f>
        <v>2</v>
      </c>
      <c r="AN198" s="66">
        <f t="shared" ref="AN198:AN261" si="183">COUNTIF(AF198:AK198,"고수")</f>
        <v>4</v>
      </c>
      <c r="AO198" s="66">
        <f t="shared" ref="AO198:AO261" si="184">RIGHT(N198,1)+RIGHT(O198,1)+RIGHT(P198,1)+RIGHT(Q198,1)+RIGHT(R198,1)+RIGHT(S198,1)</f>
        <v>27</v>
      </c>
      <c r="AP198" s="66" t="str">
        <f t="shared" ref="AP198:AP261" si="185">IF(N198=2,"O",IF(N198=3,"O",IF(N198=5,"O",IF(N198=7,"O",IF(N198=11,"O",IF(N198=13,"O",IF(N198=17,"O",IF(N198=19,"O","X"))))))))</f>
        <v>X</v>
      </c>
      <c r="AQ198" s="66" t="str">
        <f t="shared" ref="AQ198:AQ261" si="186">IF(O198=2,"O",IF(O198=3,"O",IF(O198=5,"O",IF(O198=7,"O",IF(O198=11,"O",IF(O198=13,"O",IF(O198=17,"O",IF(O198=19,"O","X"))))))))</f>
        <v>X</v>
      </c>
      <c r="AR198" s="66" t="str">
        <f t="shared" ref="AR198:AR261" si="187">IF(P198=2,"O",IF(P198=3,"O",IF(P198=5,"O",IF(P198=7,"O",IF(P198=11,"O",IF(P198=13,"O",IF(P198=17,"O",IF(P198=19,"O","X"))))))))</f>
        <v>X</v>
      </c>
      <c r="AS198" s="66" t="str">
        <f t="shared" ref="AS198:AS261" si="188">IF(Q198=2,"O",IF(Q198=3,"O",IF(Q198=5,"O",IF(Q198=7,"O",IF(Q198=11,"O",IF(Q198=13,"O",IF(Q198=17,"O",IF(Q198=19,"O","X"))))))))</f>
        <v>X</v>
      </c>
      <c r="AT198" s="66" t="str">
        <f t="shared" ref="AT198:AT261" si="189">IF(R198=2,"O",IF(R198=3,"O",IF(R198=5,"O",IF(R198=7,"O",IF(R198=11,"O",IF(R198=13,"O",IF(R198=17,"O",IF(R198=19,"O","X"))))))))</f>
        <v>X</v>
      </c>
      <c r="AU198" s="66" t="str">
        <f t="shared" ref="AU198:AU261" si="190">IF(S198=2,"O",IF(S198=3,"O",IF(S198=5,"O",IF(S198=7,"O",IF(S198=11,"O",IF(S198=13,"O",IF(S198=17,"O",IF(S198=19,"O","X"))))))))</f>
        <v>X</v>
      </c>
      <c r="AV198" s="66" t="str">
        <f t="shared" ref="AV198:AV261" si="191">IF(N198=23,"O",IF(N198=29,"O",IF(N198=31,"O",IF(N198=37,"O",IF(N198=41,"O",IF(N198=43,"O","X"))))))</f>
        <v>X</v>
      </c>
      <c r="AW198" s="66" t="str">
        <f t="shared" ref="AW198:AW261" si="192">IF(O198=23,"O",IF(O198=29,"O",IF(O198=31,"O",IF(O198=37,"O",IF(O198=41,"O",IF(O198=43,"O","X"))))))</f>
        <v>X</v>
      </c>
      <c r="AX198" s="66" t="str">
        <f t="shared" ref="AX198:AX261" si="193">IF(P198=23,"O",IF(P198=29,"O",IF(P198=31,"O",IF(P198=37,"O",IF(P198=41,"O",IF(P198=43,"O","X"))))))</f>
        <v>O</v>
      </c>
      <c r="AY198" s="66" t="str">
        <f t="shared" ref="AY198:AY261" si="194">IF(Q198=23,"O",IF(Q198=29,"O",IF(Q198=31,"O",IF(Q198=37,"O",IF(Q198=41,"O",IF(Q198=43,"O","X"))))))</f>
        <v>X</v>
      </c>
      <c r="AZ198" s="66" t="str">
        <f t="shared" ref="AZ198:AZ261" si="195">IF(R198=23,"O",IF(R198=29,"O",IF(R198=31,"O",IF(R198=37,"O",IF(R198=41,"O",IF(R198=43,"O","X"))))))</f>
        <v>X</v>
      </c>
      <c r="BA198" s="66" t="str">
        <f t="shared" ref="BA198:BA261" si="196">IF(S198=23,"O",IF(S198=29,"O",IF(S198=31,"O",IF(S198=37,"O",IF(S198=41,"O",IF(S198=43,"O","X"))))))</f>
        <v>X</v>
      </c>
      <c r="BB198" s="66">
        <f t="shared" ref="BB198:BB261" si="197">COUNTIF(AP198:BA198,"O")</f>
        <v>1</v>
      </c>
      <c r="BC198" s="127" t="str">
        <f t="shared" si="168"/>
        <v>1G</v>
      </c>
      <c r="BD198" s="127" t="str">
        <f t="shared" si="169"/>
        <v>2G</v>
      </c>
      <c r="BE198" s="127" t="str">
        <f t="shared" si="170"/>
        <v>2G</v>
      </c>
      <c r="BF198" s="127" t="str">
        <f t="shared" si="171"/>
        <v>2G</v>
      </c>
      <c r="BG198" s="127" t="str">
        <f t="shared" si="172"/>
        <v>3G</v>
      </c>
      <c r="BH198" s="127" t="str">
        <f t="shared" si="173"/>
        <v>3G</v>
      </c>
      <c r="BI198" s="127">
        <f t="shared" ref="BI198:BI261" si="198">COUNTIF($BC198:$BH198,"1G")</f>
        <v>1</v>
      </c>
      <c r="BJ198" s="127">
        <f t="shared" ref="BJ198:BJ261" si="199">COUNTIF($BC198:$BH198,"2G")</f>
        <v>3</v>
      </c>
      <c r="BK198" s="127">
        <f t="shared" ref="BK198:BK261" si="200">COUNTIF($BC198:$BH198,"3G")</f>
        <v>2</v>
      </c>
      <c r="BL198" s="127" t="str">
        <f t="shared" ref="BL198:BL261" si="201">BI198&amp;BJ198&amp;BK198</f>
        <v>132</v>
      </c>
      <c r="BS198"/>
      <c r="CL198" s="28">
        <v>130</v>
      </c>
      <c r="CM198" s="28">
        <v>130</v>
      </c>
      <c r="CO198"/>
    </row>
    <row r="199" spans="2:93" ht="16.5" hidden="1">
      <c r="B199" s="17">
        <v>195</v>
      </c>
      <c r="C199" s="363" t="s">
        <v>225</v>
      </c>
      <c r="D199" s="18">
        <v>11</v>
      </c>
      <c r="E199" s="20">
        <v>918992591</v>
      </c>
      <c r="F199" s="18">
        <v>66</v>
      </c>
      <c r="G199" s="20">
        <v>25527572</v>
      </c>
      <c r="H199" s="20">
        <v>1691</v>
      </c>
      <c r="I199" s="20">
        <v>996346</v>
      </c>
      <c r="J199" s="20">
        <v>70324</v>
      </c>
      <c r="K199" s="20">
        <v>47916</v>
      </c>
      <c r="L199" s="20">
        <v>1067833</v>
      </c>
      <c r="M199" s="20">
        <v>5000</v>
      </c>
      <c r="N199" s="167">
        <v>7</v>
      </c>
      <c r="O199" s="167">
        <v>10</v>
      </c>
      <c r="P199" s="167">
        <v>19</v>
      </c>
      <c r="Q199" s="167">
        <v>22</v>
      </c>
      <c r="R199" s="167">
        <v>35</v>
      </c>
      <c r="S199" s="167">
        <v>40</v>
      </c>
      <c r="T199" s="167">
        <v>31</v>
      </c>
      <c r="U199" s="28">
        <f t="shared" si="174"/>
        <v>133</v>
      </c>
      <c r="W199" s="32" t="str">
        <f t="shared" si="159"/>
        <v>홀수</v>
      </c>
      <c r="X199" s="32" t="str">
        <f t="shared" si="160"/>
        <v>짝수</v>
      </c>
      <c r="Y199" s="32" t="str">
        <f t="shared" si="161"/>
        <v>홀수</v>
      </c>
      <c r="Z199" s="32" t="str">
        <f t="shared" si="162"/>
        <v>짝수</v>
      </c>
      <c r="AA199" s="32" t="str">
        <f t="shared" si="163"/>
        <v>홀수</v>
      </c>
      <c r="AB199" s="32" t="str">
        <f t="shared" si="164"/>
        <v>짝수</v>
      </c>
      <c r="AC199" s="58" t="str">
        <f t="shared" si="165"/>
        <v>3 : 3</v>
      </c>
      <c r="AD199" s="32">
        <f t="shared" si="166"/>
        <v>3</v>
      </c>
      <c r="AE199" s="32">
        <f t="shared" si="167"/>
        <v>3</v>
      </c>
      <c r="AF199" s="66" t="str">
        <f t="shared" si="175"/>
        <v>저수</v>
      </c>
      <c r="AG199" s="66" t="str">
        <f t="shared" si="176"/>
        <v>저수</v>
      </c>
      <c r="AH199" s="66" t="str">
        <f t="shared" si="177"/>
        <v>저수</v>
      </c>
      <c r="AI199" s="66" t="str">
        <f t="shared" si="178"/>
        <v>저수</v>
      </c>
      <c r="AJ199" s="66" t="str">
        <f t="shared" si="179"/>
        <v>고수</v>
      </c>
      <c r="AK199" s="66" t="str">
        <f t="shared" si="180"/>
        <v>고수</v>
      </c>
      <c r="AL199" s="58" t="str">
        <f t="shared" si="181"/>
        <v>4 : 2</v>
      </c>
      <c r="AM199" s="66">
        <f t="shared" si="182"/>
        <v>4</v>
      </c>
      <c r="AN199" s="66">
        <f t="shared" si="183"/>
        <v>2</v>
      </c>
      <c r="AO199" s="66">
        <f t="shared" si="184"/>
        <v>23</v>
      </c>
      <c r="AP199" s="66" t="str">
        <f t="shared" si="185"/>
        <v>O</v>
      </c>
      <c r="AQ199" s="66" t="str">
        <f t="shared" si="186"/>
        <v>X</v>
      </c>
      <c r="AR199" s="66" t="str">
        <f t="shared" si="187"/>
        <v>O</v>
      </c>
      <c r="AS199" s="66" t="str">
        <f t="shared" si="188"/>
        <v>X</v>
      </c>
      <c r="AT199" s="66" t="str">
        <f t="shared" si="189"/>
        <v>X</v>
      </c>
      <c r="AU199" s="66" t="str">
        <f t="shared" si="190"/>
        <v>X</v>
      </c>
      <c r="AV199" s="66" t="str">
        <f t="shared" si="191"/>
        <v>X</v>
      </c>
      <c r="AW199" s="66" t="str">
        <f t="shared" si="192"/>
        <v>X</v>
      </c>
      <c r="AX199" s="66" t="str">
        <f t="shared" si="193"/>
        <v>X</v>
      </c>
      <c r="AY199" s="66" t="str">
        <f t="shared" si="194"/>
        <v>X</v>
      </c>
      <c r="AZ199" s="66" t="str">
        <f t="shared" si="195"/>
        <v>X</v>
      </c>
      <c r="BA199" s="66" t="str">
        <f t="shared" si="196"/>
        <v>X</v>
      </c>
      <c r="BB199" s="66">
        <f t="shared" si="197"/>
        <v>2</v>
      </c>
      <c r="BC199" s="127" t="str">
        <f t="shared" si="168"/>
        <v>1G</v>
      </c>
      <c r="BD199" s="127" t="str">
        <f t="shared" si="169"/>
        <v>1G</v>
      </c>
      <c r="BE199" s="127" t="str">
        <f t="shared" si="170"/>
        <v>2G</v>
      </c>
      <c r="BF199" s="127" t="str">
        <f t="shared" si="171"/>
        <v>2G</v>
      </c>
      <c r="BG199" s="127" t="str">
        <f t="shared" si="172"/>
        <v>3G</v>
      </c>
      <c r="BH199" s="127" t="str">
        <f t="shared" si="173"/>
        <v>3G</v>
      </c>
      <c r="BI199" s="127">
        <f t="shared" si="198"/>
        <v>2</v>
      </c>
      <c r="BJ199" s="127">
        <f t="shared" si="199"/>
        <v>2</v>
      </c>
      <c r="BK199" s="127">
        <f t="shared" si="200"/>
        <v>2</v>
      </c>
      <c r="BL199" s="127" t="str">
        <f t="shared" si="201"/>
        <v>222</v>
      </c>
      <c r="BS199"/>
      <c r="CL199" s="28">
        <v>130</v>
      </c>
      <c r="CM199" s="28">
        <v>130</v>
      </c>
      <c r="CO199"/>
    </row>
    <row r="200" spans="2:93" ht="16.5" hidden="1">
      <c r="B200" s="17">
        <v>196</v>
      </c>
      <c r="C200" s="363" t="s">
        <v>226</v>
      </c>
      <c r="D200" s="18">
        <v>15</v>
      </c>
      <c r="E200" s="20">
        <v>727876520</v>
      </c>
      <c r="F200" s="18">
        <v>27</v>
      </c>
      <c r="G200" s="20">
        <v>67395975</v>
      </c>
      <c r="H200" s="20">
        <v>1518</v>
      </c>
      <c r="I200" s="20">
        <v>1198743</v>
      </c>
      <c r="J200" s="20">
        <v>58079</v>
      </c>
      <c r="K200" s="20">
        <v>62663</v>
      </c>
      <c r="L200" s="20">
        <v>937967</v>
      </c>
      <c r="M200" s="20">
        <v>5000</v>
      </c>
      <c r="N200" s="167">
        <v>35</v>
      </c>
      <c r="O200" s="167">
        <v>36</v>
      </c>
      <c r="P200" s="167">
        <v>37</v>
      </c>
      <c r="Q200" s="167">
        <v>41</v>
      </c>
      <c r="R200" s="167">
        <v>44</v>
      </c>
      <c r="S200" s="167">
        <v>45</v>
      </c>
      <c r="T200" s="167">
        <v>30</v>
      </c>
      <c r="U200" s="28">
        <f t="shared" si="174"/>
        <v>238</v>
      </c>
      <c r="W200" s="32" t="str">
        <f t="shared" si="159"/>
        <v>홀수</v>
      </c>
      <c r="X200" s="32" t="str">
        <f t="shared" si="160"/>
        <v>짝수</v>
      </c>
      <c r="Y200" s="32" t="str">
        <f t="shared" si="161"/>
        <v>홀수</v>
      </c>
      <c r="Z200" s="32" t="str">
        <f t="shared" si="162"/>
        <v>홀수</v>
      </c>
      <c r="AA200" s="32" t="str">
        <f t="shared" si="163"/>
        <v>짝수</v>
      </c>
      <c r="AB200" s="32" t="str">
        <f t="shared" si="164"/>
        <v>홀수</v>
      </c>
      <c r="AC200" s="58" t="str">
        <f t="shared" si="165"/>
        <v>4 : 2</v>
      </c>
      <c r="AD200" s="32">
        <f t="shared" si="166"/>
        <v>4</v>
      </c>
      <c r="AE200" s="32">
        <f t="shared" si="167"/>
        <v>2</v>
      </c>
      <c r="AF200" s="66" t="str">
        <f t="shared" si="175"/>
        <v>고수</v>
      </c>
      <c r="AG200" s="66" t="str">
        <f t="shared" si="176"/>
        <v>고수</v>
      </c>
      <c r="AH200" s="66" t="str">
        <f t="shared" si="177"/>
        <v>고수</v>
      </c>
      <c r="AI200" s="66" t="str">
        <f t="shared" si="178"/>
        <v>고수</v>
      </c>
      <c r="AJ200" s="66" t="str">
        <f t="shared" si="179"/>
        <v>고수</v>
      </c>
      <c r="AK200" s="66" t="str">
        <f t="shared" si="180"/>
        <v>고수</v>
      </c>
      <c r="AL200" s="58" t="str">
        <f t="shared" si="181"/>
        <v>0 : 6</v>
      </c>
      <c r="AM200" s="66">
        <f t="shared" si="182"/>
        <v>0</v>
      </c>
      <c r="AN200" s="66">
        <f t="shared" si="183"/>
        <v>6</v>
      </c>
      <c r="AO200" s="66">
        <f t="shared" si="184"/>
        <v>28</v>
      </c>
      <c r="AP200" s="66" t="str">
        <f t="shared" si="185"/>
        <v>X</v>
      </c>
      <c r="AQ200" s="66" t="str">
        <f t="shared" si="186"/>
        <v>X</v>
      </c>
      <c r="AR200" s="66" t="str">
        <f t="shared" si="187"/>
        <v>X</v>
      </c>
      <c r="AS200" s="66" t="str">
        <f t="shared" si="188"/>
        <v>X</v>
      </c>
      <c r="AT200" s="66" t="str">
        <f t="shared" si="189"/>
        <v>X</v>
      </c>
      <c r="AU200" s="66" t="str">
        <f t="shared" si="190"/>
        <v>X</v>
      </c>
      <c r="AV200" s="66" t="str">
        <f t="shared" si="191"/>
        <v>X</v>
      </c>
      <c r="AW200" s="66" t="str">
        <f t="shared" si="192"/>
        <v>X</v>
      </c>
      <c r="AX200" s="66" t="str">
        <f t="shared" si="193"/>
        <v>O</v>
      </c>
      <c r="AY200" s="66" t="str">
        <f t="shared" si="194"/>
        <v>O</v>
      </c>
      <c r="AZ200" s="66" t="str">
        <f t="shared" si="195"/>
        <v>X</v>
      </c>
      <c r="BA200" s="66" t="str">
        <f t="shared" si="196"/>
        <v>X</v>
      </c>
      <c r="BB200" s="66">
        <f t="shared" si="197"/>
        <v>2</v>
      </c>
      <c r="BC200" s="127" t="str">
        <f t="shared" si="168"/>
        <v>3G</v>
      </c>
      <c r="BD200" s="127" t="str">
        <f t="shared" si="169"/>
        <v>3G</v>
      </c>
      <c r="BE200" s="127" t="str">
        <f t="shared" si="170"/>
        <v>3G</v>
      </c>
      <c r="BF200" s="127" t="str">
        <f t="shared" si="171"/>
        <v>3G</v>
      </c>
      <c r="BG200" s="127" t="str">
        <f t="shared" si="172"/>
        <v>3G</v>
      </c>
      <c r="BH200" s="127" t="str">
        <f t="shared" si="173"/>
        <v>3G</v>
      </c>
      <c r="BI200" s="127">
        <f t="shared" si="198"/>
        <v>0</v>
      </c>
      <c r="BJ200" s="127">
        <f t="shared" si="199"/>
        <v>0</v>
      </c>
      <c r="BK200" s="127">
        <f t="shared" si="200"/>
        <v>6</v>
      </c>
      <c r="BL200" s="127" t="str">
        <f t="shared" si="201"/>
        <v>006</v>
      </c>
      <c r="BS200"/>
      <c r="CL200" s="28">
        <v>130</v>
      </c>
      <c r="CM200" s="28">
        <v>130</v>
      </c>
      <c r="CO200"/>
    </row>
    <row r="201" spans="2:93" ht="16.5" hidden="1">
      <c r="B201" s="17">
        <v>197</v>
      </c>
      <c r="C201" s="363" t="s">
        <v>227</v>
      </c>
      <c r="D201" s="18">
        <v>6</v>
      </c>
      <c r="E201" s="20">
        <v>1803018300</v>
      </c>
      <c r="F201" s="18">
        <v>42</v>
      </c>
      <c r="G201" s="20">
        <v>42929008</v>
      </c>
      <c r="H201" s="20">
        <v>1229</v>
      </c>
      <c r="I201" s="20">
        <v>1467062</v>
      </c>
      <c r="J201" s="20">
        <v>58551</v>
      </c>
      <c r="K201" s="20">
        <v>61588</v>
      </c>
      <c r="L201" s="20">
        <v>993294</v>
      </c>
      <c r="M201" s="20">
        <v>5000</v>
      </c>
      <c r="N201" s="167">
        <v>7</v>
      </c>
      <c r="O201" s="167">
        <v>12</v>
      </c>
      <c r="P201" s="167">
        <v>16</v>
      </c>
      <c r="Q201" s="167">
        <v>34</v>
      </c>
      <c r="R201" s="167">
        <v>42</v>
      </c>
      <c r="S201" s="167">
        <v>45</v>
      </c>
      <c r="T201" s="167">
        <v>4</v>
      </c>
      <c r="U201" s="28">
        <f t="shared" si="174"/>
        <v>156</v>
      </c>
      <c r="W201" s="32" t="str">
        <f t="shared" si="159"/>
        <v>홀수</v>
      </c>
      <c r="X201" s="32" t="str">
        <f t="shared" si="160"/>
        <v>짝수</v>
      </c>
      <c r="Y201" s="32" t="str">
        <f t="shared" si="161"/>
        <v>짝수</v>
      </c>
      <c r="Z201" s="32" t="str">
        <f t="shared" si="162"/>
        <v>짝수</v>
      </c>
      <c r="AA201" s="32" t="str">
        <f t="shared" si="163"/>
        <v>짝수</v>
      </c>
      <c r="AB201" s="32" t="str">
        <f t="shared" si="164"/>
        <v>홀수</v>
      </c>
      <c r="AC201" s="58" t="str">
        <f t="shared" si="165"/>
        <v>2 : 4</v>
      </c>
      <c r="AD201" s="32">
        <f t="shared" si="166"/>
        <v>2</v>
      </c>
      <c r="AE201" s="32">
        <f t="shared" si="167"/>
        <v>4</v>
      </c>
      <c r="AF201" s="66" t="str">
        <f t="shared" si="175"/>
        <v>저수</v>
      </c>
      <c r="AG201" s="66" t="str">
        <f t="shared" si="176"/>
        <v>저수</v>
      </c>
      <c r="AH201" s="66" t="str">
        <f t="shared" si="177"/>
        <v>저수</v>
      </c>
      <c r="AI201" s="66" t="str">
        <f t="shared" si="178"/>
        <v>고수</v>
      </c>
      <c r="AJ201" s="66" t="str">
        <f t="shared" si="179"/>
        <v>고수</v>
      </c>
      <c r="AK201" s="66" t="str">
        <f t="shared" si="180"/>
        <v>고수</v>
      </c>
      <c r="AL201" s="58" t="str">
        <f t="shared" si="181"/>
        <v>3 : 3</v>
      </c>
      <c r="AM201" s="66">
        <f t="shared" si="182"/>
        <v>3</v>
      </c>
      <c r="AN201" s="66">
        <f t="shared" si="183"/>
        <v>3</v>
      </c>
      <c r="AO201" s="66">
        <f t="shared" si="184"/>
        <v>26</v>
      </c>
      <c r="AP201" s="66" t="str">
        <f t="shared" si="185"/>
        <v>O</v>
      </c>
      <c r="AQ201" s="66" t="str">
        <f t="shared" si="186"/>
        <v>X</v>
      </c>
      <c r="AR201" s="66" t="str">
        <f t="shared" si="187"/>
        <v>X</v>
      </c>
      <c r="AS201" s="66" t="str">
        <f t="shared" si="188"/>
        <v>X</v>
      </c>
      <c r="AT201" s="66" t="str">
        <f t="shared" si="189"/>
        <v>X</v>
      </c>
      <c r="AU201" s="66" t="str">
        <f t="shared" si="190"/>
        <v>X</v>
      </c>
      <c r="AV201" s="66" t="str">
        <f t="shared" si="191"/>
        <v>X</v>
      </c>
      <c r="AW201" s="66" t="str">
        <f t="shared" si="192"/>
        <v>X</v>
      </c>
      <c r="AX201" s="66" t="str">
        <f t="shared" si="193"/>
        <v>X</v>
      </c>
      <c r="AY201" s="66" t="str">
        <f t="shared" si="194"/>
        <v>X</v>
      </c>
      <c r="AZ201" s="66" t="str">
        <f t="shared" si="195"/>
        <v>X</v>
      </c>
      <c r="BA201" s="66" t="str">
        <f t="shared" si="196"/>
        <v>X</v>
      </c>
      <c r="BB201" s="66">
        <f t="shared" si="197"/>
        <v>1</v>
      </c>
      <c r="BC201" s="127" t="str">
        <f t="shared" si="168"/>
        <v>1G</v>
      </c>
      <c r="BD201" s="127" t="str">
        <f t="shared" si="169"/>
        <v>1G</v>
      </c>
      <c r="BE201" s="127" t="str">
        <f t="shared" si="170"/>
        <v>2G</v>
      </c>
      <c r="BF201" s="127" t="str">
        <f t="shared" si="171"/>
        <v>3G</v>
      </c>
      <c r="BG201" s="127" t="str">
        <f t="shared" si="172"/>
        <v>3G</v>
      </c>
      <c r="BH201" s="127" t="str">
        <f t="shared" si="173"/>
        <v>3G</v>
      </c>
      <c r="BI201" s="127">
        <f t="shared" si="198"/>
        <v>2</v>
      </c>
      <c r="BJ201" s="127">
        <f t="shared" si="199"/>
        <v>1</v>
      </c>
      <c r="BK201" s="127">
        <f t="shared" si="200"/>
        <v>3</v>
      </c>
      <c r="BL201" s="127" t="str">
        <f t="shared" si="201"/>
        <v>213</v>
      </c>
      <c r="BS201"/>
      <c r="CL201" s="28">
        <v>130</v>
      </c>
      <c r="CM201" s="28">
        <v>130</v>
      </c>
      <c r="CO201"/>
    </row>
    <row r="202" spans="2:93" ht="16.5" hidden="1">
      <c r="B202" s="17">
        <v>198</v>
      </c>
      <c r="C202" s="363" t="s">
        <v>228</v>
      </c>
      <c r="D202" s="18">
        <v>6</v>
      </c>
      <c r="E202" s="20">
        <v>1797855050</v>
      </c>
      <c r="F202" s="18">
        <v>25</v>
      </c>
      <c r="G202" s="20">
        <v>71914202</v>
      </c>
      <c r="H202" s="20">
        <v>1050</v>
      </c>
      <c r="I202" s="20">
        <v>1712243</v>
      </c>
      <c r="J202" s="20">
        <v>55693</v>
      </c>
      <c r="K202" s="20">
        <v>64564</v>
      </c>
      <c r="L202" s="20">
        <v>965692</v>
      </c>
      <c r="M202" s="20">
        <v>5000</v>
      </c>
      <c r="N202" s="167">
        <v>12</v>
      </c>
      <c r="O202" s="167">
        <v>19</v>
      </c>
      <c r="P202" s="167">
        <v>20</v>
      </c>
      <c r="Q202" s="167">
        <v>25</v>
      </c>
      <c r="R202" s="167">
        <v>41</v>
      </c>
      <c r="S202" s="167">
        <v>45</v>
      </c>
      <c r="T202" s="167">
        <v>2</v>
      </c>
      <c r="U202" s="28">
        <f t="shared" si="174"/>
        <v>162</v>
      </c>
      <c r="W202" s="32" t="str">
        <f t="shared" si="159"/>
        <v>짝수</v>
      </c>
      <c r="X202" s="32" t="str">
        <f t="shared" si="160"/>
        <v>홀수</v>
      </c>
      <c r="Y202" s="32" t="str">
        <f t="shared" si="161"/>
        <v>짝수</v>
      </c>
      <c r="Z202" s="32" t="str">
        <f t="shared" si="162"/>
        <v>홀수</v>
      </c>
      <c r="AA202" s="32" t="str">
        <f t="shared" si="163"/>
        <v>홀수</v>
      </c>
      <c r="AB202" s="32" t="str">
        <f t="shared" si="164"/>
        <v>홀수</v>
      </c>
      <c r="AC202" s="58" t="str">
        <f t="shared" si="165"/>
        <v>4 : 2</v>
      </c>
      <c r="AD202" s="32">
        <f t="shared" si="166"/>
        <v>4</v>
      </c>
      <c r="AE202" s="32">
        <f t="shared" si="167"/>
        <v>2</v>
      </c>
      <c r="AF202" s="66" t="str">
        <f t="shared" si="175"/>
        <v>저수</v>
      </c>
      <c r="AG202" s="66" t="str">
        <f t="shared" si="176"/>
        <v>저수</v>
      </c>
      <c r="AH202" s="66" t="str">
        <f t="shared" si="177"/>
        <v>저수</v>
      </c>
      <c r="AI202" s="66" t="str">
        <f t="shared" si="178"/>
        <v>고수</v>
      </c>
      <c r="AJ202" s="66" t="str">
        <f t="shared" si="179"/>
        <v>고수</v>
      </c>
      <c r="AK202" s="66" t="str">
        <f t="shared" si="180"/>
        <v>고수</v>
      </c>
      <c r="AL202" s="58" t="str">
        <f t="shared" si="181"/>
        <v>3 : 3</v>
      </c>
      <c r="AM202" s="66">
        <f t="shared" si="182"/>
        <v>3</v>
      </c>
      <c r="AN202" s="66">
        <f t="shared" si="183"/>
        <v>3</v>
      </c>
      <c r="AO202" s="66">
        <f t="shared" si="184"/>
        <v>22</v>
      </c>
      <c r="AP202" s="66" t="str">
        <f t="shared" si="185"/>
        <v>X</v>
      </c>
      <c r="AQ202" s="66" t="str">
        <f t="shared" si="186"/>
        <v>O</v>
      </c>
      <c r="AR202" s="66" t="str">
        <f t="shared" si="187"/>
        <v>X</v>
      </c>
      <c r="AS202" s="66" t="str">
        <f t="shared" si="188"/>
        <v>X</v>
      </c>
      <c r="AT202" s="66" t="str">
        <f t="shared" si="189"/>
        <v>X</v>
      </c>
      <c r="AU202" s="66" t="str">
        <f t="shared" si="190"/>
        <v>X</v>
      </c>
      <c r="AV202" s="66" t="str">
        <f t="shared" si="191"/>
        <v>X</v>
      </c>
      <c r="AW202" s="66" t="str">
        <f t="shared" si="192"/>
        <v>X</v>
      </c>
      <c r="AX202" s="66" t="str">
        <f t="shared" si="193"/>
        <v>X</v>
      </c>
      <c r="AY202" s="66" t="str">
        <f t="shared" si="194"/>
        <v>X</v>
      </c>
      <c r="AZ202" s="66" t="str">
        <f t="shared" si="195"/>
        <v>O</v>
      </c>
      <c r="BA202" s="66" t="str">
        <f t="shared" si="196"/>
        <v>X</v>
      </c>
      <c r="BB202" s="66">
        <f t="shared" si="197"/>
        <v>2</v>
      </c>
      <c r="BC202" s="127" t="str">
        <f t="shared" si="168"/>
        <v>1G</v>
      </c>
      <c r="BD202" s="127" t="str">
        <f t="shared" si="169"/>
        <v>2G</v>
      </c>
      <c r="BE202" s="127" t="str">
        <f t="shared" si="170"/>
        <v>2G</v>
      </c>
      <c r="BF202" s="127" t="str">
        <f t="shared" si="171"/>
        <v>2G</v>
      </c>
      <c r="BG202" s="127" t="str">
        <f t="shared" si="172"/>
        <v>3G</v>
      </c>
      <c r="BH202" s="127" t="str">
        <f t="shared" si="173"/>
        <v>3G</v>
      </c>
      <c r="BI202" s="127">
        <f t="shared" si="198"/>
        <v>1</v>
      </c>
      <c r="BJ202" s="127">
        <f t="shared" si="199"/>
        <v>3</v>
      </c>
      <c r="BK202" s="127">
        <f t="shared" si="200"/>
        <v>2</v>
      </c>
      <c r="BL202" s="127" t="str">
        <f t="shared" si="201"/>
        <v>132</v>
      </c>
      <c r="BS202"/>
      <c r="CL202" s="28">
        <v>131</v>
      </c>
      <c r="CM202" s="28">
        <v>130</v>
      </c>
      <c r="CO202"/>
    </row>
    <row r="203" spans="2:93" ht="16.5" hidden="1">
      <c r="B203" s="17">
        <v>199</v>
      </c>
      <c r="C203" s="363" t="s">
        <v>229</v>
      </c>
      <c r="D203" s="18">
        <v>2</v>
      </c>
      <c r="E203" s="20">
        <v>5344252200</v>
      </c>
      <c r="F203" s="18">
        <v>23</v>
      </c>
      <c r="G203" s="20">
        <v>77452931</v>
      </c>
      <c r="H203" s="20">
        <v>1049</v>
      </c>
      <c r="I203" s="20">
        <v>1698206</v>
      </c>
      <c r="J203" s="20">
        <v>55426</v>
      </c>
      <c r="K203" s="20">
        <v>64281</v>
      </c>
      <c r="L203" s="20">
        <v>939272</v>
      </c>
      <c r="M203" s="20">
        <v>5000</v>
      </c>
      <c r="N203" s="167">
        <v>14</v>
      </c>
      <c r="O203" s="167">
        <v>21</v>
      </c>
      <c r="P203" s="167">
        <v>22</v>
      </c>
      <c r="Q203" s="167">
        <v>25</v>
      </c>
      <c r="R203" s="167">
        <v>30</v>
      </c>
      <c r="S203" s="167">
        <v>36</v>
      </c>
      <c r="T203" s="167">
        <v>43</v>
      </c>
      <c r="U203" s="28">
        <f t="shared" si="174"/>
        <v>148</v>
      </c>
      <c r="W203" s="32" t="str">
        <f t="shared" si="159"/>
        <v>짝수</v>
      </c>
      <c r="X203" s="32" t="str">
        <f t="shared" si="160"/>
        <v>홀수</v>
      </c>
      <c r="Y203" s="32" t="str">
        <f t="shared" si="161"/>
        <v>짝수</v>
      </c>
      <c r="Z203" s="32" t="str">
        <f t="shared" si="162"/>
        <v>홀수</v>
      </c>
      <c r="AA203" s="32" t="str">
        <f t="shared" si="163"/>
        <v>짝수</v>
      </c>
      <c r="AB203" s="32" t="str">
        <f t="shared" si="164"/>
        <v>짝수</v>
      </c>
      <c r="AC203" s="58" t="str">
        <f t="shared" si="165"/>
        <v>2 : 4</v>
      </c>
      <c r="AD203" s="32">
        <f t="shared" si="166"/>
        <v>2</v>
      </c>
      <c r="AE203" s="32">
        <f t="shared" si="167"/>
        <v>4</v>
      </c>
      <c r="AF203" s="66" t="str">
        <f t="shared" si="175"/>
        <v>저수</v>
      </c>
      <c r="AG203" s="66" t="str">
        <f t="shared" si="176"/>
        <v>저수</v>
      </c>
      <c r="AH203" s="66" t="str">
        <f t="shared" si="177"/>
        <v>저수</v>
      </c>
      <c r="AI203" s="66" t="str">
        <f t="shared" si="178"/>
        <v>고수</v>
      </c>
      <c r="AJ203" s="66" t="str">
        <f t="shared" si="179"/>
        <v>고수</v>
      </c>
      <c r="AK203" s="66" t="str">
        <f t="shared" si="180"/>
        <v>고수</v>
      </c>
      <c r="AL203" s="58" t="str">
        <f t="shared" si="181"/>
        <v>3 : 3</v>
      </c>
      <c r="AM203" s="66">
        <f t="shared" si="182"/>
        <v>3</v>
      </c>
      <c r="AN203" s="66">
        <f t="shared" si="183"/>
        <v>3</v>
      </c>
      <c r="AO203" s="66">
        <f t="shared" si="184"/>
        <v>18</v>
      </c>
      <c r="AP203" s="66" t="str">
        <f t="shared" si="185"/>
        <v>X</v>
      </c>
      <c r="AQ203" s="66" t="str">
        <f t="shared" si="186"/>
        <v>X</v>
      </c>
      <c r="AR203" s="66" t="str">
        <f t="shared" si="187"/>
        <v>X</v>
      </c>
      <c r="AS203" s="66" t="str">
        <f t="shared" si="188"/>
        <v>X</v>
      </c>
      <c r="AT203" s="66" t="str">
        <f t="shared" si="189"/>
        <v>X</v>
      </c>
      <c r="AU203" s="66" t="str">
        <f t="shared" si="190"/>
        <v>X</v>
      </c>
      <c r="AV203" s="66" t="str">
        <f t="shared" si="191"/>
        <v>X</v>
      </c>
      <c r="AW203" s="66" t="str">
        <f t="shared" si="192"/>
        <v>X</v>
      </c>
      <c r="AX203" s="66" t="str">
        <f t="shared" si="193"/>
        <v>X</v>
      </c>
      <c r="AY203" s="66" t="str">
        <f t="shared" si="194"/>
        <v>X</v>
      </c>
      <c r="AZ203" s="66" t="str">
        <f t="shared" si="195"/>
        <v>X</v>
      </c>
      <c r="BA203" s="66" t="str">
        <f t="shared" si="196"/>
        <v>X</v>
      </c>
      <c r="BB203" s="66">
        <f t="shared" si="197"/>
        <v>0</v>
      </c>
      <c r="BC203" s="127" t="str">
        <f t="shared" si="168"/>
        <v>1G</v>
      </c>
      <c r="BD203" s="127" t="str">
        <f t="shared" si="169"/>
        <v>2G</v>
      </c>
      <c r="BE203" s="127" t="str">
        <f t="shared" si="170"/>
        <v>2G</v>
      </c>
      <c r="BF203" s="127" t="str">
        <f t="shared" si="171"/>
        <v>2G</v>
      </c>
      <c r="BG203" s="127" t="str">
        <f t="shared" si="172"/>
        <v>2G</v>
      </c>
      <c r="BH203" s="127" t="str">
        <f t="shared" si="173"/>
        <v>3G</v>
      </c>
      <c r="BI203" s="127">
        <f t="shared" si="198"/>
        <v>1</v>
      </c>
      <c r="BJ203" s="127">
        <f t="shared" si="199"/>
        <v>4</v>
      </c>
      <c r="BK203" s="127">
        <f t="shared" si="200"/>
        <v>1</v>
      </c>
      <c r="BL203" s="127" t="str">
        <f t="shared" si="201"/>
        <v>141</v>
      </c>
      <c r="BS203"/>
      <c r="CL203" s="28">
        <v>131</v>
      </c>
      <c r="CM203" s="28">
        <v>130</v>
      </c>
      <c r="CO203"/>
    </row>
    <row r="204" spans="2:93" ht="16.5" hidden="1">
      <c r="B204" s="17">
        <v>200</v>
      </c>
      <c r="C204" s="363" t="s">
        <v>230</v>
      </c>
      <c r="D204" s="18">
        <v>8</v>
      </c>
      <c r="E204" s="20">
        <v>1344616613</v>
      </c>
      <c r="F204" s="18">
        <v>58</v>
      </c>
      <c r="G204" s="20">
        <v>30910727</v>
      </c>
      <c r="H204" s="20">
        <v>1387</v>
      </c>
      <c r="I204" s="20">
        <v>1292590</v>
      </c>
      <c r="J204" s="20">
        <v>66233</v>
      </c>
      <c r="K204" s="20">
        <v>54137</v>
      </c>
      <c r="L204" s="20">
        <v>1078398</v>
      </c>
      <c r="M204" s="20">
        <v>5000</v>
      </c>
      <c r="N204" s="167">
        <v>5</v>
      </c>
      <c r="O204" s="167">
        <v>6</v>
      </c>
      <c r="P204" s="167">
        <v>13</v>
      </c>
      <c r="Q204" s="167">
        <v>14</v>
      </c>
      <c r="R204" s="167">
        <v>17</v>
      </c>
      <c r="S204" s="167">
        <v>20</v>
      </c>
      <c r="T204" s="167">
        <v>7</v>
      </c>
      <c r="U204" s="28">
        <f t="shared" si="174"/>
        <v>75</v>
      </c>
      <c r="W204" s="32" t="str">
        <f t="shared" si="159"/>
        <v>홀수</v>
      </c>
      <c r="X204" s="32" t="str">
        <f t="shared" si="160"/>
        <v>짝수</v>
      </c>
      <c r="Y204" s="32" t="str">
        <f t="shared" si="161"/>
        <v>홀수</v>
      </c>
      <c r="Z204" s="32" t="str">
        <f t="shared" si="162"/>
        <v>짝수</v>
      </c>
      <c r="AA204" s="32" t="str">
        <f t="shared" si="163"/>
        <v>홀수</v>
      </c>
      <c r="AB204" s="32" t="str">
        <f t="shared" si="164"/>
        <v>짝수</v>
      </c>
      <c r="AC204" s="58" t="str">
        <f t="shared" si="165"/>
        <v>3 : 3</v>
      </c>
      <c r="AD204" s="32">
        <f t="shared" si="166"/>
        <v>3</v>
      </c>
      <c r="AE204" s="32">
        <f t="shared" si="167"/>
        <v>3</v>
      </c>
      <c r="AF204" s="66" t="str">
        <f t="shared" si="175"/>
        <v>저수</v>
      </c>
      <c r="AG204" s="66" t="str">
        <f t="shared" si="176"/>
        <v>저수</v>
      </c>
      <c r="AH204" s="66" t="str">
        <f t="shared" si="177"/>
        <v>저수</v>
      </c>
      <c r="AI204" s="66" t="str">
        <f t="shared" si="178"/>
        <v>저수</v>
      </c>
      <c r="AJ204" s="66" t="str">
        <f t="shared" si="179"/>
        <v>저수</v>
      </c>
      <c r="AK204" s="66" t="str">
        <f t="shared" si="180"/>
        <v>저수</v>
      </c>
      <c r="AL204" s="58" t="str">
        <f t="shared" si="181"/>
        <v>6 : 0</v>
      </c>
      <c r="AM204" s="66">
        <f t="shared" si="182"/>
        <v>6</v>
      </c>
      <c r="AN204" s="66">
        <f t="shared" si="183"/>
        <v>0</v>
      </c>
      <c r="AO204" s="66">
        <f t="shared" si="184"/>
        <v>25</v>
      </c>
      <c r="AP204" s="66" t="str">
        <f t="shared" si="185"/>
        <v>O</v>
      </c>
      <c r="AQ204" s="66" t="str">
        <f t="shared" si="186"/>
        <v>X</v>
      </c>
      <c r="AR204" s="66" t="str">
        <f t="shared" si="187"/>
        <v>O</v>
      </c>
      <c r="AS204" s="66" t="str">
        <f t="shared" si="188"/>
        <v>X</v>
      </c>
      <c r="AT204" s="66" t="str">
        <f t="shared" si="189"/>
        <v>O</v>
      </c>
      <c r="AU204" s="66" t="str">
        <f t="shared" si="190"/>
        <v>X</v>
      </c>
      <c r="AV204" s="66" t="str">
        <f t="shared" si="191"/>
        <v>X</v>
      </c>
      <c r="AW204" s="66" t="str">
        <f t="shared" si="192"/>
        <v>X</v>
      </c>
      <c r="AX204" s="66" t="str">
        <f t="shared" si="193"/>
        <v>X</v>
      </c>
      <c r="AY204" s="66" t="str">
        <f t="shared" si="194"/>
        <v>X</v>
      </c>
      <c r="AZ204" s="66" t="str">
        <f t="shared" si="195"/>
        <v>X</v>
      </c>
      <c r="BA204" s="66" t="str">
        <f t="shared" si="196"/>
        <v>X</v>
      </c>
      <c r="BB204" s="66">
        <f t="shared" si="197"/>
        <v>3</v>
      </c>
      <c r="BC204" s="127" t="str">
        <f t="shared" si="168"/>
        <v>1G</v>
      </c>
      <c r="BD204" s="127" t="str">
        <f t="shared" si="169"/>
        <v>1G</v>
      </c>
      <c r="BE204" s="127" t="str">
        <f t="shared" si="170"/>
        <v>1G</v>
      </c>
      <c r="BF204" s="127" t="str">
        <f t="shared" si="171"/>
        <v>1G</v>
      </c>
      <c r="BG204" s="127" t="str">
        <f t="shared" si="172"/>
        <v>2G</v>
      </c>
      <c r="BH204" s="127" t="str">
        <f t="shared" si="173"/>
        <v>2G</v>
      </c>
      <c r="BI204" s="127">
        <f t="shared" si="198"/>
        <v>4</v>
      </c>
      <c r="BJ204" s="127">
        <f t="shared" si="199"/>
        <v>2</v>
      </c>
      <c r="BK204" s="127">
        <f t="shared" si="200"/>
        <v>0</v>
      </c>
      <c r="BL204" s="127" t="str">
        <f t="shared" si="201"/>
        <v>420</v>
      </c>
      <c r="BS204"/>
      <c r="CL204" s="28">
        <v>131</v>
      </c>
      <c r="CM204" s="28">
        <v>130</v>
      </c>
      <c r="CO204"/>
    </row>
    <row r="205" spans="2:93" ht="16.5" hidden="1">
      <c r="B205" s="17">
        <v>201</v>
      </c>
      <c r="C205" s="363" t="s">
        <v>231</v>
      </c>
      <c r="D205" s="18">
        <v>1</v>
      </c>
      <c r="E205" s="20">
        <v>9719465400</v>
      </c>
      <c r="F205" s="18">
        <v>37</v>
      </c>
      <c r="G205" s="20">
        <v>43781376</v>
      </c>
      <c r="H205" s="20">
        <v>1347</v>
      </c>
      <c r="I205" s="20">
        <v>1202607</v>
      </c>
      <c r="J205" s="20">
        <v>61045</v>
      </c>
      <c r="K205" s="20">
        <v>53073</v>
      </c>
      <c r="L205" s="20">
        <v>985655</v>
      </c>
      <c r="M205" s="20">
        <v>5000</v>
      </c>
      <c r="N205" s="167">
        <v>3</v>
      </c>
      <c r="O205" s="167">
        <v>11</v>
      </c>
      <c r="P205" s="167">
        <v>24</v>
      </c>
      <c r="Q205" s="167">
        <v>38</v>
      </c>
      <c r="R205" s="167">
        <v>39</v>
      </c>
      <c r="S205" s="167">
        <v>44</v>
      </c>
      <c r="T205" s="167">
        <v>26</v>
      </c>
      <c r="U205" s="28">
        <f t="shared" si="174"/>
        <v>159</v>
      </c>
      <c r="W205" s="32" t="str">
        <f t="shared" si="159"/>
        <v>홀수</v>
      </c>
      <c r="X205" s="32" t="str">
        <f t="shared" si="160"/>
        <v>홀수</v>
      </c>
      <c r="Y205" s="32" t="str">
        <f t="shared" si="161"/>
        <v>짝수</v>
      </c>
      <c r="Z205" s="32" t="str">
        <f t="shared" si="162"/>
        <v>짝수</v>
      </c>
      <c r="AA205" s="32" t="str">
        <f t="shared" si="163"/>
        <v>홀수</v>
      </c>
      <c r="AB205" s="32" t="str">
        <f t="shared" si="164"/>
        <v>짝수</v>
      </c>
      <c r="AC205" s="58" t="str">
        <f t="shared" si="165"/>
        <v>3 : 3</v>
      </c>
      <c r="AD205" s="32">
        <f t="shared" si="166"/>
        <v>3</v>
      </c>
      <c r="AE205" s="32">
        <f t="shared" si="167"/>
        <v>3</v>
      </c>
      <c r="AF205" s="66" t="str">
        <f t="shared" si="175"/>
        <v>저수</v>
      </c>
      <c r="AG205" s="66" t="str">
        <f t="shared" si="176"/>
        <v>저수</v>
      </c>
      <c r="AH205" s="66" t="str">
        <f t="shared" si="177"/>
        <v>고수</v>
      </c>
      <c r="AI205" s="66" t="str">
        <f t="shared" si="178"/>
        <v>고수</v>
      </c>
      <c r="AJ205" s="66" t="str">
        <f t="shared" si="179"/>
        <v>고수</v>
      </c>
      <c r="AK205" s="66" t="str">
        <f t="shared" si="180"/>
        <v>고수</v>
      </c>
      <c r="AL205" s="58" t="str">
        <f t="shared" si="181"/>
        <v>2 : 4</v>
      </c>
      <c r="AM205" s="66">
        <f t="shared" si="182"/>
        <v>2</v>
      </c>
      <c r="AN205" s="66">
        <f t="shared" si="183"/>
        <v>4</v>
      </c>
      <c r="AO205" s="66">
        <f t="shared" si="184"/>
        <v>29</v>
      </c>
      <c r="AP205" s="66" t="str">
        <f t="shared" si="185"/>
        <v>O</v>
      </c>
      <c r="AQ205" s="66" t="str">
        <f t="shared" si="186"/>
        <v>O</v>
      </c>
      <c r="AR205" s="66" t="str">
        <f t="shared" si="187"/>
        <v>X</v>
      </c>
      <c r="AS205" s="66" t="str">
        <f t="shared" si="188"/>
        <v>X</v>
      </c>
      <c r="AT205" s="66" t="str">
        <f t="shared" si="189"/>
        <v>X</v>
      </c>
      <c r="AU205" s="66" t="str">
        <f t="shared" si="190"/>
        <v>X</v>
      </c>
      <c r="AV205" s="66" t="str">
        <f t="shared" si="191"/>
        <v>X</v>
      </c>
      <c r="AW205" s="66" t="str">
        <f t="shared" si="192"/>
        <v>X</v>
      </c>
      <c r="AX205" s="66" t="str">
        <f t="shared" si="193"/>
        <v>X</v>
      </c>
      <c r="AY205" s="66" t="str">
        <f t="shared" si="194"/>
        <v>X</v>
      </c>
      <c r="AZ205" s="66" t="str">
        <f t="shared" si="195"/>
        <v>X</v>
      </c>
      <c r="BA205" s="66" t="str">
        <f t="shared" si="196"/>
        <v>X</v>
      </c>
      <c r="BB205" s="66">
        <f t="shared" si="197"/>
        <v>2</v>
      </c>
      <c r="BC205" s="127" t="str">
        <f t="shared" si="168"/>
        <v>1G</v>
      </c>
      <c r="BD205" s="127" t="str">
        <f t="shared" si="169"/>
        <v>1G</v>
      </c>
      <c r="BE205" s="127" t="str">
        <f t="shared" si="170"/>
        <v>2G</v>
      </c>
      <c r="BF205" s="127" t="str">
        <f t="shared" si="171"/>
        <v>3G</v>
      </c>
      <c r="BG205" s="127" t="str">
        <f t="shared" si="172"/>
        <v>3G</v>
      </c>
      <c r="BH205" s="127" t="str">
        <f t="shared" si="173"/>
        <v>3G</v>
      </c>
      <c r="BI205" s="127">
        <f t="shared" si="198"/>
        <v>2</v>
      </c>
      <c r="BJ205" s="127">
        <f t="shared" si="199"/>
        <v>1</v>
      </c>
      <c r="BK205" s="127">
        <f t="shared" si="200"/>
        <v>3</v>
      </c>
      <c r="BL205" s="127" t="str">
        <f t="shared" si="201"/>
        <v>213</v>
      </c>
      <c r="BS205"/>
      <c r="CL205" s="28">
        <v>131</v>
      </c>
      <c r="CM205" s="28">
        <v>130</v>
      </c>
      <c r="CO205"/>
    </row>
    <row r="206" spans="2:93" ht="16.5" hidden="1">
      <c r="B206" s="17">
        <v>202</v>
      </c>
      <c r="C206" s="363" t="s">
        <v>232</v>
      </c>
      <c r="D206" s="18">
        <v>6</v>
      </c>
      <c r="E206" s="20">
        <v>1893391700</v>
      </c>
      <c r="F206" s="18">
        <v>40</v>
      </c>
      <c r="G206" s="20">
        <v>47334793</v>
      </c>
      <c r="H206" s="20">
        <v>1232</v>
      </c>
      <c r="I206" s="20">
        <v>1536844</v>
      </c>
      <c r="J206" s="20">
        <v>62532</v>
      </c>
      <c r="K206" s="20">
        <v>60558</v>
      </c>
      <c r="L206" s="20">
        <v>1043620</v>
      </c>
      <c r="M206" s="20">
        <v>5000</v>
      </c>
      <c r="N206" s="167">
        <v>12</v>
      </c>
      <c r="O206" s="167">
        <v>14</v>
      </c>
      <c r="P206" s="167">
        <v>27</v>
      </c>
      <c r="Q206" s="167">
        <v>33</v>
      </c>
      <c r="R206" s="167">
        <v>39</v>
      </c>
      <c r="S206" s="167">
        <v>44</v>
      </c>
      <c r="T206" s="167">
        <v>17</v>
      </c>
      <c r="U206" s="28">
        <f t="shared" si="174"/>
        <v>169</v>
      </c>
      <c r="W206" s="32" t="str">
        <f t="shared" si="159"/>
        <v>짝수</v>
      </c>
      <c r="X206" s="32" t="str">
        <f t="shared" si="160"/>
        <v>짝수</v>
      </c>
      <c r="Y206" s="32" t="str">
        <f t="shared" si="161"/>
        <v>홀수</v>
      </c>
      <c r="Z206" s="32" t="str">
        <f t="shared" si="162"/>
        <v>홀수</v>
      </c>
      <c r="AA206" s="32" t="str">
        <f t="shared" si="163"/>
        <v>홀수</v>
      </c>
      <c r="AB206" s="32" t="str">
        <f t="shared" si="164"/>
        <v>짝수</v>
      </c>
      <c r="AC206" s="58" t="str">
        <f t="shared" si="165"/>
        <v>3 : 3</v>
      </c>
      <c r="AD206" s="32">
        <f t="shared" si="166"/>
        <v>3</v>
      </c>
      <c r="AE206" s="32">
        <f t="shared" si="167"/>
        <v>3</v>
      </c>
      <c r="AF206" s="66" t="str">
        <f t="shared" si="175"/>
        <v>저수</v>
      </c>
      <c r="AG206" s="66" t="str">
        <f t="shared" si="176"/>
        <v>저수</v>
      </c>
      <c r="AH206" s="66" t="str">
        <f t="shared" si="177"/>
        <v>고수</v>
      </c>
      <c r="AI206" s="66" t="str">
        <f t="shared" si="178"/>
        <v>고수</v>
      </c>
      <c r="AJ206" s="66" t="str">
        <f t="shared" si="179"/>
        <v>고수</v>
      </c>
      <c r="AK206" s="66" t="str">
        <f t="shared" si="180"/>
        <v>고수</v>
      </c>
      <c r="AL206" s="58" t="str">
        <f t="shared" si="181"/>
        <v>2 : 4</v>
      </c>
      <c r="AM206" s="66">
        <f t="shared" si="182"/>
        <v>2</v>
      </c>
      <c r="AN206" s="66">
        <f t="shared" si="183"/>
        <v>4</v>
      </c>
      <c r="AO206" s="66">
        <f t="shared" si="184"/>
        <v>29</v>
      </c>
      <c r="AP206" s="66" t="str">
        <f t="shared" si="185"/>
        <v>X</v>
      </c>
      <c r="AQ206" s="66" t="str">
        <f t="shared" si="186"/>
        <v>X</v>
      </c>
      <c r="AR206" s="66" t="str">
        <f t="shared" si="187"/>
        <v>X</v>
      </c>
      <c r="AS206" s="66" t="str">
        <f t="shared" si="188"/>
        <v>X</v>
      </c>
      <c r="AT206" s="66" t="str">
        <f t="shared" si="189"/>
        <v>X</v>
      </c>
      <c r="AU206" s="66" t="str">
        <f t="shared" si="190"/>
        <v>X</v>
      </c>
      <c r="AV206" s="66" t="str">
        <f t="shared" si="191"/>
        <v>X</v>
      </c>
      <c r="AW206" s="66" t="str">
        <f t="shared" si="192"/>
        <v>X</v>
      </c>
      <c r="AX206" s="66" t="str">
        <f t="shared" si="193"/>
        <v>X</v>
      </c>
      <c r="AY206" s="66" t="str">
        <f t="shared" si="194"/>
        <v>X</v>
      </c>
      <c r="AZ206" s="66" t="str">
        <f t="shared" si="195"/>
        <v>X</v>
      </c>
      <c r="BA206" s="66" t="str">
        <f t="shared" si="196"/>
        <v>X</v>
      </c>
      <c r="BB206" s="66">
        <f t="shared" si="197"/>
        <v>0</v>
      </c>
      <c r="BC206" s="127" t="str">
        <f t="shared" si="168"/>
        <v>1G</v>
      </c>
      <c r="BD206" s="127" t="str">
        <f t="shared" si="169"/>
        <v>1G</v>
      </c>
      <c r="BE206" s="127" t="str">
        <f t="shared" si="170"/>
        <v>2G</v>
      </c>
      <c r="BF206" s="127" t="str">
        <f t="shared" si="171"/>
        <v>3G</v>
      </c>
      <c r="BG206" s="127" t="str">
        <f t="shared" si="172"/>
        <v>3G</v>
      </c>
      <c r="BH206" s="127" t="str">
        <f t="shared" si="173"/>
        <v>3G</v>
      </c>
      <c r="BI206" s="127">
        <f t="shared" si="198"/>
        <v>2</v>
      </c>
      <c r="BJ206" s="127">
        <f t="shared" si="199"/>
        <v>1</v>
      </c>
      <c r="BK206" s="127">
        <f t="shared" si="200"/>
        <v>3</v>
      </c>
      <c r="BL206" s="127" t="str">
        <f t="shared" si="201"/>
        <v>213</v>
      </c>
      <c r="BS206"/>
      <c r="CL206" s="28">
        <v>131</v>
      </c>
      <c r="CM206" s="28">
        <v>130</v>
      </c>
      <c r="CO206"/>
    </row>
    <row r="207" spans="2:93" ht="16.5" hidden="1">
      <c r="B207" s="17">
        <v>203</v>
      </c>
      <c r="C207" s="363" t="s">
        <v>233</v>
      </c>
      <c r="D207" s="18">
        <v>5</v>
      </c>
      <c r="E207" s="20">
        <v>2164564740</v>
      </c>
      <c r="F207" s="18">
        <v>43</v>
      </c>
      <c r="G207" s="20">
        <v>41948930</v>
      </c>
      <c r="H207" s="20">
        <v>1328</v>
      </c>
      <c r="I207" s="20">
        <v>1358287</v>
      </c>
      <c r="J207" s="20">
        <v>66916</v>
      </c>
      <c r="K207" s="20">
        <v>53913</v>
      </c>
      <c r="L207" s="20">
        <v>1095728</v>
      </c>
      <c r="M207" s="20">
        <v>5000</v>
      </c>
      <c r="N207" s="167">
        <v>1</v>
      </c>
      <c r="O207" s="167">
        <v>3</v>
      </c>
      <c r="P207" s="167">
        <v>11</v>
      </c>
      <c r="Q207" s="167">
        <v>24</v>
      </c>
      <c r="R207" s="167">
        <v>30</v>
      </c>
      <c r="S207" s="167">
        <v>32</v>
      </c>
      <c r="T207" s="167">
        <v>7</v>
      </c>
      <c r="U207" s="28">
        <f t="shared" si="174"/>
        <v>101</v>
      </c>
      <c r="W207" s="32" t="str">
        <f t="shared" si="159"/>
        <v>홀수</v>
      </c>
      <c r="X207" s="32" t="str">
        <f t="shared" si="160"/>
        <v>홀수</v>
      </c>
      <c r="Y207" s="32" t="str">
        <f t="shared" si="161"/>
        <v>홀수</v>
      </c>
      <c r="Z207" s="32" t="str">
        <f t="shared" si="162"/>
        <v>짝수</v>
      </c>
      <c r="AA207" s="32" t="str">
        <f t="shared" si="163"/>
        <v>짝수</v>
      </c>
      <c r="AB207" s="32" t="str">
        <f t="shared" si="164"/>
        <v>짝수</v>
      </c>
      <c r="AC207" s="58" t="str">
        <f t="shared" si="165"/>
        <v>3 : 3</v>
      </c>
      <c r="AD207" s="32">
        <f t="shared" si="166"/>
        <v>3</v>
      </c>
      <c r="AE207" s="32">
        <f t="shared" si="167"/>
        <v>3</v>
      </c>
      <c r="AF207" s="66" t="str">
        <f t="shared" si="175"/>
        <v>저수</v>
      </c>
      <c r="AG207" s="66" t="str">
        <f t="shared" si="176"/>
        <v>저수</v>
      </c>
      <c r="AH207" s="66" t="str">
        <f t="shared" si="177"/>
        <v>저수</v>
      </c>
      <c r="AI207" s="66" t="str">
        <f t="shared" si="178"/>
        <v>고수</v>
      </c>
      <c r="AJ207" s="66" t="str">
        <f t="shared" si="179"/>
        <v>고수</v>
      </c>
      <c r="AK207" s="66" t="str">
        <f t="shared" si="180"/>
        <v>고수</v>
      </c>
      <c r="AL207" s="58" t="str">
        <f t="shared" si="181"/>
        <v>3 : 3</v>
      </c>
      <c r="AM207" s="66">
        <f t="shared" si="182"/>
        <v>3</v>
      </c>
      <c r="AN207" s="66">
        <f t="shared" si="183"/>
        <v>3</v>
      </c>
      <c r="AO207" s="66">
        <f t="shared" si="184"/>
        <v>11</v>
      </c>
      <c r="AP207" s="66" t="str">
        <f t="shared" si="185"/>
        <v>X</v>
      </c>
      <c r="AQ207" s="66" t="str">
        <f t="shared" si="186"/>
        <v>O</v>
      </c>
      <c r="AR207" s="66" t="str">
        <f t="shared" si="187"/>
        <v>O</v>
      </c>
      <c r="AS207" s="66" t="str">
        <f t="shared" si="188"/>
        <v>X</v>
      </c>
      <c r="AT207" s="66" t="str">
        <f t="shared" si="189"/>
        <v>X</v>
      </c>
      <c r="AU207" s="66" t="str">
        <f t="shared" si="190"/>
        <v>X</v>
      </c>
      <c r="AV207" s="66" t="str">
        <f t="shared" si="191"/>
        <v>X</v>
      </c>
      <c r="AW207" s="66" t="str">
        <f t="shared" si="192"/>
        <v>X</v>
      </c>
      <c r="AX207" s="66" t="str">
        <f t="shared" si="193"/>
        <v>X</v>
      </c>
      <c r="AY207" s="66" t="str">
        <f t="shared" si="194"/>
        <v>X</v>
      </c>
      <c r="AZ207" s="66" t="str">
        <f t="shared" si="195"/>
        <v>X</v>
      </c>
      <c r="BA207" s="66" t="str">
        <f t="shared" si="196"/>
        <v>X</v>
      </c>
      <c r="BB207" s="66">
        <f t="shared" si="197"/>
        <v>2</v>
      </c>
      <c r="BC207" s="127" t="str">
        <f t="shared" si="168"/>
        <v>1G</v>
      </c>
      <c r="BD207" s="127" t="str">
        <f t="shared" si="169"/>
        <v>1G</v>
      </c>
      <c r="BE207" s="127" t="str">
        <f t="shared" si="170"/>
        <v>1G</v>
      </c>
      <c r="BF207" s="127" t="str">
        <f t="shared" si="171"/>
        <v>2G</v>
      </c>
      <c r="BG207" s="127" t="str">
        <f t="shared" si="172"/>
        <v>2G</v>
      </c>
      <c r="BH207" s="127" t="str">
        <f t="shared" si="173"/>
        <v>3G</v>
      </c>
      <c r="BI207" s="127">
        <f t="shared" si="198"/>
        <v>3</v>
      </c>
      <c r="BJ207" s="127">
        <f t="shared" si="199"/>
        <v>2</v>
      </c>
      <c r="BK207" s="127">
        <f t="shared" si="200"/>
        <v>1</v>
      </c>
      <c r="BL207" s="127" t="str">
        <f t="shared" si="201"/>
        <v>321</v>
      </c>
      <c r="BS207"/>
      <c r="CL207" s="28">
        <v>131</v>
      </c>
      <c r="CM207" s="28">
        <v>130</v>
      </c>
      <c r="CO207"/>
    </row>
    <row r="208" spans="2:93" ht="16.5" hidden="1">
      <c r="B208" s="17">
        <v>204</v>
      </c>
      <c r="C208" s="363" t="s">
        <v>234</v>
      </c>
      <c r="D208" s="18">
        <v>8</v>
      </c>
      <c r="E208" s="20">
        <v>1358347125</v>
      </c>
      <c r="F208" s="18">
        <v>23</v>
      </c>
      <c r="G208" s="20">
        <v>78744761</v>
      </c>
      <c r="H208" s="20">
        <v>1180</v>
      </c>
      <c r="I208" s="20">
        <v>1534856</v>
      </c>
      <c r="J208" s="20">
        <v>57646</v>
      </c>
      <c r="K208" s="20">
        <v>62837</v>
      </c>
      <c r="L208" s="20">
        <v>985516</v>
      </c>
      <c r="M208" s="20">
        <v>5000</v>
      </c>
      <c r="N208" s="167">
        <v>3</v>
      </c>
      <c r="O208" s="167">
        <v>12</v>
      </c>
      <c r="P208" s="167">
        <v>14</v>
      </c>
      <c r="Q208" s="167">
        <v>35</v>
      </c>
      <c r="R208" s="167">
        <v>40</v>
      </c>
      <c r="S208" s="167">
        <v>45</v>
      </c>
      <c r="T208" s="167">
        <v>5</v>
      </c>
      <c r="U208" s="28">
        <f t="shared" si="174"/>
        <v>149</v>
      </c>
      <c r="W208" s="32" t="str">
        <f t="shared" si="159"/>
        <v>홀수</v>
      </c>
      <c r="X208" s="32" t="str">
        <f t="shared" si="160"/>
        <v>짝수</v>
      </c>
      <c r="Y208" s="32" t="str">
        <f t="shared" si="161"/>
        <v>짝수</v>
      </c>
      <c r="Z208" s="32" t="str">
        <f t="shared" si="162"/>
        <v>홀수</v>
      </c>
      <c r="AA208" s="32" t="str">
        <f t="shared" si="163"/>
        <v>짝수</v>
      </c>
      <c r="AB208" s="32" t="str">
        <f t="shared" si="164"/>
        <v>홀수</v>
      </c>
      <c r="AC208" s="58" t="str">
        <f t="shared" si="165"/>
        <v>3 : 3</v>
      </c>
      <c r="AD208" s="32">
        <f t="shared" si="166"/>
        <v>3</v>
      </c>
      <c r="AE208" s="32">
        <f t="shared" si="167"/>
        <v>3</v>
      </c>
      <c r="AF208" s="66" t="str">
        <f t="shared" si="175"/>
        <v>저수</v>
      </c>
      <c r="AG208" s="66" t="str">
        <f t="shared" si="176"/>
        <v>저수</v>
      </c>
      <c r="AH208" s="66" t="str">
        <f t="shared" si="177"/>
        <v>저수</v>
      </c>
      <c r="AI208" s="66" t="str">
        <f t="shared" si="178"/>
        <v>고수</v>
      </c>
      <c r="AJ208" s="66" t="str">
        <f t="shared" si="179"/>
        <v>고수</v>
      </c>
      <c r="AK208" s="66" t="str">
        <f t="shared" si="180"/>
        <v>고수</v>
      </c>
      <c r="AL208" s="58" t="str">
        <f t="shared" si="181"/>
        <v>3 : 3</v>
      </c>
      <c r="AM208" s="66">
        <f t="shared" si="182"/>
        <v>3</v>
      </c>
      <c r="AN208" s="66">
        <f t="shared" si="183"/>
        <v>3</v>
      </c>
      <c r="AO208" s="66">
        <f t="shared" si="184"/>
        <v>19</v>
      </c>
      <c r="AP208" s="66" t="str">
        <f t="shared" si="185"/>
        <v>O</v>
      </c>
      <c r="AQ208" s="66" t="str">
        <f t="shared" si="186"/>
        <v>X</v>
      </c>
      <c r="AR208" s="66" t="str">
        <f t="shared" si="187"/>
        <v>X</v>
      </c>
      <c r="AS208" s="66" t="str">
        <f>IF(Q208=2,"O",IF(Q208=3,"O",IF(Q208=5,"O",IF(Q208=7,"O",IF(Q208=11,"O",IF(Q208=13,"O",IF(Q208=17,"O",IF(Q208=19,"O","X"))))))))</f>
        <v>X</v>
      </c>
      <c r="AT208" s="66" t="str">
        <f t="shared" si="189"/>
        <v>X</v>
      </c>
      <c r="AU208" s="66" t="str">
        <f t="shared" si="190"/>
        <v>X</v>
      </c>
      <c r="AV208" s="66" t="str">
        <f t="shared" si="191"/>
        <v>X</v>
      </c>
      <c r="AW208" s="66" t="str">
        <f t="shared" si="192"/>
        <v>X</v>
      </c>
      <c r="AX208" s="66" t="str">
        <f t="shared" si="193"/>
        <v>X</v>
      </c>
      <c r="AY208" s="66" t="str">
        <f t="shared" si="194"/>
        <v>X</v>
      </c>
      <c r="AZ208" s="66" t="str">
        <f t="shared" si="195"/>
        <v>X</v>
      </c>
      <c r="BA208" s="66" t="str">
        <f t="shared" si="196"/>
        <v>X</v>
      </c>
      <c r="BB208" s="66">
        <f t="shared" si="197"/>
        <v>1</v>
      </c>
      <c r="BC208" s="127" t="str">
        <f t="shared" si="168"/>
        <v>1G</v>
      </c>
      <c r="BD208" s="127" t="str">
        <f t="shared" si="169"/>
        <v>1G</v>
      </c>
      <c r="BE208" s="127" t="str">
        <f t="shared" si="170"/>
        <v>1G</v>
      </c>
      <c r="BF208" s="127" t="str">
        <f t="shared" si="171"/>
        <v>3G</v>
      </c>
      <c r="BG208" s="127" t="str">
        <f t="shared" si="172"/>
        <v>3G</v>
      </c>
      <c r="BH208" s="127" t="str">
        <f t="shared" si="173"/>
        <v>3G</v>
      </c>
      <c r="BI208" s="127">
        <f t="shared" si="198"/>
        <v>3</v>
      </c>
      <c r="BJ208" s="127">
        <f t="shared" si="199"/>
        <v>0</v>
      </c>
      <c r="BK208" s="127">
        <f t="shared" si="200"/>
        <v>3</v>
      </c>
      <c r="BL208" s="127" t="str">
        <f t="shared" si="201"/>
        <v>303</v>
      </c>
      <c r="BS208"/>
      <c r="CL208" s="28">
        <v>131</v>
      </c>
      <c r="CM208" s="28">
        <v>130</v>
      </c>
      <c r="CO208"/>
    </row>
    <row r="209" spans="1:93" ht="16.5" hidden="1">
      <c r="B209" s="17">
        <v>205</v>
      </c>
      <c r="C209" s="363" t="s">
        <v>235</v>
      </c>
      <c r="D209" s="18">
        <v>6</v>
      </c>
      <c r="E209" s="20">
        <v>1835221800</v>
      </c>
      <c r="F209" s="18">
        <v>21</v>
      </c>
      <c r="G209" s="20">
        <v>87391515</v>
      </c>
      <c r="H209" s="20">
        <v>1098</v>
      </c>
      <c r="I209" s="20">
        <v>1671423</v>
      </c>
      <c r="J209" s="20">
        <v>56067</v>
      </c>
      <c r="K209" s="20">
        <v>65466</v>
      </c>
      <c r="L209" s="20">
        <v>962608</v>
      </c>
      <c r="M209" s="20">
        <v>5000</v>
      </c>
      <c r="N209" s="167">
        <v>1</v>
      </c>
      <c r="O209" s="167">
        <v>3</v>
      </c>
      <c r="P209" s="167">
        <v>21</v>
      </c>
      <c r="Q209" s="167">
        <v>29</v>
      </c>
      <c r="R209" s="167">
        <v>35</v>
      </c>
      <c r="S209" s="167">
        <v>37</v>
      </c>
      <c r="T209" s="167">
        <v>30</v>
      </c>
      <c r="U209" s="28">
        <f t="shared" si="174"/>
        <v>126</v>
      </c>
      <c r="W209" s="32" t="str">
        <f t="shared" si="159"/>
        <v>홀수</v>
      </c>
      <c r="X209" s="32" t="str">
        <f t="shared" si="160"/>
        <v>홀수</v>
      </c>
      <c r="Y209" s="32" t="str">
        <f t="shared" si="161"/>
        <v>홀수</v>
      </c>
      <c r="Z209" s="32" t="str">
        <f t="shared" si="162"/>
        <v>홀수</v>
      </c>
      <c r="AA209" s="32" t="str">
        <f t="shared" si="163"/>
        <v>홀수</v>
      </c>
      <c r="AB209" s="32" t="str">
        <f t="shared" si="164"/>
        <v>홀수</v>
      </c>
      <c r="AC209" s="58" t="str">
        <f t="shared" si="165"/>
        <v>6 : 0</v>
      </c>
      <c r="AD209" s="32">
        <f t="shared" si="166"/>
        <v>6</v>
      </c>
      <c r="AE209" s="32">
        <f t="shared" si="167"/>
        <v>0</v>
      </c>
      <c r="AF209" s="66" t="str">
        <f t="shared" si="175"/>
        <v>저수</v>
      </c>
      <c r="AG209" s="66" t="str">
        <f t="shared" si="176"/>
        <v>저수</v>
      </c>
      <c r="AH209" s="66" t="str">
        <f t="shared" si="177"/>
        <v>저수</v>
      </c>
      <c r="AI209" s="66" t="str">
        <f t="shared" si="178"/>
        <v>고수</v>
      </c>
      <c r="AJ209" s="66" t="str">
        <f t="shared" si="179"/>
        <v>고수</v>
      </c>
      <c r="AK209" s="66" t="str">
        <f t="shared" si="180"/>
        <v>고수</v>
      </c>
      <c r="AL209" s="58" t="str">
        <f t="shared" si="181"/>
        <v>3 : 3</v>
      </c>
      <c r="AM209" s="66">
        <f t="shared" si="182"/>
        <v>3</v>
      </c>
      <c r="AN209" s="66">
        <f t="shared" si="183"/>
        <v>3</v>
      </c>
      <c r="AO209" s="66">
        <f t="shared" si="184"/>
        <v>26</v>
      </c>
      <c r="AP209" s="66" t="str">
        <f t="shared" si="185"/>
        <v>X</v>
      </c>
      <c r="AQ209" s="66" t="str">
        <f t="shared" si="186"/>
        <v>O</v>
      </c>
      <c r="AR209" s="66" t="str">
        <f t="shared" si="187"/>
        <v>X</v>
      </c>
      <c r="AS209" s="66" t="str">
        <f t="shared" si="188"/>
        <v>X</v>
      </c>
      <c r="AT209" s="66" t="str">
        <f t="shared" si="189"/>
        <v>X</v>
      </c>
      <c r="AU209" s="66" t="str">
        <f t="shared" si="190"/>
        <v>X</v>
      </c>
      <c r="AV209" s="66" t="str">
        <f t="shared" si="191"/>
        <v>X</v>
      </c>
      <c r="AW209" s="66" t="str">
        <f t="shared" si="192"/>
        <v>X</v>
      </c>
      <c r="AX209" s="66" t="str">
        <f t="shared" si="193"/>
        <v>X</v>
      </c>
      <c r="AY209" s="66" t="str">
        <f t="shared" si="194"/>
        <v>O</v>
      </c>
      <c r="AZ209" s="66" t="str">
        <f t="shared" si="195"/>
        <v>X</v>
      </c>
      <c r="BA209" s="66" t="str">
        <f t="shared" si="196"/>
        <v>O</v>
      </c>
      <c r="BB209" s="66">
        <f t="shared" si="197"/>
        <v>3</v>
      </c>
      <c r="BC209" s="127" t="str">
        <f t="shared" si="168"/>
        <v>1G</v>
      </c>
      <c r="BD209" s="127" t="str">
        <f t="shared" si="169"/>
        <v>1G</v>
      </c>
      <c r="BE209" s="127" t="str">
        <f t="shared" si="170"/>
        <v>2G</v>
      </c>
      <c r="BF209" s="127" t="str">
        <f t="shared" si="171"/>
        <v>2G</v>
      </c>
      <c r="BG209" s="127" t="str">
        <f t="shared" si="172"/>
        <v>3G</v>
      </c>
      <c r="BH209" s="127" t="str">
        <f t="shared" si="173"/>
        <v>3G</v>
      </c>
      <c r="BI209" s="127">
        <f t="shared" si="198"/>
        <v>2</v>
      </c>
      <c r="BJ209" s="127">
        <f t="shared" si="199"/>
        <v>2</v>
      </c>
      <c r="BK209" s="127">
        <f t="shared" si="200"/>
        <v>2</v>
      </c>
      <c r="BL209" s="127" t="str">
        <f t="shared" si="201"/>
        <v>222</v>
      </c>
      <c r="BS209"/>
      <c r="CL209" s="28">
        <v>131</v>
      </c>
      <c r="CM209" s="28">
        <v>130</v>
      </c>
      <c r="CO209"/>
    </row>
    <row r="210" spans="1:93" ht="16.5" hidden="1">
      <c r="B210" s="17">
        <v>206</v>
      </c>
      <c r="C210" s="363" t="s">
        <v>236</v>
      </c>
      <c r="D210" s="18">
        <v>5</v>
      </c>
      <c r="E210" s="20">
        <v>2032859340</v>
      </c>
      <c r="F210" s="18">
        <v>36</v>
      </c>
      <c r="G210" s="20">
        <v>47056930</v>
      </c>
      <c r="H210" s="20">
        <v>1549</v>
      </c>
      <c r="I210" s="20">
        <v>1093641</v>
      </c>
      <c r="J210" s="20">
        <v>66445</v>
      </c>
      <c r="K210" s="20">
        <v>50992</v>
      </c>
      <c r="L210" s="20">
        <v>1044599</v>
      </c>
      <c r="M210" s="20">
        <v>5000</v>
      </c>
      <c r="N210" s="167">
        <v>1</v>
      </c>
      <c r="O210" s="167">
        <v>2</v>
      </c>
      <c r="P210" s="167">
        <v>3</v>
      </c>
      <c r="Q210" s="167">
        <v>15</v>
      </c>
      <c r="R210" s="167">
        <v>20</v>
      </c>
      <c r="S210" s="167">
        <v>25</v>
      </c>
      <c r="T210" s="167">
        <v>43</v>
      </c>
      <c r="U210" s="28">
        <f t="shared" si="174"/>
        <v>66</v>
      </c>
      <c r="W210" s="32" t="str">
        <f t="shared" si="159"/>
        <v>홀수</v>
      </c>
      <c r="X210" s="32" t="str">
        <f t="shared" si="160"/>
        <v>짝수</v>
      </c>
      <c r="Y210" s="32" t="str">
        <f t="shared" si="161"/>
        <v>홀수</v>
      </c>
      <c r="Z210" s="32" t="str">
        <f t="shared" si="162"/>
        <v>홀수</v>
      </c>
      <c r="AA210" s="32" t="str">
        <f t="shared" si="163"/>
        <v>짝수</v>
      </c>
      <c r="AB210" s="32" t="str">
        <f t="shared" si="164"/>
        <v>홀수</v>
      </c>
      <c r="AC210" s="58" t="str">
        <f t="shared" si="165"/>
        <v>4 : 2</v>
      </c>
      <c r="AD210" s="32">
        <f t="shared" si="166"/>
        <v>4</v>
      </c>
      <c r="AE210" s="32">
        <f t="shared" si="167"/>
        <v>2</v>
      </c>
      <c r="AF210" s="66" t="str">
        <f t="shared" si="175"/>
        <v>저수</v>
      </c>
      <c r="AG210" s="66" t="str">
        <f t="shared" si="176"/>
        <v>저수</v>
      </c>
      <c r="AH210" s="66" t="str">
        <f t="shared" si="177"/>
        <v>저수</v>
      </c>
      <c r="AI210" s="66" t="str">
        <f t="shared" si="178"/>
        <v>저수</v>
      </c>
      <c r="AJ210" s="66" t="str">
        <f t="shared" si="179"/>
        <v>저수</v>
      </c>
      <c r="AK210" s="66" t="str">
        <f t="shared" si="180"/>
        <v>고수</v>
      </c>
      <c r="AL210" s="58" t="str">
        <f t="shared" si="181"/>
        <v>5 : 1</v>
      </c>
      <c r="AM210" s="66">
        <f t="shared" si="182"/>
        <v>5</v>
      </c>
      <c r="AN210" s="66">
        <f t="shared" si="183"/>
        <v>1</v>
      </c>
      <c r="AO210" s="66">
        <f t="shared" si="184"/>
        <v>16</v>
      </c>
      <c r="AP210" s="66" t="str">
        <f t="shared" si="185"/>
        <v>X</v>
      </c>
      <c r="AQ210" s="66" t="str">
        <f t="shared" si="186"/>
        <v>O</v>
      </c>
      <c r="AR210" s="66" t="str">
        <f t="shared" si="187"/>
        <v>O</v>
      </c>
      <c r="AS210" s="66" t="str">
        <f t="shared" si="188"/>
        <v>X</v>
      </c>
      <c r="AT210" s="66" t="str">
        <f t="shared" si="189"/>
        <v>X</v>
      </c>
      <c r="AU210" s="66" t="str">
        <f t="shared" si="190"/>
        <v>X</v>
      </c>
      <c r="AV210" s="66" t="str">
        <f t="shared" si="191"/>
        <v>X</v>
      </c>
      <c r="AW210" s="66" t="str">
        <f t="shared" si="192"/>
        <v>X</v>
      </c>
      <c r="AX210" s="66" t="str">
        <f t="shared" si="193"/>
        <v>X</v>
      </c>
      <c r="AY210" s="66" t="str">
        <f t="shared" si="194"/>
        <v>X</v>
      </c>
      <c r="AZ210" s="66" t="str">
        <f t="shared" si="195"/>
        <v>X</v>
      </c>
      <c r="BA210" s="66" t="str">
        <f t="shared" si="196"/>
        <v>X</v>
      </c>
      <c r="BB210" s="66">
        <f t="shared" si="197"/>
        <v>2</v>
      </c>
      <c r="BC210" s="127" t="str">
        <f t="shared" si="168"/>
        <v>1G</v>
      </c>
      <c r="BD210" s="127" t="str">
        <f t="shared" si="169"/>
        <v>1G</v>
      </c>
      <c r="BE210" s="127" t="str">
        <f t="shared" si="170"/>
        <v>1G</v>
      </c>
      <c r="BF210" s="127" t="str">
        <f t="shared" si="171"/>
        <v>1G</v>
      </c>
      <c r="BG210" s="127" t="str">
        <f t="shared" si="172"/>
        <v>2G</v>
      </c>
      <c r="BH210" s="127" t="str">
        <f t="shared" si="173"/>
        <v>2G</v>
      </c>
      <c r="BI210" s="127">
        <f t="shared" si="198"/>
        <v>4</v>
      </c>
      <c r="BJ210" s="127">
        <f t="shared" si="199"/>
        <v>2</v>
      </c>
      <c r="BK210" s="127">
        <f t="shared" si="200"/>
        <v>0</v>
      </c>
      <c r="BL210" s="127" t="str">
        <f t="shared" si="201"/>
        <v>420</v>
      </c>
      <c r="BS210"/>
      <c r="CL210" s="28">
        <v>132</v>
      </c>
      <c r="CM210" s="28">
        <v>130</v>
      </c>
      <c r="CO210"/>
    </row>
    <row r="211" spans="1:93" ht="16.5" hidden="1">
      <c r="B211" s="17">
        <v>207</v>
      </c>
      <c r="C211" s="363" t="s">
        <v>237</v>
      </c>
      <c r="D211" s="18">
        <v>5</v>
      </c>
      <c r="E211" s="20">
        <v>2104673760</v>
      </c>
      <c r="F211" s="18">
        <v>37</v>
      </c>
      <c r="G211" s="20">
        <v>47402563</v>
      </c>
      <c r="H211" s="20">
        <v>1203</v>
      </c>
      <c r="I211" s="20">
        <v>1457935</v>
      </c>
      <c r="J211" s="20">
        <v>60871</v>
      </c>
      <c r="K211" s="20">
        <v>57627</v>
      </c>
      <c r="L211" s="20">
        <v>1020444</v>
      </c>
      <c r="M211" s="20">
        <v>5000</v>
      </c>
      <c r="N211" s="167">
        <v>3</v>
      </c>
      <c r="O211" s="167">
        <v>11</v>
      </c>
      <c r="P211" s="167">
        <v>14</v>
      </c>
      <c r="Q211" s="167">
        <v>31</v>
      </c>
      <c r="R211" s="167">
        <v>32</v>
      </c>
      <c r="S211" s="167">
        <v>37</v>
      </c>
      <c r="T211" s="167">
        <v>38</v>
      </c>
      <c r="U211" s="28">
        <f t="shared" si="174"/>
        <v>128</v>
      </c>
      <c r="W211" s="32" t="str">
        <f t="shared" si="159"/>
        <v>홀수</v>
      </c>
      <c r="X211" s="32" t="str">
        <f t="shared" si="160"/>
        <v>홀수</v>
      </c>
      <c r="Y211" s="32" t="str">
        <f t="shared" si="161"/>
        <v>짝수</v>
      </c>
      <c r="Z211" s="32" t="str">
        <f t="shared" si="162"/>
        <v>홀수</v>
      </c>
      <c r="AA211" s="32" t="str">
        <f t="shared" si="163"/>
        <v>짝수</v>
      </c>
      <c r="AB211" s="32" t="str">
        <f t="shared" si="164"/>
        <v>홀수</v>
      </c>
      <c r="AC211" s="58" t="str">
        <f t="shared" si="165"/>
        <v>4 : 2</v>
      </c>
      <c r="AD211" s="32">
        <f t="shared" si="166"/>
        <v>4</v>
      </c>
      <c r="AE211" s="32">
        <f t="shared" si="167"/>
        <v>2</v>
      </c>
      <c r="AF211" s="66" t="str">
        <f t="shared" si="175"/>
        <v>저수</v>
      </c>
      <c r="AG211" s="66" t="str">
        <f t="shared" si="176"/>
        <v>저수</v>
      </c>
      <c r="AH211" s="66" t="str">
        <f t="shared" si="177"/>
        <v>저수</v>
      </c>
      <c r="AI211" s="66" t="str">
        <f t="shared" si="178"/>
        <v>고수</v>
      </c>
      <c r="AJ211" s="66" t="str">
        <f t="shared" si="179"/>
        <v>고수</v>
      </c>
      <c r="AK211" s="66" t="str">
        <f t="shared" si="180"/>
        <v>고수</v>
      </c>
      <c r="AL211" s="58" t="str">
        <f t="shared" si="181"/>
        <v>3 : 3</v>
      </c>
      <c r="AM211" s="66">
        <f t="shared" si="182"/>
        <v>3</v>
      </c>
      <c r="AN211" s="66">
        <f t="shared" si="183"/>
        <v>3</v>
      </c>
      <c r="AO211" s="66">
        <f t="shared" si="184"/>
        <v>18</v>
      </c>
      <c r="AP211" s="66" t="str">
        <f t="shared" si="185"/>
        <v>O</v>
      </c>
      <c r="AQ211" s="66" t="str">
        <f t="shared" si="186"/>
        <v>O</v>
      </c>
      <c r="AR211" s="66" t="str">
        <f t="shared" si="187"/>
        <v>X</v>
      </c>
      <c r="AS211" s="66" t="str">
        <f t="shared" si="188"/>
        <v>X</v>
      </c>
      <c r="AT211" s="66" t="str">
        <f t="shared" si="189"/>
        <v>X</v>
      </c>
      <c r="AU211" s="66" t="str">
        <f t="shared" si="190"/>
        <v>X</v>
      </c>
      <c r="AV211" s="66" t="str">
        <f t="shared" si="191"/>
        <v>X</v>
      </c>
      <c r="AW211" s="66" t="str">
        <f t="shared" si="192"/>
        <v>X</v>
      </c>
      <c r="AX211" s="66" t="str">
        <f t="shared" si="193"/>
        <v>X</v>
      </c>
      <c r="AY211" s="66" t="str">
        <f t="shared" si="194"/>
        <v>O</v>
      </c>
      <c r="AZ211" s="66" t="str">
        <f t="shared" si="195"/>
        <v>X</v>
      </c>
      <c r="BA211" s="66" t="str">
        <f t="shared" si="196"/>
        <v>O</v>
      </c>
      <c r="BB211" s="66">
        <f t="shared" si="197"/>
        <v>4</v>
      </c>
      <c r="BC211" s="127" t="str">
        <f t="shared" si="168"/>
        <v>1G</v>
      </c>
      <c r="BD211" s="127" t="str">
        <f t="shared" si="169"/>
        <v>1G</v>
      </c>
      <c r="BE211" s="127" t="str">
        <f t="shared" si="170"/>
        <v>1G</v>
      </c>
      <c r="BF211" s="127" t="str">
        <f t="shared" si="171"/>
        <v>3G</v>
      </c>
      <c r="BG211" s="127" t="str">
        <f t="shared" si="172"/>
        <v>3G</v>
      </c>
      <c r="BH211" s="127" t="str">
        <f t="shared" si="173"/>
        <v>3G</v>
      </c>
      <c r="BI211" s="127">
        <f t="shared" si="198"/>
        <v>3</v>
      </c>
      <c r="BJ211" s="127">
        <f t="shared" si="199"/>
        <v>0</v>
      </c>
      <c r="BK211" s="127">
        <f t="shared" si="200"/>
        <v>3</v>
      </c>
      <c r="BL211" s="127" t="str">
        <f t="shared" si="201"/>
        <v>303</v>
      </c>
      <c r="BS211"/>
      <c r="CL211" s="28">
        <v>132</v>
      </c>
      <c r="CM211" s="28">
        <v>130</v>
      </c>
      <c r="CO211"/>
    </row>
    <row r="212" spans="1:93" ht="16.5" hidden="1">
      <c r="B212" s="17">
        <v>208</v>
      </c>
      <c r="C212" s="363" t="s">
        <v>238</v>
      </c>
      <c r="D212" s="18">
        <v>6</v>
      </c>
      <c r="E212" s="20">
        <v>1760767400</v>
      </c>
      <c r="F212" s="18">
        <v>34</v>
      </c>
      <c r="G212" s="20">
        <v>51787277</v>
      </c>
      <c r="H212" s="20">
        <v>1224</v>
      </c>
      <c r="I212" s="20">
        <v>1438536</v>
      </c>
      <c r="J212" s="20">
        <v>64277</v>
      </c>
      <c r="K212" s="20">
        <v>54787</v>
      </c>
      <c r="L212" s="20">
        <v>1030103</v>
      </c>
      <c r="M212" s="20">
        <v>5000</v>
      </c>
      <c r="N212" s="167">
        <v>14</v>
      </c>
      <c r="O212" s="167">
        <v>25</v>
      </c>
      <c r="P212" s="167">
        <v>31</v>
      </c>
      <c r="Q212" s="167">
        <v>34</v>
      </c>
      <c r="R212" s="167">
        <v>40</v>
      </c>
      <c r="S212" s="167">
        <v>44</v>
      </c>
      <c r="T212" s="167">
        <v>24</v>
      </c>
      <c r="U212" s="28">
        <f t="shared" si="174"/>
        <v>188</v>
      </c>
      <c r="W212" s="32" t="str">
        <f t="shared" si="159"/>
        <v>짝수</v>
      </c>
      <c r="X212" s="32" t="str">
        <f t="shared" si="160"/>
        <v>홀수</v>
      </c>
      <c r="Y212" s="32" t="str">
        <f t="shared" si="161"/>
        <v>홀수</v>
      </c>
      <c r="Z212" s="32" t="str">
        <f t="shared" si="162"/>
        <v>짝수</v>
      </c>
      <c r="AA212" s="32" t="str">
        <f t="shared" si="163"/>
        <v>짝수</v>
      </c>
      <c r="AB212" s="32" t="str">
        <f t="shared" si="164"/>
        <v>짝수</v>
      </c>
      <c r="AC212" s="58" t="str">
        <f t="shared" si="165"/>
        <v>2 : 4</v>
      </c>
      <c r="AD212" s="32">
        <f t="shared" si="166"/>
        <v>2</v>
      </c>
      <c r="AE212" s="32">
        <f t="shared" si="167"/>
        <v>4</v>
      </c>
      <c r="AF212" s="66" t="str">
        <f t="shared" si="175"/>
        <v>저수</v>
      </c>
      <c r="AG212" s="66" t="str">
        <f t="shared" si="176"/>
        <v>고수</v>
      </c>
      <c r="AH212" s="66" t="str">
        <f t="shared" si="177"/>
        <v>고수</v>
      </c>
      <c r="AI212" s="66" t="str">
        <f t="shared" si="178"/>
        <v>고수</v>
      </c>
      <c r="AJ212" s="66" t="str">
        <f t="shared" si="179"/>
        <v>고수</v>
      </c>
      <c r="AK212" s="66" t="str">
        <f t="shared" si="180"/>
        <v>고수</v>
      </c>
      <c r="AL212" s="58" t="str">
        <f t="shared" si="181"/>
        <v>1 : 5</v>
      </c>
      <c r="AM212" s="66">
        <f t="shared" si="182"/>
        <v>1</v>
      </c>
      <c r="AN212" s="66">
        <f t="shared" si="183"/>
        <v>5</v>
      </c>
      <c r="AO212" s="66">
        <f t="shared" si="184"/>
        <v>18</v>
      </c>
      <c r="AP212" s="66" t="str">
        <f t="shared" si="185"/>
        <v>X</v>
      </c>
      <c r="AQ212" s="66" t="str">
        <f t="shared" si="186"/>
        <v>X</v>
      </c>
      <c r="AR212" s="66" t="str">
        <f t="shared" si="187"/>
        <v>X</v>
      </c>
      <c r="AS212" s="66" t="str">
        <f t="shared" si="188"/>
        <v>X</v>
      </c>
      <c r="AT212" s="66" t="str">
        <f t="shared" si="189"/>
        <v>X</v>
      </c>
      <c r="AU212" s="66" t="str">
        <f t="shared" si="190"/>
        <v>X</v>
      </c>
      <c r="AV212" s="66" t="str">
        <f t="shared" si="191"/>
        <v>X</v>
      </c>
      <c r="AW212" s="66" t="str">
        <f t="shared" si="192"/>
        <v>X</v>
      </c>
      <c r="AX212" s="66" t="str">
        <f t="shared" si="193"/>
        <v>O</v>
      </c>
      <c r="AY212" s="66" t="str">
        <f t="shared" si="194"/>
        <v>X</v>
      </c>
      <c r="AZ212" s="66" t="str">
        <f t="shared" si="195"/>
        <v>X</v>
      </c>
      <c r="BA212" s="66" t="str">
        <f t="shared" si="196"/>
        <v>X</v>
      </c>
      <c r="BB212" s="66">
        <f t="shared" si="197"/>
        <v>1</v>
      </c>
      <c r="BC212" s="127" t="str">
        <f t="shared" si="168"/>
        <v>1G</v>
      </c>
      <c r="BD212" s="127" t="str">
        <f t="shared" si="169"/>
        <v>2G</v>
      </c>
      <c r="BE212" s="127" t="str">
        <f t="shared" si="170"/>
        <v>3G</v>
      </c>
      <c r="BF212" s="127" t="str">
        <f t="shared" si="171"/>
        <v>3G</v>
      </c>
      <c r="BG212" s="127" t="str">
        <f t="shared" si="172"/>
        <v>3G</v>
      </c>
      <c r="BH212" s="127" t="str">
        <f t="shared" si="173"/>
        <v>3G</v>
      </c>
      <c r="BI212" s="127">
        <f t="shared" si="198"/>
        <v>1</v>
      </c>
      <c r="BJ212" s="127">
        <f t="shared" si="199"/>
        <v>1</v>
      </c>
      <c r="BK212" s="127">
        <f t="shared" si="200"/>
        <v>4</v>
      </c>
      <c r="BL212" s="127" t="str">
        <f t="shared" si="201"/>
        <v>114</v>
      </c>
      <c r="BS212"/>
      <c r="CL212" s="28">
        <v>132</v>
      </c>
      <c r="CM212" s="28">
        <v>130</v>
      </c>
      <c r="CO212"/>
    </row>
    <row r="213" spans="1:93" ht="16.5" hidden="1">
      <c r="B213" s="17">
        <v>209</v>
      </c>
      <c r="C213" s="363" t="s">
        <v>239</v>
      </c>
      <c r="D213" s="18">
        <v>6</v>
      </c>
      <c r="E213" s="20">
        <v>1660896350</v>
      </c>
      <c r="F213" s="18">
        <v>34</v>
      </c>
      <c r="G213" s="20">
        <v>48849893</v>
      </c>
      <c r="H213" s="20">
        <v>1358</v>
      </c>
      <c r="I213" s="20">
        <v>1223046</v>
      </c>
      <c r="J213" s="20">
        <v>65973</v>
      </c>
      <c r="K213" s="20">
        <v>50351</v>
      </c>
      <c r="L213" s="20">
        <v>1053545</v>
      </c>
      <c r="M213" s="20">
        <v>5000</v>
      </c>
      <c r="N213" s="167">
        <v>2</v>
      </c>
      <c r="O213" s="167">
        <v>7</v>
      </c>
      <c r="P213" s="167">
        <v>18</v>
      </c>
      <c r="Q213" s="167">
        <v>20</v>
      </c>
      <c r="R213" s="167">
        <v>24</v>
      </c>
      <c r="S213" s="167">
        <v>33</v>
      </c>
      <c r="T213" s="167">
        <v>37</v>
      </c>
      <c r="U213" s="28">
        <f t="shared" si="174"/>
        <v>104</v>
      </c>
      <c r="W213" s="32" t="str">
        <f t="shared" si="159"/>
        <v>짝수</v>
      </c>
      <c r="X213" s="32" t="str">
        <f t="shared" si="160"/>
        <v>홀수</v>
      </c>
      <c r="Y213" s="32" t="str">
        <f t="shared" si="161"/>
        <v>짝수</v>
      </c>
      <c r="Z213" s="32" t="str">
        <f t="shared" si="162"/>
        <v>짝수</v>
      </c>
      <c r="AA213" s="32" t="str">
        <f t="shared" si="163"/>
        <v>짝수</v>
      </c>
      <c r="AB213" s="32" t="str">
        <f t="shared" si="164"/>
        <v>홀수</v>
      </c>
      <c r="AC213" s="58" t="str">
        <f t="shared" si="165"/>
        <v>2 : 4</v>
      </c>
      <c r="AD213" s="32">
        <f t="shared" si="166"/>
        <v>2</v>
      </c>
      <c r="AE213" s="32">
        <f t="shared" si="167"/>
        <v>4</v>
      </c>
      <c r="AF213" s="66" t="str">
        <f t="shared" si="175"/>
        <v>저수</v>
      </c>
      <c r="AG213" s="66" t="str">
        <f t="shared" si="176"/>
        <v>저수</v>
      </c>
      <c r="AH213" s="66" t="str">
        <f t="shared" si="177"/>
        <v>저수</v>
      </c>
      <c r="AI213" s="66" t="str">
        <f t="shared" si="178"/>
        <v>저수</v>
      </c>
      <c r="AJ213" s="66" t="str">
        <f t="shared" si="179"/>
        <v>고수</v>
      </c>
      <c r="AK213" s="66" t="str">
        <f t="shared" si="180"/>
        <v>고수</v>
      </c>
      <c r="AL213" s="58" t="str">
        <f t="shared" si="181"/>
        <v>4 : 2</v>
      </c>
      <c r="AM213" s="66">
        <f t="shared" si="182"/>
        <v>4</v>
      </c>
      <c r="AN213" s="66">
        <f t="shared" si="183"/>
        <v>2</v>
      </c>
      <c r="AO213" s="66">
        <f t="shared" si="184"/>
        <v>24</v>
      </c>
      <c r="AP213" s="66" t="str">
        <f t="shared" si="185"/>
        <v>O</v>
      </c>
      <c r="AQ213" s="66" t="str">
        <f t="shared" si="186"/>
        <v>O</v>
      </c>
      <c r="AR213" s="66" t="str">
        <f t="shared" si="187"/>
        <v>X</v>
      </c>
      <c r="AS213" s="66" t="str">
        <f t="shared" si="188"/>
        <v>X</v>
      </c>
      <c r="AT213" s="66" t="str">
        <f t="shared" si="189"/>
        <v>X</v>
      </c>
      <c r="AU213" s="66" t="str">
        <f t="shared" si="190"/>
        <v>X</v>
      </c>
      <c r="AV213" s="66" t="str">
        <f t="shared" si="191"/>
        <v>X</v>
      </c>
      <c r="AW213" s="66" t="str">
        <f t="shared" si="192"/>
        <v>X</v>
      </c>
      <c r="AX213" s="66" t="str">
        <f t="shared" si="193"/>
        <v>X</v>
      </c>
      <c r="AY213" s="66" t="str">
        <f t="shared" si="194"/>
        <v>X</v>
      </c>
      <c r="AZ213" s="66" t="str">
        <f t="shared" si="195"/>
        <v>X</v>
      </c>
      <c r="BA213" s="66" t="str">
        <f t="shared" si="196"/>
        <v>X</v>
      </c>
      <c r="BB213" s="66">
        <f t="shared" si="197"/>
        <v>2</v>
      </c>
      <c r="BC213" s="127" t="str">
        <f t="shared" si="168"/>
        <v>1G</v>
      </c>
      <c r="BD213" s="127" t="str">
        <f t="shared" si="169"/>
        <v>1G</v>
      </c>
      <c r="BE213" s="127" t="str">
        <f t="shared" si="170"/>
        <v>2G</v>
      </c>
      <c r="BF213" s="127" t="str">
        <f t="shared" si="171"/>
        <v>2G</v>
      </c>
      <c r="BG213" s="127" t="str">
        <f t="shared" si="172"/>
        <v>2G</v>
      </c>
      <c r="BH213" s="127" t="str">
        <f t="shared" si="173"/>
        <v>3G</v>
      </c>
      <c r="BI213" s="127">
        <f t="shared" si="198"/>
        <v>2</v>
      </c>
      <c r="BJ213" s="127">
        <f t="shared" si="199"/>
        <v>3</v>
      </c>
      <c r="BK213" s="127">
        <f t="shared" si="200"/>
        <v>1</v>
      </c>
      <c r="BL213" s="127" t="str">
        <f t="shared" si="201"/>
        <v>231</v>
      </c>
      <c r="BS213"/>
      <c r="CL213" s="28">
        <v>132</v>
      </c>
      <c r="CM213" s="28">
        <v>130</v>
      </c>
      <c r="CO213"/>
    </row>
    <row r="214" spans="1:93" ht="16.5" hidden="1">
      <c r="B214" s="17">
        <v>210</v>
      </c>
      <c r="C214" s="363" t="s">
        <v>240</v>
      </c>
      <c r="D214" s="18">
        <v>2</v>
      </c>
      <c r="E214" s="20">
        <v>5139085950</v>
      </c>
      <c r="F214" s="18">
        <v>46</v>
      </c>
      <c r="G214" s="20">
        <v>37239754</v>
      </c>
      <c r="H214" s="20">
        <v>1298</v>
      </c>
      <c r="I214" s="20">
        <v>1319745</v>
      </c>
      <c r="J214" s="20">
        <v>64325</v>
      </c>
      <c r="K214" s="20">
        <v>53262</v>
      </c>
      <c r="L214" s="20">
        <v>1049739</v>
      </c>
      <c r="M214" s="20">
        <v>5000</v>
      </c>
      <c r="N214" s="167">
        <v>10</v>
      </c>
      <c r="O214" s="167">
        <v>19</v>
      </c>
      <c r="P214" s="167">
        <v>22</v>
      </c>
      <c r="Q214" s="167">
        <v>23</v>
      </c>
      <c r="R214" s="167">
        <v>25</v>
      </c>
      <c r="S214" s="167">
        <v>37</v>
      </c>
      <c r="T214" s="167">
        <v>39</v>
      </c>
      <c r="U214" s="28">
        <f t="shared" si="174"/>
        <v>136</v>
      </c>
      <c r="W214" s="32" t="str">
        <f t="shared" si="159"/>
        <v>짝수</v>
      </c>
      <c r="X214" s="32" t="str">
        <f t="shared" si="160"/>
        <v>홀수</v>
      </c>
      <c r="Y214" s="32" t="str">
        <f t="shared" si="161"/>
        <v>짝수</v>
      </c>
      <c r="Z214" s="32" t="str">
        <f t="shared" si="162"/>
        <v>홀수</v>
      </c>
      <c r="AA214" s="32" t="str">
        <f t="shared" si="163"/>
        <v>홀수</v>
      </c>
      <c r="AB214" s="32" t="str">
        <f t="shared" si="164"/>
        <v>홀수</v>
      </c>
      <c r="AC214" s="58" t="str">
        <f t="shared" si="165"/>
        <v>4 : 2</v>
      </c>
      <c r="AD214" s="32">
        <f t="shared" si="166"/>
        <v>4</v>
      </c>
      <c r="AE214" s="32">
        <f t="shared" si="167"/>
        <v>2</v>
      </c>
      <c r="AF214" s="66" t="str">
        <f t="shared" si="175"/>
        <v>저수</v>
      </c>
      <c r="AG214" s="66" t="str">
        <f t="shared" si="176"/>
        <v>저수</v>
      </c>
      <c r="AH214" s="66" t="str">
        <f t="shared" si="177"/>
        <v>저수</v>
      </c>
      <c r="AI214" s="66" t="str">
        <f t="shared" si="178"/>
        <v>고수</v>
      </c>
      <c r="AJ214" s="66" t="str">
        <f t="shared" si="179"/>
        <v>고수</v>
      </c>
      <c r="AK214" s="66" t="str">
        <f t="shared" si="180"/>
        <v>고수</v>
      </c>
      <c r="AL214" s="58" t="str">
        <f t="shared" si="181"/>
        <v>3 : 3</v>
      </c>
      <c r="AM214" s="66">
        <f t="shared" si="182"/>
        <v>3</v>
      </c>
      <c r="AN214" s="66">
        <f t="shared" si="183"/>
        <v>3</v>
      </c>
      <c r="AO214" s="66">
        <f t="shared" si="184"/>
        <v>26</v>
      </c>
      <c r="AP214" s="66" t="str">
        <f t="shared" si="185"/>
        <v>X</v>
      </c>
      <c r="AQ214" s="66" t="str">
        <f t="shared" si="186"/>
        <v>O</v>
      </c>
      <c r="AR214" s="66" t="str">
        <f t="shared" si="187"/>
        <v>X</v>
      </c>
      <c r="AS214" s="66" t="str">
        <f t="shared" si="188"/>
        <v>X</v>
      </c>
      <c r="AT214" s="66" t="str">
        <f t="shared" si="189"/>
        <v>X</v>
      </c>
      <c r="AU214" s="66" t="str">
        <f t="shared" si="190"/>
        <v>X</v>
      </c>
      <c r="AV214" s="66" t="str">
        <f t="shared" si="191"/>
        <v>X</v>
      </c>
      <c r="AW214" s="66" t="str">
        <f t="shared" si="192"/>
        <v>X</v>
      </c>
      <c r="AX214" s="66" t="str">
        <f t="shared" si="193"/>
        <v>X</v>
      </c>
      <c r="AY214" s="66" t="str">
        <f t="shared" si="194"/>
        <v>O</v>
      </c>
      <c r="AZ214" s="66" t="str">
        <f t="shared" si="195"/>
        <v>X</v>
      </c>
      <c r="BA214" s="66" t="str">
        <f t="shared" si="196"/>
        <v>O</v>
      </c>
      <c r="BB214" s="66">
        <f t="shared" si="197"/>
        <v>3</v>
      </c>
      <c r="BC214" s="127" t="str">
        <f t="shared" si="168"/>
        <v>1G</v>
      </c>
      <c r="BD214" s="127" t="str">
        <f t="shared" si="169"/>
        <v>2G</v>
      </c>
      <c r="BE214" s="127" t="str">
        <f t="shared" si="170"/>
        <v>2G</v>
      </c>
      <c r="BF214" s="127" t="str">
        <f t="shared" si="171"/>
        <v>2G</v>
      </c>
      <c r="BG214" s="127" t="str">
        <f t="shared" si="172"/>
        <v>2G</v>
      </c>
      <c r="BH214" s="127" t="str">
        <f t="shared" si="173"/>
        <v>3G</v>
      </c>
      <c r="BI214" s="127">
        <f t="shared" si="198"/>
        <v>1</v>
      </c>
      <c r="BJ214" s="127">
        <f t="shared" si="199"/>
        <v>4</v>
      </c>
      <c r="BK214" s="127">
        <f t="shared" si="200"/>
        <v>1</v>
      </c>
      <c r="BL214" s="127" t="str">
        <f t="shared" si="201"/>
        <v>141</v>
      </c>
      <c r="BS214"/>
      <c r="CL214" s="28">
        <v>132</v>
      </c>
      <c r="CM214" s="28">
        <v>130</v>
      </c>
      <c r="CO214"/>
    </row>
    <row r="215" spans="1:93" ht="16.5" hidden="1">
      <c r="B215" s="17">
        <v>211</v>
      </c>
      <c r="C215" s="363" t="s">
        <v>241</v>
      </c>
      <c r="D215" s="18">
        <v>10</v>
      </c>
      <c r="E215" s="20">
        <v>1035800250</v>
      </c>
      <c r="F215" s="18">
        <v>29</v>
      </c>
      <c r="G215" s="20">
        <v>59528750</v>
      </c>
      <c r="H215" s="20">
        <v>1308</v>
      </c>
      <c r="I215" s="20">
        <v>1319828</v>
      </c>
      <c r="J215" s="20">
        <v>64785</v>
      </c>
      <c r="K215" s="20">
        <v>53295</v>
      </c>
      <c r="L215" s="20">
        <v>1080600</v>
      </c>
      <c r="M215" s="20">
        <v>5000</v>
      </c>
      <c r="N215" s="167">
        <v>12</v>
      </c>
      <c r="O215" s="167">
        <v>13</v>
      </c>
      <c r="P215" s="167">
        <v>17</v>
      </c>
      <c r="Q215" s="167">
        <v>20</v>
      </c>
      <c r="R215" s="167">
        <v>33</v>
      </c>
      <c r="S215" s="167">
        <v>41</v>
      </c>
      <c r="T215" s="167">
        <v>8</v>
      </c>
      <c r="U215" s="28">
        <f t="shared" si="174"/>
        <v>136</v>
      </c>
      <c r="W215" s="32" t="str">
        <f t="shared" si="159"/>
        <v>짝수</v>
      </c>
      <c r="X215" s="32" t="str">
        <f t="shared" si="160"/>
        <v>홀수</v>
      </c>
      <c r="Y215" s="32" t="str">
        <f t="shared" si="161"/>
        <v>홀수</v>
      </c>
      <c r="Z215" s="32" t="str">
        <f t="shared" si="162"/>
        <v>짝수</v>
      </c>
      <c r="AA215" s="32" t="str">
        <f t="shared" si="163"/>
        <v>홀수</v>
      </c>
      <c r="AB215" s="32" t="str">
        <f t="shared" si="164"/>
        <v>홀수</v>
      </c>
      <c r="AC215" s="58" t="str">
        <f t="shared" si="165"/>
        <v>4 : 2</v>
      </c>
      <c r="AD215" s="32">
        <f t="shared" si="166"/>
        <v>4</v>
      </c>
      <c r="AE215" s="32">
        <f t="shared" si="167"/>
        <v>2</v>
      </c>
      <c r="AF215" s="66" t="str">
        <f t="shared" si="175"/>
        <v>저수</v>
      </c>
      <c r="AG215" s="66" t="str">
        <f t="shared" si="176"/>
        <v>저수</v>
      </c>
      <c r="AH215" s="66" t="str">
        <f t="shared" si="177"/>
        <v>저수</v>
      </c>
      <c r="AI215" s="66" t="str">
        <f t="shared" si="178"/>
        <v>저수</v>
      </c>
      <c r="AJ215" s="66" t="str">
        <f t="shared" si="179"/>
        <v>고수</v>
      </c>
      <c r="AK215" s="66" t="str">
        <f t="shared" si="180"/>
        <v>고수</v>
      </c>
      <c r="AL215" s="58" t="str">
        <f t="shared" si="181"/>
        <v>4 : 2</v>
      </c>
      <c r="AM215" s="66">
        <f t="shared" si="182"/>
        <v>4</v>
      </c>
      <c r="AN215" s="66">
        <f t="shared" si="183"/>
        <v>2</v>
      </c>
      <c r="AO215" s="66">
        <f t="shared" si="184"/>
        <v>16</v>
      </c>
      <c r="AP215" s="66" t="str">
        <f t="shared" si="185"/>
        <v>X</v>
      </c>
      <c r="AQ215" s="66" t="str">
        <f t="shared" si="186"/>
        <v>O</v>
      </c>
      <c r="AR215" s="66" t="str">
        <f t="shared" si="187"/>
        <v>O</v>
      </c>
      <c r="AS215" s="66" t="str">
        <f t="shared" si="188"/>
        <v>X</v>
      </c>
      <c r="AT215" s="66" t="str">
        <f t="shared" si="189"/>
        <v>X</v>
      </c>
      <c r="AU215" s="66" t="str">
        <f t="shared" si="190"/>
        <v>X</v>
      </c>
      <c r="AV215" s="66" t="str">
        <f t="shared" si="191"/>
        <v>X</v>
      </c>
      <c r="AW215" s="66" t="str">
        <f t="shared" si="192"/>
        <v>X</v>
      </c>
      <c r="AX215" s="66" t="str">
        <f t="shared" si="193"/>
        <v>X</v>
      </c>
      <c r="AY215" s="66" t="str">
        <f t="shared" si="194"/>
        <v>X</v>
      </c>
      <c r="AZ215" s="66" t="str">
        <f t="shared" si="195"/>
        <v>X</v>
      </c>
      <c r="BA215" s="66" t="str">
        <f t="shared" si="196"/>
        <v>O</v>
      </c>
      <c r="BB215" s="66">
        <f t="shared" si="197"/>
        <v>3</v>
      </c>
      <c r="BC215" s="127" t="str">
        <f t="shared" si="168"/>
        <v>1G</v>
      </c>
      <c r="BD215" s="127" t="str">
        <f t="shared" si="169"/>
        <v>1G</v>
      </c>
      <c r="BE215" s="127" t="str">
        <f t="shared" si="170"/>
        <v>2G</v>
      </c>
      <c r="BF215" s="127" t="str">
        <f t="shared" si="171"/>
        <v>2G</v>
      </c>
      <c r="BG215" s="127" t="str">
        <f t="shared" si="172"/>
        <v>3G</v>
      </c>
      <c r="BH215" s="127" t="str">
        <f t="shared" si="173"/>
        <v>3G</v>
      </c>
      <c r="BI215" s="127">
        <f t="shared" si="198"/>
        <v>2</v>
      </c>
      <c r="BJ215" s="127">
        <f t="shared" si="199"/>
        <v>2</v>
      </c>
      <c r="BK215" s="127">
        <f t="shared" si="200"/>
        <v>2</v>
      </c>
      <c r="BL215" s="127" t="str">
        <f t="shared" si="201"/>
        <v>222</v>
      </c>
      <c r="BS215"/>
      <c r="CL215" s="28">
        <v>132</v>
      </c>
      <c r="CM215" s="28">
        <v>130</v>
      </c>
      <c r="CO215"/>
    </row>
    <row r="216" spans="1:93" ht="16.5" hidden="1">
      <c r="B216" s="17">
        <v>212</v>
      </c>
      <c r="C216" s="363" t="s">
        <v>242</v>
      </c>
      <c r="D216" s="18">
        <v>4</v>
      </c>
      <c r="E216" s="20">
        <v>2660747250</v>
      </c>
      <c r="F216" s="18">
        <v>36</v>
      </c>
      <c r="G216" s="20">
        <v>49273098</v>
      </c>
      <c r="H216" s="20">
        <v>1228</v>
      </c>
      <c r="I216" s="20">
        <v>1444489</v>
      </c>
      <c r="J216" s="20">
        <v>64059</v>
      </c>
      <c r="K216" s="20">
        <v>55382</v>
      </c>
      <c r="L216" s="20">
        <v>1066249</v>
      </c>
      <c r="M216" s="20">
        <v>5000</v>
      </c>
      <c r="N216" s="167">
        <v>11</v>
      </c>
      <c r="O216" s="167">
        <v>12</v>
      </c>
      <c r="P216" s="167">
        <v>18</v>
      </c>
      <c r="Q216" s="167">
        <v>21</v>
      </c>
      <c r="R216" s="167">
        <v>31</v>
      </c>
      <c r="S216" s="167">
        <v>38</v>
      </c>
      <c r="T216" s="167">
        <v>8</v>
      </c>
      <c r="U216" s="28">
        <f t="shared" si="174"/>
        <v>131</v>
      </c>
      <c r="W216" s="32" t="str">
        <f t="shared" si="159"/>
        <v>홀수</v>
      </c>
      <c r="X216" s="32" t="str">
        <f t="shared" si="160"/>
        <v>짝수</v>
      </c>
      <c r="Y216" s="32" t="str">
        <f t="shared" si="161"/>
        <v>짝수</v>
      </c>
      <c r="Z216" s="32" t="str">
        <f t="shared" si="162"/>
        <v>홀수</v>
      </c>
      <c r="AA216" s="32" t="str">
        <f t="shared" si="163"/>
        <v>홀수</v>
      </c>
      <c r="AB216" s="32" t="str">
        <f t="shared" si="164"/>
        <v>짝수</v>
      </c>
      <c r="AC216" s="58" t="str">
        <f t="shared" si="165"/>
        <v>3 : 3</v>
      </c>
      <c r="AD216" s="32">
        <f t="shared" si="166"/>
        <v>3</v>
      </c>
      <c r="AE216" s="32">
        <f t="shared" si="167"/>
        <v>3</v>
      </c>
      <c r="AF216" s="66" t="str">
        <f t="shared" si="175"/>
        <v>저수</v>
      </c>
      <c r="AG216" s="66" t="str">
        <f t="shared" si="176"/>
        <v>저수</v>
      </c>
      <c r="AH216" s="66" t="str">
        <f t="shared" si="177"/>
        <v>저수</v>
      </c>
      <c r="AI216" s="66" t="str">
        <f t="shared" si="178"/>
        <v>저수</v>
      </c>
      <c r="AJ216" s="66" t="str">
        <f t="shared" si="179"/>
        <v>고수</v>
      </c>
      <c r="AK216" s="66" t="str">
        <f t="shared" si="180"/>
        <v>고수</v>
      </c>
      <c r="AL216" s="58" t="str">
        <f t="shared" si="181"/>
        <v>4 : 2</v>
      </c>
      <c r="AM216" s="66">
        <f t="shared" si="182"/>
        <v>4</v>
      </c>
      <c r="AN216" s="66">
        <f t="shared" si="183"/>
        <v>2</v>
      </c>
      <c r="AO216" s="66">
        <f t="shared" si="184"/>
        <v>21</v>
      </c>
      <c r="AP216" s="66" t="str">
        <f t="shared" si="185"/>
        <v>O</v>
      </c>
      <c r="AQ216" s="66" t="str">
        <f t="shared" si="186"/>
        <v>X</v>
      </c>
      <c r="AR216" s="66" t="str">
        <f t="shared" si="187"/>
        <v>X</v>
      </c>
      <c r="AS216" s="66" t="str">
        <f t="shared" si="188"/>
        <v>X</v>
      </c>
      <c r="AT216" s="66" t="str">
        <f t="shared" si="189"/>
        <v>X</v>
      </c>
      <c r="AU216" s="66" t="str">
        <f t="shared" si="190"/>
        <v>X</v>
      </c>
      <c r="AV216" s="66" t="str">
        <f t="shared" si="191"/>
        <v>X</v>
      </c>
      <c r="AW216" s="66" t="str">
        <f t="shared" si="192"/>
        <v>X</v>
      </c>
      <c r="AX216" s="66" t="str">
        <f t="shared" si="193"/>
        <v>X</v>
      </c>
      <c r="AY216" s="66" t="str">
        <f t="shared" si="194"/>
        <v>X</v>
      </c>
      <c r="AZ216" s="66" t="str">
        <f t="shared" si="195"/>
        <v>O</v>
      </c>
      <c r="BA216" s="66" t="str">
        <f t="shared" si="196"/>
        <v>X</v>
      </c>
      <c r="BB216" s="66">
        <f t="shared" si="197"/>
        <v>2</v>
      </c>
      <c r="BC216" s="127" t="str">
        <f t="shared" si="168"/>
        <v>1G</v>
      </c>
      <c r="BD216" s="127" t="str">
        <f t="shared" si="169"/>
        <v>1G</v>
      </c>
      <c r="BE216" s="127" t="str">
        <f t="shared" si="170"/>
        <v>2G</v>
      </c>
      <c r="BF216" s="127" t="str">
        <f t="shared" si="171"/>
        <v>2G</v>
      </c>
      <c r="BG216" s="127" t="str">
        <f t="shared" si="172"/>
        <v>3G</v>
      </c>
      <c r="BH216" s="127" t="str">
        <f t="shared" si="173"/>
        <v>3G</v>
      </c>
      <c r="BI216" s="127">
        <f t="shared" si="198"/>
        <v>2</v>
      </c>
      <c r="BJ216" s="127">
        <f t="shared" si="199"/>
        <v>2</v>
      </c>
      <c r="BK216" s="127">
        <f t="shared" si="200"/>
        <v>2</v>
      </c>
      <c r="BL216" s="127" t="str">
        <f t="shared" si="201"/>
        <v>222</v>
      </c>
      <c r="BS216"/>
      <c r="CL216" s="28">
        <v>132</v>
      </c>
      <c r="CM216" s="28">
        <v>130</v>
      </c>
      <c r="CO216"/>
    </row>
    <row r="217" spans="1:93" ht="16.5" hidden="1">
      <c r="B217" s="17">
        <v>213</v>
      </c>
      <c r="C217" s="363" t="s">
        <v>243</v>
      </c>
      <c r="D217" s="18">
        <v>8</v>
      </c>
      <c r="E217" s="20">
        <v>1376678025</v>
      </c>
      <c r="F217" s="18">
        <v>33</v>
      </c>
      <c r="G217" s="20">
        <v>55623355</v>
      </c>
      <c r="H217" s="20">
        <v>1977</v>
      </c>
      <c r="I217" s="20">
        <v>928463</v>
      </c>
      <c r="J217" s="20">
        <v>95451</v>
      </c>
      <c r="K217" s="20">
        <v>38462</v>
      </c>
      <c r="L217" s="20">
        <v>1203368</v>
      </c>
      <c r="M217" s="20">
        <v>5000</v>
      </c>
      <c r="N217" s="167">
        <v>2</v>
      </c>
      <c r="O217" s="167">
        <v>3</v>
      </c>
      <c r="P217" s="167">
        <v>4</v>
      </c>
      <c r="Q217" s="167">
        <v>5</v>
      </c>
      <c r="R217" s="167">
        <v>20</v>
      </c>
      <c r="S217" s="167">
        <v>24</v>
      </c>
      <c r="T217" s="167">
        <v>42</v>
      </c>
      <c r="U217" s="28">
        <f t="shared" si="174"/>
        <v>58</v>
      </c>
      <c r="W217" s="32" t="str">
        <f t="shared" si="159"/>
        <v>짝수</v>
      </c>
      <c r="X217" s="32" t="str">
        <f t="shared" si="160"/>
        <v>홀수</v>
      </c>
      <c r="Y217" s="32" t="str">
        <f t="shared" si="161"/>
        <v>짝수</v>
      </c>
      <c r="Z217" s="32" t="str">
        <f t="shared" si="162"/>
        <v>홀수</v>
      </c>
      <c r="AA217" s="32" t="str">
        <f t="shared" si="163"/>
        <v>짝수</v>
      </c>
      <c r="AB217" s="32" t="str">
        <f t="shared" si="164"/>
        <v>짝수</v>
      </c>
      <c r="AC217" s="58" t="str">
        <f t="shared" si="165"/>
        <v>2 : 4</v>
      </c>
      <c r="AD217" s="32">
        <f t="shared" si="166"/>
        <v>2</v>
      </c>
      <c r="AE217" s="32">
        <f t="shared" si="167"/>
        <v>4</v>
      </c>
      <c r="AF217" s="66" t="str">
        <f t="shared" si="175"/>
        <v>저수</v>
      </c>
      <c r="AG217" s="66" t="str">
        <f t="shared" si="176"/>
        <v>저수</v>
      </c>
      <c r="AH217" s="66" t="str">
        <f t="shared" si="177"/>
        <v>저수</v>
      </c>
      <c r="AI217" s="66" t="str">
        <f t="shared" si="178"/>
        <v>저수</v>
      </c>
      <c r="AJ217" s="66" t="str">
        <f t="shared" si="179"/>
        <v>저수</v>
      </c>
      <c r="AK217" s="66" t="str">
        <f t="shared" si="180"/>
        <v>고수</v>
      </c>
      <c r="AL217" s="58" t="str">
        <f t="shared" si="181"/>
        <v>5 : 1</v>
      </c>
      <c r="AM217" s="66">
        <f t="shared" si="182"/>
        <v>5</v>
      </c>
      <c r="AN217" s="66">
        <f t="shared" si="183"/>
        <v>1</v>
      </c>
      <c r="AO217" s="66">
        <f t="shared" si="184"/>
        <v>18</v>
      </c>
      <c r="AP217" s="66" t="str">
        <f t="shared" si="185"/>
        <v>O</v>
      </c>
      <c r="AQ217" s="66" t="str">
        <f t="shared" si="186"/>
        <v>O</v>
      </c>
      <c r="AR217" s="66" t="str">
        <f t="shared" si="187"/>
        <v>X</v>
      </c>
      <c r="AS217" s="66" t="str">
        <f t="shared" si="188"/>
        <v>O</v>
      </c>
      <c r="AT217" s="66" t="str">
        <f t="shared" si="189"/>
        <v>X</v>
      </c>
      <c r="AU217" s="66" t="str">
        <f t="shared" si="190"/>
        <v>X</v>
      </c>
      <c r="AV217" s="66" t="str">
        <f t="shared" si="191"/>
        <v>X</v>
      </c>
      <c r="AW217" s="66" t="str">
        <f t="shared" si="192"/>
        <v>X</v>
      </c>
      <c r="AX217" s="66" t="str">
        <f t="shared" si="193"/>
        <v>X</v>
      </c>
      <c r="AY217" s="66" t="str">
        <f t="shared" si="194"/>
        <v>X</v>
      </c>
      <c r="AZ217" s="66" t="str">
        <f t="shared" si="195"/>
        <v>X</v>
      </c>
      <c r="BA217" s="66" t="str">
        <f t="shared" si="196"/>
        <v>X</v>
      </c>
      <c r="BB217" s="66">
        <f t="shared" si="197"/>
        <v>3</v>
      </c>
      <c r="BC217" s="127" t="str">
        <f t="shared" si="168"/>
        <v>1G</v>
      </c>
      <c r="BD217" s="127" t="str">
        <f t="shared" si="169"/>
        <v>1G</v>
      </c>
      <c r="BE217" s="127" t="str">
        <f t="shared" si="170"/>
        <v>1G</v>
      </c>
      <c r="BF217" s="127" t="str">
        <f t="shared" si="171"/>
        <v>1G</v>
      </c>
      <c r="BG217" s="127" t="str">
        <f t="shared" si="172"/>
        <v>2G</v>
      </c>
      <c r="BH217" s="127" t="str">
        <f t="shared" si="173"/>
        <v>2G</v>
      </c>
      <c r="BI217" s="127">
        <f t="shared" si="198"/>
        <v>4</v>
      </c>
      <c r="BJ217" s="127">
        <f t="shared" si="199"/>
        <v>2</v>
      </c>
      <c r="BK217" s="127">
        <f t="shared" si="200"/>
        <v>0</v>
      </c>
      <c r="BL217" s="127" t="str">
        <f t="shared" si="201"/>
        <v>420</v>
      </c>
      <c r="BS217"/>
      <c r="CL217" s="28">
        <v>133</v>
      </c>
      <c r="CM217" s="28">
        <v>130</v>
      </c>
      <c r="CO217"/>
    </row>
    <row r="218" spans="1:93" ht="16.5" hidden="1">
      <c r="A218" s="18">
        <v>2007</v>
      </c>
      <c r="B218" s="17">
        <v>214</v>
      </c>
      <c r="C218" s="363" t="s">
        <v>244</v>
      </c>
      <c r="D218" s="18">
        <v>8</v>
      </c>
      <c r="E218" s="20">
        <v>1406980875</v>
      </c>
      <c r="F218" s="18">
        <v>36</v>
      </c>
      <c r="G218" s="20">
        <v>52110403</v>
      </c>
      <c r="H218" s="20">
        <v>1433</v>
      </c>
      <c r="I218" s="20">
        <v>1309124</v>
      </c>
      <c r="J218" s="20">
        <v>70219</v>
      </c>
      <c r="K218" s="20">
        <v>53433</v>
      </c>
      <c r="L218" s="20">
        <v>1167625</v>
      </c>
      <c r="M218" s="20">
        <v>5000</v>
      </c>
      <c r="N218" s="167">
        <v>5</v>
      </c>
      <c r="O218" s="167">
        <v>7</v>
      </c>
      <c r="P218" s="167">
        <v>20</v>
      </c>
      <c r="Q218" s="167">
        <v>25</v>
      </c>
      <c r="R218" s="167">
        <v>28</v>
      </c>
      <c r="S218" s="167">
        <v>37</v>
      </c>
      <c r="T218" s="167">
        <v>32</v>
      </c>
      <c r="U218" s="28">
        <f t="shared" si="174"/>
        <v>122</v>
      </c>
      <c r="W218" s="32" t="str">
        <f t="shared" si="159"/>
        <v>홀수</v>
      </c>
      <c r="X218" s="32" t="str">
        <f t="shared" si="160"/>
        <v>홀수</v>
      </c>
      <c r="Y218" s="32" t="str">
        <f t="shared" si="161"/>
        <v>짝수</v>
      </c>
      <c r="Z218" s="32" t="str">
        <f t="shared" si="162"/>
        <v>홀수</v>
      </c>
      <c r="AA218" s="32" t="str">
        <f t="shared" si="163"/>
        <v>짝수</v>
      </c>
      <c r="AB218" s="32" t="str">
        <f t="shared" si="164"/>
        <v>홀수</v>
      </c>
      <c r="AC218" s="58" t="str">
        <f t="shared" si="165"/>
        <v>4 : 2</v>
      </c>
      <c r="AD218" s="32">
        <f t="shared" si="166"/>
        <v>4</v>
      </c>
      <c r="AE218" s="32">
        <f t="shared" si="167"/>
        <v>2</v>
      </c>
      <c r="AF218" s="66" t="str">
        <f t="shared" si="175"/>
        <v>저수</v>
      </c>
      <c r="AG218" s="66" t="str">
        <f t="shared" si="176"/>
        <v>저수</v>
      </c>
      <c r="AH218" s="66" t="str">
        <f t="shared" si="177"/>
        <v>저수</v>
      </c>
      <c r="AI218" s="66" t="str">
        <f t="shared" si="178"/>
        <v>고수</v>
      </c>
      <c r="AJ218" s="66" t="str">
        <f t="shared" si="179"/>
        <v>고수</v>
      </c>
      <c r="AK218" s="66" t="str">
        <f t="shared" si="180"/>
        <v>고수</v>
      </c>
      <c r="AL218" s="58" t="str">
        <f t="shared" si="181"/>
        <v>3 : 3</v>
      </c>
      <c r="AM218" s="66">
        <f t="shared" si="182"/>
        <v>3</v>
      </c>
      <c r="AN218" s="66">
        <f t="shared" si="183"/>
        <v>3</v>
      </c>
      <c r="AO218" s="66">
        <f t="shared" si="184"/>
        <v>32</v>
      </c>
      <c r="AP218" s="66" t="str">
        <f t="shared" si="185"/>
        <v>O</v>
      </c>
      <c r="AQ218" s="66" t="str">
        <f t="shared" si="186"/>
        <v>O</v>
      </c>
      <c r="AR218" s="66" t="str">
        <f t="shared" si="187"/>
        <v>X</v>
      </c>
      <c r="AS218" s="66" t="str">
        <f t="shared" si="188"/>
        <v>X</v>
      </c>
      <c r="AT218" s="66" t="str">
        <f t="shared" si="189"/>
        <v>X</v>
      </c>
      <c r="AU218" s="66" t="str">
        <f t="shared" si="190"/>
        <v>X</v>
      </c>
      <c r="AV218" s="66" t="str">
        <f t="shared" si="191"/>
        <v>X</v>
      </c>
      <c r="AW218" s="66" t="str">
        <f t="shared" si="192"/>
        <v>X</v>
      </c>
      <c r="AX218" s="66" t="str">
        <f t="shared" si="193"/>
        <v>X</v>
      </c>
      <c r="AY218" s="66" t="str">
        <f t="shared" si="194"/>
        <v>X</v>
      </c>
      <c r="AZ218" s="66" t="str">
        <f t="shared" si="195"/>
        <v>X</v>
      </c>
      <c r="BA218" s="66" t="str">
        <f t="shared" si="196"/>
        <v>O</v>
      </c>
      <c r="BB218" s="66">
        <f t="shared" si="197"/>
        <v>3</v>
      </c>
      <c r="BC218" s="127" t="str">
        <f t="shared" si="168"/>
        <v>1G</v>
      </c>
      <c r="BD218" s="127" t="str">
        <f t="shared" si="169"/>
        <v>1G</v>
      </c>
      <c r="BE218" s="127" t="str">
        <f t="shared" si="170"/>
        <v>2G</v>
      </c>
      <c r="BF218" s="127" t="str">
        <f t="shared" si="171"/>
        <v>2G</v>
      </c>
      <c r="BG218" s="127" t="str">
        <f t="shared" si="172"/>
        <v>2G</v>
      </c>
      <c r="BH218" s="127" t="str">
        <f t="shared" si="173"/>
        <v>3G</v>
      </c>
      <c r="BI218" s="127">
        <f t="shared" si="198"/>
        <v>2</v>
      </c>
      <c r="BJ218" s="127">
        <f t="shared" si="199"/>
        <v>3</v>
      </c>
      <c r="BK218" s="127">
        <f t="shared" si="200"/>
        <v>1</v>
      </c>
      <c r="BL218" s="127" t="str">
        <f t="shared" si="201"/>
        <v>231</v>
      </c>
      <c r="BS218"/>
      <c r="CL218" s="28">
        <v>133</v>
      </c>
      <c r="CM218" s="28">
        <v>130</v>
      </c>
      <c r="CO218"/>
    </row>
    <row r="219" spans="1:93" ht="16.5" hidden="1">
      <c r="B219" s="17">
        <v>215</v>
      </c>
      <c r="C219" s="363" t="s">
        <v>245</v>
      </c>
      <c r="D219" s="18">
        <v>7</v>
      </c>
      <c r="E219" s="20">
        <v>1587689615</v>
      </c>
      <c r="F219" s="18">
        <v>32</v>
      </c>
      <c r="G219" s="20">
        <v>57884518</v>
      </c>
      <c r="H219" s="20">
        <v>1248</v>
      </c>
      <c r="I219" s="20">
        <v>1484219</v>
      </c>
      <c r="J219" s="20">
        <v>65898</v>
      </c>
      <c r="K219" s="20">
        <v>56218</v>
      </c>
      <c r="L219" s="20">
        <v>1062967</v>
      </c>
      <c r="M219" s="20">
        <v>5000</v>
      </c>
      <c r="N219" s="167">
        <v>2</v>
      </c>
      <c r="O219" s="167">
        <v>3</v>
      </c>
      <c r="P219" s="167">
        <v>7</v>
      </c>
      <c r="Q219" s="167">
        <v>15</v>
      </c>
      <c r="R219" s="167">
        <v>43</v>
      </c>
      <c r="S219" s="167">
        <v>44</v>
      </c>
      <c r="T219" s="167">
        <v>4</v>
      </c>
      <c r="U219" s="28">
        <f t="shared" si="174"/>
        <v>114</v>
      </c>
      <c r="W219" s="32" t="str">
        <f t="shared" si="159"/>
        <v>짝수</v>
      </c>
      <c r="X219" s="32" t="str">
        <f t="shared" si="160"/>
        <v>홀수</v>
      </c>
      <c r="Y219" s="32" t="str">
        <f t="shared" si="161"/>
        <v>홀수</v>
      </c>
      <c r="Z219" s="32" t="str">
        <f t="shared" si="162"/>
        <v>홀수</v>
      </c>
      <c r="AA219" s="32" t="str">
        <f t="shared" si="163"/>
        <v>홀수</v>
      </c>
      <c r="AB219" s="32" t="str">
        <f t="shared" si="164"/>
        <v>짝수</v>
      </c>
      <c r="AC219" s="58" t="str">
        <f t="shared" si="165"/>
        <v>4 : 2</v>
      </c>
      <c r="AD219" s="32">
        <f t="shared" si="166"/>
        <v>4</v>
      </c>
      <c r="AE219" s="32">
        <f t="shared" si="167"/>
        <v>2</v>
      </c>
      <c r="AF219" s="66" t="str">
        <f t="shared" si="175"/>
        <v>저수</v>
      </c>
      <c r="AG219" s="66" t="str">
        <f t="shared" si="176"/>
        <v>저수</v>
      </c>
      <c r="AH219" s="66" t="str">
        <f t="shared" si="177"/>
        <v>저수</v>
      </c>
      <c r="AI219" s="66" t="str">
        <f t="shared" si="178"/>
        <v>저수</v>
      </c>
      <c r="AJ219" s="66" t="str">
        <f t="shared" si="179"/>
        <v>고수</v>
      </c>
      <c r="AK219" s="66" t="str">
        <f t="shared" si="180"/>
        <v>고수</v>
      </c>
      <c r="AL219" s="58" t="str">
        <f t="shared" si="181"/>
        <v>4 : 2</v>
      </c>
      <c r="AM219" s="66">
        <f t="shared" si="182"/>
        <v>4</v>
      </c>
      <c r="AN219" s="66">
        <f t="shared" si="183"/>
        <v>2</v>
      </c>
      <c r="AO219" s="66">
        <f t="shared" si="184"/>
        <v>24</v>
      </c>
      <c r="AP219" s="66" t="str">
        <f t="shared" si="185"/>
        <v>O</v>
      </c>
      <c r="AQ219" s="66" t="str">
        <f t="shared" si="186"/>
        <v>O</v>
      </c>
      <c r="AR219" s="66" t="str">
        <f t="shared" si="187"/>
        <v>O</v>
      </c>
      <c r="AS219" s="66" t="str">
        <f t="shared" si="188"/>
        <v>X</v>
      </c>
      <c r="AT219" s="66" t="str">
        <f t="shared" si="189"/>
        <v>X</v>
      </c>
      <c r="AU219" s="66" t="str">
        <f t="shared" si="190"/>
        <v>X</v>
      </c>
      <c r="AV219" s="66" t="str">
        <f t="shared" si="191"/>
        <v>X</v>
      </c>
      <c r="AW219" s="66" t="str">
        <f t="shared" si="192"/>
        <v>X</v>
      </c>
      <c r="AX219" s="66" t="str">
        <f t="shared" si="193"/>
        <v>X</v>
      </c>
      <c r="AY219" s="66" t="str">
        <f t="shared" si="194"/>
        <v>X</v>
      </c>
      <c r="AZ219" s="66" t="str">
        <f t="shared" si="195"/>
        <v>O</v>
      </c>
      <c r="BA219" s="66" t="str">
        <f t="shared" si="196"/>
        <v>X</v>
      </c>
      <c r="BB219" s="66">
        <f t="shared" si="197"/>
        <v>4</v>
      </c>
      <c r="BC219" s="127" t="str">
        <f t="shared" si="168"/>
        <v>1G</v>
      </c>
      <c r="BD219" s="127" t="str">
        <f t="shared" si="169"/>
        <v>1G</v>
      </c>
      <c r="BE219" s="127" t="str">
        <f t="shared" si="170"/>
        <v>1G</v>
      </c>
      <c r="BF219" s="127" t="str">
        <f t="shared" si="171"/>
        <v>1G</v>
      </c>
      <c r="BG219" s="127" t="str">
        <f t="shared" si="172"/>
        <v>3G</v>
      </c>
      <c r="BH219" s="127" t="str">
        <f t="shared" si="173"/>
        <v>3G</v>
      </c>
      <c r="BI219" s="127">
        <f t="shared" si="198"/>
        <v>4</v>
      </c>
      <c r="BJ219" s="127">
        <f t="shared" si="199"/>
        <v>0</v>
      </c>
      <c r="BK219" s="127">
        <f t="shared" si="200"/>
        <v>2</v>
      </c>
      <c r="BL219" s="127" t="str">
        <f t="shared" si="201"/>
        <v>402</v>
      </c>
      <c r="BS219"/>
      <c r="CL219" s="28">
        <v>133</v>
      </c>
      <c r="CM219" s="28">
        <v>130</v>
      </c>
      <c r="CO219"/>
    </row>
    <row r="220" spans="1:93" ht="16.5" hidden="1">
      <c r="B220" s="17">
        <v>216</v>
      </c>
      <c r="C220" s="363" t="s">
        <v>246</v>
      </c>
      <c r="D220" s="18">
        <v>13</v>
      </c>
      <c r="E220" s="20">
        <v>848506108</v>
      </c>
      <c r="F220" s="18">
        <v>63</v>
      </c>
      <c r="G220" s="20">
        <v>29181427</v>
      </c>
      <c r="H220" s="20">
        <v>2612</v>
      </c>
      <c r="I220" s="20">
        <v>703840</v>
      </c>
      <c r="J220" s="20">
        <v>79174</v>
      </c>
      <c r="K220" s="20">
        <v>46441</v>
      </c>
      <c r="L220" s="20">
        <v>1157342</v>
      </c>
      <c r="M220" s="20">
        <v>5000</v>
      </c>
      <c r="N220" s="167">
        <v>7</v>
      </c>
      <c r="O220" s="167">
        <v>16</v>
      </c>
      <c r="P220" s="167">
        <v>17</v>
      </c>
      <c r="Q220" s="167">
        <v>33</v>
      </c>
      <c r="R220" s="167">
        <v>36</v>
      </c>
      <c r="S220" s="167">
        <v>40</v>
      </c>
      <c r="T220" s="167">
        <v>1</v>
      </c>
      <c r="U220" s="28">
        <f t="shared" si="174"/>
        <v>149</v>
      </c>
      <c r="W220" s="32" t="str">
        <f t="shared" si="159"/>
        <v>홀수</v>
      </c>
      <c r="X220" s="32" t="str">
        <f t="shared" si="160"/>
        <v>짝수</v>
      </c>
      <c r="Y220" s="32" t="str">
        <f t="shared" si="161"/>
        <v>홀수</v>
      </c>
      <c r="Z220" s="32" t="str">
        <f t="shared" si="162"/>
        <v>홀수</v>
      </c>
      <c r="AA220" s="32" t="str">
        <f t="shared" si="163"/>
        <v>짝수</v>
      </c>
      <c r="AB220" s="32" t="str">
        <f t="shared" si="164"/>
        <v>짝수</v>
      </c>
      <c r="AC220" s="58" t="str">
        <f t="shared" si="165"/>
        <v>3 : 3</v>
      </c>
      <c r="AD220" s="32">
        <f t="shared" si="166"/>
        <v>3</v>
      </c>
      <c r="AE220" s="32">
        <f t="shared" si="167"/>
        <v>3</v>
      </c>
      <c r="AF220" s="66" t="str">
        <f t="shared" si="175"/>
        <v>저수</v>
      </c>
      <c r="AG220" s="66" t="str">
        <f t="shared" si="176"/>
        <v>저수</v>
      </c>
      <c r="AH220" s="66" t="str">
        <f t="shared" si="177"/>
        <v>저수</v>
      </c>
      <c r="AI220" s="66" t="str">
        <f t="shared" si="178"/>
        <v>고수</v>
      </c>
      <c r="AJ220" s="66" t="str">
        <f t="shared" si="179"/>
        <v>고수</v>
      </c>
      <c r="AK220" s="66" t="str">
        <f t="shared" si="180"/>
        <v>고수</v>
      </c>
      <c r="AL220" s="58" t="str">
        <f t="shared" si="181"/>
        <v>3 : 3</v>
      </c>
      <c r="AM220" s="66">
        <f t="shared" si="182"/>
        <v>3</v>
      </c>
      <c r="AN220" s="66">
        <f t="shared" si="183"/>
        <v>3</v>
      </c>
      <c r="AO220" s="66">
        <f t="shared" si="184"/>
        <v>29</v>
      </c>
      <c r="AP220" s="66" t="str">
        <f t="shared" si="185"/>
        <v>O</v>
      </c>
      <c r="AQ220" s="66" t="str">
        <f t="shared" si="186"/>
        <v>X</v>
      </c>
      <c r="AR220" s="66" t="str">
        <f t="shared" si="187"/>
        <v>O</v>
      </c>
      <c r="AS220" s="66" t="str">
        <f t="shared" si="188"/>
        <v>X</v>
      </c>
      <c r="AT220" s="66" t="str">
        <f t="shared" si="189"/>
        <v>X</v>
      </c>
      <c r="AU220" s="66" t="str">
        <f t="shared" si="190"/>
        <v>X</v>
      </c>
      <c r="AV220" s="66" t="str">
        <f t="shared" si="191"/>
        <v>X</v>
      </c>
      <c r="AW220" s="66" t="str">
        <f t="shared" si="192"/>
        <v>X</v>
      </c>
      <c r="AX220" s="66" t="str">
        <f t="shared" si="193"/>
        <v>X</v>
      </c>
      <c r="AY220" s="66" t="str">
        <f t="shared" si="194"/>
        <v>X</v>
      </c>
      <c r="AZ220" s="66" t="str">
        <f t="shared" si="195"/>
        <v>X</v>
      </c>
      <c r="BA220" s="66" t="str">
        <f t="shared" si="196"/>
        <v>X</v>
      </c>
      <c r="BB220" s="66">
        <f t="shared" si="197"/>
        <v>2</v>
      </c>
      <c r="BC220" s="127" t="str">
        <f t="shared" si="168"/>
        <v>1G</v>
      </c>
      <c r="BD220" s="127" t="str">
        <f t="shared" si="169"/>
        <v>2G</v>
      </c>
      <c r="BE220" s="127" t="str">
        <f t="shared" si="170"/>
        <v>2G</v>
      </c>
      <c r="BF220" s="127" t="str">
        <f t="shared" si="171"/>
        <v>3G</v>
      </c>
      <c r="BG220" s="127" t="str">
        <f t="shared" si="172"/>
        <v>3G</v>
      </c>
      <c r="BH220" s="127" t="str">
        <f t="shared" si="173"/>
        <v>3G</v>
      </c>
      <c r="BI220" s="127">
        <f t="shared" si="198"/>
        <v>1</v>
      </c>
      <c r="BJ220" s="127">
        <f t="shared" si="199"/>
        <v>2</v>
      </c>
      <c r="BK220" s="127">
        <f t="shared" si="200"/>
        <v>3</v>
      </c>
      <c r="BL220" s="127" t="str">
        <f t="shared" si="201"/>
        <v>123</v>
      </c>
      <c r="BS220"/>
      <c r="CL220" s="28">
        <v>133</v>
      </c>
      <c r="CM220" s="28">
        <v>130</v>
      </c>
      <c r="CO220"/>
    </row>
    <row r="221" spans="1:93" ht="16.5" hidden="1">
      <c r="B221" s="17">
        <v>217</v>
      </c>
      <c r="C221" s="363" t="s">
        <v>247</v>
      </c>
      <c r="D221" s="18">
        <v>7</v>
      </c>
      <c r="E221" s="20">
        <v>1611246172</v>
      </c>
      <c r="F221" s="18">
        <v>29</v>
      </c>
      <c r="G221" s="20">
        <v>64820249</v>
      </c>
      <c r="H221" s="20">
        <v>1206</v>
      </c>
      <c r="I221" s="20">
        <v>1558696</v>
      </c>
      <c r="J221" s="20">
        <v>64156</v>
      </c>
      <c r="K221" s="20">
        <v>58601</v>
      </c>
      <c r="L221" s="20">
        <v>1066490</v>
      </c>
      <c r="M221" s="20">
        <v>5000</v>
      </c>
      <c r="N221" s="167">
        <v>16</v>
      </c>
      <c r="O221" s="167">
        <v>20</v>
      </c>
      <c r="P221" s="167">
        <v>27</v>
      </c>
      <c r="Q221" s="167">
        <v>33</v>
      </c>
      <c r="R221" s="167">
        <v>35</v>
      </c>
      <c r="S221" s="167">
        <v>39</v>
      </c>
      <c r="T221" s="167">
        <v>38</v>
      </c>
      <c r="U221" s="28">
        <f t="shared" si="174"/>
        <v>170</v>
      </c>
      <c r="W221" s="32" t="str">
        <f t="shared" si="159"/>
        <v>짝수</v>
      </c>
      <c r="X221" s="32" t="str">
        <f t="shared" si="160"/>
        <v>짝수</v>
      </c>
      <c r="Y221" s="32" t="str">
        <f t="shared" si="161"/>
        <v>홀수</v>
      </c>
      <c r="Z221" s="32" t="str">
        <f t="shared" si="162"/>
        <v>홀수</v>
      </c>
      <c r="AA221" s="32" t="str">
        <f t="shared" si="163"/>
        <v>홀수</v>
      </c>
      <c r="AB221" s="32" t="str">
        <f t="shared" si="164"/>
        <v>홀수</v>
      </c>
      <c r="AC221" s="58" t="str">
        <f t="shared" si="165"/>
        <v>4 : 2</v>
      </c>
      <c r="AD221" s="32">
        <f t="shared" si="166"/>
        <v>4</v>
      </c>
      <c r="AE221" s="32">
        <f t="shared" si="167"/>
        <v>2</v>
      </c>
      <c r="AF221" s="66" t="str">
        <f t="shared" si="175"/>
        <v>저수</v>
      </c>
      <c r="AG221" s="66" t="str">
        <f t="shared" si="176"/>
        <v>저수</v>
      </c>
      <c r="AH221" s="66" t="str">
        <f t="shared" si="177"/>
        <v>고수</v>
      </c>
      <c r="AI221" s="66" t="str">
        <f t="shared" si="178"/>
        <v>고수</v>
      </c>
      <c r="AJ221" s="66" t="str">
        <f t="shared" si="179"/>
        <v>고수</v>
      </c>
      <c r="AK221" s="66" t="str">
        <f t="shared" si="180"/>
        <v>고수</v>
      </c>
      <c r="AL221" s="58" t="str">
        <f t="shared" si="181"/>
        <v>2 : 4</v>
      </c>
      <c r="AM221" s="66">
        <f t="shared" si="182"/>
        <v>2</v>
      </c>
      <c r="AN221" s="66">
        <f t="shared" si="183"/>
        <v>4</v>
      </c>
      <c r="AO221" s="66">
        <f t="shared" si="184"/>
        <v>30</v>
      </c>
      <c r="AP221" s="66" t="str">
        <f t="shared" si="185"/>
        <v>X</v>
      </c>
      <c r="AQ221" s="66" t="str">
        <f t="shared" si="186"/>
        <v>X</v>
      </c>
      <c r="AR221" s="66" t="str">
        <f t="shared" si="187"/>
        <v>X</v>
      </c>
      <c r="AS221" s="66" t="str">
        <f t="shared" si="188"/>
        <v>X</v>
      </c>
      <c r="AT221" s="66" t="str">
        <f t="shared" si="189"/>
        <v>X</v>
      </c>
      <c r="AU221" s="66" t="str">
        <f t="shared" si="190"/>
        <v>X</v>
      </c>
      <c r="AV221" s="66" t="str">
        <f t="shared" si="191"/>
        <v>X</v>
      </c>
      <c r="AW221" s="66" t="str">
        <f t="shared" si="192"/>
        <v>X</v>
      </c>
      <c r="AX221" s="66" t="str">
        <f t="shared" si="193"/>
        <v>X</v>
      </c>
      <c r="AY221" s="66" t="str">
        <f t="shared" si="194"/>
        <v>X</v>
      </c>
      <c r="AZ221" s="66" t="str">
        <f t="shared" si="195"/>
        <v>X</v>
      </c>
      <c r="BA221" s="66" t="str">
        <f t="shared" si="196"/>
        <v>X</v>
      </c>
      <c r="BB221" s="66">
        <f t="shared" si="197"/>
        <v>0</v>
      </c>
      <c r="BC221" s="127" t="str">
        <f t="shared" si="168"/>
        <v>2G</v>
      </c>
      <c r="BD221" s="127" t="str">
        <f t="shared" si="169"/>
        <v>2G</v>
      </c>
      <c r="BE221" s="127" t="str">
        <f t="shared" si="170"/>
        <v>2G</v>
      </c>
      <c r="BF221" s="127" t="str">
        <f t="shared" si="171"/>
        <v>3G</v>
      </c>
      <c r="BG221" s="127" t="str">
        <f t="shared" si="172"/>
        <v>3G</v>
      </c>
      <c r="BH221" s="127" t="str">
        <f t="shared" si="173"/>
        <v>3G</v>
      </c>
      <c r="BI221" s="127">
        <f t="shared" si="198"/>
        <v>0</v>
      </c>
      <c r="BJ221" s="127">
        <f t="shared" si="199"/>
        <v>3</v>
      </c>
      <c r="BK221" s="127">
        <f t="shared" si="200"/>
        <v>3</v>
      </c>
      <c r="BL221" s="127" t="str">
        <f t="shared" si="201"/>
        <v>033</v>
      </c>
      <c r="BS221"/>
      <c r="CL221" s="28">
        <v>133</v>
      </c>
      <c r="CM221" s="28">
        <v>130</v>
      </c>
      <c r="CO221"/>
    </row>
    <row r="222" spans="1:93" ht="16.5" hidden="1">
      <c r="B222" s="17">
        <v>218</v>
      </c>
      <c r="C222" s="363" t="s">
        <v>248</v>
      </c>
      <c r="D222" s="18">
        <v>4</v>
      </c>
      <c r="E222" s="20">
        <v>2779075800</v>
      </c>
      <c r="F222" s="18">
        <v>26</v>
      </c>
      <c r="G222" s="20">
        <v>71258354</v>
      </c>
      <c r="H222" s="20">
        <v>1203</v>
      </c>
      <c r="I222" s="20">
        <v>1540081</v>
      </c>
      <c r="J222" s="20">
        <v>60492</v>
      </c>
      <c r="K222" s="20">
        <v>61255</v>
      </c>
      <c r="L222" s="20">
        <v>996397</v>
      </c>
      <c r="M222" s="20">
        <v>5000</v>
      </c>
      <c r="N222" s="167">
        <v>1</v>
      </c>
      <c r="O222" s="167">
        <v>8</v>
      </c>
      <c r="P222" s="167">
        <v>14</v>
      </c>
      <c r="Q222" s="167">
        <v>18</v>
      </c>
      <c r="R222" s="167">
        <v>29</v>
      </c>
      <c r="S222" s="167">
        <v>44</v>
      </c>
      <c r="T222" s="167">
        <v>20</v>
      </c>
      <c r="U222" s="28">
        <f t="shared" si="174"/>
        <v>114</v>
      </c>
      <c r="W222" s="32" t="str">
        <f t="shared" si="159"/>
        <v>홀수</v>
      </c>
      <c r="X222" s="32" t="str">
        <f t="shared" si="160"/>
        <v>짝수</v>
      </c>
      <c r="Y222" s="32" t="str">
        <f t="shared" si="161"/>
        <v>짝수</v>
      </c>
      <c r="Z222" s="32" t="str">
        <f t="shared" si="162"/>
        <v>짝수</v>
      </c>
      <c r="AA222" s="32" t="str">
        <f t="shared" si="163"/>
        <v>홀수</v>
      </c>
      <c r="AB222" s="32" t="str">
        <f t="shared" si="164"/>
        <v>짝수</v>
      </c>
      <c r="AC222" s="58" t="str">
        <f t="shared" si="165"/>
        <v>2 : 4</v>
      </c>
      <c r="AD222" s="32">
        <f t="shared" si="166"/>
        <v>2</v>
      </c>
      <c r="AE222" s="32">
        <f t="shared" si="167"/>
        <v>4</v>
      </c>
      <c r="AF222" s="66" t="str">
        <f t="shared" si="175"/>
        <v>저수</v>
      </c>
      <c r="AG222" s="66" t="str">
        <f t="shared" si="176"/>
        <v>저수</v>
      </c>
      <c r="AH222" s="66" t="str">
        <f t="shared" si="177"/>
        <v>저수</v>
      </c>
      <c r="AI222" s="66" t="str">
        <f t="shared" si="178"/>
        <v>저수</v>
      </c>
      <c r="AJ222" s="66" t="str">
        <f t="shared" si="179"/>
        <v>고수</v>
      </c>
      <c r="AK222" s="66" t="str">
        <f t="shared" si="180"/>
        <v>고수</v>
      </c>
      <c r="AL222" s="58" t="str">
        <f t="shared" si="181"/>
        <v>4 : 2</v>
      </c>
      <c r="AM222" s="66">
        <f t="shared" si="182"/>
        <v>4</v>
      </c>
      <c r="AN222" s="66">
        <f t="shared" si="183"/>
        <v>2</v>
      </c>
      <c r="AO222" s="66">
        <f t="shared" si="184"/>
        <v>34</v>
      </c>
      <c r="AP222" s="66" t="str">
        <f t="shared" si="185"/>
        <v>X</v>
      </c>
      <c r="AQ222" s="66" t="str">
        <f t="shared" si="186"/>
        <v>X</v>
      </c>
      <c r="AR222" s="66" t="str">
        <f t="shared" si="187"/>
        <v>X</v>
      </c>
      <c r="AS222" s="66" t="str">
        <f t="shared" si="188"/>
        <v>X</v>
      </c>
      <c r="AT222" s="66" t="str">
        <f t="shared" si="189"/>
        <v>X</v>
      </c>
      <c r="AU222" s="66" t="str">
        <f t="shared" si="190"/>
        <v>X</v>
      </c>
      <c r="AV222" s="66" t="str">
        <f t="shared" si="191"/>
        <v>X</v>
      </c>
      <c r="AW222" s="66" t="str">
        <f t="shared" si="192"/>
        <v>X</v>
      </c>
      <c r="AX222" s="66" t="str">
        <f t="shared" si="193"/>
        <v>X</v>
      </c>
      <c r="AY222" s="66" t="str">
        <f t="shared" si="194"/>
        <v>X</v>
      </c>
      <c r="AZ222" s="66" t="str">
        <f t="shared" si="195"/>
        <v>O</v>
      </c>
      <c r="BA222" s="66" t="str">
        <f t="shared" si="196"/>
        <v>X</v>
      </c>
      <c r="BB222" s="66">
        <f t="shared" si="197"/>
        <v>1</v>
      </c>
      <c r="BC222" s="127" t="str">
        <f t="shared" si="168"/>
        <v>1G</v>
      </c>
      <c r="BD222" s="127" t="str">
        <f t="shared" si="169"/>
        <v>1G</v>
      </c>
      <c r="BE222" s="127" t="str">
        <f t="shared" si="170"/>
        <v>1G</v>
      </c>
      <c r="BF222" s="127" t="str">
        <f t="shared" si="171"/>
        <v>2G</v>
      </c>
      <c r="BG222" s="127" t="str">
        <f t="shared" si="172"/>
        <v>2G</v>
      </c>
      <c r="BH222" s="127" t="str">
        <f t="shared" si="173"/>
        <v>3G</v>
      </c>
      <c r="BI222" s="127">
        <f t="shared" si="198"/>
        <v>3</v>
      </c>
      <c r="BJ222" s="127">
        <f t="shared" si="199"/>
        <v>2</v>
      </c>
      <c r="BK222" s="127">
        <f t="shared" si="200"/>
        <v>1</v>
      </c>
      <c r="BL222" s="127" t="str">
        <f t="shared" si="201"/>
        <v>321</v>
      </c>
      <c r="BS222"/>
      <c r="CL222" s="28">
        <v>133</v>
      </c>
      <c r="CM222" s="28">
        <v>130</v>
      </c>
      <c r="CO222"/>
    </row>
    <row r="223" spans="1:93" ht="16.5" hidden="1">
      <c r="B223" s="17">
        <v>219</v>
      </c>
      <c r="C223" s="363" t="s">
        <v>249</v>
      </c>
      <c r="D223" s="18">
        <v>9</v>
      </c>
      <c r="E223" s="20">
        <v>1208409167</v>
      </c>
      <c r="F223" s="18">
        <v>41</v>
      </c>
      <c r="G223" s="20">
        <v>44210092</v>
      </c>
      <c r="H223" s="20">
        <v>1292</v>
      </c>
      <c r="I223" s="20">
        <v>1402952</v>
      </c>
      <c r="J223" s="20">
        <v>63889</v>
      </c>
      <c r="K223" s="20">
        <v>56743</v>
      </c>
      <c r="L223" s="20">
        <v>1065147</v>
      </c>
      <c r="M223" s="20">
        <v>5000</v>
      </c>
      <c r="N223" s="167">
        <v>4</v>
      </c>
      <c r="O223" s="167">
        <v>11</v>
      </c>
      <c r="P223" s="167">
        <v>20</v>
      </c>
      <c r="Q223" s="167">
        <v>26</v>
      </c>
      <c r="R223" s="167">
        <v>35</v>
      </c>
      <c r="S223" s="167">
        <v>37</v>
      </c>
      <c r="T223" s="167">
        <v>16</v>
      </c>
      <c r="U223" s="28">
        <f t="shared" si="174"/>
        <v>133</v>
      </c>
      <c r="W223" s="32" t="str">
        <f t="shared" si="159"/>
        <v>짝수</v>
      </c>
      <c r="X223" s="32" t="str">
        <f t="shared" si="160"/>
        <v>홀수</v>
      </c>
      <c r="Y223" s="32" t="str">
        <f t="shared" si="161"/>
        <v>짝수</v>
      </c>
      <c r="Z223" s="32" t="str">
        <f t="shared" si="162"/>
        <v>짝수</v>
      </c>
      <c r="AA223" s="32" t="str">
        <f t="shared" si="163"/>
        <v>홀수</v>
      </c>
      <c r="AB223" s="32" t="str">
        <f t="shared" si="164"/>
        <v>홀수</v>
      </c>
      <c r="AC223" s="58" t="str">
        <f t="shared" si="165"/>
        <v>3 : 3</v>
      </c>
      <c r="AD223" s="32">
        <f t="shared" si="166"/>
        <v>3</v>
      </c>
      <c r="AE223" s="32">
        <f t="shared" si="167"/>
        <v>3</v>
      </c>
      <c r="AF223" s="66" t="str">
        <f t="shared" si="175"/>
        <v>저수</v>
      </c>
      <c r="AG223" s="66" t="str">
        <f t="shared" si="176"/>
        <v>저수</v>
      </c>
      <c r="AH223" s="66" t="str">
        <f t="shared" si="177"/>
        <v>저수</v>
      </c>
      <c r="AI223" s="66" t="str">
        <f t="shared" si="178"/>
        <v>고수</v>
      </c>
      <c r="AJ223" s="66" t="str">
        <f t="shared" si="179"/>
        <v>고수</v>
      </c>
      <c r="AK223" s="66" t="str">
        <f t="shared" si="180"/>
        <v>고수</v>
      </c>
      <c r="AL223" s="58" t="str">
        <f t="shared" si="181"/>
        <v>3 : 3</v>
      </c>
      <c r="AM223" s="66">
        <f t="shared" si="182"/>
        <v>3</v>
      </c>
      <c r="AN223" s="66">
        <f t="shared" si="183"/>
        <v>3</v>
      </c>
      <c r="AO223" s="66">
        <f t="shared" si="184"/>
        <v>23</v>
      </c>
      <c r="AP223" s="66" t="str">
        <f t="shared" si="185"/>
        <v>X</v>
      </c>
      <c r="AQ223" s="66" t="str">
        <f t="shared" si="186"/>
        <v>O</v>
      </c>
      <c r="AR223" s="66" t="str">
        <f t="shared" si="187"/>
        <v>X</v>
      </c>
      <c r="AS223" s="66" t="str">
        <f t="shared" si="188"/>
        <v>X</v>
      </c>
      <c r="AT223" s="66" t="str">
        <f t="shared" si="189"/>
        <v>X</v>
      </c>
      <c r="AU223" s="66" t="str">
        <f t="shared" si="190"/>
        <v>X</v>
      </c>
      <c r="AV223" s="66" t="str">
        <f t="shared" si="191"/>
        <v>X</v>
      </c>
      <c r="AW223" s="66" t="str">
        <f t="shared" si="192"/>
        <v>X</v>
      </c>
      <c r="AX223" s="66" t="str">
        <f t="shared" si="193"/>
        <v>X</v>
      </c>
      <c r="AY223" s="66" t="str">
        <f t="shared" si="194"/>
        <v>X</v>
      </c>
      <c r="AZ223" s="66" t="str">
        <f t="shared" si="195"/>
        <v>X</v>
      </c>
      <c r="BA223" s="66" t="str">
        <f t="shared" si="196"/>
        <v>O</v>
      </c>
      <c r="BB223" s="66">
        <f t="shared" si="197"/>
        <v>2</v>
      </c>
      <c r="BC223" s="127" t="str">
        <f t="shared" si="168"/>
        <v>1G</v>
      </c>
      <c r="BD223" s="127" t="str">
        <f t="shared" si="169"/>
        <v>1G</v>
      </c>
      <c r="BE223" s="127" t="str">
        <f t="shared" si="170"/>
        <v>2G</v>
      </c>
      <c r="BF223" s="127" t="str">
        <f t="shared" si="171"/>
        <v>2G</v>
      </c>
      <c r="BG223" s="127" t="str">
        <f t="shared" si="172"/>
        <v>3G</v>
      </c>
      <c r="BH223" s="127" t="str">
        <f t="shared" si="173"/>
        <v>3G</v>
      </c>
      <c r="BI223" s="127">
        <f t="shared" si="198"/>
        <v>2</v>
      </c>
      <c r="BJ223" s="127">
        <f t="shared" si="199"/>
        <v>2</v>
      </c>
      <c r="BK223" s="127">
        <f t="shared" si="200"/>
        <v>2</v>
      </c>
      <c r="BL223" s="127" t="str">
        <f t="shared" si="201"/>
        <v>222</v>
      </c>
      <c r="BS223"/>
      <c r="CL223" s="28">
        <v>133</v>
      </c>
      <c r="CM223" s="28">
        <v>130</v>
      </c>
      <c r="CO223"/>
    </row>
    <row r="224" spans="1:93" ht="16.5" hidden="1">
      <c r="B224" s="17">
        <v>220</v>
      </c>
      <c r="C224" s="363" t="s">
        <v>250</v>
      </c>
      <c r="D224" s="18">
        <v>6</v>
      </c>
      <c r="E224" s="20">
        <v>1958094950</v>
      </c>
      <c r="F224" s="18">
        <v>28</v>
      </c>
      <c r="G224" s="20">
        <v>69931963</v>
      </c>
      <c r="H224" s="20">
        <v>1317</v>
      </c>
      <c r="I224" s="20">
        <v>1486785</v>
      </c>
      <c r="J224" s="20">
        <v>67271</v>
      </c>
      <c r="K224" s="20">
        <v>58216</v>
      </c>
      <c r="L224" s="20">
        <v>1122150</v>
      </c>
      <c r="M224" s="20">
        <v>5000</v>
      </c>
      <c r="N224" s="167">
        <v>5</v>
      </c>
      <c r="O224" s="167">
        <v>11</v>
      </c>
      <c r="P224" s="167">
        <v>19</v>
      </c>
      <c r="Q224" s="167">
        <v>21</v>
      </c>
      <c r="R224" s="167">
        <v>34</v>
      </c>
      <c r="S224" s="167">
        <v>43</v>
      </c>
      <c r="T224" s="167">
        <v>31</v>
      </c>
      <c r="U224" s="28">
        <f t="shared" si="174"/>
        <v>133</v>
      </c>
      <c r="W224" s="32" t="str">
        <f t="shared" si="159"/>
        <v>홀수</v>
      </c>
      <c r="X224" s="32" t="str">
        <f t="shared" si="160"/>
        <v>홀수</v>
      </c>
      <c r="Y224" s="32" t="str">
        <f t="shared" si="161"/>
        <v>홀수</v>
      </c>
      <c r="Z224" s="32" t="str">
        <f t="shared" si="162"/>
        <v>홀수</v>
      </c>
      <c r="AA224" s="32" t="str">
        <f t="shared" si="163"/>
        <v>짝수</v>
      </c>
      <c r="AB224" s="32" t="str">
        <f t="shared" si="164"/>
        <v>홀수</v>
      </c>
      <c r="AC224" s="58" t="str">
        <f t="shared" si="165"/>
        <v>5 : 1</v>
      </c>
      <c r="AD224" s="32">
        <f t="shared" si="166"/>
        <v>5</v>
      </c>
      <c r="AE224" s="32">
        <f t="shared" si="167"/>
        <v>1</v>
      </c>
      <c r="AF224" s="66" t="str">
        <f t="shared" si="175"/>
        <v>저수</v>
      </c>
      <c r="AG224" s="66" t="str">
        <f t="shared" si="176"/>
        <v>저수</v>
      </c>
      <c r="AH224" s="66" t="str">
        <f t="shared" si="177"/>
        <v>저수</v>
      </c>
      <c r="AI224" s="66" t="str">
        <f t="shared" si="178"/>
        <v>저수</v>
      </c>
      <c r="AJ224" s="66" t="str">
        <f t="shared" si="179"/>
        <v>고수</v>
      </c>
      <c r="AK224" s="66" t="str">
        <f t="shared" si="180"/>
        <v>고수</v>
      </c>
      <c r="AL224" s="58" t="str">
        <f t="shared" si="181"/>
        <v>4 : 2</v>
      </c>
      <c r="AM224" s="66">
        <f t="shared" si="182"/>
        <v>4</v>
      </c>
      <c r="AN224" s="66">
        <f t="shared" si="183"/>
        <v>2</v>
      </c>
      <c r="AO224" s="66">
        <f t="shared" si="184"/>
        <v>23</v>
      </c>
      <c r="AP224" s="66" t="str">
        <f t="shared" si="185"/>
        <v>O</v>
      </c>
      <c r="AQ224" s="66" t="str">
        <f t="shared" si="186"/>
        <v>O</v>
      </c>
      <c r="AR224" s="66" t="str">
        <f t="shared" si="187"/>
        <v>O</v>
      </c>
      <c r="AS224" s="66" t="str">
        <f t="shared" si="188"/>
        <v>X</v>
      </c>
      <c r="AT224" s="66" t="str">
        <f t="shared" si="189"/>
        <v>X</v>
      </c>
      <c r="AU224" s="66" t="str">
        <f t="shared" si="190"/>
        <v>X</v>
      </c>
      <c r="AV224" s="66" t="str">
        <f t="shared" si="191"/>
        <v>X</v>
      </c>
      <c r="AW224" s="66" t="str">
        <f t="shared" si="192"/>
        <v>X</v>
      </c>
      <c r="AX224" s="66" t="str">
        <f t="shared" si="193"/>
        <v>X</v>
      </c>
      <c r="AY224" s="66" t="str">
        <f t="shared" si="194"/>
        <v>X</v>
      </c>
      <c r="AZ224" s="66" t="str">
        <f t="shared" si="195"/>
        <v>X</v>
      </c>
      <c r="BA224" s="66" t="str">
        <f t="shared" si="196"/>
        <v>O</v>
      </c>
      <c r="BB224" s="66">
        <f t="shared" si="197"/>
        <v>4</v>
      </c>
      <c r="BC224" s="127" t="str">
        <f t="shared" si="168"/>
        <v>1G</v>
      </c>
      <c r="BD224" s="127" t="str">
        <f t="shared" si="169"/>
        <v>1G</v>
      </c>
      <c r="BE224" s="127" t="str">
        <f t="shared" si="170"/>
        <v>2G</v>
      </c>
      <c r="BF224" s="127" t="str">
        <f t="shared" si="171"/>
        <v>2G</v>
      </c>
      <c r="BG224" s="127" t="str">
        <f t="shared" si="172"/>
        <v>3G</v>
      </c>
      <c r="BH224" s="127" t="str">
        <f t="shared" si="173"/>
        <v>3G</v>
      </c>
      <c r="BI224" s="127">
        <f t="shared" si="198"/>
        <v>2</v>
      </c>
      <c r="BJ224" s="127">
        <f t="shared" si="199"/>
        <v>2</v>
      </c>
      <c r="BK224" s="127">
        <f t="shared" si="200"/>
        <v>2</v>
      </c>
      <c r="BL224" s="127" t="str">
        <f t="shared" si="201"/>
        <v>222</v>
      </c>
      <c r="BS224"/>
      <c r="CL224" s="28">
        <v>133</v>
      </c>
      <c r="CM224" s="28">
        <v>130</v>
      </c>
      <c r="CO224"/>
    </row>
    <row r="225" spans="2:93" ht="16.5" hidden="1">
      <c r="B225" s="17">
        <v>221</v>
      </c>
      <c r="C225" s="363" t="s">
        <v>251</v>
      </c>
      <c r="D225" s="18">
        <v>6</v>
      </c>
      <c r="E225" s="20">
        <v>1800104250</v>
      </c>
      <c r="F225" s="18">
        <v>44</v>
      </c>
      <c r="G225" s="20">
        <v>40911461</v>
      </c>
      <c r="H225" s="20">
        <v>1608</v>
      </c>
      <c r="I225" s="20">
        <v>1119468</v>
      </c>
      <c r="J225" s="20">
        <v>75459</v>
      </c>
      <c r="K225" s="20">
        <v>47711</v>
      </c>
      <c r="L225" s="20">
        <v>1167205</v>
      </c>
      <c r="M225" s="20">
        <v>5000</v>
      </c>
      <c r="N225" s="167">
        <v>2</v>
      </c>
      <c r="O225" s="167">
        <v>20</v>
      </c>
      <c r="P225" s="167">
        <v>33</v>
      </c>
      <c r="Q225" s="167">
        <v>35</v>
      </c>
      <c r="R225" s="167">
        <v>37</v>
      </c>
      <c r="S225" s="167">
        <v>40</v>
      </c>
      <c r="T225" s="167">
        <v>10</v>
      </c>
      <c r="U225" s="28">
        <f t="shared" si="174"/>
        <v>167</v>
      </c>
      <c r="W225" s="32" t="str">
        <f t="shared" si="159"/>
        <v>짝수</v>
      </c>
      <c r="X225" s="32" t="str">
        <f t="shared" si="160"/>
        <v>짝수</v>
      </c>
      <c r="Y225" s="32" t="str">
        <f t="shared" si="161"/>
        <v>홀수</v>
      </c>
      <c r="Z225" s="32" t="str">
        <f t="shared" si="162"/>
        <v>홀수</v>
      </c>
      <c r="AA225" s="32" t="str">
        <f t="shared" si="163"/>
        <v>홀수</v>
      </c>
      <c r="AB225" s="32" t="str">
        <f t="shared" si="164"/>
        <v>짝수</v>
      </c>
      <c r="AC225" s="58" t="str">
        <f t="shared" si="165"/>
        <v>3 : 3</v>
      </c>
      <c r="AD225" s="32">
        <f t="shared" si="166"/>
        <v>3</v>
      </c>
      <c r="AE225" s="32">
        <f t="shared" si="167"/>
        <v>3</v>
      </c>
      <c r="AF225" s="66" t="str">
        <f t="shared" si="175"/>
        <v>저수</v>
      </c>
      <c r="AG225" s="66" t="str">
        <f t="shared" si="176"/>
        <v>저수</v>
      </c>
      <c r="AH225" s="66" t="str">
        <f t="shared" si="177"/>
        <v>고수</v>
      </c>
      <c r="AI225" s="66" t="str">
        <f t="shared" si="178"/>
        <v>고수</v>
      </c>
      <c r="AJ225" s="66" t="str">
        <f t="shared" si="179"/>
        <v>고수</v>
      </c>
      <c r="AK225" s="66" t="str">
        <f t="shared" si="180"/>
        <v>고수</v>
      </c>
      <c r="AL225" s="58" t="str">
        <f t="shared" si="181"/>
        <v>2 : 4</v>
      </c>
      <c r="AM225" s="66">
        <f t="shared" si="182"/>
        <v>2</v>
      </c>
      <c r="AN225" s="66">
        <f t="shared" si="183"/>
        <v>4</v>
      </c>
      <c r="AO225" s="66">
        <f t="shared" si="184"/>
        <v>17</v>
      </c>
      <c r="AP225" s="66" t="str">
        <f t="shared" si="185"/>
        <v>O</v>
      </c>
      <c r="AQ225" s="66" t="str">
        <f t="shared" si="186"/>
        <v>X</v>
      </c>
      <c r="AR225" s="66" t="str">
        <f t="shared" si="187"/>
        <v>X</v>
      </c>
      <c r="AS225" s="66" t="str">
        <f t="shared" si="188"/>
        <v>X</v>
      </c>
      <c r="AT225" s="66" t="str">
        <f t="shared" si="189"/>
        <v>X</v>
      </c>
      <c r="AU225" s="66" t="str">
        <f t="shared" si="190"/>
        <v>X</v>
      </c>
      <c r="AV225" s="66" t="str">
        <f t="shared" si="191"/>
        <v>X</v>
      </c>
      <c r="AW225" s="66" t="str">
        <f t="shared" si="192"/>
        <v>X</v>
      </c>
      <c r="AX225" s="66" t="str">
        <f t="shared" si="193"/>
        <v>X</v>
      </c>
      <c r="AY225" s="66" t="str">
        <f t="shared" si="194"/>
        <v>X</v>
      </c>
      <c r="AZ225" s="66" t="str">
        <f t="shared" si="195"/>
        <v>O</v>
      </c>
      <c r="BA225" s="66" t="str">
        <f t="shared" si="196"/>
        <v>X</v>
      </c>
      <c r="BB225" s="66">
        <f t="shared" si="197"/>
        <v>2</v>
      </c>
      <c r="BC225" s="127" t="str">
        <f t="shared" si="168"/>
        <v>1G</v>
      </c>
      <c r="BD225" s="127" t="str">
        <f t="shared" si="169"/>
        <v>2G</v>
      </c>
      <c r="BE225" s="127" t="str">
        <f t="shared" si="170"/>
        <v>3G</v>
      </c>
      <c r="BF225" s="127" t="str">
        <f t="shared" si="171"/>
        <v>3G</v>
      </c>
      <c r="BG225" s="127" t="str">
        <f t="shared" si="172"/>
        <v>3G</v>
      </c>
      <c r="BH225" s="127" t="str">
        <f t="shared" si="173"/>
        <v>3G</v>
      </c>
      <c r="BI225" s="127">
        <f t="shared" si="198"/>
        <v>1</v>
      </c>
      <c r="BJ225" s="127">
        <f t="shared" si="199"/>
        <v>1</v>
      </c>
      <c r="BK225" s="127">
        <f t="shared" si="200"/>
        <v>4</v>
      </c>
      <c r="BL225" s="127" t="str">
        <f t="shared" si="201"/>
        <v>114</v>
      </c>
      <c r="BS225"/>
      <c r="CL225" s="28">
        <v>133</v>
      </c>
      <c r="CM225" s="28">
        <v>130</v>
      </c>
      <c r="CO225"/>
    </row>
    <row r="226" spans="2:93" ht="16.5" hidden="1">
      <c r="B226" s="17">
        <v>222</v>
      </c>
      <c r="C226" s="363" t="s">
        <v>252</v>
      </c>
      <c r="D226" s="18">
        <v>5</v>
      </c>
      <c r="E226" s="20">
        <v>2275193820</v>
      </c>
      <c r="F226" s="18">
        <v>33</v>
      </c>
      <c r="G226" s="20">
        <v>57454390</v>
      </c>
      <c r="H226" s="20">
        <v>1105</v>
      </c>
      <c r="I226" s="20">
        <v>1715833</v>
      </c>
      <c r="J226" s="20">
        <v>57093</v>
      </c>
      <c r="K226" s="20">
        <v>66418</v>
      </c>
      <c r="L226" s="20">
        <v>981530</v>
      </c>
      <c r="M226" s="20">
        <v>5000</v>
      </c>
      <c r="N226" s="167">
        <v>5</v>
      </c>
      <c r="O226" s="167">
        <v>7</v>
      </c>
      <c r="P226" s="167">
        <v>28</v>
      </c>
      <c r="Q226" s="167">
        <v>29</v>
      </c>
      <c r="R226" s="167">
        <v>39</v>
      </c>
      <c r="S226" s="167">
        <v>43</v>
      </c>
      <c r="T226" s="167">
        <v>44</v>
      </c>
      <c r="U226" s="28">
        <f t="shared" si="174"/>
        <v>151</v>
      </c>
      <c r="W226" s="32" t="str">
        <f t="shared" si="159"/>
        <v>홀수</v>
      </c>
      <c r="X226" s="32" t="str">
        <f t="shared" si="160"/>
        <v>홀수</v>
      </c>
      <c r="Y226" s="32" t="str">
        <f t="shared" si="161"/>
        <v>짝수</v>
      </c>
      <c r="Z226" s="32" t="str">
        <f t="shared" si="162"/>
        <v>홀수</v>
      </c>
      <c r="AA226" s="32" t="str">
        <f t="shared" si="163"/>
        <v>홀수</v>
      </c>
      <c r="AB226" s="32" t="str">
        <f t="shared" si="164"/>
        <v>홀수</v>
      </c>
      <c r="AC226" s="58" t="str">
        <f t="shared" si="165"/>
        <v>5 : 1</v>
      </c>
      <c r="AD226" s="32">
        <f t="shared" si="166"/>
        <v>5</v>
      </c>
      <c r="AE226" s="32">
        <f t="shared" si="167"/>
        <v>1</v>
      </c>
      <c r="AF226" s="66" t="str">
        <f t="shared" si="175"/>
        <v>저수</v>
      </c>
      <c r="AG226" s="66" t="str">
        <f t="shared" si="176"/>
        <v>저수</v>
      </c>
      <c r="AH226" s="66" t="str">
        <f t="shared" si="177"/>
        <v>고수</v>
      </c>
      <c r="AI226" s="66" t="str">
        <f t="shared" si="178"/>
        <v>고수</v>
      </c>
      <c r="AJ226" s="66" t="str">
        <f t="shared" si="179"/>
        <v>고수</v>
      </c>
      <c r="AK226" s="66" t="str">
        <f t="shared" si="180"/>
        <v>고수</v>
      </c>
      <c r="AL226" s="58" t="str">
        <f t="shared" si="181"/>
        <v>2 : 4</v>
      </c>
      <c r="AM226" s="66">
        <f t="shared" si="182"/>
        <v>2</v>
      </c>
      <c r="AN226" s="66">
        <f t="shared" si="183"/>
        <v>4</v>
      </c>
      <c r="AO226" s="66">
        <f t="shared" si="184"/>
        <v>41</v>
      </c>
      <c r="AP226" s="66" t="str">
        <f t="shared" si="185"/>
        <v>O</v>
      </c>
      <c r="AQ226" s="66" t="str">
        <f t="shared" si="186"/>
        <v>O</v>
      </c>
      <c r="AR226" s="66" t="str">
        <f t="shared" si="187"/>
        <v>X</v>
      </c>
      <c r="AS226" s="66" t="str">
        <f t="shared" si="188"/>
        <v>X</v>
      </c>
      <c r="AT226" s="66" t="str">
        <f t="shared" si="189"/>
        <v>X</v>
      </c>
      <c r="AU226" s="66" t="str">
        <f t="shared" si="190"/>
        <v>X</v>
      </c>
      <c r="AV226" s="66" t="str">
        <f t="shared" si="191"/>
        <v>X</v>
      </c>
      <c r="AW226" s="66" t="str">
        <f t="shared" si="192"/>
        <v>X</v>
      </c>
      <c r="AX226" s="66" t="str">
        <f t="shared" si="193"/>
        <v>X</v>
      </c>
      <c r="AY226" s="66" t="str">
        <f t="shared" si="194"/>
        <v>O</v>
      </c>
      <c r="AZ226" s="66" t="str">
        <f t="shared" si="195"/>
        <v>X</v>
      </c>
      <c r="BA226" s="66" t="str">
        <f t="shared" si="196"/>
        <v>O</v>
      </c>
      <c r="BB226" s="66">
        <f t="shared" si="197"/>
        <v>4</v>
      </c>
      <c r="BC226" s="127" t="str">
        <f t="shared" si="168"/>
        <v>1G</v>
      </c>
      <c r="BD226" s="127" t="str">
        <f t="shared" si="169"/>
        <v>1G</v>
      </c>
      <c r="BE226" s="127" t="str">
        <f t="shared" si="170"/>
        <v>2G</v>
      </c>
      <c r="BF226" s="127" t="str">
        <f t="shared" si="171"/>
        <v>2G</v>
      </c>
      <c r="BG226" s="127" t="str">
        <f t="shared" si="172"/>
        <v>3G</v>
      </c>
      <c r="BH226" s="127" t="str">
        <f t="shared" si="173"/>
        <v>3G</v>
      </c>
      <c r="BI226" s="127">
        <f t="shared" si="198"/>
        <v>2</v>
      </c>
      <c r="BJ226" s="127">
        <f t="shared" si="199"/>
        <v>2</v>
      </c>
      <c r="BK226" s="127">
        <f t="shared" si="200"/>
        <v>2</v>
      </c>
      <c r="BL226" s="127" t="str">
        <f t="shared" si="201"/>
        <v>222</v>
      </c>
      <c r="BS226"/>
      <c r="CL226" s="28">
        <v>133</v>
      </c>
      <c r="CM226" s="28">
        <v>130</v>
      </c>
      <c r="CO226"/>
    </row>
    <row r="227" spans="2:93" ht="16.5" hidden="1">
      <c r="B227" s="17">
        <v>223</v>
      </c>
      <c r="C227" s="363" t="s">
        <v>253</v>
      </c>
      <c r="D227" s="18">
        <v>7</v>
      </c>
      <c r="E227" s="20">
        <v>1498170600</v>
      </c>
      <c r="F227" s="18">
        <v>39</v>
      </c>
      <c r="G227" s="20">
        <v>44817070</v>
      </c>
      <c r="H227" s="20">
        <v>1416</v>
      </c>
      <c r="I227" s="20">
        <v>1234369</v>
      </c>
      <c r="J227" s="20">
        <v>67509</v>
      </c>
      <c r="K227" s="20">
        <v>51782</v>
      </c>
      <c r="L227" s="20">
        <v>1107956</v>
      </c>
      <c r="M227" s="20">
        <v>5000</v>
      </c>
      <c r="N227" s="167">
        <v>1</v>
      </c>
      <c r="O227" s="167">
        <v>3</v>
      </c>
      <c r="P227" s="167">
        <v>18</v>
      </c>
      <c r="Q227" s="167">
        <v>20</v>
      </c>
      <c r="R227" s="167">
        <v>26</v>
      </c>
      <c r="S227" s="167">
        <v>27</v>
      </c>
      <c r="T227" s="167">
        <v>38</v>
      </c>
      <c r="U227" s="28">
        <f t="shared" si="174"/>
        <v>95</v>
      </c>
      <c r="W227" s="32" t="str">
        <f t="shared" si="159"/>
        <v>홀수</v>
      </c>
      <c r="X227" s="32" t="str">
        <f t="shared" si="160"/>
        <v>홀수</v>
      </c>
      <c r="Y227" s="32" t="str">
        <f t="shared" si="161"/>
        <v>짝수</v>
      </c>
      <c r="Z227" s="32" t="str">
        <f t="shared" si="162"/>
        <v>짝수</v>
      </c>
      <c r="AA227" s="32" t="str">
        <f t="shared" si="163"/>
        <v>짝수</v>
      </c>
      <c r="AB227" s="32" t="str">
        <f t="shared" si="164"/>
        <v>홀수</v>
      </c>
      <c r="AC227" s="58" t="str">
        <f t="shared" si="165"/>
        <v>3 : 3</v>
      </c>
      <c r="AD227" s="32">
        <f t="shared" si="166"/>
        <v>3</v>
      </c>
      <c r="AE227" s="32">
        <f t="shared" si="167"/>
        <v>3</v>
      </c>
      <c r="AF227" s="66" t="str">
        <f t="shared" si="175"/>
        <v>저수</v>
      </c>
      <c r="AG227" s="66" t="str">
        <f t="shared" si="176"/>
        <v>저수</v>
      </c>
      <c r="AH227" s="66" t="str">
        <f t="shared" si="177"/>
        <v>저수</v>
      </c>
      <c r="AI227" s="66" t="str">
        <f t="shared" si="178"/>
        <v>저수</v>
      </c>
      <c r="AJ227" s="66" t="str">
        <f t="shared" si="179"/>
        <v>고수</v>
      </c>
      <c r="AK227" s="66" t="str">
        <f t="shared" si="180"/>
        <v>고수</v>
      </c>
      <c r="AL227" s="58" t="str">
        <f t="shared" si="181"/>
        <v>4 : 2</v>
      </c>
      <c r="AM227" s="66">
        <f t="shared" si="182"/>
        <v>4</v>
      </c>
      <c r="AN227" s="66">
        <f t="shared" si="183"/>
        <v>2</v>
      </c>
      <c r="AO227" s="66">
        <f t="shared" si="184"/>
        <v>25</v>
      </c>
      <c r="AP227" s="66" t="str">
        <f t="shared" si="185"/>
        <v>X</v>
      </c>
      <c r="AQ227" s="66" t="str">
        <f t="shared" si="186"/>
        <v>O</v>
      </c>
      <c r="AR227" s="66" t="str">
        <f t="shared" si="187"/>
        <v>X</v>
      </c>
      <c r="AS227" s="66" t="str">
        <f t="shared" si="188"/>
        <v>X</v>
      </c>
      <c r="AT227" s="66" t="str">
        <f t="shared" si="189"/>
        <v>X</v>
      </c>
      <c r="AU227" s="66" t="str">
        <f t="shared" si="190"/>
        <v>X</v>
      </c>
      <c r="AV227" s="66" t="str">
        <f t="shared" si="191"/>
        <v>X</v>
      </c>
      <c r="AW227" s="66" t="str">
        <f t="shared" si="192"/>
        <v>X</v>
      </c>
      <c r="AX227" s="66" t="str">
        <f t="shared" si="193"/>
        <v>X</v>
      </c>
      <c r="AY227" s="66" t="str">
        <f t="shared" si="194"/>
        <v>X</v>
      </c>
      <c r="AZ227" s="66" t="str">
        <f t="shared" si="195"/>
        <v>X</v>
      </c>
      <c r="BA227" s="66" t="str">
        <f t="shared" si="196"/>
        <v>X</v>
      </c>
      <c r="BB227" s="66">
        <f t="shared" si="197"/>
        <v>1</v>
      </c>
      <c r="BC227" s="127" t="str">
        <f t="shared" si="168"/>
        <v>1G</v>
      </c>
      <c r="BD227" s="127" t="str">
        <f t="shared" si="169"/>
        <v>1G</v>
      </c>
      <c r="BE227" s="127" t="str">
        <f t="shared" si="170"/>
        <v>2G</v>
      </c>
      <c r="BF227" s="127" t="str">
        <f t="shared" si="171"/>
        <v>2G</v>
      </c>
      <c r="BG227" s="127" t="str">
        <f t="shared" si="172"/>
        <v>2G</v>
      </c>
      <c r="BH227" s="127" t="str">
        <f t="shared" si="173"/>
        <v>2G</v>
      </c>
      <c r="BI227" s="127">
        <f t="shared" si="198"/>
        <v>2</v>
      </c>
      <c r="BJ227" s="127">
        <f t="shared" si="199"/>
        <v>4</v>
      </c>
      <c r="BK227" s="127">
        <f t="shared" si="200"/>
        <v>0</v>
      </c>
      <c r="BL227" s="127" t="str">
        <f t="shared" si="201"/>
        <v>240</v>
      </c>
      <c r="BS227"/>
      <c r="CL227" s="28">
        <v>133</v>
      </c>
      <c r="CM227" s="28">
        <v>130</v>
      </c>
      <c r="CO227"/>
    </row>
    <row r="228" spans="2:93" ht="16.5" hidden="1">
      <c r="B228" s="17">
        <v>224</v>
      </c>
      <c r="C228" s="363" t="s">
        <v>254</v>
      </c>
      <c r="D228" s="18">
        <v>6</v>
      </c>
      <c r="E228" s="20">
        <v>1808969950</v>
      </c>
      <c r="F228" s="18">
        <v>26</v>
      </c>
      <c r="G228" s="20">
        <v>69575768</v>
      </c>
      <c r="H228" s="20">
        <v>1158</v>
      </c>
      <c r="I228" s="20">
        <v>1562151</v>
      </c>
      <c r="J228" s="20">
        <v>60549</v>
      </c>
      <c r="K228" s="20">
        <v>59753</v>
      </c>
      <c r="L228" s="20">
        <v>1025571</v>
      </c>
      <c r="M228" s="20">
        <v>5000</v>
      </c>
      <c r="N228" s="167">
        <v>4</v>
      </c>
      <c r="O228" s="167">
        <v>19</v>
      </c>
      <c r="P228" s="167">
        <v>26</v>
      </c>
      <c r="Q228" s="167">
        <v>27</v>
      </c>
      <c r="R228" s="167">
        <v>30</v>
      </c>
      <c r="S228" s="167">
        <v>42</v>
      </c>
      <c r="T228" s="167">
        <v>7</v>
      </c>
      <c r="U228" s="28">
        <f t="shared" si="174"/>
        <v>148</v>
      </c>
      <c r="W228" s="32" t="str">
        <f t="shared" si="159"/>
        <v>짝수</v>
      </c>
      <c r="X228" s="32" t="str">
        <f t="shared" si="160"/>
        <v>홀수</v>
      </c>
      <c r="Y228" s="32" t="str">
        <f t="shared" si="161"/>
        <v>짝수</v>
      </c>
      <c r="Z228" s="32" t="str">
        <f t="shared" si="162"/>
        <v>홀수</v>
      </c>
      <c r="AA228" s="32" t="str">
        <f t="shared" si="163"/>
        <v>짝수</v>
      </c>
      <c r="AB228" s="32" t="str">
        <f t="shared" si="164"/>
        <v>짝수</v>
      </c>
      <c r="AC228" s="58" t="str">
        <f t="shared" si="165"/>
        <v>2 : 4</v>
      </c>
      <c r="AD228" s="32">
        <f t="shared" si="166"/>
        <v>2</v>
      </c>
      <c r="AE228" s="32">
        <f t="shared" si="167"/>
        <v>4</v>
      </c>
      <c r="AF228" s="66" t="str">
        <f t="shared" si="175"/>
        <v>저수</v>
      </c>
      <c r="AG228" s="66" t="str">
        <f t="shared" si="176"/>
        <v>저수</v>
      </c>
      <c r="AH228" s="66" t="str">
        <f t="shared" si="177"/>
        <v>고수</v>
      </c>
      <c r="AI228" s="66" t="str">
        <f t="shared" si="178"/>
        <v>고수</v>
      </c>
      <c r="AJ228" s="66" t="str">
        <f t="shared" si="179"/>
        <v>고수</v>
      </c>
      <c r="AK228" s="66" t="str">
        <f t="shared" si="180"/>
        <v>고수</v>
      </c>
      <c r="AL228" s="58" t="str">
        <f t="shared" si="181"/>
        <v>2 : 4</v>
      </c>
      <c r="AM228" s="66">
        <f t="shared" si="182"/>
        <v>2</v>
      </c>
      <c r="AN228" s="66">
        <f t="shared" si="183"/>
        <v>4</v>
      </c>
      <c r="AO228" s="66">
        <f t="shared" si="184"/>
        <v>28</v>
      </c>
      <c r="AP228" s="66" t="str">
        <f t="shared" si="185"/>
        <v>X</v>
      </c>
      <c r="AQ228" s="66" t="str">
        <f t="shared" si="186"/>
        <v>O</v>
      </c>
      <c r="AR228" s="66" t="str">
        <f t="shared" si="187"/>
        <v>X</v>
      </c>
      <c r="AS228" s="66" t="str">
        <f t="shared" si="188"/>
        <v>X</v>
      </c>
      <c r="AT228" s="66" t="str">
        <f t="shared" si="189"/>
        <v>X</v>
      </c>
      <c r="AU228" s="66" t="str">
        <f t="shared" si="190"/>
        <v>X</v>
      </c>
      <c r="AV228" s="66" t="str">
        <f t="shared" si="191"/>
        <v>X</v>
      </c>
      <c r="AW228" s="66" t="str">
        <f t="shared" si="192"/>
        <v>X</v>
      </c>
      <c r="AX228" s="66" t="str">
        <f t="shared" si="193"/>
        <v>X</v>
      </c>
      <c r="AY228" s="66" t="str">
        <f t="shared" si="194"/>
        <v>X</v>
      </c>
      <c r="AZ228" s="66" t="str">
        <f t="shared" si="195"/>
        <v>X</v>
      </c>
      <c r="BA228" s="66" t="str">
        <f t="shared" si="196"/>
        <v>X</v>
      </c>
      <c r="BB228" s="66">
        <f t="shared" si="197"/>
        <v>1</v>
      </c>
      <c r="BC228" s="127" t="str">
        <f t="shared" si="168"/>
        <v>1G</v>
      </c>
      <c r="BD228" s="127" t="str">
        <f t="shared" si="169"/>
        <v>2G</v>
      </c>
      <c r="BE228" s="127" t="str">
        <f t="shared" si="170"/>
        <v>2G</v>
      </c>
      <c r="BF228" s="127" t="str">
        <f t="shared" si="171"/>
        <v>2G</v>
      </c>
      <c r="BG228" s="127" t="str">
        <f t="shared" si="172"/>
        <v>2G</v>
      </c>
      <c r="BH228" s="127" t="str">
        <f t="shared" si="173"/>
        <v>3G</v>
      </c>
      <c r="BI228" s="127">
        <f t="shared" si="198"/>
        <v>1</v>
      </c>
      <c r="BJ228" s="127">
        <f t="shared" si="199"/>
        <v>4</v>
      </c>
      <c r="BK228" s="127">
        <f t="shared" si="200"/>
        <v>1</v>
      </c>
      <c r="BL228" s="127" t="str">
        <f t="shared" si="201"/>
        <v>141</v>
      </c>
      <c r="BS228"/>
      <c r="CL228" s="28">
        <v>134</v>
      </c>
      <c r="CM228" s="28">
        <v>130</v>
      </c>
      <c r="CO228"/>
    </row>
    <row r="229" spans="2:93" ht="16.5" hidden="1">
      <c r="B229" s="17">
        <v>225</v>
      </c>
      <c r="C229" s="363" t="s">
        <v>255</v>
      </c>
      <c r="D229" s="18">
        <v>6</v>
      </c>
      <c r="E229" s="20">
        <v>1777201800</v>
      </c>
      <c r="F229" s="18">
        <v>41</v>
      </c>
      <c r="G229" s="20">
        <v>43346386</v>
      </c>
      <c r="H229" s="20">
        <v>1287</v>
      </c>
      <c r="I229" s="20">
        <v>1380888</v>
      </c>
      <c r="J229" s="20">
        <v>65281</v>
      </c>
      <c r="K229" s="20">
        <v>54448</v>
      </c>
      <c r="L229" s="20">
        <v>1080798</v>
      </c>
      <c r="M229" s="20">
        <v>5000</v>
      </c>
      <c r="N229" s="167">
        <v>5</v>
      </c>
      <c r="O229" s="167">
        <v>11</v>
      </c>
      <c r="P229" s="167">
        <v>13</v>
      </c>
      <c r="Q229" s="167">
        <v>19</v>
      </c>
      <c r="R229" s="167">
        <v>31</v>
      </c>
      <c r="S229" s="167">
        <v>36</v>
      </c>
      <c r="T229" s="167">
        <v>7</v>
      </c>
      <c r="U229" s="28">
        <f t="shared" si="174"/>
        <v>115</v>
      </c>
      <c r="W229" s="32" t="str">
        <f t="shared" si="159"/>
        <v>홀수</v>
      </c>
      <c r="X229" s="32" t="str">
        <f t="shared" si="160"/>
        <v>홀수</v>
      </c>
      <c r="Y229" s="32" t="str">
        <f t="shared" si="161"/>
        <v>홀수</v>
      </c>
      <c r="Z229" s="32" t="str">
        <f t="shared" si="162"/>
        <v>홀수</v>
      </c>
      <c r="AA229" s="32" t="str">
        <f t="shared" si="163"/>
        <v>홀수</v>
      </c>
      <c r="AB229" s="32" t="str">
        <f t="shared" si="164"/>
        <v>짝수</v>
      </c>
      <c r="AC229" s="58" t="str">
        <f t="shared" si="165"/>
        <v>5 : 1</v>
      </c>
      <c r="AD229" s="32">
        <f t="shared" si="166"/>
        <v>5</v>
      </c>
      <c r="AE229" s="32">
        <f t="shared" si="167"/>
        <v>1</v>
      </c>
      <c r="AF229" s="66" t="str">
        <f t="shared" si="175"/>
        <v>저수</v>
      </c>
      <c r="AG229" s="66" t="str">
        <f t="shared" si="176"/>
        <v>저수</v>
      </c>
      <c r="AH229" s="66" t="str">
        <f t="shared" si="177"/>
        <v>저수</v>
      </c>
      <c r="AI229" s="66" t="str">
        <f t="shared" si="178"/>
        <v>저수</v>
      </c>
      <c r="AJ229" s="66" t="str">
        <f t="shared" si="179"/>
        <v>고수</v>
      </c>
      <c r="AK229" s="66" t="str">
        <f t="shared" si="180"/>
        <v>고수</v>
      </c>
      <c r="AL229" s="58" t="str">
        <f t="shared" si="181"/>
        <v>4 : 2</v>
      </c>
      <c r="AM229" s="66">
        <f t="shared" si="182"/>
        <v>4</v>
      </c>
      <c r="AN229" s="66">
        <f t="shared" si="183"/>
        <v>2</v>
      </c>
      <c r="AO229" s="66">
        <f t="shared" si="184"/>
        <v>25</v>
      </c>
      <c r="AP229" s="66" t="str">
        <f t="shared" si="185"/>
        <v>O</v>
      </c>
      <c r="AQ229" s="66" t="str">
        <f t="shared" si="186"/>
        <v>O</v>
      </c>
      <c r="AR229" s="66" t="str">
        <f t="shared" si="187"/>
        <v>O</v>
      </c>
      <c r="AS229" s="66" t="str">
        <f t="shared" si="188"/>
        <v>O</v>
      </c>
      <c r="AT229" s="66" t="str">
        <f t="shared" si="189"/>
        <v>X</v>
      </c>
      <c r="AU229" s="66" t="str">
        <f t="shared" si="190"/>
        <v>X</v>
      </c>
      <c r="AV229" s="66" t="str">
        <f t="shared" si="191"/>
        <v>X</v>
      </c>
      <c r="AW229" s="66" t="str">
        <f t="shared" si="192"/>
        <v>X</v>
      </c>
      <c r="AX229" s="66" t="str">
        <f t="shared" si="193"/>
        <v>X</v>
      </c>
      <c r="AY229" s="66" t="str">
        <f t="shared" si="194"/>
        <v>X</v>
      </c>
      <c r="AZ229" s="66" t="str">
        <f t="shared" si="195"/>
        <v>O</v>
      </c>
      <c r="BA229" s="66" t="str">
        <f t="shared" si="196"/>
        <v>X</v>
      </c>
      <c r="BB229" s="66">
        <f t="shared" si="197"/>
        <v>5</v>
      </c>
      <c r="BC229" s="127" t="str">
        <f t="shared" si="168"/>
        <v>1G</v>
      </c>
      <c r="BD229" s="127" t="str">
        <f t="shared" si="169"/>
        <v>1G</v>
      </c>
      <c r="BE229" s="127" t="str">
        <f t="shared" si="170"/>
        <v>1G</v>
      </c>
      <c r="BF229" s="127" t="str">
        <f t="shared" si="171"/>
        <v>2G</v>
      </c>
      <c r="BG229" s="127" t="str">
        <f t="shared" si="172"/>
        <v>3G</v>
      </c>
      <c r="BH229" s="127" t="str">
        <f t="shared" si="173"/>
        <v>3G</v>
      </c>
      <c r="BI229" s="127">
        <f t="shared" si="198"/>
        <v>3</v>
      </c>
      <c r="BJ229" s="127">
        <f t="shared" si="199"/>
        <v>1</v>
      </c>
      <c r="BK229" s="127">
        <f t="shared" si="200"/>
        <v>2</v>
      </c>
      <c r="BL229" s="127" t="str">
        <f t="shared" si="201"/>
        <v>312</v>
      </c>
      <c r="BS229"/>
      <c r="CL229" s="28">
        <v>134</v>
      </c>
      <c r="CM229" s="28">
        <v>130</v>
      </c>
      <c r="CO229"/>
    </row>
    <row r="230" spans="2:93" ht="16.5" hidden="1">
      <c r="B230" s="17">
        <v>226</v>
      </c>
      <c r="C230" s="363" t="s">
        <v>256</v>
      </c>
      <c r="D230" s="18">
        <v>6</v>
      </c>
      <c r="E230" s="20">
        <v>1744100150</v>
      </c>
      <c r="F230" s="18">
        <v>38</v>
      </c>
      <c r="G230" s="20">
        <v>45897373</v>
      </c>
      <c r="H230" s="20">
        <v>1305</v>
      </c>
      <c r="I230" s="20">
        <v>1336476</v>
      </c>
      <c r="J230" s="20">
        <v>64076</v>
      </c>
      <c r="K230" s="20">
        <v>54439</v>
      </c>
      <c r="L230" s="20">
        <v>1026364</v>
      </c>
      <c r="M230" s="20">
        <v>5000</v>
      </c>
      <c r="N230" s="167">
        <v>2</v>
      </c>
      <c r="O230" s="167">
        <v>6</v>
      </c>
      <c r="P230" s="167">
        <v>8</v>
      </c>
      <c r="Q230" s="167">
        <v>14</v>
      </c>
      <c r="R230" s="167">
        <v>21</v>
      </c>
      <c r="S230" s="167">
        <v>22</v>
      </c>
      <c r="T230" s="167">
        <v>34</v>
      </c>
      <c r="U230" s="28">
        <f t="shared" si="174"/>
        <v>73</v>
      </c>
      <c r="W230" s="32" t="str">
        <f t="shared" si="159"/>
        <v>짝수</v>
      </c>
      <c r="X230" s="32" t="str">
        <f t="shared" si="160"/>
        <v>짝수</v>
      </c>
      <c r="Y230" s="32" t="str">
        <f t="shared" si="161"/>
        <v>짝수</v>
      </c>
      <c r="Z230" s="32" t="str">
        <f t="shared" si="162"/>
        <v>짝수</v>
      </c>
      <c r="AA230" s="32" t="str">
        <f t="shared" si="163"/>
        <v>홀수</v>
      </c>
      <c r="AB230" s="32" t="str">
        <f t="shared" si="164"/>
        <v>짝수</v>
      </c>
      <c r="AC230" s="58" t="str">
        <f t="shared" si="165"/>
        <v>1 : 5</v>
      </c>
      <c r="AD230" s="32">
        <f t="shared" si="166"/>
        <v>1</v>
      </c>
      <c r="AE230" s="32">
        <f t="shared" si="167"/>
        <v>5</v>
      </c>
      <c r="AF230" s="66" t="str">
        <f t="shared" si="175"/>
        <v>저수</v>
      </c>
      <c r="AG230" s="66" t="str">
        <f t="shared" si="176"/>
        <v>저수</v>
      </c>
      <c r="AH230" s="66" t="str">
        <f t="shared" si="177"/>
        <v>저수</v>
      </c>
      <c r="AI230" s="66" t="str">
        <f t="shared" si="178"/>
        <v>저수</v>
      </c>
      <c r="AJ230" s="66" t="str">
        <f t="shared" si="179"/>
        <v>저수</v>
      </c>
      <c r="AK230" s="66" t="str">
        <f t="shared" si="180"/>
        <v>저수</v>
      </c>
      <c r="AL230" s="58" t="str">
        <f t="shared" si="181"/>
        <v>6 : 0</v>
      </c>
      <c r="AM230" s="66">
        <f t="shared" si="182"/>
        <v>6</v>
      </c>
      <c r="AN230" s="66">
        <f t="shared" si="183"/>
        <v>0</v>
      </c>
      <c r="AO230" s="66">
        <f t="shared" si="184"/>
        <v>23</v>
      </c>
      <c r="AP230" s="66" t="str">
        <f t="shared" si="185"/>
        <v>O</v>
      </c>
      <c r="AQ230" s="66" t="str">
        <f t="shared" si="186"/>
        <v>X</v>
      </c>
      <c r="AR230" s="66" t="str">
        <f t="shared" si="187"/>
        <v>X</v>
      </c>
      <c r="AS230" s="66" t="str">
        <f t="shared" si="188"/>
        <v>X</v>
      </c>
      <c r="AT230" s="66" t="str">
        <f t="shared" si="189"/>
        <v>X</v>
      </c>
      <c r="AU230" s="66" t="str">
        <f t="shared" si="190"/>
        <v>X</v>
      </c>
      <c r="AV230" s="66" t="str">
        <f t="shared" si="191"/>
        <v>X</v>
      </c>
      <c r="AW230" s="66" t="str">
        <f t="shared" si="192"/>
        <v>X</v>
      </c>
      <c r="AX230" s="66" t="str">
        <f t="shared" si="193"/>
        <v>X</v>
      </c>
      <c r="AY230" s="66" t="str">
        <f t="shared" si="194"/>
        <v>X</v>
      </c>
      <c r="AZ230" s="66" t="str">
        <f t="shared" si="195"/>
        <v>X</v>
      </c>
      <c r="BA230" s="66" t="str">
        <f t="shared" si="196"/>
        <v>X</v>
      </c>
      <c r="BB230" s="66">
        <f t="shared" si="197"/>
        <v>1</v>
      </c>
      <c r="BC230" s="127" t="str">
        <f t="shared" si="168"/>
        <v>1G</v>
      </c>
      <c r="BD230" s="127" t="str">
        <f t="shared" si="169"/>
        <v>1G</v>
      </c>
      <c r="BE230" s="127" t="str">
        <f t="shared" si="170"/>
        <v>1G</v>
      </c>
      <c r="BF230" s="127" t="str">
        <f t="shared" si="171"/>
        <v>1G</v>
      </c>
      <c r="BG230" s="127" t="str">
        <f t="shared" si="172"/>
        <v>2G</v>
      </c>
      <c r="BH230" s="127" t="str">
        <f t="shared" si="173"/>
        <v>2G</v>
      </c>
      <c r="BI230" s="127">
        <f t="shared" si="198"/>
        <v>4</v>
      </c>
      <c r="BJ230" s="127">
        <f t="shared" si="199"/>
        <v>2</v>
      </c>
      <c r="BK230" s="127">
        <f t="shared" si="200"/>
        <v>0</v>
      </c>
      <c r="BL230" s="127" t="str">
        <f t="shared" si="201"/>
        <v>420</v>
      </c>
      <c r="BS230"/>
      <c r="CL230" s="28">
        <v>134</v>
      </c>
      <c r="CM230" s="28">
        <v>130</v>
      </c>
      <c r="CO230"/>
    </row>
    <row r="231" spans="2:93" ht="16.5" hidden="1">
      <c r="B231" s="17">
        <v>227</v>
      </c>
      <c r="C231" s="363" t="s">
        <v>257</v>
      </c>
      <c r="D231" s="18">
        <v>2</v>
      </c>
      <c r="E231" s="20">
        <v>5253542400</v>
      </c>
      <c r="F231" s="18">
        <v>24</v>
      </c>
      <c r="G231" s="20">
        <v>72965867</v>
      </c>
      <c r="H231" s="20">
        <v>1103</v>
      </c>
      <c r="I231" s="20">
        <v>1587653</v>
      </c>
      <c r="J231" s="20">
        <v>56663</v>
      </c>
      <c r="K231" s="20">
        <v>61811</v>
      </c>
      <c r="L231" s="20">
        <v>942116</v>
      </c>
      <c r="M231" s="20">
        <v>5000</v>
      </c>
      <c r="N231" s="167">
        <v>4</v>
      </c>
      <c r="O231" s="167">
        <v>5</v>
      </c>
      <c r="P231" s="167">
        <v>15</v>
      </c>
      <c r="Q231" s="167">
        <v>16</v>
      </c>
      <c r="R231" s="167">
        <v>22</v>
      </c>
      <c r="S231" s="167">
        <v>42</v>
      </c>
      <c r="T231" s="167">
        <v>2</v>
      </c>
      <c r="U231" s="28">
        <f t="shared" si="174"/>
        <v>104</v>
      </c>
      <c r="W231" s="32" t="str">
        <f t="shared" si="159"/>
        <v>짝수</v>
      </c>
      <c r="X231" s="32" t="str">
        <f t="shared" si="160"/>
        <v>홀수</v>
      </c>
      <c r="Y231" s="32" t="str">
        <f t="shared" si="161"/>
        <v>홀수</v>
      </c>
      <c r="Z231" s="32" t="str">
        <f t="shared" si="162"/>
        <v>짝수</v>
      </c>
      <c r="AA231" s="32" t="str">
        <f t="shared" si="163"/>
        <v>짝수</v>
      </c>
      <c r="AB231" s="32" t="str">
        <f t="shared" si="164"/>
        <v>짝수</v>
      </c>
      <c r="AC231" s="58" t="str">
        <f t="shared" si="165"/>
        <v>2 : 4</v>
      </c>
      <c r="AD231" s="32">
        <f t="shared" si="166"/>
        <v>2</v>
      </c>
      <c r="AE231" s="32">
        <f t="shared" si="167"/>
        <v>4</v>
      </c>
      <c r="AF231" s="66" t="str">
        <f t="shared" si="175"/>
        <v>저수</v>
      </c>
      <c r="AG231" s="66" t="str">
        <f t="shared" si="176"/>
        <v>저수</v>
      </c>
      <c r="AH231" s="66" t="str">
        <f t="shared" si="177"/>
        <v>저수</v>
      </c>
      <c r="AI231" s="66" t="str">
        <f t="shared" si="178"/>
        <v>저수</v>
      </c>
      <c r="AJ231" s="66" t="str">
        <f t="shared" si="179"/>
        <v>저수</v>
      </c>
      <c r="AK231" s="66" t="str">
        <f t="shared" si="180"/>
        <v>고수</v>
      </c>
      <c r="AL231" s="58" t="str">
        <f t="shared" si="181"/>
        <v>5 : 1</v>
      </c>
      <c r="AM231" s="66">
        <f t="shared" si="182"/>
        <v>5</v>
      </c>
      <c r="AN231" s="66">
        <f t="shared" si="183"/>
        <v>1</v>
      </c>
      <c r="AO231" s="66">
        <f t="shared" si="184"/>
        <v>24</v>
      </c>
      <c r="AP231" s="66" t="str">
        <f t="shared" si="185"/>
        <v>X</v>
      </c>
      <c r="AQ231" s="66" t="str">
        <f t="shared" si="186"/>
        <v>O</v>
      </c>
      <c r="AR231" s="66" t="str">
        <f t="shared" si="187"/>
        <v>X</v>
      </c>
      <c r="AS231" s="66" t="str">
        <f t="shared" si="188"/>
        <v>X</v>
      </c>
      <c r="AT231" s="66" t="str">
        <f t="shared" si="189"/>
        <v>X</v>
      </c>
      <c r="AU231" s="66" t="str">
        <f t="shared" si="190"/>
        <v>X</v>
      </c>
      <c r="AV231" s="66" t="str">
        <f t="shared" si="191"/>
        <v>X</v>
      </c>
      <c r="AW231" s="66" t="str">
        <f t="shared" si="192"/>
        <v>X</v>
      </c>
      <c r="AX231" s="66" t="str">
        <f t="shared" si="193"/>
        <v>X</v>
      </c>
      <c r="AY231" s="66" t="str">
        <f t="shared" si="194"/>
        <v>X</v>
      </c>
      <c r="AZ231" s="66" t="str">
        <f t="shared" si="195"/>
        <v>X</v>
      </c>
      <c r="BA231" s="66" t="str">
        <f t="shared" si="196"/>
        <v>X</v>
      </c>
      <c r="BB231" s="66">
        <f t="shared" si="197"/>
        <v>1</v>
      </c>
      <c r="BC231" s="127" t="str">
        <f t="shared" si="168"/>
        <v>1G</v>
      </c>
      <c r="BD231" s="127" t="str">
        <f t="shared" si="169"/>
        <v>1G</v>
      </c>
      <c r="BE231" s="127" t="str">
        <f t="shared" si="170"/>
        <v>1G</v>
      </c>
      <c r="BF231" s="127" t="str">
        <f t="shared" si="171"/>
        <v>2G</v>
      </c>
      <c r="BG231" s="127" t="str">
        <f t="shared" si="172"/>
        <v>2G</v>
      </c>
      <c r="BH231" s="127" t="str">
        <f t="shared" si="173"/>
        <v>3G</v>
      </c>
      <c r="BI231" s="127">
        <f t="shared" si="198"/>
        <v>3</v>
      </c>
      <c r="BJ231" s="127">
        <f t="shared" si="199"/>
        <v>2</v>
      </c>
      <c r="BK231" s="127">
        <f t="shared" si="200"/>
        <v>1</v>
      </c>
      <c r="BL231" s="127" t="str">
        <f t="shared" si="201"/>
        <v>321</v>
      </c>
      <c r="BS231"/>
      <c r="CL231" s="28">
        <v>134</v>
      </c>
      <c r="CM231" s="28">
        <v>130</v>
      </c>
      <c r="CO231"/>
    </row>
    <row r="232" spans="2:93" ht="16.5" hidden="1">
      <c r="B232" s="17">
        <v>228</v>
      </c>
      <c r="C232" s="363" t="s">
        <v>258</v>
      </c>
      <c r="D232" s="18">
        <v>9</v>
      </c>
      <c r="E232" s="20">
        <v>1146700334</v>
      </c>
      <c r="F232" s="18">
        <v>39</v>
      </c>
      <c r="G232" s="20">
        <v>44103859</v>
      </c>
      <c r="H232" s="20">
        <v>1338</v>
      </c>
      <c r="I232" s="20">
        <v>1285539</v>
      </c>
      <c r="J232" s="20">
        <v>66002</v>
      </c>
      <c r="K232" s="20">
        <v>52122</v>
      </c>
      <c r="L232" s="20">
        <v>1036309</v>
      </c>
      <c r="M232" s="20">
        <v>5000</v>
      </c>
      <c r="N232" s="167">
        <v>17</v>
      </c>
      <c r="O232" s="167">
        <v>25</v>
      </c>
      <c r="P232" s="167">
        <v>35</v>
      </c>
      <c r="Q232" s="167">
        <v>36</v>
      </c>
      <c r="R232" s="167">
        <v>39</v>
      </c>
      <c r="S232" s="167">
        <v>44</v>
      </c>
      <c r="T232" s="167">
        <v>23</v>
      </c>
      <c r="U232" s="28">
        <f t="shared" si="174"/>
        <v>196</v>
      </c>
      <c r="W232" s="32" t="str">
        <f t="shared" si="159"/>
        <v>홀수</v>
      </c>
      <c r="X232" s="32" t="str">
        <f t="shared" si="160"/>
        <v>홀수</v>
      </c>
      <c r="Y232" s="32" t="str">
        <f t="shared" si="161"/>
        <v>홀수</v>
      </c>
      <c r="Z232" s="32" t="str">
        <f t="shared" si="162"/>
        <v>짝수</v>
      </c>
      <c r="AA232" s="32" t="str">
        <f t="shared" si="163"/>
        <v>홀수</v>
      </c>
      <c r="AB232" s="32" t="str">
        <f t="shared" si="164"/>
        <v>짝수</v>
      </c>
      <c r="AC232" s="58" t="str">
        <f t="shared" si="165"/>
        <v>4 : 2</v>
      </c>
      <c r="AD232" s="32">
        <f t="shared" si="166"/>
        <v>4</v>
      </c>
      <c r="AE232" s="32">
        <f t="shared" si="167"/>
        <v>2</v>
      </c>
      <c r="AF232" s="66" t="str">
        <f t="shared" si="175"/>
        <v>저수</v>
      </c>
      <c r="AG232" s="66" t="str">
        <f t="shared" si="176"/>
        <v>고수</v>
      </c>
      <c r="AH232" s="66" t="str">
        <f t="shared" si="177"/>
        <v>고수</v>
      </c>
      <c r="AI232" s="66" t="str">
        <f t="shared" si="178"/>
        <v>고수</v>
      </c>
      <c r="AJ232" s="66" t="str">
        <f t="shared" si="179"/>
        <v>고수</v>
      </c>
      <c r="AK232" s="66" t="str">
        <f t="shared" si="180"/>
        <v>고수</v>
      </c>
      <c r="AL232" s="58" t="str">
        <f t="shared" si="181"/>
        <v>1 : 5</v>
      </c>
      <c r="AM232" s="66">
        <f t="shared" si="182"/>
        <v>1</v>
      </c>
      <c r="AN232" s="66">
        <f t="shared" si="183"/>
        <v>5</v>
      </c>
      <c r="AO232" s="66">
        <f t="shared" si="184"/>
        <v>36</v>
      </c>
      <c r="AP232" s="66" t="str">
        <f t="shared" si="185"/>
        <v>O</v>
      </c>
      <c r="AQ232" s="66" t="str">
        <f t="shared" si="186"/>
        <v>X</v>
      </c>
      <c r="AR232" s="66" t="str">
        <f t="shared" si="187"/>
        <v>X</v>
      </c>
      <c r="AS232" s="66" t="str">
        <f t="shared" si="188"/>
        <v>X</v>
      </c>
      <c r="AT232" s="66" t="str">
        <f t="shared" si="189"/>
        <v>X</v>
      </c>
      <c r="AU232" s="66" t="str">
        <f t="shared" si="190"/>
        <v>X</v>
      </c>
      <c r="AV232" s="66" t="str">
        <f t="shared" si="191"/>
        <v>X</v>
      </c>
      <c r="AW232" s="66" t="str">
        <f t="shared" si="192"/>
        <v>X</v>
      </c>
      <c r="AX232" s="66" t="str">
        <f t="shared" si="193"/>
        <v>X</v>
      </c>
      <c r="AY232" s="66" t="str">
        <f t="shared" si="194"/>
        <v>X</v>
      </c>
      <c r="AZ232" s="66" t="str">
        <f t="shared" si="195"/>
        <v>X</v>
      </c>
      <c r="BA232" s="66" t="str">
        <f t="shared" si="196"/>
        <v>X</v>
      </c>
      <c r="BB232" s="66">
        <f t="shared" si="197"/>
        <v>1</v>
      </c>
      <c r="BC232" s="127" t="str">
        <f t="shared" si="168"/>
        <v>2G</v>
      </c>
      <c r="BD232" s="127" t="str">
        <f t="shared" si="169"/>
        <v>2G</v>
      </c>
      <c r="BE232" s="127" t="str">
        <f t="shared" si="170"/>
        <v>3G</v>
      </c>
      <c r="BF232" s="127" t="str">
        <f t="shared" si="171"/>
        <v>3G</v>
      </c>
      <c r="BG232" s="127" t="str">
        <f t="shared" si="172"/>
        <v>3G</v>
      </c>
      <c r="BH232" s="127" t="str">
        <f t="shared" si="173"/>
        <v>3G</v>
      </c>
      <c r="BI232" s="127">
        <f t="shared" si="198"/>
        <v>0</v>
      </c>
      <c r="BJ232" s="127">
        <f t="shared" si="199"/>
        <v>2</v>
      </c>
      <c r="BK232" s="127">
        <f t="shared" si="200"/>
        <v>4</v>
      </c>
      <c r="BL232" s="127" t="str">
        <f t="shared" si="201"/>
        <v>024</v>
      </c>
      <c r="BS232"/>
      <c r="CL232" s="28">
        <v>135</v>
      </c>
      <c r="CM232" s="28">
        <v>130</v>
      </c>
      <c r="CO232"/>
    </row>
    <row r="233" spans="2:93" ht="16.5" hidden="1">
      <c r="B233" s="17">
        <v>229</v>
      </c>
      <c r="C233" s="363" t="s">
        <v>259</v>
      </c>
      <c r="D233" s="18">
        <v>7</v>
      </c>
      <c r="E233" s="20">
        <v>1451441100</v>
      </c>
      <c r="F233" s="18">
        <v>27</v>
      </c>
      <c r="G233" s="20">
        <v>62716591</v>
      </c>
      <c r="H233" s="20">
        <v>1312</v>
      </c>
      <c r="I233" s="20">
        <v>1290662</v>
      </c>
      <c r="J233" s="20">
        <v>67524</v>
      </c>
      <c r="K233" s="20">
        <v>50156</v>
      </c>
      <c r="L233" s="20">
        <v>1089603</v>
      </c>
      <c r="M233" s="20">
        <v>5000</v>
      </c>
      <c r="N233" s="167">
        <v>4</v>
      </c>
      <c r="O233" s="167">
        <v>5</v>
      </c>
      <c r="P233" s="167">
        <v>9</v>
      </c>
      <c r="Q233" s="167">
        <v>11</v>
      </c>
      <c r="R233" s="167">
        <v>23</v>
      </c>
      <c r="S233" s="167">
        <v>38</v>
      </c>
      <c r="T233" s="167">
        <v>35</v>
      </c>
      <c r="U233" s="28">
        <f t="shared" si="174"/>
        <v>90</v>
      </c>
      <c r="W233" s="32" t="str">
        <f t="shared" si="159"/>
        <v>짝수</v>
      </c>
      <c r="X233" s="32" t="str">
        <f t="shared" si="160"/>
        <v>홀수</v>
      </c>
      <c r="Y233" s="32" t="str">
        <f t="shared" si="161"/>
        <v>홀수</v>
      </c>
      <c r="Z233" s="32" t="str">
        <f t="shared" si="162"/>
        <v>홀수</v>
      </c>
      <c r="AA233" s="32" t="str">
        <f t="shared" si="163"/>
        <v>홀수</v>
      </c>
      <c r="AB233" s="32" t="str">
        <f t="shared" si="164"/>
        <v>짝수</v>
      </c>
      <c r="AC233" s="58" t="str">
        <f t="shared" si="165"/>
        <v>4 : 2</v>
      </c>
      <c r="AD233" s="32">
        <f t="shared" si="166"/>
        <v>4</v>
      </c>
      <c r="AE233" s="32">
        <f t="shared" si="167"/>
        <v>2</v>
      </c>
      <c r="AF233" s="66" t="str">
        <f t="shared" si="175"/>
        <v>저수</v>
      </c>
      <c r="AG233" s="66" t="str">
        <f t="shared" si="176"/>
        <v>저수</v>
      </c>
      <c r="AH233" s="66" t="str">
        <f t="shared" si="177"/>
        <v>저수</v>
      </c>
      <c r="AI233" s="66" t="str">
        <f t="shared" si="178"/>
        <v>저수</v>
      </c>
      <c r="AJ233" s="66" t="str">
        <f t="shared" si="179"/>
        <v>고수</v>
      </c>
      <c r="AK233" s="66" t="str">
        <f t="shared" si="180"/>
        <v>고수</v>
      </c>
      <c r="AL233" s="58" t="str">
        <f t="shared" si="181"/>
        <v>4 : 2</v>
      </c>
      <c r="AM233" s="66">
        <f t="shared" si="182"/>
        <v>4</v>
      </c>
      <c r="AN233" s="66">
        <f t="shared" si="183"/>
        <v>2</v>
      </c>
      <c r="AO233" s="66">
        <f t="shared" si="184"/>
        <v>30</v>
      </c>
      <c r="AP233" s="66" t="str">
        <f t="shared" si="185"/>
        <v>X</v>
      </c>
      <c r="AQ233" s="66" t="str">
        <f t="shared" si="186"/>
        <v>O</v>
      </c>
      <c r="AR233" s="66" t="str">
        <f t="shared" si="187"/>
        <v>X</v>
      </c>
      <c r="AS233" s="66" t="str">
        <f t="shared" si="188"/>
        <v>O</v>
      </c>
      <c r="AT233" s="66" t="str">
        <f t="shared" si="189"/>
        <v>X</v>
      </c>
      <c r="AU233" s="66" t="str">
        <f t="shared" si="190"/>
        <v>X</v>
      </c>
      <c r="AV233" s="66" t="str">
        <f t="shared" si="191"/>
        <v>X</v>
      </c>
      <c r="AW233" s="66" t="str">
        <f t="shared" si="192"/>
        <v>X</v>
      </c>
      <c r="AX233" s="66" t="str">
        <f t="shared" si="193"/>
        <v>X</v>
      </c>
      <c r="AY233" s="66" t="str">
        <f t="shared" si="194"/>
        <v>X</v>
      </c>
      <c r="AZ233" s="66" t="str">
        <f t="shared" si="195"/>
        <v>O</v>
      </c>
      <c r="BA233" s="66" t="str">
        <f t="shared" si="196"/>
        <v>X</v>
      </c>
      <c r="BB233" s="66">
        <f t="shared" si="197"/>
        <v>3</v>
      </c>
      <c r="BC233" s="127" t="str">
        <f t="shared" si="168"/>
        <v>1G</v>
      </c>
      <c r="BD233" s="127" t="str">
        <f t="shared" si="169"/>
        <v>1G</v>
      </c>
      <c r="BE233" s="127" t="str">
        <f t="shared" si="170"/>
        <v>1G</v>
      </c>
      <c r="BF233" s="127" t="str">
        <f t="shared" si="171"/>
        <v>1G</v>
      </c>
      <c r="BG233" s="127" t="str">
        <f t="shared" si="172"/>
        <v>2G</v>
      </c>
      <c r="BH233" s="127" t="str">
        <f t="shared" si="173"/>
        <v>3G</v>
      </c>
      <c r="BI233" s="127">
        <f t="shared" si="198"/>
        <v>4</v>
      </c>
      <c r="BJ233" s="127">
        <f t="shared" si="199"/>
        <v>1</v>
      </c>
      <c r="BK233" s="127">
        <f t="shared" si="200"/>
        <v>1</v>
      </c>
      <c r="BL233" s="127" t="str">
        <f t="shared" si="201"/>
        <v>411</v>
      </c>
      <c r="BS233"/>
      <c r="CL233" s="28">
        <v>135</v>
      </c>
      <c r="CM233" s="28">
        <v>130</v>
      </c>
      <c r="CO233"/>
    </row>
    <row r="234" spans="2:93" ht="16.5" hidden="1">
      <c r="B234" s="17">
        <v>230</v>
      </c>
      <c r="C234" s="363" t="s">
        <v>260</v>
      </c>
      <c r="D234" s="18">
        <v>8</v>
      </c>
      <c r="E234" s="20">
        <v>1292929163</v>
      </c>
      <c r="F234" s="18">
        <v>25</v>
      </c>
      <c r="G234" s="20">
        <v>68956222</v>
      </c>
      <c r="H234" s="20">
        <v>1037</v>
      </c>
      <c r="I234" s="20">
        <v>1662397</v>
      </c>
      <c r="J234" s="20">
        <v>56346</v>
      </c>
      <c r="K234" s="20">
        <v>61190</v>
      </c>
      <c r="L234" s="20">
        <v>971324</v>
      </c>
      <c r="M234" s="20">
        <v>5000</v>
      </c>
      <c r="N234" s="167">
        <v>5</v>
      </c>
      <c r="O234" s="167">
        <v>11</v>
      </c>
      <c r="P234" s="167">
        <v>14</v>
      </c>
      <c r="Q234" s="167">
        <v>29</v>
      </c>
      <c r="R234" s="167">
        <v>32</v>
      </c>
      <c r="S234" s="167">
        <v>33</v>
      </c>
      <c r="T234" s="167">
        <v>12</v>
      </c>
      <c r="U234" s="28">
        <f t="shared" si="174"/>
        <v>124</v>
      </c>
      <c r="W234" s="32" t="str">
        <f t="shared" si="159"/>
        <v>홀수</v>
      </c>
      <c r="X234" s="32" t="str">
        <f t="shared" si="160"/>
        <v>홀수</v>
      </c>
      <c r="Y234" s="32" t="str">
        <f t="shared" si="161"/>
        <v>짝수</v>
      </c>
      <c r="Z234" s="32" t="str">
        <f t="shared" si="162"/>
        <v>홀수</v>
      </c>
      <c r="AA234" s="32" t="str">
        <f t="shared" si="163"/>
        <v>짝수</v>
      </c>
      <c r="AB234" s="32" t="str">
        <f t="shared" si="164"/>
        <v>홀수</v>
      </c>
      <c r="AC234" s="58" t="str">
        <f t="shared" si="165"/>
        <v>4 : 2</v>
      </c>
      <c r="AD234" s="32">
        <f t="shared" si="166"/>
        <v>4</v>
      </c>
      <c r="AE234" s="32">
        <f t="shared" si="167"/>
        <v>2</v>
      </c>
      <c r="AF234" s="66" t="str">
        <f t="shared" si="175"/>
        <v>저수</v>
      </c>
      <c r="AG234" s="66" t="str">
        <f t="shared" si="176"/>
        <v>저수</v>
      </c>
      <c r="AH234" s="66" t="str">
        <f t="shared" si="177"/>
        <v>저수</v>
      </c>
      <c r="AI234" s="66" t="str">
        <f t="shared" si="178"/>
        <v>고수</v>
      </c>
      <c r="AJ234" s="66" t="str">
        <f t="shared" si="179"/>
        <v>고수</v>
      </c>
      <c r="AK234" s="66" t="str">
        <f t="shared" si="180"/>
        <v>고수</v>
      </c>
      <c r="AL234" s="58" t="str">
        <f t="shared" si="181"/>
        <v>3 : 3</v>
      </c>
      <c r="AM234" s="66">
        <f t="shared" si="182"/>
        <v>3</v>
      </c>
      <c r="AN234" s="66">
        <f t="shared" si="183"/>
        <v>3</v>
      </c>
      <c r="AO234" s="66">
        <f t="shared" si="184"/>
        <v>24</v>
      </c>
      <c r="AP234" s="66" t="str">
        <f t="shared" si="185"/>
        <v>O</v>
      </c>
      <c r="AQ234" s="66" t="str">
        <f t="shared" si="186"/>
        <v>O</v>
      </c>
      <c r="AR234" s="66" t="str">
        <f t="shared" si="187"/>
        <v>X</v>
      </c>
      <c r="AS234" s="66" t="str">
        <f t="shared" si="188"/>
        <v>X</v>
      </c>
      <c r="AT234" s="66" t="str">
        <f t="shared" si="189"/>
        <v>X</v>
      </c>
      <c r="AU234" s="66" t="str">
        <f t="shared" si="190"/>
        <v>X</v>
      </c>
      <c r="AV234" s="66" t="str">
        <f t="shared" si="191"/>
        <v>X</v>
      </c>
      <c r="AW234" s="66" t="str">
        <f t="shared" si="192"/>
        <v>X</v>
      </c>
      <c r="AX234" s="66" t="str">
        <f t="shared" si="193"/>
        <v>X</v>
      </c>
      <c r="AY234" s="66" t="str">
        <f t="shared" si="194"/>
        <v>O</v>
      </c>
      <c r="AZ234" s="66" t="str">
        <f t="shared" si="195"/>
        <v>X</v>
      </c>
      <c r="BA234" s="66" t="str">
        <f t="shared" si="196"/>
        <v>X</v>
      </c>
      <c r="BB234" s="66">
        <f t="shared" si="197"/>
        <v>3</v>
      </c>
      <c r="BC234" s="127" t="str">
        <f t="shared" si="168"/>
        <v>1G</v>
      </c>
      <c r="BD234" s="127" t="str">
        <f t="shared" si="169"/>
        <v>1G</v>
      </c>
      <c r="BE234" s="127" t="str">
        <f t="shared" si="170"/>
        <v>1G</v>
      </c>
      <c r="BF234" s="127" t="str">
        <f t="shared" si="171"/>
        <v>2G</v>
      </c>
      <c r="BG234" s="127" t="str">
        <f t="shared" si="172"/>
        <v>3G</v>
      </c>
      <c r="BH234" s="127" t="str">
        <f t="shared" si="173"/>
        <v>3G</v>
      </c>
      <c r="BI234" s="127">
        <f t="shared" si="198"/>
        <v>3</v>
      </c>
      <c r="BJ234" s="127">
        <f t="shared" si="199"/>
        <v>1</v>
      </c>
      <c r="BK234" s="127">
        <f t="shared" si="200"/>
        <v>2</v>
      </c>
      <c r="BL234" s="127" t="str">
        <f t="shared" si="201"/>
        <v>312</v>
      </c>
      <c r="BS234"/>
      <c r="CL234" s="28">
        <v>135</v>
      </c>
      <c r="CM234" s="28">
        <v>130</v>
      </c>
      <c r="CO234"/>
    </row>
    <row r="235" spans="2:93" ht="16.5" hidden="1">
      <c r="B235" s="17">
        <v>231</v>
      </c>
      <c r="C235" s="363" t="s">
        <v>261</v>
      </c>
      <c r="D235" s="18">
        <v>9</v>
      </c>
      <c r="E235" s="20">
        <v>1088365900</v>
      </c>
      <c r="F235" s="18">
        <v>19</v>
      </c>
      <c r="G235" s="20">
        <v>85923624</v>
      </c>
      <c r="H235" s="20">
        <v>1267</v>
      </c>
      <c r="I235" s="20">
        <v>1288516</v>
      </c>
      <c r="J235" s="20">
        <v>59311</v>
      </c>
      <c r="K235" s="20">
        <v>55051</v>
      </c>
      <c r="L235" s="20">
        <v>970465</v>
      </c>
      <c r="M235" s="20">
        <v>5000</v>
      </c>
      <c r="N235" s="167">
        <v>5</v>
      </c>
      <c r="O235" s="167">
        <v>10</v>
      </c>
      <c r="P235" s="167">
        <v>19</v>
      </c>
      <c r="Q235" s="167">
        <v>31</v>
      </c>
      <c r="R235" s="167">
        <v>44</v>
      </c>
      <c r="S235" s="167">
        <v>45</v>
      </c>
      <c r="T235" s="167">
        <v>27</v>
      </c>
      <c r="U235" s="28">
        <f t="shared" si="174"/>
        <v>154</v>
      </c>
      <c r="W235" s="32" t="str">
        <f t="shared" si="159"/>
        <v>홀수</v>
      </c>
      <c r="X235" s="32" t="str">
        <f t="shared" si="160"/>
        <v>짝수</v>
      </c>
      <c r="Y235" s="32" t="str">
        <f t="shared" si="161"/>
        <v>홀수</v>
      </c>
      <c r="Z235" s="32" t="str">
        <f t="shared" si="162"/>
        <v>홀수</v>
      </c>
      <c r="AA235" s="32" t="str">
        <f t="shared" si="163"/>
        <v>짝수</v>
      </c>
      <c r="AB235" s="32" t="str">
        <f t="shared" si="164"/>
        <v>홀수</v>
      </c>
      <c r="AC235" s="58" t="str">
        <f t="shared" si="165"/>
        <v>4 : 2</v>
      </c>
      <c r="AD235" s="32">
        <f t="shared" si="166"/>
        <v>4</v>
      </c>
      <c r="AE235" s="32">
        <f t="shared" si="167"/>
        <v>2</v>
      </c>
      <c r="AF235" s="66" t="str">
        <f t="shared" si="175"/>
        <v>저수</v>
      </c>
      <c r="AG235" s="66" t="str">
        <f t="shared" si="176"/>
        <v>저수</v>
      </c>
      <c r="AH235" s="66" t="str">
        <f t="shared" si="177"/>
        <v>저수</v>
      </c>
      <c r="AI235" s="66" t="str">
        <f t="shared" si="178"/>
        <v>고수</v>
      </c>
      <c r="AJ235" s="66" t="str">
        <f t="shared" si="179"/>
        <v>고수</v>
      </c>
      <c r="AK235" s="66" t="str">
        <f t="shared" si="180"/>
        <v>고수</v>
      </c>
      <c r="AL235" s="58" t="str">
        <f t="shared" si="181"/>
        <v>3 : 3</v>
      </c>
      <c r="AM235" s="66">
        <f t="shared" si="182"/>
        <v>3</v>
      </c>
      <c r="AN235" s="66">
        <f t="shared" si="183"/>
        <v>3</v>
      </c>
      <c r="AO235" s="66">
        <f t="shared" si="184"/>
        <v>24</v>
      </c>
      <c r="AP235" s="66" t="str">
        <f t="shared" si="185"/>
        <v>O</v>
      </c>
      <c r="AQ235" s="66" t="str">
        <f t="shared" si="186"/>
        <v>X</v>
      </c>
      <c r="AR235" s="66" t="str">
        <f t="shared" si="187"/>
        <v>O</v>
      </c>
      <c r="AS235" s="66" t="str">
        <f t="shared" si="188"/>
        <v>X</v>
      </c>
      <c r="AT235" s="66" t="str">
        <f t="shared" si="189"/>
        <v>X</v>
      </c>
      <c r="AU235" s="66" t="str">
        <f t="shared" si="190"/>
        <v>X</v>
      </c>
      <c r="AV235" s="66" t="str">
        <f t="shared" si="191"/>
        <v>X</v>
      </c>
      <c r="AW235" s="66" t="str">
        <f t="shared" si="192"/>
        <v>X</v>
      </c>
      <c r="AX235" s="66" t="str">
        <f t="shared" si="193"/>
        <v>X</v>
      </c>
      <c r="AY235" s="66" t="str">
        <f t="shared" si="194"/>
        <v>O</v>
      </c>
      <c r="AZ235" s="66" t="str">
        <f t="shared" si="195"/>
        <v>X</v>
      </c>
      <c r="BA235" s="66" t="str">
        <f t="shared" si="196"/>
        <v>X</v>
      </c>
      <c r="BB235" s="66">
        <f t="shared" si="197"/>
        <v>3</v>
      </c>
      <c r="BC235" s="127" t="str">
        <f t="shared" si="168"/>
        <v>1G</v>
      </c>
      <c r="BD235" s="127" t="str">
        <f t="shared" si="169"/>
        <v>1G</v>
      </c>
      <c r="BE235" s="127" t="str">
        <f t="shared" si="170"/>
        <v>2G</v>
      </c>
      <c r="BF235" s="127" t="str">
        <f t="shared" si="171"/>
        <v>3G</v>
      </c>
      <c r="BG235" s="127" t="str">
        <f t="shared" si="172"/>
        <v>3G</v>
      </c>
      <c r="BH235" s="127" t="str">
        <f t="shared" si="173"/>
        <v>3G</v>
      </c>
      <c r="BI235" s="127">
        <f t="shared" si="198"/>
        <v>2</v>
      </c>
      <c r="BJ235" s="127">
        <f t="shared" si="199"/>
        <v>1</v>
      </c>
      <c r="BK235" s="127">
        <f t="shared" si="200"/>
        <v>3</v>
      </c>
      <c r="BL235" s="127" t="str">
        <f t="shared" si="201"/>
        <v>213</v>
      </c>
      <c r="BS235"/>
      <c r="CL235" s="28">
        <v>135</v>
      </c>
      <c r="CM235" s="28">
        <v>130</v>
      </c>
      <c r="CO235"/>
    </row>
    <row r="236" spans="2:93" ht="16.5" hidden="1">
      <c r="B236" s="17">
        <v>232</v>
      </c>
      <c r="C236" s="363" t="s">
        <v>262</v>
      </c>
      <c r="D236" s="18">
        <v>9</v>
      </c>
      <c r="E236" s="20">
        <v>1110918400</v>
      </c>
      <c r="F236" s="18">
        <v>18</v>
      </c>
      <c r="G236" s="20">
        <v>92576534</v>
      </c>
      <c r="H236" s="20">
        <v>1268</v>
      </c>
      <c r="I236" s="20">
        <v>1314178</v>
      </c>
      <c r="J236" s="20">
        <v>65000</v>
      </c>
      <c r="K236" s="20">
        <v>51274</v>
      </c>
      <c r="L236" s="20">
        <v>1023708</v>
      </c>
      <c r="M236" s="20">
        <v>5000</v>
      </c>
      <c r="N236" s="167">
        <v>8</v>
      </c>
      <c r="O236" s="167">
        <v>9</v>
      </c>
      <c r="P236" s="167">
        <v>10</v>
      </c>
      <c r="Q236" s="167">
        <v>12</v>
      </c>
      <c r="R236" s="167">
        <v>24</v>
      </c>
      <c r="S236" s="167">
        <v>44</v>
      </c>
      <c r="T236" s="167">
        <v>35</v>
      </c>
      <c r="U236" s="28">
        <f t="shared" si="174"/>
        <v>107</v>
      </c>
      <c r="W236" s="32" t="str">
        <f t="shared" si="159"/>
        <v>짝수</v>
      </c>
      <c r="X236" s="32" t="str">
        <f t="shared" si="160"/>
        <v>홀수</v>
      </c>
      <c r="Y236" s="32" t="str">
        <f t="shared" si="161"/>
        <v>짝수</v>
      </c>
      <c r="Z236" s="32" t="str">
        <f t="shared" si="162"/>
        <v>짝수</v>
      </c>
      <c r="AA236" s="32" t="str">
        <f t="shared" si="163"/>
        <v>짝수</v>
      </c>
      <c r="AB236" s="32" t="str">
        <f t="shared" si="164"/>
        <v>짝수</v>
      </c>
      <c r="AC236" s="58" t="str">
        <f t="shared" si="165"/>
        <v>1 : 5</v>
      </c>
      <c r="AD236" s="32">
        <f t="shared" si="166"/>
        <v>1</v>
      </c>
      <c r="AE236" s="32">
        <f t="shared" si="167"/>
        <v>5</v>
      </c>
      <c r="AF236" s="66" t="str">
        <f t="shared" si="175"/>
        <v>저수</v>
      </c>
      <c r="AG236" s="66" t="str">
        <f t="shared" si="176"/>
        <v>저수</v>
      </c>
      <c r="AH236" s="66" t="str">
        <f t="shared" si="177"/>
        <v>저수</v>
      </c>
      <c r="AI236" s="66" t="str">
        <f t="shared" si="178"/>
        <v>저수</v>
      </c>
      <c r="AJ236" s="66" t="str">
        <f t="shared" si="179"/>
        <v>고수</v>
      </c>
      <c r="AK236" s="66" t="str">
        <f t="shared" si="180"/>
        <v>고수</v>
      </c>
      <c r="AL236" s="58" t="str">
        <f t="shared" si="181"/>
        <v>4 : 2</v>
      </c>
      <c r="AM236" s="66">
        <f t="shared" si="182"/>
        <v>4</v>
      </c>
      <c r="AN236" s="66">
        <f t="shared" si="183"/>
        <v>2</v>
      </c>
      <c r="AO236" s="66">
        <f t="shared" si="184"/>
        <v>27</v>
      </c>
      <c r="AP236" s="66" t="str">
        <f t="shared" si="185"/>
        <v>X</v>
      </c>
      <c r="AQ236" s="66" t="str">
        <f t="shared" si="186"/>
        <v>X</v>
      </c>
      <c r="AR236" s="66" t="str">
        <f t="shared" si="187"/>
        <v>X</v>
      </c>
      <c r="AS236" s="66" t="str">
        <f t="shared" si="188"/>
        <v>X</v>
      </c>
      <c r="AT236" s="66" t="str">
        <f t="shared" si="189"/>
        <v>X</v>
      </c>
      <c r="AU236" s="66" t="str">
        <f t="shared" si="190"/>
        <v>X</v>
      </c>
      <c r="AV236" s="66" t="str">
        <f t="shared" si="191"/>
        <v>X</v>
      </c>
      <c r="AW236" s="66" t="str">
        <f t="shared" si="192"/>
        <v>X</v>
      </c>
      <c r="AX236" s="66" t="str">
        <f t="shared" si="193"/>
        <v>X</v>
      </c>
      <c r="AY236" s="66" t="str">
        <f t="shared" si="194"/>
        <v>X</v>
      </c>
      <c r="AZ236" s="66" t="str">
        <f t="shared" si="195"/>
        <v>X</v>
      </c>
      <c r="BA236" s="66" t="str">
        <f t="shared" si="196"/>
        <v>X</v>
      </c>
      <c r="BB236" s="66">
        <f t="shared" si="197"/>
        <v>0</v>
      </c>
      <c r="BC236" s="127" t="str">
        <f t="shared" si="168"/>
        <v>1G</v>
      </c>
      <c r="BD236" s="127" t="str">
        <f t="shared" si="169"/>
        <v>1G</v>
      </c>
      <c r="BE236" s="127" t="str">
        <f t="shared" si="170"/>
        <v>1G</v>
      </c>
      <c r="BF236" s="127" t="str">
        <f t="shared" si="171"/>
        <v>1G</v>
      </c>
      <c r="BG236" s="127" t="str">
        <f t="shared" si="172"/>
        <v>2G</v>
      </c>
      <c r="BH236" s="127" t="str">
        <f t="shared" si="173"/>
        <v>3G</v>
      </c>
      <c r="BI236" s="127">
        <f t="shared" si="198"/>
        <v>4</v>
      </c>
      <c r="BJ236" s="127">
        <f t="shared" si="199"/>
        <v>1</v>
      </c>
      <c r="BK236" s="127">
        <f t="shared" si="200"/>
        <v>1</v>
      </c>
      <c r="BL236" s="127" t="str">
        <f t="shared" si="201"/>
        <v>411</v>
      </c>
      <c r="BS236"/>
      <c r="CL236" s="28">
        <v>135</v>
      </c>
      <c r="CM236" s="28">
        <v>130</v>
      </c>
      <c r="CO236"/>
    </row>
    <row r="237" spans="2:93" ht="16.5" hidden="1">
      <c r="B237" s="17">
        <v>233</v>
      </c>
      <c r="C237" s="363" t="s">
        <v>263</v>
      </c>
      <c r="D237" s="18">
        <v>10</v>
      </c>
      <c r="E237" s="20">
        <v>999153750</v>
      </c>
      <c r="F237" s="18">
        <v>26</v>
      </c>
      <c r="G237" s="20">
        <v>64048318</v>
      </c>
      <c r="H237" s="20">
        <v>1274</v>
      </c>
      <c r="I237" s="20">
        <v>1307109</v>
      </c>
      <c r="J237" s="20">
        <v>62535</v>
      </c>
      <c r="K237" s="20">
        <v>53259</v>
      </c>
      <c r="L237" s="20">
        <v>1021168</v>
      </c>
      <c r="M237" s="20">
        <v>5000</v>
      </c>
      <c r="N237" s="167">
        <v>4</v>
      </c>
      <c r="O237" s="167">
        <v>6</v>
      </c>
      <c r="P237" s="167">
        <v>13</v>
      </c>
      <c r="Q237" s="167">
        <v>17</v>
      </c>
      <c r="R237" s="167">
        <v>28</v>
      </c>
      <c r="S237" s="167">
        <v>40</v>
      </c>
      <c r="T237" s="167">
        <v>39</v>
      </c>
      <c r="U237" s="28">
        <f t="shared" si="174"/>
        <v>108</v>
      </c>
      <c r="W237" s="32" t="str">
        <f t="shared" si="159"/>
        <v>짝수</v>
      </c>
      <c r="X237" s="32" t="str">
        <f t="shared" si="160"/>
        <v>짝수</v>
      </c>
      <c r="Y237" s="32" t="str">
        <f t="shared" si="161"/>
        <v>홀수</v>
      </c>
      <c r="Z237" s="32" t="str">
        <f t="shared" si="162"/>
        <v>홀수</v>
      </c>
      <c r="AA237" s="32" t="str">
        <f t="shared" si="163"/>
        <v>짝수</v>
      </c>
      <c r="AB237" s="32" t="str">
        <f t="shared" si="164"/>
        <v>짝수</v>
      </c>
      <c r="AC237" s="58" t="str">
        <f t="shared" si="165"/>
        <v>2 : 4</v>
      </c>
      <c r="AD237" s="32">
        <f t="shared" si="166"/>
        <v>2</v>
      </c>
      <c r="AE237" s="32">
        <f t="shared" si="167"/>
        <v>4</v>
      </c>
      <c r="AF237" s="66" t="str">
        <f t="shared" si="175"/>
        <v>저수</v>
      </c>
      <c r="AG237" s="66" t="str">
        <f t="shared" si="176"/>
        <v>저수</v>
      </c>
      <c r="AH237" s="66" t="str">
        <f t="shared" si="177"/>
        <v>저수</v>
      </c>
      <c r="AI237" s="66" t="str">
        <f t="shared" si="178"/>
        <v>저수</v>
      </c>
      <c r="AJ237" s="66" t="str">
        <f t="shared" si="179"/>
        <v>고수</v>
      </c>
      <c r="AK237" s="66" t="str">
        <f t="shared" si="180"/>
        <v>고수</v>
      </c>
      <c r="AL237" s="58" t="str">
        <f t="shared" si="181"/>
        <v>4 : 2</v>
      </c>
      <c r="AM237" s="66">
        <f t="shared" si="182"/>
        <v>4</v>
      </c>
      <c r="AN237" s="66">
        <f t="shared" si="183"/>
        <v>2</v>
      </c>
      <c r="AO237" s="66">
        <f t="shared" si="184"/>
        <v>28</v>
      </c>
      <c r="AP237" s="66" t="str">
        <f t="shared" si="185"/>
        <v>X</v>
      </c>
      <c r="AQ237" s="66" t="str">
        <f t="shared" si="186"/>
        <v>X</v>
      </c>
      <c r="AR237" s="66" t="str">
        <f t="shared" si="187"/>
        <v>O</v>
      </c>
      <c r="AS237" s="66" t="str">
        <f t="shared" si="188"/>
        <v>O</v>
      </c>
      <c r="AT237" s="66" t="str">
        <f t="shared" si="189"/>
        <v>X</v>
      </c>
      <c r="AU237" s="66" t="str">
        <f t="shared" si="190"/>
        <v>X</v>
      </c>
      <c r="AV237" s="66" t="str">
        <f t="shared" si="191"/>
        <v>X</v>
      </c>
      <c r="AW237" s="66" t="str">
        <f t="shared" si="192"/>
        <v>X</v>
      </c>
      <c r="AX237" s="66" t="str">
        <f t="shared" si="193"/>
        <v>X</v>
      </c>
      <c r="AY237" s="66" t="str">
        <f t="shared" si="194"/>
        <v>X</v>
      </c>
      <c r="AZ237" s="66" t="str">
        <f t="shared" si="195"/>
        <v>X</v>
      </c>
      <c r="BA237" s="66" t="str">
        <f t="shared" si="196"/>
        <v>X</v>
      </c>
      <c r="BB237" s="66">
        <f t="shared" si="197"/>
        <v>2</v>
      </c>
      <c r="BC237" s="127" t="str">
        <f t="shared" si="168"/>
        <v>1G</v>
      </c>
      <c r="BD237" s="127" t="str">
        <f t="shared" si="169"/>
        <v>1G</v>
      </c>
      <c r="BE237" s="127" t="str">
        <f t="shared" si="170"/>
        <v>1G</v>
      </c>
      <c r="BF237" s="127" t="str">
        <f t="shared" si="171"/>
        <v>2G</v>
      </c>
      <c r="BG237" s="127" t="str">
        <f t="shared" si="172"/>
        <v>2G</v>
      </c>
      <c r="BH237" s="127" t="str">
        <f t="shared" si="173"/>
        <v>3G</v>
      </c>
      <c r="BI237" s="127">
        <f t="shared" si="198"/>
        <v>3</v>
      </c>
      <c r="BJ237" s="127">
        <f t="shared" si="199"/>
        <v>2</v>
      </c>
      <c r="BK237" s="127">
        <f t="shared" si="200"/>
        <v>1</v>
      </c>
      <c r="BL237" s="127" t="str">
        <f t="shared" si="201"/>
        <v>321</v>
      </c>
      <c r="BS237"/>
      <c r="CL237" s="28">
        <v>135</v>
      </c>
      <c r="CM237" s="28">
        <v>130</v>
      </c>
      <c r="CO237"/>
    </row>
    <row r="238" spans="2:93" ht="16.5" hidden="1">
      <c r="B238" s="17">
        <v>234</v>
      </c>
      <c r="C238" s="363" t="s">
        <v>264</v>
      </c>
      <c r="D238" s="18">
        <v>4</v>
      </c>
      <c r="E238" s="20">
        <v>2519743875</v>
      </c>
      <c r="F238" s="18">
        <v>23</v>
      </c>
      <c r="G238" s="20">
        <v>73036055</v>
      </c>
      <c r="H238" s="20">
        <v>1049</v>
      </c>
      <c r="I238" s="20">
        <v>1601363</v>
      </c>
      <c r="J238" s="20">
        <v>54926</v>
      </c>
      <c r="K238" s="20">
        <v>61167</v>
      </c>
      <c r="L238" s="20">
        <v>921750</v>
      </c>
      <c r="M238" s="20">
        <v>5000</v>
      </c>
      <c r="N238" s="167">
        <v>13</v>
      </c>
      <c r="O238" s="167">
        <v>21</v>
      </c>
      <c r="P238" s="167">
        <v>22</v>
      </c>
      <c r="Q238" s="167">
        <v>24</v>
      </c>
      <c r="R238" s="167">
        <v>26</v>
      </c>
      <c r="S238" s="167">
        <v>37</v>
      </c>
      <c r="T238" s="167">
        <v>4</v>
      </c>
      <c r="U238" s="28">
        <f t="shared" si="174"/>
        <v>143</v>
      </c>
      <c r="W238" s="32" t="str">
        <f t="shared" si="159"/>
        <v>홀수</v>
      </c>
      <c r="X238" s="32" t="str">
        <f t="shared" si="160"/>
        <v>홀수</v>
      </c>
      <c r="Y238" s="32" t="str">
        <f t="shared" si="161"/>
        <v>짝수</v>
      </c>
      <c r="Z238" s="32" t="str">
        <f t="shared" si="162"/>
        <v>짝수</v>
      </c>
      <c r="AA238" s="32" t="str">
        <f t="shared" si="163"/>
        <v>짝수</v>
      </c>
      <c r="AB238" s="32" t="str">
        <f t="shared" si="164"/>
        <v>홀수</v>
      </c>
      <c r="AC238" s="58" t="str">
        <f t="shared" si="165"/>
        <v>3 : 3</v>
      </c>
      <c r="AD238" s="32">
        <f t="shared" si="166"/>
        <v>3</v>
      </c>
      <c r="AE238" s="32">
        <f t="shared" si="167"/>
        <v>3</v>
      </c>
      <c r="AF238" s="66" t="str">
        <f t="shared" si="175"/>
        <v>저수</v>
      </c>
      <c r="AG238" s="66" t="str">
        <f t="shared" si="176"/>
        <v>저수</v>
      </c>
      <c r="AH238" s="66" t="str">
        <f t="shared" si="177"/>
        <v>저수</v>
      </c>
      <c r="AI238" s="66" t="str">
        <f t="shared" si="178"/>
        <v>고수</v>
      </c>
      <c r="AJ238" s="66" t="str">
        <f t="shared" si="179"/>
        <v>고수</v>
      </c>
      <c r="AK238" s="66" t="str">
        <f t="shared" si="180"/>
        <v>고수</v>
      </c>
      <c r="AL238" s="58" t="str">
        <f t="shared" si="181"/>
        <v>3 : 3</v>
      </c>
      <c r="AM238" s="66">
        <f t="shared" si="182"/>
        <v>3</v>
      </c>
      <c r="AN238" s="66">
        <f t="shared" si="183"/>
        <v>3</v>
      </c>
      <c r="AO238" s="66">
        <f t="shared" si="184"/>
        <v>23</v>
      </c>
      <c r="AP238" s="66" t="str">
        <f t="shared" si="185"/>
        <v>O</v>
      </c>
      <c r="AQ238" s="66" t="str">
        <f t="shared" si="186"/>
        <v>X</v>
      </c>
      <c r="AR238" s="66" t="str">
        <f t="shared" si="187"/>
        <v>X</v>
      </c>
      <c r="AS238" s="66" t="str">
        <f t="shared" si="188"/>
        <v>X</v>
      </c>
      <c r="AT238" s="66" t="str">
        <f t="shared" si="189"/>
        <v>X</v>
      </c>
      <c r="AU238" s="66" t="str">
        <f t="shared" si="190"/>
        <v>X</v>
      </c>
      <c r="AV238" s="66" t="str">
        <f t="shared" si="191"/>
        <v>X</v>
      </c>
      <c r="AW238" s="66" t="str">
        <f t="shared" si="192"/>
        <v>X</v>
      </c>
      <c r="AX238" s="66" t="str">
        <f t="shared" si="193"/>
        <v>X</v>
      </c>
      <c r="AY238" s="66" t="str">
        <f t="shared" si="194"/>
        <v>X</v>
      </c>
      <c r="AZ238" s="66" t="str">
        <f t="shared" si="195"/>
        <v>X</v>
      </c>
      <c r="BA238" s="66" t="str">
        <f t="shared" si="196"/>
        <v>O</v>
      </c>
      <c r="BB238" s="66">
        <f t="shared" si="197"/>
        <v>2</v>
      </c>
      <c r="BC238" s="127" t="str">
        <f t="shared" si="168"/>
        <v>1G</v>
      </c>
      <c r="BD238" s="127" t="str">
        <f t="shared" si="169"/>
        <v>2G</v>
      </c>
      <c r="BE238" s="127" t="str">
        <f t="shared" si="170"/>
        <v>2G</v>
      </c>
      <c r="BF238" s="127" t="str">
        <f t="shared" si="171"/>
        <v>2G</v>
      </c>
      <c r="BG238" s="127" t="str">
        <f t="shared" si="172"/>
        <v>2G</v>
      </c>
      <c r="BH238" s="127" t="str">
        <f t="shared" si="173"/>
        <v>3G</v>
      </c>
      <c r="BI238" s="127">
        <f t="shared" si="198"/>
        <v>1</v>
      </c>
      <c r="BJ238" s="127">
        <f t="shared" si="199"/>
        <v>4</v>
      </c>
      <c r="BK238" s="127">
        <f t="shared" si="200"/>
        <v>1</v>
      </c>
      <c r="BL238" s="127" t="str">
        <f t="shared" si="201"/>
        <v>141</v>
      </c>
      <c r="BS238"/>
      <c r="CL238" s="28">
        <v>136</v>
      </c>
      <c r="CM238" s="28">
        <v>130</v>
      </c>
      <c r="CO238"/>
    </row>
    <row r="239" spans="2:93" ht="16.5" hidden="1">
      <c r="B239" s="17">
        <v>235</v>
      </c>
      <c r="C239" s="363" t="s">
        <v>265</v>
      </c>
      <c r="D239" s="18">
        <v>3</v>
      </c>
      <c r="E239" s="20">
        <v>3433330100</v>
      </c>
      <c r="F239" s="18">
        <v>29</v>
      </c>
      <c r="G239" s="20">
        <v>59195347</v>
      </c>
      <c r="H239" s="20">
        <v>1178</v>
      </c>
      <c r="I239" s="20">
        <v>1457271</v>
      </c>
      <c r="J239" s="20">
        <v>59548</v>
      </c>
      <c r="K239" s="20">
        <v>57657</v>
      </c>
      <c r="L239" s="20">
        <v>901409</v>
      </c>
      <c r="M239" s="20">
        <v>5000</v>
      </c>
      <c r="N239" s="167">
        <v>21</v>
      </c>
      <c r="O239" s="167">
        <v>22</v>
      </c>
      <c r="P239" s="167">
        <v>26</v>
      </c>
      <c r="Q239" s="167">
        <v>27</v>
      </c>
      <c r="R239" s="167">
        <v>31</v>
      </c>
      <c r="S239" s="167">
        <v>37</v>
      </c>
      <c r="T239" s="167">
        <v>8</v>
      </c>
      <c r="U239" s="28">
        <f t="shared" si="174"/>
        <v>164</v>
      </c>
      <c r="W239" s="32" t="str">
        <f t="shared" si="159"/>
        <v>홀수</v>
      </c>
      <c r="X239" s="32" t="str">
        <f t="shared" si="160"/>
        <v>짝수</v>
      </c>
      <c r="Y239" s="32" t="str">
        <f t="shared" si="161"/>
        <v>짝수</v>
      </c>
      <c r="Z239" s="32" t="str">
        <f t="shared" si="162"/>
        <v>홀수</v>
      </c>
      <c r="AA239" s="32" t="str">
        <f t="shared" si="163"/>
        <v>홀수</v>
      </c>
      <c r="AB239" s="32" t="str">
        <f t="shared" si="164"/>
        <v>홀수</v>
      </c>
      <c r="AC239" s="58" t="str">
        <f t="shared" si="165"/>
        <v>4 : 2</v>
      </c>
      <c r="AD239" s="32">
        <f t="shared" si="166"/>
        <v>4</v>
      </c>
      <c r="AE239" s="32">
        <f t="shared" si="167"/>
        <v>2</v>
      </c>
      <c r="AF239" s="66" t="str">
        <f t="shared" si="175"/>
        <v>저수</v>
      </c>
      <c r="AG239" s="66" t="str">
        <f t="shared" si="176"/>
        <v>저수</v>
      </c>
      <c r="AH239" s="66" t="str">
        <f t="shared" si="177"/>
        <v>고수</v>
      </c>
      <c r="AI239" s="66" t="str">
        <f t="shared" si="178"/>
        <v>고수</v>
      </c>
      <c r="AJ239" s="66" t="str">
        <f t="shared" si="179"/>
        <v>고수</v>
      </c>
      <c r="AK239" s="66" t="str">
        <f t="shared" si="180"/>
        <v>고수</v>
      </c>
      <c r="AL239" s="58" t="str">
        <f t="shared" si="181"/>
        <v>2 : 4</v>
      </c>
      <c r="AM239" s="66">
        <f t="shared" si="182"/>
        <v>2</v>
      </c>
      <c r="AN239" s="66">
        <f t="shared" si="183"/>
        <v>4</v>
      </c>
      <c r="AO239" s="66">
        <f t="shared" si="184"/>
        <v>24</v>
      </c>
      <c r="AP239" s="66" t="str">
        <f t="shared" si="185"/>
        <v>X</v>
      </c>
      <c r="AQ239" s="66" t="str">
        <f t="shared" si="186"/>
        <v>X</v>
      </c>
      <c r="AR239" s="66" t="str">
        <f t="shared" si="187"/>
        <v>X</v>
      </c>
      <c r="AS239" s="66" t="str">
        <f t="shared" si="188"/>
        <v>X</v>
      </c>
      <c r="AT239" s="66" t="str">
        <f t="shared" si="189"/>
        <v>X</v>
      </c>
      <c r="AU239" s="66" t="str">
        <f t="shared" si="190"/>
        <v>X</v>
      </c>
      <c r="AV239" s="66" t="str">
        <f t="shared" si="191"/>
        <v>X</v>
      </c>
      <c r="AW239" s="66" t="str">
        <f t="shared" si="192"/>
        <v>X</v>
      </c>
      <c r="AX239" s="66" t="str">
        <f t="shared" si="193"/>
        <v>X</v>
      </c>
      <c r="AY239" s="66" t="str">
        <f t="shared" si="194"/>
        <v>X</v>
      </c>
      <c r="AZ239" s="66" t="str">
        <f t="shared" si="195"/>
        <v>O</v>
      </c>
      <c r="BA239" s="66" t="str">
        <f t="shared" si="196"/>
        <v>O</v>
      </c>
      <c r="BB239" s="66">
        <f t="shared" si="197"/>
        <v>2</v>
      </c>
      <c r="BC239" s="127" t="str">
        <f t="shared" si="168"/>
        <v>2G</v>
      </c>
      <c r="BD239" s="127" t="str">
        <f t="shared" si="169"/>
        <v>2G</v>
      </c>
      <c r="BE239" s="127" t="str">
        <f t="shared" si="170"/>
        <v>2G</v>
      </c>
      <c r="BF239" s="127" t="str">
        <f t="shared" si="171"/>
        <v>2G</v>
      </c>
      <c r="BG239" s="127" t="str">
        <f t="shared" si="172"/>
        <v>3G</v>
      </c>
      <c r="BH239" s="127" t="str">
        <f t="shared" si="173"/>
        <v>3G</v>
      </c>
      <c r="BI239" s="127">
        <f t="shared" si="198"/>
        <v>0</v>
      </c>
      <c r="BJ239" s="127">
        <f t="shared" si="199"/>
        <v>4</v>
      </c>
      <c r="BK239" s="127">
        <f t="shared" si="200"/>
        <v>2</v>
      </c>
      <c r="BL239" s="127" t="str">
        <f t="shared" si="201"/>
        <v>042</v>
      </c>
      <c r="BS239"/>
      <c r="CL239" s="28">
        <v>136</v>
      </c>
      <c r="CM239" s="28">
        <v>130</v>
      </c>
      <c r="CO239"/>
    </row>
    <row r="240" spans="2:93" ht="16.5" hidden="1">
      <c r="B240" s="17">
        <v>236</v>
      </c>
      <c r="C240" s="363" t="s">
        <v>266</v>
      </c>
      <c r="D240" s="18">
        <v>2</v>
      </c>
      <c r="E240" s="20">
        <v>5030040150</v>
      </c>
      <c r="F240" s="18">
        <v>41</v>
      </c>
      <c r="G240" s="20">
        <v>40894636</v>
      </c>
      <c r="H240" s="20">
        <v>1046</v>
      </c>
      <c r="I240" s="20">
        <v>1602945</v>
      </c>
      <c r="J240" s="20">
        <v>54480</v>
      </c>
      <c r="K240" s="20">
        <v>61553</v>
      </c>
      <c r="L240" s="20">
        <v>940827</v>
      </c>
      <c r="M240" s="20">
        <v>5000</v>
      </c>
      <c r="N240" s="167">
        <v>1</v>
      </c>
      <c r="O240" s="167">
        <v>4</v>
      </c>
      <c r="P240" s="167">
        <v>8</v>
      </c>
      <c r="Q240" s="167">
        <v>13</v>
      </c>
      <c r="R240" s="167">
        <v>37</v>
      </c>
      <c r="S240" s="167">
        <v>39</v>
      </c>
      <c r="T240" s="167">
        <v>7</v>
      </c>
      <c r="U240" s="28">
        <f t="shared" ref="U240:U261" si="202">SUM(N240:S240)</f>
        <v>102</v>
      </c>
      <c r="W240" s="32" t="str">
        <f t="shared" si="159"/>
        <v>홀수</v>
      </c>
      <c r="X240" s="32" t="str">
        <f t="shared" si="160"/>
        <v>짝수</v>
      </c>
      <c r="Y240" s="32" t="str">
        <f t="shared" si="161"/>
        <v>짝수</v>
      </c>
      <c r="Z240" s="32" t="str">
        <f t="shared" si="162"/>
        <v>홀수</v>
      </c>
      <c r="AA240" s="32" t="str">
        <f t="shared" si="163"/>
        <v>홀수</v>
      </c>
      <c r="AB240" s="32" t="str">
        <f t="shared" si="164"/>
        <v>홀수</v>
      </c>
      <c r="AC240" s="58" t="str">
        <f t="shared" si="165"/>
        <v>4 : 2</v>
      </c>
      <c r="AD240" s="32">
        <f t="shared" si="166"/>
        <v>4</v>
      </c>
      <c r="AE240" s="32">
        <f t="shared" si="167"/>
        <v>2</v>
      </c>
      <c r="AF240" s="66" t="str">
        <f t="shared" si="175"/>
        <v>저수</v>
      </c>
      <c r="AG240" s="66" t="str">
        <f t="shared" si="176"/>
        <v>저수</v>
      </c>
      <c r="AH240" s="66" t="str">
        <f t="shared" si="177"/>
        <v>저수</v>
      </c>
      <c r="AI240" s="66" t="str">
        <f t="shared" si="178"/>
        <v>저수</v>
      </c>
      <c r="AJ240" s="66" t="str">
        <f t="shared" si="179"/>
        <v>고수</v>
      </c>
      <c r="AK240" s="66" t="str">
        <f t="shared" si="180"/>
        <v>고수</v>
      </c>
      <c r="AL240" s="58" t="str">
        <f t="shared" si="181"/>
        <v>4 : 2</v>
      </c>
      <c r="AM240" s="66">
        <f t="shared" si="182"/>
        <v>4</v>
      </c>
      <c r="AN240" s="66">
        <f t="shared" si="183"/>
        <v>2</v>
      </c>
      <c r="AO240" s="66">
        <f t="shared" si="184"/>
        <v>32</v>
      </c>
      <c r="AP240" s="66" t="str">
        <f t="shared" si="185"/>
        <v>X</v>
      </c>
      <c r="AQ240" s="66" t="str">
        <f t="shared" si="186"/>
        <v>X</v>
      </c>
      <c r="AR240" s="66" t="str">
        <f t="shared" si="187"/>
        <v>X</v>
      </c>
      <c r="AS240" s="66" t="str">
        <f t="shared" si="188"/>
        <v>O</v>
      </c>
      <c r="AT240" s="66" t="str">
        <f t="shared" si="189"/>
        <v>X</v>
      </c>
      <c r="AU240" s="66" t="str">
        <f t="shared" si="190"/>
        <v>X</v>
      </c>
      <c r="AV240" s="66" t="str">
        <f t="shared" si="191"/>
        <v>X</v>
      </c>
      <c r="AW240" s="66" t="str">
        <f t="shared" si="192"/>
        <v>X</v>
      </c>
      <c r="AX240" s="66" t="str">
        <f t="shared" si="193"/>
        <v>X</v>
      </c>
      <c r="AY240" s="66" t="str">
        <f t="shared" si="194"/>
        <v>X</v>
      </c>
      <c r="AZ240" s="66" t="str">
        <f t="shared" si="195"/>
        <v>O</v>
      </c>
      <c r="BA240" s="66" t="str">
        <f t="shared" si="196"/>
        <v>X</v>
      </c>
      <c r="BB240" s="66">
        <f t="shared" si="197"/>
        <v>2</v>
      </c>
      <c r="BC240" s="127" t="str">
        <f t="shared" si="168"/>
        <v>1G</v>
      </c>
      <c r="BD240" s="127" t="str">
        <f t="shared" si="169"/>
        <v>1G</v>
      </c>
      <c r="BE240" s="127" t="str">
        <f t="shared" si="170"/>
        <v>1G</v>
      </c>
      <c r="BF240" s="127" t="str">
        <f t="shared" si="171"/>
        <v>1G</v>
      </c>
      <c r="BG240" s="127" t="str">
        <f t="shared" si="172"/>
        <v>3G</v>
      </c>
      <c r="BH240" s="127" t="str">
        <f t="shared" si="173"/>
        <v>3G</v>
      </c>
      <c r="BI240" s="127">
        <f t="shared" si="198"/>
        <v>4</v>
      </c>
      <c r="BJ240" s="127">
        <f t="shared" si="199"/>
        <v>0</v>
      </c>
      <c r="BK240" s="127">
        <f t="shared" si="200"/>
        <v>2</v>
      </c>
      <c r="BL240" s="127" t="str">
        <f t="shared" si="201"/>
        <v>402</v>
      </c>
      <c r="BS240"/>
      <c r="CL240" s="28">
        <v>136</v>
      </c>
      <c r="CM240" s="28">
        <v>130</v>
      </c>
      <c r="CO240"/>
    </row>
    <row r="241" spans="2:93" ht="16.5" hidden="1">
      <c r="B241" s="17">
        <v>237</v>
      </c>
      <c r="C241" s="363" t="s">
        <v>267</v>
      </c>
      <c r="D241" s="18">
        <v>7</v>
      </c>
      <c r="E241" s="20">
        <v>1440630729</v>
      </c>
      <c r="F241" s="18">
        <v>39</v>
      </c>
      <c r="G241" s="20">
        <v>43095792</v>
      </c>
      <c r="H241" s="20">
        <v>1098</v>
      </c>
      <c r="I241" s="20">
        <v>1530725</v>
      </c>
      <c r="J241" s="20">
        <v>57338</v>
      </c>
      <c r="K241" s="20">
        <v>58626</v>
      </c>
      <c r="L241" s="20">
        <v>974357</v>
      </c>
      <c r="M241" s="20">
        <v>5000</v>
      </c>
      <c r="N241" s="167">
        <v>1</v>
      </c>
      <c r="O241" s="167">
        <v>11</v>
      </c>
      <c r="P241" s="167">
        <v>17</v>
      </c>
      <c r="Q241" s="167">
        <v>21</v>
      </c>
      <c r="R241" s="167">
        <v>24</v>
      </c>
      <c r="S241" s="167">
        <v>44</v>
      </c>
      <c r="T241" s="167">
        <v>33</v>
      </c>
      <c r="U241" s="28">
        <f t="shared" si="202"/>
        <v>118</v>
      </c>
      <c r="W241" s="32" t="str">
        <f t="shared" si="159"/>
        <v>홀수</v>
      </c>
      <c r="X241" s="32" t="str">
        <f t="shared" si="160"/>
        <v>홀수</v>
      </c>
      <c r="Y241" s="32" t="str">
        <f t="shared" si="161"/>
        <v>홀수</v>
      </c>
      <c r="Z241" s="32" t="str">
        <f t="shared" si="162"/>
        <v>홀수</v>
      </c>
      <c r="AA241" s="32" t="str">
        <f t="shared" si="163"/>
        <v>짝수</v>
      </c>
      <c r="AB241" s="32" t="str">
        <f t="shared" si="164"/>
        <v>짝수</v>
      </c>
      <c r="AC241" s="58" t="str">
        <f t="shared" si="165"/>
        <v>4 : 2</v>
      </c>
      <c r="AD241" s="32">
        <f t="shared" si="166"/>
        <v>4</v>
      </c>
      <c r="AE241" s="32">
        <f t="shared" si="167"/>
        <v>2</v>
      </c>
      <c r="AF241" s="66" t="str">
        <f t="shared" si="175"/>
        <v>저수</v>
      </c>
      <c r="AG241" s="66" t="str">
        <f t="shared" si="176"/>
        <v>저수</v>
      </c>
      <c r="AH241" s="66" t="str">
        <f t="shared" si="177"/>
        <v>저수</v>
      </c>
      <c r="AI241" s="66" t="str">
        <f t="shared" si="178"/>
        <v>저수</v>
      </c>
      <c r="AJ241" s="66" t="str">
        <f t="shared" si="179"/>
        <v>고수</v>
      </c>
      <c r="AK241" s="66" t="str">
        <f t="shared" si="180"/>
        <v>고수</v>
      </c>
      <c r="AL241" s="58" t="str">
        <f t="shared" si="181"/>
        <v>4 : 2</v>
      </c>
      <c r="AM241" s="66">
        <f t="shared" si="182"/>
        <v>4</v>
      </c>
      <c r="AN241" s="66">
        <f t="shared" si="183"/>
        <v>2</v>
      </c>
      <c r="AO241" s="66">
        <f t="shared" si="184"/>
        <v>18</v>
      </c>
      <c r="AP241" s="66" t="str">
        <f t="shared" si="185"/>
        <v>X</v>
      </c>
      <c r="AQ241" s="66" t="str">
        <f t="shared" si="186"/>
        <v>O</v>
      </c>
      <c r="AR241" s="66" t="str">
        <f t="shared" si="187"/>
        <v>O</v>
      </c>
      <c r="AS241" s="66" t="str">
        <f t="shared" si="188"/>
        <v>X</v>
      </c>
      <c r="AT241" s="66" t="str">
        <f t="shared" si="189"/>
        <v>X</v>
      </c>
      <c r="AU241" s="66" t="str">
        <f t="shared" si="190"/>
        <v>X</v>
      </c>
      <c r="AV241" s="66" t="str">
        <f t="shared" si="191"/>
        <v>X</v>
      </c>
      <c r="AW241" s="66" t="str">
        <f t="shared" si="192"/>
        <v>X</v>
      </c>
      <c r="AX241" s="66" t="str">
        <f t="shared" si="193"/>
        <v>X</v>
      </c>
      <c r="AY241" s="66" t="str">
        <f t="shared" si="194"/>
        <v>X</v>
      </c>
      <c r="AZ241" s="66" t="str">
        <f t="shared" si="195"/>
        <v>X</v>
      </c>
      <c r="BA241" s="66" t="str">
        <f t="shared" si="196"/>
        <v>X</v>
      </c>
      <c r="BB241" s="66">
        <f t="shared" si="197"/>
        <v>2</v>
      </c>
      <c r="BC241" s="127" t="str">
        <f t="shared" si="168"/>
        <v>1G</v>
      </c>
      <c r="BD241" s="127" t="str">
        <f t="shared" si="169"/>
        <v>1G</v>
      </c>
      <c r="BE241" s="127" t="str">
        <f t="shared" si="170"/>
        <v>2G</v>
      </c>
      <c r="BF241" s="127" t="str">
        <f t="shared" si="171"/>
        <v>2G</v>
      </c>
      <c r="BG241" s="127" t="str">
        <f t="shared" si="172"/>
        <v>2G</v>
      </c>
      <c r="BH241" s="127" t="str">
        <f t="shared" si="173"/>
        <v>3G</v>
      </c>
      <c r="BI241" s="127">
        <f t="shared" si="198"/>
        <v>2</v>
      </c>
      <c r="BJ241" s="127">
        <f t="shared" si="199"/>
        <v>3</v>
      </c>
      <c r="BK241" s="127">
        <f t="shared" si="200"/>
        <v>1</v>
      </c>
      <c r="BL241" s="127" t="str">
        <f t="shared" si="201"/>
        <v>231</v>
      </c>
      <c r="BS241"/>
      <c r="CL241" s="28">
        <v>136</v>
      </c>
      <c r="CM241" s="28">
        <v>130</v>
      </c>
      <c r="CO241"/>
    </row>
    <row r="242" spans="2:93" ht="16.5" hidden="1">
      <c r="B242" s="17">
        <v>238</v>
      </c>
      <c r="C242" s="363" t="s">
        <v>268</v>
      </c>
      <c r="D242" s="18">
        <v>9</v>
      </c>
      <c r="E242" s="20">
        <v>1121660567</v>
      </c>
      <c r="F242" s="18">
        <v>29</v>
      </c>
      <c r="G242" s="20">
        <v>58016926</v>
      </c>
      <c r="H242" s="20">
        <v>1066</v>
      </c>
      <c r="I242" s="20">
        <v>1578322</v>
      </c>
      <c r="J242" s="20">
        <v>54591</v>
      </c>
      <c r="K242" s="20">
        <v>61640</v>
      </c>
      <c r="L242" s="20">
        <v>930266</v>
      </c>
      <c r="M242" s="20">
        <v>5000</v>
      </c>
      <c r="N242" s="167">
        <v>2</v>
      </c>
      <c r="O242" s="167">
        <v>4</v>
      </c>
      <c r="P242" s="167">
        <v>15</v>
      </c>
      <c r="Q242" s="167">
        <v>28</v>
      </c>
      <c r="R242" s="167">
        <v>31</v>
      </c>
      <c r="S242" s="167">
        <v>34</v>
      </c>
      <c r="T242" s="167">
        <v>35</v>
      </c>
      <c r="U242" s="28">
        <f t="shared" si="202"/>
        <v>114</v>
      </c>
      <c r="W242" s="32" t="str">
        <f t="shared" si="159"/>
        <v>짝수</v>
      </c>
      <c r="X242" s="32" t="str">
        <f t="shared" si="160"/>
        <v>짝수</v>
      </c>
      <c r="Y242" s="32" t="str">
        <f t="shared" si="161"/>
        <v>홀수</v>
      </c>
      <c r="Z242" s="32" t="str">
        <f t="shared" si="162"/>
        <v>짝수</v>
      </c>
      <c r="AA242" s="32" t="str">
        <f t="shared" si="163"/>
        <v>홀수</v>
      </c>
      <c r="AB242" s="32" t="str">
        <f t="shared" si="164"/>
        <v>짝수</v>
      </c>
      <c r="AC242" s="58" t="str">
        <f t="shared" si="165"/>
        <v>2 : 4</v>
      </c>
      <c r="AD242" s="32">
        <f t="shared" si="166"/>
        <v>2</v>
      </c>
      <c r="AE242" s="32">
        <f t="shared" si="167"/>
        <v>4</v>
      </c>
      <c r="AF242" s="66" t="str">
        <f t="shared" si="175"/>
        <v>저수</v>
      </c>
      <c r="AG242" s="66" t="str">
        <f t="shared" si="176"/>
        <v>저수</v>
      </c>
      <c r="AH242" s="66" t="str">
        <f t="shared" si="177"/>
        <v>저수</v>
      </c>
      <c r="AI242" s="66" t="str">
        <f t="shared" si="178"/>
        <v>고수</v>
      </c>
      <c r="AJ242" s="66" t="str">
        <f t="shared" si="179"/>
        <v>고수</v>
      </c>
      <c r="AK242" s="66" t="str">
        <f t="shared" si="180"/>
        <v>고수</v>
      </c>
      <c r="AL242" s="58" t="str">
        <f t="shared" si="181"/>
        <v>3 : 3</v>
      </c>
      <c r="AM242" s="66">
        <f t="shared" si="182"/>
        <v>3</v>
      </c>
      <c r="AN242" s="66">
        <f t="shared" si="183"/>
        <v>3</v>
      </c>
      <c r="AO242" s="66">
        <f t="shared" si="184"/>
        <v>24</v>
      </c>
      <c r="AP242" s="66" t="str">
        <f t="shared" si="185"/>
        <v>O</v>
      </c>
      <c r="AQ242" s="66" t="str">
        <f t="shared" si="186"/>
        <v>X</v>
      </c>
      <c r="AR242" s="66" t="str">
        <f t="shared" si="187"/>
        <v>X</v>
      </c>
      <c r="AS242" s="66" t="str">
        <f t="shared" si="188"/>
        <v>X</v>
      </c>
      <c r="AT242" s="66" t="str">
        <f t="shared" si="189"/>
        <v>X</v>
      </c>
      <c r="AU242" s="66" t="str">
        <f t="shared" si="190"/>
        <v>X</v>
      </c>
      <c r="AV242" s="66" t="str">
        <f t="shared" si="191"/>
        <v>X</v>
      </c>
      <c r="AW242" s="66" t="str">
        <f t="shared" si="192"/>
        <v>X</v>
      </c>
      <c r="AX242" s="66" t="str">
        <f t="shared" si="193"/>
        <v>X</v>
      </c>
      <c r="AY242" s="66" t="str">
        <f t="shared" si="194"/>
        <v>X</v>
      </c>
      <c r="AZ242" s="66" t="str">
        <f t="shared" si="195"/>
        <v>O</v>
      </c>
      <c r="BA242" s="66" t="str">
        <f t="shared" si="196"/>
        <v>X</v>
      </c>
      <c r="BB242" s="66">
        <f t="shared" si="197"/>
        <v>2</v>
      </c>
      <c r="BC242" s="127" t="str">
        <f t="shared" si="168"/>
        <v>1G</v>
      </c>
      <c r="BD242" s="127" t="str">
        <f t="shared" si="169"/>
        <v>1G</v>
      </c>
      <c r="BE242" s="127" t="str">
        <f t="shared" si="170"/>
        <v>1G</v>
      </c>
      <c r="BF242" s="127" t="str">
        <f t="shared" si="171"/>
        <v>2G</v>
      </c>
      <c r="BG242" s="127" t="str">
        <f t="shared" si="172"/>
        <v>3G</v>
      </c>
      <c r="BH242" s="127" t="str">
        <f t="shared" si="173"/>
        <v>3G</v>
      </c>
      <c r="BI242" s="127">
        <f t="shared" si="198"/>
        <v>3</v>
      </c>
      <c r="BJ242" s="127">
        <f t="shared" si="199"/>
        <v>1</v>
      </c>
      <c r="BK242" s="127">
        <f t="shared" si="200"/>
        <v>2</v>
      </c>
      <c r="BL242" s="127" t="str">
        <f t="shared" si="201"/>
        <v>312</v>
      </c>
      <c r="BS242"/>
      <c r="CL242" s="28">
        <v>136</v>
      </c>
      <c r="CM242" s="28">
        <v>130</v>
      </c>
      <c r="CO242"/>
    </row>
    <row r="243" spans="2:93" ht="16.5" hidden="1">
      <c r="B243" s="17">
        <v>239</v>
      </c>
      <c r="C243" s="363" t="s">
        <v>269</v>
      </c>
      <c r="D243" s="18">
        <v>9</v>
      </c>
      <c r="E243" s="20">
        <v>1134140167</v>
      </c>
      <c r="F243" s="18">
        <v>29</v>
      </c>
      <c r="G243" s="20">
        <v>58662423</v>
      </c>
      <c r="H243" s="20">
        <v>1083</v>
      </c>
      <c r="I243" s="20">
        <v>1570832</v>
      </c>
      <c r="J243" s="20">
        <v>55850</v>
      </c>
      <c r="K243" s="20">
        <v>60921</v>
      </c>
      <c r="L243" s="20">
        <v>927236</v>
      </c>
      <c r="M243" s="20">
        <v>5000</v>
      </c>
      <c r="N243" s="167">
        <v>11</v>
      </c>
      <c r="O243" s="167">
        <v>15</v>
      </c>
      <c r="P243" s="167">
        <v>24</v>
      </c>
      <c r="Q243" s="167">
        <v>39</v>
      </c>
      <c r="R243" s="167">
        <v>41</v>
      </c>
      <c r="S243" s="167">
        <v>44</v>
      </c>
      <c r="T243" s="167">
        <v>7</v>
      </c>
      <c r="U243" s="28">
        <f t="shared" si="202"/>
        <v>174</v>
      </c>
      <c r="W243" s="32" t="str">
        <f t="shared" si="159"/>
        <v>홀수</v>
      </c>
      <c r="X243" s="32" t="str">
        <f t="shared" si="160"/>
        <v>홀수</v>
      </c>
      <c r="Y243" s="32" t="str">
        <f t="shared" si="161"/>
        <v>짝수</v>
      </c>
      <c r="Z243" s="32" t="str">
        <f t="shared" si="162"/>
        <v>홀수</v>
      </c>
      <c r="AA243" s="32" t="str">
        <f t="shared" si="163"/>
        <v>홀수</v>
      </c>
      <c r="AB243" s="32" t="str">
        <f t="shared" si="164"/>
        <v>짝수</v>
      </c>
      <c r="AC243" s="58" t="str">
        <f t="shared" si="165"/>
        <v>4 : 2</v>
      </c>
      <c r="AD243" s="32">
        <f t="shared" si="166"/>
        <v>4</v>
      </c>
      <c r="AE243" s="32">
        <f t="shared" si="167"/>
        <v>2</v>
      </c>
      <c r="AF243" s="66" t="str">
        <f t="shared" si="175"/>
        <v>저수</v>
      </c>
      <c r="AG243" s="66" t="str">
        <f t="shared" si="176"/>
        <v>저수</v>
      </c>
      <c r="AH243" s="66" t="str">
        <f t="shared" si="177"/>
        <v>고수</v>
      </c>
      <c r="AI243" s="66" t="str">
        <f t="shared" si="178"/>
        <v>고수</v>
      </c>
      <c r="AJ243" s="66" t="str">
        <f t="shared" si="179"/>
        <v>고수</v>
      </c>
      <c r="AK243" s="66" t="str">
        <f t="shared" si="180"/>
        <v>고수</v>
      </c>
      <c r="AL243" s="58" t="str">
        <f t="shared" si="181"/>
        <v>2 : 4</v>
      </c>
      <c r="AM243" s="66">
        <f t="shared" si="182"/>
        <v>2</v>
      </c>
      <c r="AN243" s="66">
        <f t="shared" si="183"/>
        <v>4</v>
      </c>
      <c r="AO243" s="66">
        <f t="shared" si="184"/>
        <v>24</v>
      </c>
      <c r="AP243" s="66" t="str">
        <f t="shared" si="185"/>
        <v>O</v>
      </c>
      <c r="AQ243" s="66" t="str">
        <f t="shared" si="186"/>
        <v>X</v>
      </c>
      <c r="AR243" s="66" t="str">
        <f t="shared" si="187"/>
        <v>X</v>
      </c>
      <c r="AS243" s="66" t="str">
        <f t="shared" si="188"/>
        <v>X</v>
      </c>
      <c r="AT243" s="66" t="str">
        <f t="shared" si="189"/>
        <v>X</v>
      </c>
      <c r="AU243" s="66" t="str">
        <f t="shared" si="190"/>
        <v>X</v>
      </c>
      <c r="AV243" s="66" t="str">
        <f t="shared" si="191"/>
        <v>X</v>
      </c>
      <c r="AW243" s="66" t="str">
        <f t="shared" si="192"/>
        <v>X</v>
      </c>
      <c r="AX243" s="66" t="str">
        <f t="shared" si="193"/>
        <v>X</v>
      </c>
      <c r="AY243" s="66" t="str">
        <f t="shared" si="194"/>
        <v>X</v>
      </c>
      <c r="AZ243" s="66" t="str">
        <f t="shared" si="195"/>
        <v>O</v>
      </c>
      <c r="BA243" s="66" t="str">
        <f t="shared" si="196"/>
        <v>X</v>
      </c>
      <c r="BB243" s="66">
        <f t="shared" si="197"/>
        <v>2</v>
      </c>
      <c r="BC243" s="127" t="str">
        <f t="shared" si="168"/>
        <v>1G</v>
      </c>
      <c r="BD243" s="127" t="str">
        <f t="shared" si="169"/>
        <v>1G</v>
      </c>
      <c r="BE243" s="127" t="str">
        <f t="shared" si="170"/>
        <v>2G</v>
      </c>
      <c r="BF243" s="127" t="str">
        <f t="shared" si="171"/>
        <v>3G</v>
      </c>
      <c r="BG243" s="127" t="str">
        <f t="shared" si="172"/>
        <v>3G</v>
      </c>
      <c r="BH243" s="127" t="str">
        <f t="shared" si="173"/>
        <v>3G</v>
      </c>
      <c r="BI243" s="127">
        <f t="shared" si="198"/>
        <v>2</v>
      </c>
      <c r="BJ243" s="127">
        <f t="shared" si="199"/>
        <v>1</v>
      </c>
      <c r="BK243" s="127">
        <f t="shared" si="200"/>
        <v>3</v>
      </c>
      <c r="BL243" s="127" t="str">
        <f t="shared" si="201"/>
        <v>213</v>
      </c>
      <c r="BS243"/>
      <c r="CL243" s="28">
        <v>136</v>
      </c>
      <c r="CM243" s="28">
        <v>130</v>
      </c>
      <c r="CO243"/>
    </row>
    <row r="244" spans="2:93" ht="16.5" hidden="1">
      <c r="B244" s="17">
        <v>240</v>
      </c>
      <c r="C244" s="363" t="s">
        <v>270</v>
      </c>
      <c r="D244" s="18">
        <v>2</v>
      </c>
      <c r="E244" s="20">
        <v>5098251450</v>
      </c>
      <c r="F244" s="18">
        <v>28</v>
      </c>
      <c r="G244" s="20">
        <v>60693470</v>
      </c>
      <c r="H244" s="20">
        <v>1084</v>
      </c>
      <c r="I244" s="20">
        <v>1567728</v>
      </c>
      <c r="J244" s="20">
        <v>57376</v>
      </c>
      <c r="K244" s="20">
        <v>59238</v>
      </c>
      <c r="L244" s="20">
        <v>961510</v>
      </c>
      <c r="M244" s="20">
        <v>5000</v>
      </c>
      <c r="N244" s="167">
        <v>6</v>
      </c>
      <c r="O244" s="167">
        <v>10</v>
      </c>
      <c r="P244" s="167">
        <v>16</v>
      </c>
      <c r="Q244" s="167">
        <v>40</v>
      </c>
      <c r="R244" s="167">
        <v>41</v>
      </c>
      <c r="S244" s="167">
        <v>43</v>
      </c>
      <c r="T244" s="167">
        <v>21</v>
      </c>
      <c r="U244" s="28">
        <f t="shared" si="202"/>
        <v>156</v>
      </c>
      <c r="W244" s="32" t="str">
        <f t="shared" si="159"/>
        <v>짝수</v>
      </c>
      <c r="X244" s="32" t="str">
        <f t="shared" si="160"/>
        <v>짝수</v>
      </c>
      <c r="Y244" s="32" t="str">
        <f t="shared" si="161"/>
        <v>짝수</v>
      </c>
      <c r="Z244" s="32" t="str">
        <f t="shared" si="162"/>
        <v>짝수</v>
      </c>
      <c r="AA244" s="32" t="str">
        <f t="shared" si="163"/>
        <v>홀수</v>
      </c>
      <c r="AB244" s="32" t="str">
        <f t="shared" si="164"/>
        <v>홀수</v>
      </c>
      <c r="AC244" s="58" t="str">
        <f t="shared" si="165"/>
        <v>2 : 4</v>
      </c>
      <c r="AD244" s="32">
        <f t="shared" si="166"/>
        <v>2</v>
      </c>
      <c r="AE244" s="32">
        <f t="shared" si="167"/>
        <v>4</v>
      </c>
      <c r="AF244" s="66" t="str">
        <f t="shared" si="175"/>
        <v>저수</v>
      </c>
      <c r="AG244" s="66" t="str">
        <f t="shared" si="176"/>
        <v>저수</v>
      </c>
      <c r="AH244" s="66" t="str">
        <f t="shared" si="177"/>
        <v>저수</v>
      </c>
      <c r="AI244" s="66" t="str">
        <f t="shared" si="178"/>
        <v>고수</v>
      </c>
      <c r="AJ244" s="66" t="str">
        <f t="shared" si="179"/>
        <v>고수</v>
      </c>
      <c r="AK244" s="66" t="str">
        <f t="shared" si="180"/>
        <v>고수</v>
      </c>
      <c r="AL244" s="58" t="str">
        <f t="shared" si="181"/>
        <v>3 : 3</v>
      </c>
      <c r="AM244" s="66">
        <f t="shared" si="182"/>
        <v>3</v>
      </c>
      <c r="AN244" s="66">
        <f t="shared" si="183"/>
        <v>3</v>
      </c>
      <c r="AO244" s="66">
        <f t="shared" si="184"/>
        <v>16</v>
      </c>
      <c r="AP244" s="66" t="str">
        <f t="shared" si="185"/>
        <v>X</v>
      </c>
      <c r="AQ244" s="66" t="str">
        <f t="shared" si="186"/>
        <v>X</v>
      </c>
      <c r="AR244" s="66" t="str">
        <f t="shared" si="187"/>
        <v>X</v>
      </c>
      <c r="AS244" s="66" t="str">
        <f t="shared" si="188"/>
        <v>X</v>
      </c>
      <c r="AT244" s="66" t="str">
        <f t="shared" si="189"/>
        <v>X</v>
      </c>
      <c r="AU244" s="66" t="str">
        <f t="shared" si="190"/>
        <v>X</v>
      </c>
      <c r="AV244" s="66" t="str">
        <f t="shared" si="191"/>
        <v>X</v>
      </c>
      <c r="AW244" s="66" t="str">
        <f t="shared" si="192"/>
        <v>X</v>
      </c>
      <c r="AX244" s="66" t="str">
        <f t="shared" si="193"/>
        <v>X</v>
      </c>
      <c r="AY244" s="66" t="str">
        <f t="shared" si="194"/>
        <v>X</v>
      </c>
      <c r="AZ244" s="66" t="str">
        <f t="shared" si="195"/>
        <v>O</v>
      </c>
      <c r="BA244" s="66" t="str">
        <f t="shared" si="196"/>
        <v>O</v>
      </c>
      <c r="BB244" s="66">
        <f t="shared" si="197"/>
        <v>2</v>
      </c>
      <c r="BC244" s="127" t="str">
        <f t="shared" si="168"/>
        <v>1G</v>
      </c>
      <c r="BD244" s="127" t="str">
        <f t="shared" si="169"/>
        <v>1G</v>
      </c>
      <c r="BE244" s="127" t="str">
        <f t="shared" si="170"/>
        <v>2G</v>
      </c>
      <c r="BF244" s="127" t="str">
        <f t="shared" si="171"/>
        <v>3G</v>
      </c>
      <c r="BG244" s="127" t="str">
        <f t="shared" si="172"/>
        <v>3G</v>
      </c>
      <c r="BH244" s="127" t="str">
        <f t="shared" si="173"/>
        <v>3G</v>
      </c>
      <c r="BI244" s="127">
        <f t="shared" si="198"/>
        <v>2</v>
      </c>
      <c r="BJ244" s="127">
        <f t="shared" si="199"/>
        <v>1</v>
      </c>
      <c r="BK244" s="127">
        <f t="shared" si="200"/>
        <v>3</v>
      </c>
      <c r="BL244" s="127" t="str">
        <f t="shared" si="201"/>
        <v>213</v>
      </c>
      <c r="BS244"/>
      <c r="CL244" s="28">
        <v>137</v>
      </c>
      <c r="CM244" s="28">
        <v>130</v>
      </c>
      <c r="CO244"/>
    </row>
    <row r="245" spans="2:93" ht="16.5" hidden="1">
      <c r="B245" s="17">
        <v>241</v>
      </c>
      <c r="C245" s="363" t="s">
        <v>271</v>
      </c>
      <c r="D245" s="18">
        <v>4</v>
      </c>
      <c r="E245" s="20">
        <v>2552016300</v>
      </c>
      <c r="F245" s="18">
        <v>34</v>
      </c>
      <c r="G245" s="20">
        <v>50039536</v>
      </c>
      <c r="H245" s="18">
        <v>967</v>
      </c>
      <c r="I245" s="20">
        <v>1759405</v>
      </c>
      <c r="J245" s="20">
        <v>53783</v>
      </c>
      <c r="K245" s="20">
        <v>63267</v>
      </c>
      <c r="L245" s="20">
        <v>922001</v>
      </c>
      <c r="M245" s="20">
        <v>5000</v>
      </c>
      <c r="N245" s="167">
        <v>2</v>
      </c>
      <c r="O245" s="167">
        <v>16</v>
      </c>
      <c r="P245" s="167">
        <v>24</v>
      </c>
      <c r="Q245" s="167">
        <v>27</v>
      </c>
      <c r="R245" s="167">
        <v>28</v>
      </c>
      <c r="S245" s="167">
        <v>35</v>
      </c>
      <c r="T245" s="167">
        <v>21</v>
      </c>
      <c r="U245" s="28">
        <f t="shared" si="202"/>
        <v>132</v>
      </c>
      <c r="W245" s="32" t="str">
        <f t="shared" si="159"/>
        <v>짝수</v>
      </c>
      <c r="X245" s="32" t="str">
        <f t="shared" si="160"/>
        <v>짝수</v>
      </c>
      <c r="Y245" s="32" t="str">
        <f t="shared" si="161"/>
        <v>짝수</v>
      </c>
      <c r="Z245" s="32" t="str">
        <f t="shared" si="162"/>
        <v>홀수</v>
      </c>
      <c r="AA245" s="32" t="str">
        <f t="shared" si="163"/>
        <v>짝수</v>
      </c>
      <c r="AB245" s="32" t="str">
        <f t="shared" si="164"/>
        <v>홀수</v>
      </c>
      <c r="AC245" s="58" t="str">
        <f t="shared" si="165"/>
        <v>2 : 4</v>
      </c>
      <c r="AD245" s="32">
        <f t="shared" si="166"/>
        <v>2</v>
      </c>
      <c r="AE245" s="32">
        <f t="shared" si="167"/>
        <v>4</v>
      </c>
      <c r="AF245" s="66" t="str">
        <f t="shared" si="175"/>
        <v>저수</v>
      </c>
      <c r="AG245" s="66" t="str">
        <f t="shared" si="176"/>
        <v>저수</v>
      </c>
      <c r="AH245" s="66" t="str">
        <f t="shared" si="177"/>
        <v>고수</v>
      </c>
      <c r="AI245" s="66" t="str">
        <f t="shared" si="178"/>
        <v>고수</v>
      </c>
      <c r="AJ245" s="66" t="str">
        <f t="shared" si="179"/>
        <v>고수</v>
      </c>
      <c r="AK245" s="66" t="str">
        <f t="shared" si="180"/>
        <v>고수</v>
      </c>
      <c r="AL245" s="58" t="str">
        <f t="shared" si="181"/>
        <v>2 : 4</v>
      </c>
      <c r="AM245" s="66">
        <f t="shared" si="182"/>
        <v>2</v>
      </c>
      <c r="AN245" s="66">
        <f t="shared" si="183"/>
        <v>4</v>
      </c>
      <c r="AO245" s="66">
        <f t="shared" si="184"/>
        <v>32</v>
      </c>
      <c r="AP245" s="66" t="str">
        <f t="shared" si="185"/>
        <v>O</v>
      </c>
      <c r="AQ245" s="66" t="str">
        <f t="shared" si="186"/>
        <v>X</v>
      </c>
      <c r="AR245" s="66" t="str">
        <f t="shared" si="187"/>
        <v>X</v>
      </c>
      <c r="AS245" s="66" t="str">
        <f t="shared" si="188"/>
        <v>X</v>
      </c>
      <c r="AT245" s="66" t="str">
        <f t="shared" si="189"/>
        <v>X</v>
      </c>
      <c r="AU245" s="66" t="str">
        <f t="shared" si="190"/>
        <v>X</v>
      </c>
      <c r="AV245" s="66" t="str">
        <f t="shared" si="191"/>
        <v>X</v>
      </c>
      <c r="AW245" s="66" t="str">
        <f t="shared" si="192"/>
        <v>X</v>
      </c>
      <c r="AX245" s="66" t="str">
        <f t="shared" si="193"/>
        <v>X</v>
      </c>
      <c r="AY245" s="66" t="str">
        <f t="shared" si="194"/>
        <v>X</v>
      </c>
      <c r="AZ245" s="66" t="str">
        <f t="shared" si="195"/>
        <v>X</v>
      </c>
      <c r="BA245" s="66" t="str">
        <f t="shared" si="196"/>
        <v>X</v>
      </c>
      <c r="BB245" s="66">
        <f t="shared" si="197"/>
        <v>1</v>
      </c>
      <c r="BC245" s="127" t="str">
        <f t="shared" si="168"/>
        <v>1G</v>
      </c>
      <c r="BD245" s="127" t="str">
        <f t="shared" si="169"/>
        <v>2G</v>
      </c>
      <c r="BE245" s="127" t="str">
        <f t="shared" si="170"/>
        <v>2G</v>
      </c>
      <c r="BF245" s="127" t="str">
        <f t="shared" si="171"/>
        <v>2G</v>
      </c>
      <c r="BG245" s="127" t="str">
        <f t="shared" si="172"/>
        <v>2G</v>
      </c>
      <c r="BH245" s="127" t="str">
        <f t="shared" si="173"/>
        <v>3G</v>
      </c>
      <c r="BI245" s="127">
        <f t="shared" si="198"/>
        <v>1</v>
      </c>
      <c r="BJ245" s="127">
        <f t="shared" si="199"/>
        <v>4</v>
      </c>
      <c r="BK245" s="127">
        <f t="shared" si="200"/>
        <v>1</v>
      </c>
      <c r="BL245" s="127" t="str">
        <f t="shared" si="201"/>
        <v>141</v>
      </c>
      <c r="BS245"/>
      <c r="CL245" s="28">
        <v>137</v>
      </c>
      <c r="CM245" s="28">
        <v>130</v>
      </c>
      <c r="CO245"/>
    </row>
    <row r="246" spans="2:93" ht="16.5" hidden="1">
      <c r="B246" s="17">
        <v>242</v>
      </c>
      <c r="C246" s="363" t="s">
        <v>272</v>
      </c>
      <c r="D246" s="18">
        <v>8</v>
      </c>
      <c r="E246" s="20">
        <v>1234542375</v>
      </c>
      <c r="F246" s="18">
        <v>36</v>
      </c>
      <c r="G246" s="20">
        <v>45723792</v>
      </c>
      <c r="H246" s="20">
        <v>1245</v>
      </c>
      <c r="I246" s="20">
        <v>1322134</v>
      </c>
      <c r="J246" s="20">
        <v>60644</v>
      </c>
      <c r="K246" s="20">
        <v>54286</v>
      </c>
      <c r="L246" s="20">
        <v>975863</v>
      </c>
      <c r="M246" s="20">
        <v>5000</v>
      </c>
      <c r="N246" s="167">
        <v>4</v>
      </c>
      <c r="O246" s="167">
        <v>19</v>
      </c>
      <c r="P246" s="167">
        <v>20</v>
      </c>
      <c r="Q246" s="167">
        <v>21</v>
      </c>
      <c r="R246" s="167">
        <v>32</v>
      </c>
      <c r="S246" s="167">
        <v>34</v>
      </c>
      <c r="T246" s="167">
        <v>43</v>
      </c>
      <c r="U246" s="28">
        <f t="shared" si="202"/>
        <v>130</v>
      </c>
      <c r="W246" s="32" t="str">
        <f t="shared" ref="W246:W309" si="203">IF(RIGHT(N246,1)="1","홀수",IF(RIGHT(N246,1)="3","홀수",IF(RIGHT(N246,1)="5","홀수",IF(RIGHT(N246,1)="7","홀수",IF(RIGHT(N246,1)="9","홀수","짝수")))))</f>
        <v>짝수</v>
      </c>
      <c r="X246" s="32" t="str">
        <f t="shared" ref="X246:X309" si="204">IF(RIGHT(O246,1)="1","홀수",IF(RIGHT(O246,1)="3","홀수",IF(RIGHT(O246,1)="5","홀수",IF(RIGHT(O246,1)="7","홀수",IF(RIGHT(O246,1)="9","홀수","짝수")))))</f>
        <v>홀수</v>
      </c>
      <c r="Y246" s="32" t="str">
        <f t="shared" ref="Y246:Y309" si="205">IF(RIGHT(P246,1)="1","홀수",IF(RIGHT(P246,1)="3","홀수",IF(RIGHT(P246,1)="5","홀수",IF(RIGHT(P246,1)="7","홀수",IF(RIGHT(P246,1)="9","홀수","짝수")))))</f>
        <v>짝수</v>
      </c>
      <c r="Z246" s="32" t="str">
        <f t="shared" ref="Z246:Z309" si="206">IF(RIGHT(Q246,1)="1","홀수",IF(RIGHT(Q246,1)="3","홀수",IF(RIGHT(Q246,1)="5","홀수",IF(RIGHT(Q246,1)="7","홀수",IF(RIGHT(Q246,1)="9","홀수","짝수")))))</f>
        <v>홀수</v>
      </c>
      <c r="AA246" s="32" t="str">
        <f t="shared" ref="AA246:AA309" si="207">IF(RIGHT(R246,1)="1","홀수",IF(RIGHT(R246,1)="3","홀수",IF(RIGHT(R246,1)="5","홀수",IF(RIGHT(R246,1)="7","홀수",IF(RIGHT(R246,1)="9","홀수","짝수")))))</f>
        <v>짝수</v>
      </c>
      <c r="AB246" s="32" t="str">
        <f t="shared" ref="AB246:AB309" si="208">IF(RIGHT(S246,1)="1","홀수",IF(RIGHT(S246,1)="3","홀수",IF(RIGHT(S246,1)="5","홀수",IF(RIGHT(S246,1)="7","홀수",IF(RIGHT(S246,1)="9","홀수","짝수")))))</f>
        <v>짝수</v>
      </c>
      <c r="AC246" s="58" t="str">
        <f t="shared" ref="AC246:AC309" si="209">AD246&amp;" : "&amp;AE246</f>
        <v>2 : 4</v>
      </c>
      <c r="AD246" s="32">
        <f t="shared" ref="AD246:AD309" si="210">COUNTIF(W246:AB246,"홀수")</f>
        <v>2</v>
      </c>
      <c r="AE246" s="32">
        <f t="shared" ref="AE246:AE309" si="211">COUNTIF(W246:AB246,"짝수")</f>
        <v>4</v>
      </c>
      <c r="AF246" s="66" t="str">
        <f t="shared" si="175"/>
        <v>저수</v>
      </c>
      <c r="AG246" s="66" t="str">
        <f t="shared" si="176"/>
        <v>저수</v>
      </c>
      <c r="AH246" s="66" t="str">
        <f t="shared" si="177"/>
        <v>저수</v>
      </c>
      <c r="AI246" s="66" t="str">
        <f t="shared" si="178"/>
        <v>저수</v>
      </c>
      <c r="AJ246" s="66" t="str">
        <f t="shared" si="179"/>
        <v>고수</v>
      </c>
      <c r="AK246" s="66" t="str">
        <f t="shared" si="180"/>
        <v>고수</v>
      </c>
      <c r="AL246" s="58" t="str">
        <f t="shared" si="181"/>
        <v>4 : 2</v>
      </c>
      <c r="AM246" s="66">
        <f t="shared" si="182"/>
        <v>4</v>
      </c>
      <c r="AN246" s="66">
        <f t="shared" si="183"/>
        <v>2</v>
      </c>
      <c r="AO246" s="66">
        <f t="shared" si="184"/>
        <v>20</v>
      </c>
      <c r="AP246" s="66" t="str">
        <f t="shared" si="185"/>
        <v>X</v>
      </c>
      <c r="AQ246" s="66" t="str">
        <f t="shared" si="186"/>
        <v>O</v>
      </c>
      <c r="AR246" s="66" t="str">
        <f t="shared" si="187"/>
        <v>X</v>
      </c>
      <c r="AS246" s="66" t="str">
        <f t="shared" si="188"/>
        <v>X</v>
      </c>
      <c r="AT246" s="66" t="str">
        <f t="shared" si="189"/>
        <v>X</v>
      </c>
      <c r="AU246" s="66" t="str">
        <f t="shared" si="190"/>
        <v>X</v>
      </c>
      <c r="AV246" s="66" t="str">
        <f t="shared" si="191"/>
        <v>X</v>
      </c>
      <c r="AW246" s="66" t="str">
        <f t="shared" si="192"/>
        <v>X</v>
      </c>
      <c r="AX246" s="66" t="str">
        <f t="shared" si="193"/>
        <v>X</v>
      </c>
      <c r="AY246" s="66" t="str">
        <f t="shared" si="194"/>
        <v>X</v>
      </c>
      <c r="AZ246" s="66" t="str">
        <f t="shared" si="195"/>
        <v>X</v>
      </c>
      <c r="BA246" s="66" t="str">
        <f t="shared" si="196"/>
        <v>X</v>
      </c>
      <c r="BB246" s="66">
        <f t="shared" si="197"/>
        <v>1</v>
      </c>
      <c r="BC246" s="127" t="str">
        <f t="shared" si="168"/>
        <v>1G</v>
      </c>
      <c r="BD246" s="127" t="str">
        <f t="shared" si="169"/>
        <v>2G</v>
      </c>
      <c r="BE246" s="127" t="str">
        <f t="shared" si="170"/>
        <v>2G</v>
      </c>
      <c r="BF246" s="127" t="str">
        <f t="shared" si="171"/>
        <v>2G</v>
      </c>
      <c r="BG246" s="127" t="str">
        <f t="shared" si="172"/>
        <v>3G</v>
      </c>
      <c r="BH246" s="127" t="str">
        <f t="shared" si="173"/>
        <v>3G</v>
      </c>
      <c r="BI246" s="127">
        <f t="shared" si="198"/>
        <v>1</v>
      </c>
      <c r="BJ246" s="127">
        <f t="shared" si="199"/>
        <v>3</v>
      </c>
      <c r="BK246" s="127">
        <f t="shared" si="200"/>
        <v>2</v>
      </c>
      <c r="BL246" s="127" t="str">
        <f t="shared" si="201"/>
        <v>132</v>
      </c>
      <c r="BS246"/>
      <c r="CL246" s="28">
        <v>137</v>
      </c>
      <c r="CM246" s="28">
        <v>130</v>
      </c>
      <c r="CO246"/>
    </row>
    <row r="247" spans="2:93" ht="16.5" hidden="1">
      <c r="B247" s="17">
        <v>243</v>
      </c>
      <c r="C247" s="363" t="s">
        <v>273</v>
      </c>
      <c r="D247" s="18">
        <v>4</v>
      </c>
      <c r="E247" s="20">
        <v>2408850000</v>
      </c>
      <c r="F247" s="18">
        <v>29</v>
      </c>
      <c r="G247" s="20">
        <v>55375863</v>
      </c>
      <c r="H247" s="20">
        <v>1089</v>
      </c>
      <c r="I247" s="20">
        <v>1474656</v>
      </c>
      <c r="J247" s="20">
        <v>54055</v>
      </c>
      <c r="K247" s="20">
        <v>59418</v>
      </c>
      <c r="L247" s="20">
        <v>918683</v>
      </c>
      <c r="M247" s="20">
        <v>5000</v>
      </c>
      <c r="N247" s="167">
        <v>2</v>
      </c>
      <c r="O247" s="167">
        <v>12</v>
      </c>
      <c r="P247" s="167">
        <v>17</v>
      </c>
      <c r="Q247" s="167">
        <v>19</v>
      </c>
      <c r="R247" s="167">
        <v>28</v>
      </c>
      <c r="S247" s="167">
        <v>42</v>
      </c>
      <c r="T247" s="167">
        <v>34</v>
      </c>
      <c r="U247" s="28">
        <f t="shared" si="202"/>
        <v>120</v>
      </c>
      <c r="W247" s="32" t="str">
        <f t="shared" si="203"/>
        <v>짝수</v>
      </c>
      <c r="X247" s="32" t="str">
        <f t="shared" si="204"/>
        <v>짝수</v>
      </c>
      <c r="Y247" s="32" t="str">
        <f t="shared" si="205"/>
        <v>홀수</v>
      </c>
      <c r="Z247" s="32" t="str">
        <f t="shared" si="206"/>
        <v>홀수</v>
      </c>
      <c r="AA247" s="32" t="str">
        <f t="shared" si="207"/>
        <v>짝수</v>
      </c>
      <c r="AB247" s="32" t="str">
        <f t="shared" si="208"/>
        <v>짝수</v>
      </c>
      <c r="AC247" s="58" t="str">
        <f t="shared" si="209"/>
        <v>2 : 4</v>
      </c>
      <c r="AD247" s="32">
        <f t="shared" si="210"/>
        <v>2</v>
      </c>
      <c r="AE247" s="32">
        <f t="shared" si="211"/>
        <v>4</v>
      </c>
      <c r="AF247" s="66" t="str">
        <f t="shared" si="175"/>
        <v>저수</v>
      </c>
      <c r="AG247" s="66" t="str">
        <f t="shared" si="176"/>
        <v>저수</v>
      </c>
      <c r="AH247" s="66" t="str">
        <f t="shared" si="177"/>
        <v>저수</v>
      </c>
      <c r="AI247" s="66" t="str">
        <f t="shared" si="178"/>
        <v>저수</v>
      </c>
      <c r="AJ247" s="66" t="str">
        <f t="shared" si="179"/>
        <v>고수</v>
      </c>
      <c r="AK247" s="66" t="str">
        <f t="shared" si="180"/>
        <v>고수</v>
      </c>
      <c r="AL247" s="58" t="str">
        <f t="shared" si="181"/>
        <v>4 : 2</v>
      </c>
      <c r="AM247" s="66">
        <f t="shared" si="182"/>
        <v>4</v>
      </c>
      <c r="AN247" s="66">
        <f t="shared" si="183"/>
        <v>2</v>
      </c>
      <c r="AO247" s="66">
        <f t="shared" si="184"/>
        <v>30</v>
      </c>
      <c r="AP247" s="66" t="str">
        <f t="shared" si="185"/>
        <v>O</v>
      </c>
      <c r="AQ247" s="66" t="str">
        <f t="shared" si="186"/>
        <v>X</v>
      </c>
      <c r="AR247" s="66" t="str">
        <f t="shared" si="187"/>
        <v>O</v>
      </c>
      <c r="AS247" s="66" t="str">
        <f t="shared" si="188"/>
        <v>O</v>
      </c>
      <c r="AT247" s="66" t="str">
        <f t="shared" si="189"/>
        <v>X</v>
      </c>
      <c r="AU247" s="66" t="str">
        <f t="shared" si="190"/>
        <v>X</v>
      </c>
      <c r="AV247" s="66" t="str">
        <f t="shared" si="191"/>
        <v>X</v>
      </c>
      <c r="AW247" s="66" t="str">
        <f t="shared" si="192"/>
        <v>X</v>
      </c>
      <c r="AX247" s="66" t="str">
        <f t="shared" si="193"/>
        <v>X</v>
      </c>
      <c r="AY247" s="66" t="str">
        <f t="shared" si="194"/>
        <v>X</v>
      </c>
      <c r="AZ247" s="66" t="str">
        <f t="shared" si="195"/>
        <v>X</v>
      </c>
      <c r="BA247" s="66" t="str">
        <f t="shared" si="196"/>
        <v>X</v>
      </c>
      <c r="BB247" s="66">
        <f t="shared" si="197"/>
        <v>3</v>
      </c>
      <c r="BC247" s="127" t="str">
        <f t="shared" si="168"/>
        <v>1G</v>
      </c>
      <c r="BD247" s="127" t="str">
        <f t="shared" si="169"/>
        <v>1G</v>
      </c>
      <c r="BE247" s="127" t="str">
        <f t="shared" si="170"/>
        <v>2G</v>
      </c>
      <c r="BF247" s="127" t="str">
        <f t="shared" si="171"/>
        <v>2G</v>
      </c>
      <c r="BG247" s="127" t="str">
        <f t="shared" si="172"/>
        <v>2G</v>
      </c>
      <c r="BH247" s="127" t="str">
        <f t="shared" si="173"/>
        <v>3G</v>
      </c>
      <c r="BI247" s="127">
        <f t="shared" si="198"/>
        <v>2</v>
      </c>
      <c r="BJ247" s="127">
        <f t="shared" si="199"/>
        <v>3</v>
      </c>
      <c r="BK247" s="127">
        <f t="shared" si="200"/>
        <v>1</v>
      </c>
      <c r="BL247" s="127" t="str">
        <f t="shared" si="201"/>
        <v>231</v>
      </c>
      <c r="BS247"/>
      <c r="CL247" s="28">
        <v>138</v>
      </c>
      <c r="CM247" s="28">
        <v>130</v>
      </c>
      <c r="CO247"/>
    </row>
    <row r="248" spans="2:93" ht="16.5" hidden="1">
      <c r="B248" s="17">
        <v>244</v>
      </c>
      <c r="C248" s="363" t="s">
        <v>274</v>
      </c>
      <c r="D248" s="18">
        <v>1</v>
      </c>
      <c r="E248" s="20">
        <v>9121583100</v>
      </c>
      <c r="F248" s="18">
        <v>25</v>
      </c>
      <c r="G248" s="20">
        <v>60810554</v>
      </c>
      <c r="H248" s="20">
        <v>1096</v>
      </c>
      <c r="I248" s="20">
        <v>1387103</v>
      </c>
      <c r="J248" s="20">
        <v>54930</v>
      </c>
      <c r="K248" s="20">
        <v>55353</v>
      </c>
      <c r="L248" s="20">
        <v>900577</v>
      </c>
      <c r="M248" s="20">
        <v>5000</v>
      </c>
      <c r="N248" s="167">
        <v>13</v>
      </c>
      <c r="O248" s="167">
        <v>16</v>
      </c>
      <c r="P248" s="167">
        <v>25</v>
      </c>
      <c r="Q248" s="167">
        <v>36</v>
      </c>
      <c r="R248" s="167">
        <v>37</v>
      </c>
      <c r="S248" s="167">
        <v>38</v>
      </c>
      <c r="T248" s="167">
        <v>19</v>
      </c>
      <c r="U248" s="28">
        <f t="shared" si="202"/>
        <v>165</v>
      </c>
      <c r="W248" s="32" t="str">
        <f t="shared" si="203"/>
        <v>홀수</v>
      </c>
      <c r="X248" s="32" t="str">
        <f t="shared" si="204"/>
        <v>짝수</v>
      </c>
      <c r="Y248" s="32" t="str">
        <f t="shared" si="205"/>
        <v>홀수</v>
      </c>
      <c r="Z248" s="32" t="str">
        <f t="shared" si="206"/>
        <v>짝수</v>
      </c>
      <c r="AA248" s="32" t="str">
        <f t="shared" si="207"/>
        <v>홀수</v>
      </c>
      <c r="AB248" s="32" t="str">
        <f t="shared" si="208"/>
        <v>짝수</v>
      </c>
      <c r="AC248" s="58" t="str">
        <f t="shared" si="209"/>
        <v>3 : 3</v>
      </c>
      <c r="AD248" s="32">
        <f t="shared" si="210"/>
        <v>3</v>
      </c>
      <c r="AE248" s="32">
        <f t="shared" si="211"/>
        <v>3</v>
      </c>
      <c r="AF248" s="66" t="str">
        <f t="shared" si="175"/>
        <v>저수</v>
      </c>
      <c r="AG248" s="66" t="str">
        <f t="shared" si="176"/>
        <v>저수</v>
      </c>
      <c r="AH248" s="66" t="str">
        <f t="shared" si="177"/>
        <v>고수</v>
      </c>
      <c r="AI248" s="66" t="str">
        <f t="shared" si="178"/>
        <v>고수</v>
      </c>
      <c r="AJ248" s="66" t="str">
        <f t="shared" si="179"/>
        <v>고수</v>
      </c>
      <c r="AK248" s="66" t="str">
        <f t="shared" si="180"/>
        <v>고수</v>
      </c>
      <c r="AL248" s="58" t="str">
        <f t="shared" si="181"/>
        <v>2 : 4</v>
      </c>
      <c r="AM248" s="66">
        <f t="shared" si="182"/>
        <v>2</v>
      </c>
      <c r="AN248" s="66">
        <f t="shared" si="183"/>
        <v>4</v>
      </c>
      <c r="AO248" s="66">
        <f t="shared" si="184"/>
        <v>35</v>
      </c>
      <c r="AP248" s="66" t="str">
        <f t="shared" si="185"/>
        <v>O</v>
      </c>
      <c r="AQ248" s="66" t="str">
        <f t="shared" si="186"/>
        <v>X</v>
      </c>
      <c r="AR248" s="66" t="str">
        <f t="shared" si="187"/>
        <v>X</v>
      </c>
      <c r="AS248" s="66" t="str">
        <f t="shared" si="188"/>
        <v>X</v>
      </c>
      <c r="AT248" s="66" t="str">
        <f t="shared" si="189"/>
        <v>X</v>
      </c>
      <c r="AU248" s="66" t="str">
        <f t="shared" si="190"/>
        <v>X</v>
      </c>
      <c r="AV248" s="66" t="str">
        <f t="shared" si="191"/>
        <v>X</v>
      </c>
      <c r="AW248" s="66" t="str">
        <f t="shared" si="192"/>
        <v>X</v>
      </c>
      <c r="AX248" s="66" t="str">
        <f t="shared" si="193"/>
        <v>X</v>
      </c>
      <c r="AY248" s="66" t="str">
        <f t="shared" si="194"/>
        <v>X</v>
      </c>
      <c r="AZ248" s="66" t="str">
        <f t="shared" si="195"/>
        <v>O</v>
      </c>
      <c r="BA248" s="66" t="str">
        <f t="shared" si="196"/>
        <v>X</v>
      </c>
      <c r="BB248" s="66">
        <f t="shared" si="197"/>
        <v>2</v>
      </c>
      <c r="BC248" s="127" t="str">
        <f t="shared" si="168"/>
        <v>1G</v>
      </c>
      <c r="BD248" s="127" t="str">
        <f t="shared" si="169"/>
        <v>2G</v>
      </c>
      <c r="BE248" s="127" t="str">
        <f t="shared" si="170"/>
        <v>2G</v>
      </c>
      <c r="BF248" s="127" t="str">
        <f t="shared" si="171"/>
        <v>3G</v>
      </c>
      <c r="BG248" s="127" t="str">
        <f t="shared" si="172"/>
        <v>3G</v>
      </c>
      <c r="BH248" s="127" t="str">
        <f t="shared" si="173"/>
        <v>3G</v>
      </c>
      <c r="BI248" s="127">
        <f t="shared" si="198"/>
        <v>1</v>
      </c>
      <c r="BJ248" s="127">
        <f t="shared" si="199"/>
        <v>2</v>
      </c>
      <c r="BK248" s="127">
        <f t="shared" si="200"/>
        <v>3</v>
      </c>
      <c r="BL248" s="127" t="str">
        <f t="shared" si="201"/>
        <v>123</v>
      </c>
      <c r="BS248"/>
      <c r="CL248" s="28">
        <v>138</v>
      </c>
      <c r="CM248" s="28">
        <v>130</v>
      </c>
      <c r="CO248"/>
    </row>
    <row r="249" spans="2:93" ht="16.5" hidden="1">
      <c r="B249" s="17">
        <v>245</v>
      </c>
      <c r="C249" s="363" t="s">
        <v>275</v>
      </c>
      <c r="D249" s="18">
        <v>7</v>
      </c>
      <c r="E249" s="20">
        <v>1382583129</v>
      </c>
      <c r="F249" s="18">
        <v>35</v>
      </c>
      <c r="G249" s="20">
        <v>46086105</v>
      </c>
      <c r="H249" s="20">
        <v>1092</v>
      </c>
      <c r="I249" s="20">
        <v>1477119</v>
      </c>
      <c r="J249" s="20">
        <v>57445</v>
      </c>
      <c r="K249" s="20">
        <v>56159</v>
      </c>
      <c r="L249" s="20">
        <v>959435</v>
      </c>
      <c r="M249" s="20">
        <v>5000</v>
      </c>
      <c r="N249" s="167">
        <v>9</v>
      </c>
      <c r="O249" s="167">
        <v>11</v>
      </c>
      <c r="P249" s="167">
        <v>27</v>
      </c>
      <c r="Q249" s="167">
        <v>31</v>
      </c>
      <c r="R249" s="167">
        <v>32</v>
      </c>
      <c r="S249" s="167">
        <v>38</v>
      </c>
      <c r="T249" s="167">
        <v>22</v>
      </c>
      <c r="U249" s="28">
        <f t="shared" si="202"/>
        <v>148</v>
      </c>
      <c r="W249" s="32" t="str">
        <f t="shared" si="203"/>
        <v>홀수</v>
      </c>
      <c r="X249" s="32" t="str">
        <f t="shared" si="204"/>
        <v>홀수</v>
      </c>
      <c r="Y249" s="32" t="str">
        <f t="shared" si="205"/>
        <v>홀수</v>
      </c>
      <c r="Z249" s="32" t="str">
        <f t="shared" si="206"/>
        <v>홀수</v>
      </c>
      <c r="AA249" s="32" t="str">
        <f t="shared" si="207"/>
        <v>짝수</v>
      </c>
      <c r="AB249" s="32" t="str">
        <f t="shared" si="208"/>
        <v>짝수</v>
      </c>
      <c r="AC249" s="58" t="str">
        <f t="shared" si="209"/>
        <v>4 : 2</v>
      </c>
      <c r="AD249" s="32">
        <f t="shared" si="210"/>
        <v>4</v>
      </c>
      <c r="AE249" s="32">
        <f t="shared" si="211"/>
        <v>2</v>
      </c>
      <c r="AF249" s="66" t="str">
        <f t="shared" si="175"/>
        <v>저수</v>
      </c>
      <c r="AG249" s="66" t="str">
        <f t="shared" si="176"/>
        <v>저수</v>
      </c>
      <c r="AH249" s="66" t="str">
        <f t="shared" si="177"/>
        <v>고수</v>
      </c>
      <c r="AI249" s="66" t="str">
        <f t="shared" si="178"/>
        <v>고수</v>
      </c>
      <c r="AJ249" s="66" t="str">
        <f t="shared" si="179"/>
        <v>고수</v>
      </c>
      <c r="AK249" s="66" t="str">
        <f t="shared" si="180"/>
        <v>고수</v>
      </c>
      <c r="AL249" s="58" t="str">
        <f t="shared" si="181"/>
        <v>2 : 4</v>
      </c>
      <c r="AM249" s="66">
        <f t="shared" si="182"/>
        <v>2</v>
      </c>
      <c r="AN249" s="66">
        <f t="shared" si="183"/>
        <v>4</v>
      </c>
      <c r="AO249" s="66">
        <f t="shared" si="184"/>
        <v>28</v>
      </c>
      <c r="AP249" s="66" t="str">
        <f t="shared" si="185"/>
        <v>X</v>
      </c>
      <c r="AQ249" s="66" t="str">
        <f t="shared" si="186"/>
        <v>O</v>
      </c>
      <c r="AR249" s="66" t="str">
        <f t="shared" si="187"/>
        <v>X</v>
      </c>
      <c r="AS249" s="66" t="str">
        <f t="shared" si="188"/>
        <v>X</v>
      </c>
      <c r="AT249" s="66" t="str">
        <f t="shared" si="189"/>
        <v>X</v>
      </c>
      <c r="AU249" s="66" t="str">
        <f t="shared" si="190"/>
        <v>X</v>
      </c>
      <c r="AV249" s="66" t="str">
        <f t="shared" si="191"/>
        <v>X</v>
      </c>
      <c r="AW249" s="66" t="str">
        <f t="shared" si="192"/>
        <v>X</v>
      </c>
      <c r="AX249" s="66" t="str">
        <f t="shared" si="193"/>
        <v>X</v>
      </c>
      <c r="AY249" s="66" t="str">
        <f t="shared" si="194"/>
        <v>O</v>
      </c>
      <c r="AZ249" s="66" t="str">
        <f t="shared" si="195"/>
        <v>X</v>
      </c>
      <c r="BA249" s="66" t="str">
        <f t="shared" si="196"/>
        <v>X</v>
      </c>
      <c r="BB249" s="66">
        <f t="shared" si="197"/>
        <v>2</v>
      </c>
      <c r="BC249" s="127" t="str">
        <f t="shared" si="168"/>
        <v>1G</v>
      </c>
      <c r="BD249" s="127" t="str">
        <f t="shared" si="169"/>
        <v>1G</v>
      </c>
      <c r="BE249" s="127" t="str">
        <f t="shared" si="170"/>
        <v>2G</v>
      </c>
      <c r="BF249" s="127" t="str">
        <f t="shared" si="171"/>
        <v>3G</v>
      </c>
      <c r="BG249" s="127" t="str">
        <f t="shared" si="172"/>
        <v>3G</v>
      </c>
      <c r="BH249" s="127" t="str">
        <f t="shared" si="173"/>
        <v>3G</v>
      </c>
      <c r="BI249" s="127">
        <f t="shared" si="198"/>
        <v>2</v>
      </c>
      <c r="BJ249" s="127">
        <f t="shared" si="199"/>
        <v>1</v>
      </c>
      <c r="BK249" s="127">
        <f t="shared" si="200"/>
        <v>3</v>
      </c>
      <c r="BL249" s="127" t="str">
        <f t="shared" si="201"/>
        <v>213</v>
      </c>
      <c r="BS249"/>
      <c r="CL249" s="28">
        <v>138</v>
      </c>
      <c r="CM249" s="28">
        <v>130</v>
      </c>
      <c r="CO249"/>
    </row>
    <row r="250" spans="2:93" ht="16.5" hidden="1">
      <c r="B250" s="17">
        <v>246</v>
      </c>
      <c r="C250" s="363" t="s">
        <v>276</v>
      </c>
      <c r="D250" s="18">
        <v>5</v>
      </c>
      <c r="E250" s="20">
        <v>1911774240</v>
      </c>
      <c r="F250" s="18">
        <v>26</v>
      </c>
      <c r="G250" s="20">
        <v>61274816</v>
      </c>
      <c r="H250" s="20">
        <v>1294</v>
      </c>
      <c r="I250" s="20">
        <v>1231179</v>
      </c>
      <c r="J250" s="20">
        <v>59600</v>
      </c>
      <c r="K250" s="20">
        <v>53462</v>
      </c>
      <c r="L250" s="20">
        <v>959025</v>
      </c>
      <c r="M250" s="20">
        <v>5000</v>
      </c>
      <c r="N250" s="167">
        <v>13</v>
      </c>
      <c r="O250" s="167">
        <v>18</v>
      </c>
      <c r="P250" s="167">
        <v>21</v>
      </c>
      <c r="Q250" s="167">
        <v>23</v>
      </c>
      <c r="R250" s="167">
        <v>26</v>
      </c>
      <c r="S250" s="167">
        <v>39</v>
      </c>
      <c r="T250" s="167">
        <v>15</v>
      </c>
      <c r="U250" s="28">
        <f t="shared" si="202"/>
        <v>140</v>
      </c>
      <c r="W250" s="32" t="str">
        <f t="shared" si="203"/>
        <v>홀수</v>
      </c>
      <c r="X250" s="32" t="str">
        <f t="shared" si="204"/>
        <v>짝수</v>
      </c>
      <c r="Y250" s="32" t="str">
        <f t="shared" si="205"/>
        <v>홀수</v>
      </c>
      <c r="Z250" s="32" t="str">
        <f t="shared" si="206"/>
        <v>홀수</v>
      </c>
      <c r="AA250" s="32" t="str">
        <f t="shared" si="207"/>
        <v>짝수</v>
      </c>
      <c r="AB250" s="32" t="str">
        <f t="shared" si="208"/>
        <v>홀수</v>
      </c>
      <c r="AC250" s="58" t="str">
        <f t="shared" si="209"/>
        <v>4 : 2</v>
      </c>
      <c r="AD250" s="32">
        <f t="shared" si="210"/>
        <v>4</v>
      </c>
      <c r="AE250" s="32">
        <f t="shared" si="211"/>
        <v>2</v>
      </c>
      <c r="AF250" s="66" t="str">
        <f t="shared" si="175"/>
        <v>저수</v>
      </c>
      <c r="AG250" s="66" t="str">
        <f t="shared" si="176"/>
        <v>저수</v>
      </c>
      <c r="AH250" s="66" t="str">
        <f t="shared" si="177"/>
        <v>저수</v>
      </c>
      <c r="AI250" s="66" t="str">
        <f t="shared" si="178"/>
        <v>고수</v>
      </c>
      <c r="AJ250" s="66" t="str">
        <f t="shared" si="179"/>
        <v>고수</v>
      </c>
      <c r="AK250" s="66" t="str">
        <f t="shared" si="180"/>
        <v>고수</v>
      </c>
      <c r="AL250" s="58" t="str">
        <f t="shared" si="181"/>
        <v>3 : 3</v>
      </c>
      <c r="AM250" s="66">
        <f t="shared" si="182"/>
        <v>3</v>
      </c>
      <c r="AN250" s="66">
        <f t="shared" si="183"/>
        <v>3</v>
      </c>
      <c r="AO250" s="66">
        <f t="shared" si="184"/>
        <v>30</v>
      </c>
      <c r="AP250" s="66" t="str">
        <f t="shared" si="185"/>
        <v>O</v>
      </c>
      <c r="AQ250" s="66" t="str">
        <f t="shared" si="186"/>
        <v>X</v>
      </c>
      <c r="AR250" s="66" t="str">
        <f t="shared" si="187"/>
        <v>X</v>
      </c>
      <c r="AS250" s="66" t="str">
        <f t="shared" si="188"/>
        <v>X</v>
      </c>
      <c r="AT250" s="66" t="str">
        <f t="shared" si="189"/>
        <v>X</v>
      </c>
      <c r="AU250" s="66" t="str">
        <f t="shared" si="190"/>
        <v>X</v>
      </c>
      <c r="AV250" s="66" t="str">
        <f t="shared" si="191"/>
        <v>X</v>
      </c>
      <c r="AW250" s="66" t="str">
        <f t="shared" si="192"/>
        <v>X</v>
      </c>
      <c r="AX250" s="66" t="str">
        <f t="shared" si="193"/>
        <v>X</v>
      </c>
      <c r="AY250" s="66" t="str">
        <f t="shared" si="194"/>
        <v>O</v>
      </c>
      <c r="AZ250" s="66" t="str">
        <f t="shared" si="195"/>
        <v>X</v>
      </c>
      <c r="BA250" s="66" t="str">
        <f t="shared" si="196"/>
        <v>X</v>
      </c>
      <c r="BB250" s="66">
        <f t="shared" si="197"/>
        <v>2</v>
      </c>
      <c r="BC250" s="127" t="str">
        <f t="shared" si="168"/>
        <v>1G</v>
      </c>
      <c r="BD250" s="127" t="str">
        <f t="shared" si="169"/>
        <v>2G</v>
      </c>
      <c r="BE250" s="127" t="str">
        <f t="shared" si="170"/>
        <v>2G</v>
      </c>
      <c r="BF250" s="127" t="str">
        <f t="shared" si="171"/>
        <v>2G</v>
      </c>
      <c r="BG250" s="127" t="str">
        <f t="shared" si="172"/>
        <v>2G</v>
      </c>
      <c r="BH250" s="127" t="str">
        <f t="shared" si="173"/>
        <v>3G</v>
      </c>
      <c r="BI250" s="127">
        <f t="shared" si="198"/>
        <v>1</v>
      </c>
      <c r="BJ250" s="127">
        <f t="shared" si="199"/>
        <v>4</v>
      </c>
      <c r="BK250" s="127">
        <f t="shared" si="200"/>
        <v>1</v>
      </c>
      <c r="BL250" s="127" t="str">
        <f t="shared" si="201"/>
        <v>141</v>
      </c>
      <c r="BS250"/>
      <c r="CL250" s="28">
        <v>138</v>
      </c>
      <c r="CM250" s="28">
        <v>130</v>
      </c>
      <c r="CO250"/>
    </row>
    <row r="251" spans="2:93" ht="16.5" hidden="1">
      <c r="B251" s="17">
        <v>247</v>
      </c>
      <c r="C251" s="363" t="s">
        <v>277</v>
      </c>
      <c r="D251" s="18">
        <v>6</v>
      </c>
      <c r="E251" s="20">
        <v>1669313900</v>
      </c>
      <c r="F251" s="18">
        <v>29</v>
      </c>
      <c r="G251" s="20">
        <v>57562549</v>
      </c>
      <c r="H251" s="20">
        <v>1019</v>
      </c>
      <c r="I251" s="20">
        <v>1638189</v>
      </c>
      <c r="J251" s="20">
        <v>52284</v>
      </c>
      <c r="K251" s="20">
        <v>63856</v>
      </c>
      <c r="L251" s="20">
        <v>884542</v>
      </c>
      <c r="M251" s="20">
        <v>5000</v>
      </c>
      <c r="N251" s="167">
        <v>12</v>
      </c>
      <c r="O251" s="167">
        <v>15</v>
      </c>
      <c r="P251" s="167">
        <v>28</v>
      </c>
      <c r="Q251" s="167">
        <v>36</v>
      </c>
      <c r="R251" s="167">
        <v>39</v>
      </c>
      <c r="S251" s="167">
        <v>40</v>
      </c>
      <c r="T251" s="167">
        <v>13</v>
      </c>
      <c r="U251" s="28">
        <f t="shared" si="202"/>
        <v>170</v>
      </c>
      <c r="W251" s="32" t="str">
        <f t="shared" si="203"/>
        <v>짝수</v>
      </c>
      <c r="X251" s="32" t="str">
        <f t="shared" si="204"/>
        <v>홀수</v>
      </c>
      <c r="Y251" s="32" t="str">
        <f t="shared" si="205"/>
        <v>짝수</v>
      </c>
      <c r="Z251" s="32" t="str">
        <f t="shared" si="206"/>
        <v>짝수</v>
      </c>
      <c r="AA251" s="32" t="str">
        <f t="shared" si="207"/>
        <v>홀수</v>
      </c>
      <c r="AB251" s="32" t="str">
        <f t="shared" si="208"/>
        <v>짝수</v>
      </c>
      <c r="AC251" s="58" t="str">
        <f t="shared" si="209"/>
        <v>2 : 4</v>
      </c>
      <c r="AD251" s="32">
        <f t="shared" si="210"/>
        <v>2</v>
      </c>
      <c r="AE251" s="32">
        <f t="shared" si="211"/>
        <v>4</v>
      </c>
      <c r="AF251" s="66" t="str">
        <f t="shared" si="175"/>
        <v>저수</v>
      </c>
      <c r="AG251" s="66" t="str">
        <f t="shared" si="176"/>
        <v>저수</v>
      </c>
      <c r="AH251" s="66" t="str">
        <f t="shared" si="177"/>
        <v>고수</v>
      </c>
      <c r="AI251" s="66" t="str">
        <f t="shared" si="178"/>
        <v>고수</v>
      </c>
      <c r="AJ251" s="66" t="str">
        <f t="shared" si="179"/>
        <v>고수</v>
      </c>
      <c r="AK251" s="66" t="str">
        <f t="shared" si="180"/>
        <v>고수</v>
      </c>
      <c r="AL251" s="58" t="str">
        <f t="shared" si="181"/>
        <v>2 : 4</v>
      </c>
      <c r="AM251" s="66">
        <f t="shared" si="182"/>
        <v>2</v>
      </c>
      <c r="AN251" s="66">
        <f t="shared" si="183"/>
        <v>4</v>
      </c>
      <c r="AO251" s="66">
        <f t="shared" si="184"/>
        <v>30</v>
      </c>
      <c r="AP251" s="66" t="str">
        <f t="shared" si="185"/>
        <v>X</v>
      </c>
      <c r="AQ251" s="66" t="str">
        <f t="shared" si="186"/>
        <v>X</v>
      </c>
      <c r="AR251" s="66" t="str">
        <f t="shared" si="187"/>
        <v>X</v>
      </c>
      <c r="AS251" s="66" t="str">
        <f t="shared" si="188"/>
        <v>X</v>
      </c>
      <c r="AT251" s="66" t="str">
        <f t="shared" si="189"/>
        <v>X</v>
      </c>
      <c r="AU251" s="66" t="str">
        <f t="shared" si="190"/>
        <v>X</v>
      </c>
      <c r="AV251" s="66" t="str">
        <f t="shared" si="191"/>
        <v>X</v>
      </c>
      <c r="AW251" s="66" t="str">
        <f t="shared" si="192"/>
        <v>X</v>
      </c>
      <c r="AX251" s="66" t="str">
        <f t="shared" si="193"/>
        <v>X</v>
      </c>
      <c r="AY251" s="66" t="str">
        <f t="shared" si="194"/>
        <v>X</v>
      </c>
      <c r="AZ251" s="66" t="str">
        <f t="shared" si="195"/>
        <v>X</v>
      </c>
      <c r="BA251" s="66" t="str">
        <f t="shared" si="196"/>
        <v>X</v>
      </c>
      <c r="BB251" s="66">
        <f t="shared" si="197"/>
        <v>0</v>
      </c>
      <c r="BC251" s="127" t="str">
        <f t="shared" si="168"/>
        <v>1G</v>
      </c>
      <c r="BD251" s="127" t="str">
        <f t="shared" si="169"/>
        <v>1G</v>
      </c>
      <c r="BE251" s="127" t="str">
        <f t="shared" si="170"/>
        <v>2G</v>
      </c>
      <c r="BF251" s="127" t="str">
        <f t="shared" si="171"/>
        <v>3G</v>
      </c>
      <c r="BG251" s="127" t="str">
        <f t="shared" si="172"/>
        <v>3G</v>
      </c>
      <c r="BH251" s="127" t="str">
        <f t="shared" si="173"/>
        <v>3G</v>
      </c>
      <c r="BI251" s="127">
        <f t="shared" si="198"/>
        <v>2</v>
      </c>
      <c r="BJ251" s="127">
        <f t="shared" si="199"/>
        <v>1</v>
      </c>
      <c r="BK251" s="127">
        <f t="shared" si="200"/>
        <v>3</v>
      </c>
      <c r="BL251" s="127" t="str">
        <f t="shared" si="201"/>
        <v>213</v>
      </c>
      <c r="BS251"/>
      <c r="CL251" s="28">
        <v>138</v>
      </c>
      <c r="CM251" s="28">
        <v>130</v>
      </c>
      <c r="CO251"/>
    </row>
    <row r="252" spans="2:93" ht="16.5" hidden="1">
      <c r="B252" s="17">
        <v>248</v>
      </c>
      <c r="C252" s="363" t="s">
        <v>278</v>
      </c>
      <c r="D252" s="18">
        <v>8</v>
      </c>
      <c r="E252" s="20">
        <v>1227479363</v>
      </c>
      <c r="F252" s="18">
        <v>23</v>
      </c>
      <c r="G252" s="20">
        <v>71158224</v>
      </c>
      <c r="H252" s="20">
        <v>1155</v>
      </c>
      <c r="I252" s="20">
        <v>1417004</v>
      </c>
      <c r="J252" s="20">
        <v>58847</v>
      </c>
      <c r="K252" s="20">
        <v>55624</v>
      </c>
      <c r="L252" s="20">
        <v>961562</v>
      </c>
      <c r="M252" s="20">
        <v>5000</v>
      </c>
      <c r="N252" s="167">
        <v>3</v>
      </c>
      <c r="O252" s="167">
        <v>8</v>
      </c>
      <c r="P252" s="167">
        <v>17</v>
      </c>
      <c r="Q252" s="167">
        <v>23</v>
      </c>
      <c r="R252" s="167">
        <v>38</v>
      </c>
      <c r="S252" s="167">
        <v>45</v>
      </c>
      <c r="T252" s="167">
        <v>13</v>
      </c>
      <c r="U252" s="28">
        <f t="shared" si="202"/>
        <v>134</v>
      </c>
      <c r="W252" s="32" t="str">
        <f t="shared" si="203"/>
        <v>홀수</v>
      </c>
      <c r="X252" s="32" t="str">
        <f t="shared" si="204"/>
        <v>짝수</v>
      </c>
      <c r="Y252" s="32" t="str">
        <f t="shared" si="205"/>
        <v>홀수</v>
      </c>
      <c r="Z252" s="32" t="str">
        <f t="shared" si="206"/>
        <v>홀수</v>
      </c>
      <c r="AA252" s="32" t="str">
        <f t="shared" si="207"/>
        <v>짝수</v>
      </c>
      <c r="AB252" s="32" t="str">
        <f t="shared" si="208"/>
        <v>홀수</v>
      </c>
      <c r="AC252" s="58" t="str">
        <f t="shared" si="209"/>
        <v>4 : 2</v>
      </c>
      <c r="AD252" s="32">
        <f t="shared" si="210"/>
        <v>4</v>
      </c>
      <c r="AE252" s="32">
        <f t="shared" si="211"/>
        <v>2</v>
      </c>
      <c r="AF252" s="66" t="str">
        <f t="shared" si="175"/>
        <v>저수</v>
      </c>
      <c r="AG252" s="66" t="str">
        <f t="shared" si="176"/>
        <v>저수</v>
      </c>
      <c r="AH252" s="66" t="str">
        <f t="shared" si="177"/>
        <v>저수</v>
      </c>
      <c r="AI252" s="66" t="str">
        <f t="shared" si="178"/>
        <v>고수</v>
      </c>
      <c r="AJ252" s="66" t="str">
        <f t="shared" si="179"/>
        <v>고수</v>
      </c>
      <c r="AK252" s="66" t="str">
        <f t="shared" si="180"/>
        <v>고수</v>
      </c>
      <c r="AL252" s="58" t="str">
        <f t="shared" si="181"/>
        <v>3 : 3</v>
      </c>
      <c r="AM252" s="66">
        <f t="shared" si="182"/>
        <v>3</v>
      </c>
      <c r="AN252" s="66">
        <f t="shared" si="183"/>
        <v>3</v>
      </c>
      <c r="AO252" s="66">
        <f t="shared" si="184"/>
        <v>34</v>
      </c>
      <c r="AP252" s="66" t="str">
        <f t="shared" si="185"/>
        <v>O</v>
      </c>
      <c r="AQ252" s="66" t="str">
        <f t="shared" si="186"/>
        <v>X</v>
      </c>
      <c r="AR252" s="66" t="str">
        <f t="shared" si="187"/>
        <v>O</v>
      </c>
      <c r="AS252" s="66" t="str">
        <f t="shared" si="188"/>
        <v>X</v>
      </c>
      <c r="AT252" s="66" t="str">
        <f t="shared" si="189"/>
        <v>X</v>
      </c>
      <c r="AU252" s="66" t="str">
        <f t="shared" si="190"/>
        <v>X</v>
      </c>
      <c r="AV252" s="66" t="str">
        <f t="shared" si="191"/>
        <v>X</v>
      </c>
      <c r="AW252" s="66" t="str">
        <f t="shared" si="192"/>
        <v>X</v>
      </c>
      <c r="AX252" s="66" t="str">
        <f t="shared" si="193"/>
        <v>X</v>
      </c>
      <c r="AY252" s="66" t="str">
        <f t="shared" si="194"/>
        <v>O</v>
      </c>
      <c r="AZ252" s="66" t="str">
        <f t="shared" si="195"/>
        <v>X</v>
      </c>
      <c r="BA252" s="66" t="str">
        <f t="shared" si="196"/>
        <v>X</v>
      </c>
      <c r="BB252" s="66">
        <f t="shared" si="197"/>
        <v>3</v>
      </c>
      <c r="BC252" s="127" t="str">
        <f t="shared" si="168"/>
        <v>1G</v>
      </c>
      <c r="BD252" s="127" t="str">
        <f t="shared" si="169"/>
        <v>1G</v>
      </c>
      <c r="BE252" s="127" t="str">
        <f t="shared" si="170"/>
        <v>2G</v>
      </c>
      <c r="BF252" s="127" t="str">
        <f t="shared" si="171"/>
        <v>2G</v>
      </c>
      <c r="BG252" s="127" t="str">
        <f t="shared" si="172"/>
        <v>3G</v>
      </c>
      <c r="BH252" s="127" t="str">
        <f t="shared" si="173"/>
        <v>3G</v>
      </c>
      <c r="BI252" s="127">
        <f t="shared" si="198"/>
        <v>2</v>
      </c>
      <c r="BJ252" s="127">
        <f t="shared" si="199"/>
        <v>2</v>
      </c>
      <c r="BK252" s="127">
        <f t="shared" si="200"/>
        <v>2</v>
      </c>
      <c r="BL252" s="127" t="str">
        <f t="shared" si="201"/>
        <v>222</v>
      </c>
      <c r="BS252"/>
      <c r="CL252" s="28">
        <v>139</v>
      </c>
      <c r="CM252" s="28">
        <v>130</v>
      </c>
      <c r="CO252"/>
    </row>
    <row r="253" spans="2:93" ht="16.5" hidden="1">
      <c r="B253" s="17">
        <v>249</v>
      </c>
      <c r="C253" s="363" t="s">
        <v>279</v>
      </c>
      <c r="D253" s="18">
        <v>6</v>
      </c>
      <c r="E253" s="20">
        <v>1663568700</v>
      </c>
      <c r="F253" s="18">
        <v>29</v>
      </c>
      <c r="G253" s="20">
        <v>57364438</v>
      </c>
      <c r="H253" s="20">
        <v>1169</v>
      </c>
      <c r="I253" s="20">
        <v>1423070</v>
      </c>
      <c r="J253" s="20">
        <v>56034</v>
      </c>
      <c r="K253" s="20">
        <v>59378</v>
      </c>
      <c r="L253" s="20">
        <v>926776</v>
      </c>
      <c r="M253" s="20">
        <v>5000</v>
      </c>
      <c r="N253" s="167">
        <v>3</v>
      </c>
      <c r="O253" s="167">
        <v>8</v>
      </c>
      <c r="P253" s="167">
        <v>27</v>
      </c>
      <c r="Q253" s="167">
        <v>31</v>
      </c>
      <c r="R253" s="167">
        <v>41</v>
      </c>
      <c r="S253" s="167">
        <v>44</v>
      </c>
      <c r="T253" s="167">
        <v>11</v>
      </c>
      <c r="U253" s="28">
        <f t="shared" si="202"/>
        <v>154</v>
      </c>
      <c r="W253" s="32" t="str">
        <f t="shared" si="203"/>
        <v>홀수</v>
      </c>
      <c r="X253" s="32" t="str">
        <f t="shared" si="204"/>
        <v>짝수</v>
      </c>
      <c r="Y253" s="32" t="str">
        <f t="shared" si="205"/>
        <v>홀수</v>
      </c>
      <c r="Z253" s="32" t="str">
        <f t="shared" si="206"/>
        <v>홀수</v>
      </c>
      <c r="AA253" s="32" t="str">
        <f t="shared" si="207"/>
        <v>홀수</v>
      </c>
      <c r="AB253" s="32" t="str">
        <f t="shared" si="208"/>
        <v>짝수</v>
      </c>
      <c r="AC253" s="58" t="str">
        <f t="shared" si="209"/>
        <v>4 : 2</v>
      </c>
      <c r="AD253" s="32">
        <f t="shared" si="210"/>
        <v>4</v>
      </c>
      <c r="AE253" s="32">
        <f t="shared" si="211"/>
        <v>2</v>
      </c>
      <c r="AF253" s="66" t="str">
        <f t="shared" si="175"/>
        <v>저수</v>
      </c>
      <c r="AG253" s="66" t="str">
        <f t="shared" si="176"/>
        <v>저수</v>
      </c>
      <c r="AH253" s="66" t="str">
        <f t="shared" si="177"/>
        <v>고수</v>
      </c>
      <c r="AI253" s="66" t="str">
        <f t="shared" si="178"/>
        <v>고수</v>
      </c>
      <c r="AJ253" s="66" t="str">
        <f t="shared" si="179"/>
        <v>고수</v>
      </c>
      <c r="AK253" s="66" t="str">
        <f t="shared" si="180"/>
        <v>고수</v>
      </c>
      <c r="AL253" s="58" t="str">
        <f t="shared" si="181"/>
        <v>2 : 4</v>
      </c>
      <c r="AM253" s="66">
        <f t="shared" si="182"/>
        <v>2</v>
      </c>
      <c r="AN253" s="66">
        <f t="shared" si="183"/>
        <v>4</v>
      </c>
      <c r="AO253" s="66">
        <f t="shared" si="184"/>
        <v>24</v>
      </c>
      <c r="AP253" s="66" t="str">
        <f t="shared" si="185"/>
        <v>O</v>
      </c>
      <c r="AQ253" s="66" t="str">
        <f t="shared" si="186"/>
        <v>X</v>
      </c>
      <c r="AR253" s="66" t="str">
        <f t="shared" si="187"/>
        <v>X</v>
      </c>
      <c r="AS253" s="66" t="str">
        <f t="shared" si="188"/>
        <v>X</v>
      </c>
      <c r="AT253" s="66" t="str">
        <f t="shared" si="189"/>
        <v>X</v>
      </c>
      <c r="AU253" s="66" t="str">
        <f t="shared" si="190"/>
        <v>X</v>
      </c>
      <c r="AV253" s="66" t="str">
        <f t="shared" si="191"/>
        <v>X</v>
      </c>
      <c r="AW253" s="66" t="str">
        <f t="shared" si="192"/>
        <v>X</v>
      </c>
      <c r="AX253" s="66" t="str">
        <f t="shared" si="193"/>
        <v>X</v>
      </c>
      <c r="AY253" s="66" t="str">
        <f t="shared" si="194"/>
        <v>O</v>
      </c>
      <c r="AZ253" s="66" t="str">
        <f t="shared" si="195"/>
        <v>O</v>
      </c>
      <c r="BA253" s="66" t="str">
        <f t="shared" si="196"/>
        <v>X</v>
      </c>
      <c r="BB253" s="66">
        <f t="shared" si="197"/>
        <v>3</v>
      </c>
      <c r="BC253" s="127" t="str">
        <f t="shared" si="168"/>
        <v>1G</v>
      </c>
      <c r="BD253" s="127" t="str">
        <f t="shared" si="169"/>
        <v>1G</v>
      </c>
      <c r="BE253" s="127" t="str">
        <f t="shared" si="170"/>
        <v>2G</v>
      </c>
      <c r="BF253" s="127" t="str">
        <f t="shared" si="171"/>
        <v>3G</v>
      </c>
      <c r="BG253" s="127" t="str">
        <f t="shared" si="172"/>
        <v>3G</v>
      </c>
      <c r="BH253" s="127" t="str">
        <f t="shared" si="173"/>
        <v>3G</v>
      </c>
      <c r="BI253" s="127">
        <f t="shared" si="198"/>
        <v>2</v>
      </c>
      <c r="BJ253" s="127">
        <f t="shared" si="199"/>
        <v>1</v>
      </c>
      <c r="BK253" s="127">
        <f t="shared" si="200"/>
        <v>3</v>
      </c>
      <c r="BL253" s="127" t="str">
        <f t="shared" si="201"/>
        <v>213</v>
      </c>
      <c r="BS253"/>
      <c r="CL253" s="28">
        <v>139</v>
      </c>
      <c r="CM253" s="28">
        <v>130</v>
      </c>
      <c r="CO253"/>
    </row>
    <row r="254" spans="2:93" ht="16.5" hidden="1">
      <c r="B254" s="17">
        <v>250</v>
      </c>
      <c r="C254" s="363" t="s">
        <v>280</v>
      </c>
      <c r="D254" s="18">
        <v>5</v>
      </c>
      <c r="E254" s="20">
        <v>1994726280</v>
      </c>
      <c r="F254" s="18">
        <v>17</v>
      </c>
      <c r="G254" s="20">
        <v>97780700</v>
      </c>
      <c r="H254" s="20">
        <v>1051</v>
      </c>
      <c r="I254" s="20">
        <v>1581610</v>
      </c>
      <c r="J254" s="20">
        <v>51328</v>
      </c>
      <c r="K254" s="20">
        <v>64771</v>
      </c>
      <c r="L254" s="20">
        <v>887737</v>
      </c>
      <c r="M254" s="20">
        <v>5000</v>
      </c>
      <c r="N254" s="167">
        <v>19</v>
      </c>
      <c r="O254" s="167">
        <v>23</v>
      </c>
      <c r="P254" s="167">
        <v>30</v>
      </c>
      <c r="Q254" s="167">
        <v>37</v>
      </c>
      <c r="R254" s="167">
        <v>43</v>
      </c>
      <c r="S254" s="167">
        <v>45</v>
      </c>
      <c r="T254" s="167">
        <v>38</v>
      </c>
      <c r="U254" s="28">
        <f t="shared" si="202"/>
        <v>197</v>
      </c>
      <c r="W254" s="32" t="str">
        <f t="shared" si="203"/>
        <v>홀수</v>
      </c>
      <c r="X254" s="32" t="str">
        <f t="shared" si="204"/>
        <v>홀수</v>
      </c>
      <c r="Y254" s="32" t="str">
        <f t="shared" si="205"/>
        <v>짝수</v>
      </c>
      <c r="Z254" s="32" t="str">
        <f t="shared" si="206"/>
        <v>홀수</v>
      </c>
      <c r="AA254" s="32" t="str">
        <f t="shared" si="207"/>
        <v>홀수</v>
      </c>
      <c r="AB254" s="32" t="str">
        <f t="shared" si="208"/>
        <v>홀수</v>
      </c>
      <c r="AC254" s="58" t="str">
        <f t="shared" si="209"/>
        <v>5 : 1</v>
      </c>
      <c r="AD254" s="32">
        <f t="shared" si="210"/>
        <v>5</v>
      </c>
      <c r="AE254" s="32">
        <f t="shared" si="211"/>
        <v>1</v>
      </c>
      <c r="AF254" s="66" t="str">
        <f t="shared" si="175"/>
        <v>저수</v>
      </c>
      <c r="AG254" s="66" t="str">
        <f t="shared" si="176"/>
        <v>고수</v>
      </c>
      <c r="AH254" s="66" t="str">
        <f t="shared" si="177"/>
        <v>고수</v>
      </c>
      <c r="AI254" s="66" t="str">
        <f t="shared" si="178"/>
        <v>고수</v>
      </c>
      <c r="AJ254" s="66" t="str">
        <f t="shared" si="179"/>
        <v>고수</v>
      </c>
      <c r="AK254" s="66" t="str">
        <f t="shared" si="180"/>
        <v>고수</v>
      </c>
      <c r="AL254" s="58" t="str">
        <f t="shared" si="181"/>
        <v>1 : 5</v>
      </c>
      <c r="AM254" s="66">
        <f t="shared" si="182"/>
        <v>1</v>
      </c>
      <c r="AN254" s="66">
        <f t="shared" si="183"/>
        <v>5</v>
      </c>
      <c r="AO254" s="66">
        <f t="shared" si="184"/>
        <v>27</v>
      </c>
      <c r="AP254" s="66" t="str">
        <f t="shared" si="185"/>
        <v>O</v>
      </c>
      <c r="AQ254" s="66" t="str">
        <f t="shared" si="186"/>
        <v>X</v>
      </c>
      <c r="AR254" s="66" t="str">
        <f t="shared" si="187"/>
        <v>X</v>
      </c>
      <c r="AS254" s="66" t="str">
        <f t="shared" si="188"/>
        <v>X</v>
      </c>
      <c r="AT254" s="66" t="str">
        <f t="shared" si="189"/>
        <v>X</v>
      </c>
      <c r="AU254" s="66" t="str">
        <f t="shared" si="190"/>
        <v>X</v>
      </c>
      <c r="AV254" s="66" t="str">
        <f t="shared" si="191"/>
        <v>X</v>
      </c>
      <c r="AW254" s="66" t="str">
        <f t="shared" si="192"/>
        <v>O</v>
      </c>
      <c r="AX254" s="66" t="str">
        <f t="shared" si="193"/>
        <v>X</v>
      </c>
      <c r="AY254" s="66" t="str">
        <f t="shared" si="194"/>
        <v>O</v>
      </c>
      <c r="AZ254" s="66" t="str">
        <f t="shared" si="195"/>
        <v>O</v>
      </c>
      <c r="BA254" s="66" t="str">
        <f t="shared" si="196"/>
        <v>X</v>
      </c>
      <c r="BB254" s="66">
        <f t="shared" si="197"/>
        <v>4</v>
      </c>
      <c r="BC254" s="127" t="str">
        <f t="shared" si="168"/>
        <v>2G</v>
      </c>
      <c r="BD254" s="127" t="str">
        <f t="shared" si="169"/>
        <v>2G</v>
      </c>
      <c r="BE254" s="127" t="str">
        <f t="shared" si="170"/>
        <v>2G</v>
      </c>
      <c r="BF254" s="127" t="str">
        <f t="shared" si="171"/>
        <v>3G</v>
      </c>
      <c r="BG254" s="127" t="str">
        <f t="shared" si="172"/>
        <v>3G</v>
      </c>
      <c r="BH254" s="127" t="str">
        <f t="shared" si="173"/>
        <v>3G</v>
      </c>
      <c r="BI254" s="127">
        <f t="shared" si="198"/>
        <v>0</v>
      </c>
      <c r="BJ254" s="127">
        <f t="shared" si="199"/>
        <v>3</v>
      </c>
      <c r="BK254" s="127">
        <f t="shared" si="200"/>
        <v>3</v>
      </c>
      <c r="BL254" s="127" t="str">
        <f t="shared" si="201"/>
        <v>033</v>
      </c>
      <c r="BS254"/>
      <c r="CL254" s="28">
        <v>139</v>
      </c>
      <c r="CM254" s="28">
        <v>130</v>
      </c>
      <c r="CO254"/>
    </row>
    <row r="255" spans="2:93" ht="16.5" hidden="1">
      <c r="B255" s="17">
        <v>251</v>
      </c>
      <c r="C255" s="363" t="s">
        <v>281</v>
      </c>
      <c r="D255" s="18">
        <v>8</v>
      </c>
      <c r="E255" s="20">
        <v>1282616400</v>
      </c>
      <c r="F255" s="18">
        <v>40</v>
      </c>
      <c r="G255" s="20">
        <v>42753880</v>
      </c>
      <c r="H255" s="20">
        <v>1242</v>
      </c>
      <c r="I255" s="20">
        <v>1376937</v>
      </c>
      <c r="J255" s="20">
        <v>62015</v>
      </c>
      <c r="K255" s="20">
        <v>55153</v>
      </c>
      <c r="L255" s="20">
        <v>1028991</v>
      </c>
      <c r="M255" s="20">
        <v>5000</v>
      </c>
      <c r="N255" s="167">
        <v>6</v>
      </c>
      <c r="O255" s="167">
        <v>7</v>
      </c>
      <c r="P255" s="167">
        <v>19</v>
      </c>
      <c r="Q255" s="167">
        <v>25</v>
      </c>
      <c r="R255" s="167">
        <v>28</v>
      </c>
      <c r="S255" s="167">
        <v>38</v>
      </c>
      <c r="T255" s="167">
        <v>45</v>
      </c>
      <c r="U255" s="28">
        <f t="shared" si="202"/>
        <v>123</v>
      </c>
      <c r="W255" s="32" t="str">
        <f t="shared" si="203"/>
        <v>짝수</v>
      </c>
      <c r="X255" s="32" t="str">
        <f t="shared" si="204"/>
        <v>홀수</v>
      </c>
      <c r="Y255" s="32" t="str">
        <f t="shared" si="205"/>
        <v>홀수</v>
      </c>
      <c r="Z255" s="32" t="str">
        <f t="shared" si="206"/>
        <v>홀수</v>
      </c>
      <c r="AA255" s="32" t="str">
        <f t="shared" si="207"/>
        <v>짝수</v>
      </c>
      <c r="AB255" s="32" t="str">
        <f t="shared" si="208"/>
        <v>짝수</v>
      </c>
      <c r="AC255" s="58" t="str">
        <f t="shared" si="209"/>
        <v>3 : 3</v>
      </c>
      <c r="AD255" s="32">
        <f t="shared" si="210"/>
        <v>3</v>
      </c>
      <c r="AE255" s="32">
        <f t="shared" si="211"/>
        <v>3</v>
      </c>
      <c r="AF255" s="66" t="str">
        <f t="shared" si="175"/>
        <v>저수</v>
      </c>
      <c r="AG255" s="66" t="str">
        <f t="shared" si="176"/>
        <v>저수</v>
      </c>
      <c r="AH255" s="66" t="str">
        <f t="shared" si="177"/>
        <v>저수</v>
      </c>
      <c r="AI255" s="66" t="str">
        <f t="shared" si="178"/>
        <v>고수</v>
      </c>
      <c r="AJ255" s="66" t="str">
        <f t="shared" si="179"/>
        <v>고수</v>
      </c>
      <c r="AK255" s="66" t="str">
        <f t="shared" si="180"/>
        <v>고수</v>
      </c>
      <c r="AL255" s="58" t="str">
        <f t="shared" si="181"/>
        <v>3 : 3</v>
      </c>
      <c r="AM255" s="66">
        <f t="shared" si="182"/>
        <v>3</v>
      </c>
      <c r="AN255" s="66">
        <f t="shared" si="183"/>
        <v>3</v>
      </c>
      <c r="AO255" s="66">
        <f t="shared" si="184"/>
        <v>43</v>
      </c>
      <c r="AP255" s="66" t="str">
        <f t="shared" si="185"/>
        <v>X</v>
      </c>
      <c r="AQ255" s="66" t="str">
        <f t="shared" si="186"/>
        <v>O</v>
      </c>
      <c r="AR255" s="66" t="str">
        <f t="shared" si="187"/>
        <v>O</v>
      </c>
      <c r="AS255" s="66" t="str">
        <f t="shared" si="188"/>
        <v>X</v>
      </c>
      <c r="AT255" s="66" t="str">
        <f t="shared" si="189"/>
        <v>X</v>
      </c>
      <c r="AU255" s="66" t="str">
        <f t="shared" si="190"/>
        <v>X</v>
      </c>
      <c r="AV255" s="66" t="str">
        <f t="shared" si="191"/>
        <v>X</v>
      </c>
      <c r="AW255" s="66" t="str">
        <f t="shared" si="192"/>
        <v>X</v>
      </c>
      <c r="AX255" s="66" t="str">
        <f t="shared" si="193"/>
        <v>X</v>
      </c>
      <c r="AY255" s="66" t="str">
        <f t="shared" si="194"/>
        <v>X</v>
      </c>
      <c r="AZ255" s="66" t="str">
        <f t="shared" si="195"/>
        <v>X</v>
      </c>
      <c r="BA255" s="66" t="str">
        <f t="shared" si="196"/>
        <v>X</v>
      </c>
      <c r="BB255" s="66">
        <f t="shared" si="197"/>
        <v>2</v>
      </c>
      <c r="BC255" s="127" t="str">
        <f t="shared" si="168"/>
        <v>1G</v>
      </c>
      <c r="BD255" s="127" t="str">
        <f t="shared" si="169"/>
        <v>1G</v>
      </c>
      <c r="BE255" s="127" t="str">
        <f t="shared" si="170"/>
        <v>2G</v>
      </c>
      <c r="BF255" s="127" t="str">
        <f t="shared" si="171"/>
        <v>2G</v>
      </c>
      <c r="BG255" s="127" t="str">
        <f t="shared" si="172"/>
        <v>2G</v>
      </c>
      <c r="BH255" s="127" t="str">
        <f t="shared" si="173"/>
        <v>3G</v>
      </c>
      <c r="BI255" s="127">
        <f t="shared" si="198"/>
        <v>2</v>
      </c>
      <c r="BJ255" s="127">
        <f t="shared" si="199"/>
        <v>3</v>
      </c>
      <c r="BK255" s="127">
        <f t="shared" si="200"/>
        <v>1</v>
      </c>
      <c r="BL255" s="127" t="str">
        <f t="shared" si="201"/>
        <v>231</v>
      </c>
      <c r="BS255"/>
      <c r="CL255" s="28">
        <v>139</v>
      </c>
      <c r="CM255" s="28">
        <v>130</v>
      </c>
      <c r="CO255"/>
    </row>
    <row r="256" spans="2:93" ht="16.5" hidden="1">
      <c r="B256" s="17">
        <v>252</v>
      </c>
      <c r="C256" s="363" t="s">
        <v>282</v>
      </c>
      <c r="D256" s="18">
        <v>7</v>
      </c>
      <c r="E256" s="20">
        <v>1391089715</v>
      </c>
      <c r="F256" s="18">
        <v>24</v>
      </c>
      <c r="G256" s="20">
        <v>67622417</v>
      </c>
      <c r="H256" s="20">
        <v>1087</v>
      </c>
      <c r="I256" s="20">
        <v>1493044</v>
      </c>
      <c r="J256" s="20">
        <v>51895</v>
      </c>
      <c r="K256" s="20">
        <v>62547</v>
      </c>
      <c r="L256" s="20">
        <v>874916</v>
      </c>
      <c r="M256" s="20">
        <v>5000</v>
      </c>
      <c r="N256" s="167">
        <v>14</v>
      </c>
      <c r="O256" s="167">
        <v>23</v>
      </c>
      <c r="P256" s="167">
        <v>26</v>
      </c>
      <c r="Q256" s="167">
        <v>31</v>
      </c>
      <c r="R256" s="167">
        <v>39</v>
      </c>
      <c r="S256" s="167">
        <v>45</v>
      </c>
      <c r="T256" s="167">
        <v>28</v>
      </c>
      <c r="U256" s="28">
        <f t="shared" si="202"/>
        <v>178</v>
      </c>
      <c r="W256" s="32" t="str">
        <f t="shared" si="203"/>
        <v>짝수</v>
      </c>
      <c r="X256" s="32" t="str">
        <f t="shared" si="204"/>
        <v>홀수</v>
      </c>
      <c r="Y256" s="32" t="str">
        <f t="shared" si="205"/>
        <v>짝수</v>
      </c>
      <c r="Z256" s="32" t="str">
        <f t="shared" si="206"/>
        <v>홀수</v>
      </c>
      <c r="AA256" s="32" t="str">
        <f t="shared" si="207"/>
        <v>홀수</v>
      </c>
      <c r="AB256" s="32" t="str">
        <f t="shared" si="208"/>
        <v>홀수</v>
      </c>
      <c r="AC256" s="58" t="str">
        <f t="shared" si="209"/>
        <v>4 : 2</v>
      </c>
      <c r="AD256" s="32">
        <f t="shared" si="210"/>
        <v>4</v>
      </c>
      <c r="AE256" s="32">
        <f t="shared" si="211"/>
        <v>2</v>
      </c>
      <c r="AF256" s="66" t="str">
        <f t="shared" si="175"/>
        <v>저수</v>
      </c>
      <c r="AG256" s="66" t="str">
        <f t="shared" si="176"/>
        <v>고수</v>
      </c>
      <c r="AH256" s="66" t="str">
        <f t="shared" si="177"/>
        <v>고수</v>
      </c>
      <c r="AI256" s="66" t="str">
        <f t="shared" si="178"/>
        <v>고수</v>
      </c>
      <c r="AJ256" s="66" t="str">
        <f t="shared" si="179"/>
        <v>고수</v>
      </c>
      <c r="AK256" s="66" t="str">
        <f t="shared" si="180"/>
        <v>고수</v>
      </c>
      <c r="AL256" s="58" t="str">
        <f t="shared" si="181"/>
        <v>1 : 5</v>
      </c>
      <c r="AM256" s="66">
        <f t="shared" si="182"/>
        <v>1</v>
      </c>
      <c r="AN256" s="66">
        <f t="shared" si="183"/>
        <v>5</v>
      </c>
      <c r="AO256" s="66">
        <f t="shared" si="184"/>
        <v>28</v>
      </c>
      <c r="AP256" s="66" t="str">
        <f t="shared" si="185"/>
        <v>X</v>
      </c>
      <c r="AQ256" s="66" t="str">
        <f t="shared" si="186"/>
        <v>X</v>
      </c>
      <c r="AR256" s="66" t="str">
        <f t="shared" si="187"/>
        <v>X</v>
      </c>
      <c r="AS256" s="66" t="str">
        <f t="shared" si="188"/>
        <v>X</v>
      </c>
      <c r="AT256" s="66" t="str">
        <f t="shared" si="189"/>
        <v>X</v>
      </c>
      <c r="AU256" s="66" t="str">
        <f t="shared" si="190"/>
        <v>X</v>
      </c>
      <c r="AV256" s="66" t="str">
        <f t="shared" si="191"/>
        <v>X</v>
      </c>
      <c r="AW256" s="66" t="str">
        <f t="shared" si="192"/>
        <v>O</v>
      </c>
      <c r="AX256" s="66" t="str">
        <f t="shared" si="193"/>
        <v>X</v>
      </c>
      <c r="AY256" s="66" t="str">
        <f t="shared" si="194"/>
        <v>O</v>
      </c>
      <c r="AZ256" s="66" t="str">
        <f t="shared" si="195"/>
        <v>X</v>
      </c>
      <c r="BA256" s="66" t="str">
        <f t="shared" si="196"/>
        <v>X</v>
      </c>
      <c r="BB256" s="66">
        <f t="shared" si="197"/>
        <v>2</v>
      </c>
      <c r="BC256" s="127" t="str">
        <f t="shared" si="168"/>
        <v>1G</v>
      </c>
      <c r="BD256" s="127" t="str">
        <f t="shared" si="169"/>
        <v>2G</v>
      </c>
      <c r="BE256" s="127" t="str">
        <f t="shared" si="170"/>
        <v>2G</v>
      </c>
      <c r="BF256" s="127" t="str">
        <f t="shared" si="171"/>
        <v>3G</v>
      </c>
      <c r="BG256" s="127" t="str">
        <f t="shared" si="172"/>
        <v>3G</v>
      </c>
      <c r="BH256" s="127" t="str">
        <f t="shared" si="173"/>
        <v>3G</v>
      </c>
      <c r="BI256" s="127">
        <f t="shared" si="198"/>
        <v>1</v>
      </c>
      <c r="BJ256" s="127">
        <f t="shared" si="199"/>
        <v>2</v>
      </c>
      <c r="BK256" s="127">
        <f t="shared" si="200"/>
        <v>3</v>
      </c>
      <c r="BL256" s="127" t="str">
        <f t="shared" si="201"/>
        <v>123</v>
      </c>
      <c r="BS256"/>
      <c r="CL256" s="28">
        <v>139</v>
      </c>
      <c r="CM256" s="28">
        <v>130</v>
      </c>
      <c r="CO256"/>
    </row>
    <row r="257" spans="1:93" ht="16.5" hidden="1">
      <c r="B257" s="17">
        <v>253</v>
      </c>
      <c r="C257" s="363" t="s">
        <v>283</v>
      </c>
      <c r="D257" s="18">
        <v>4</v>
      </c>
      <c r="E257" s="20">
        <v>2466189525</v>
      </c>
      <c r="F257" s="18">
        <v>20</v>
      </c>
      <c r="G257" s="20">
        <v>82206318</v>
      </c>
      <c r="H257" s="20">
        <v>1169</v>
      </c>
      <c r="I257" s="20">
        <v>1406439</v>
      </c>
      <c r="J257" s="20">
        <v>57084</v>
      </c>
      <c r="K257" s="20">
        <v>57604</v>
      </c>
      <c r="L257" s="20">
        <v>942682</v>
      </c>
      <c r="M257" s="20">
        <v>5000</v>
      </c>
      <c r="N257" s="167">
        <v>8</v>
      </c>
      <c r="O257" s="167">
        <v>19</v>
      </c>
      <c r="P257" s="167">
        <v>25</v>
      </c>
      <c r="Q257" s="167">
        <v>31</v>
      </c>
      <c r="R257" s="167">
        <v>34</v>
      </c>
      <c r="S257" s="167">
        <v>36</v>
      </c>
      <c r="T257" s="167">
        <v>33</v>
      </c>
      <c r="U257" s="28">
        <f t="shared" si="202"/>
        <v>153</v>
      </c>
      <c r="W257" s="32" t="str">
        <f t="shared" si="203"/>
        <v>짝수</v>
      </c>
      <c r="X257" s="32" t="str">
        <f t="shared" si="204"/>
        <v>홀수</v>
      </c>
      <c r="Y257" s="32" t="str">
        <f t="shared" si="205"/>
        <v>홀수</v>
      </c>
      <c r="Z257" s="32" t="str">
        <f t="shared" si="206"/>
        <v>홀수</v>
      </c>
      <c r="AA257" s="32" t="str">
        <f t="shared" si="207"/>
        <v>짝수</v>
      </c>
      <c r="AB257" s="32" t="str">
        <f t="shared" si="208"/>
        <v>짝수</v>
      </c>
      <c r="AC257" s="58" t="str">
        <f t="shared" si="209"/>
        <v>3 : 3</v>
      </c>
      <c r="AD257" s="32">
        <f t="shared" si="210"/>
        <v>3</v>
      </c>
      <c r="AE257" s="32">
        <f t="shared" si="211"/>
        <v>3</v>
      </c>
      <c r="AF257" s="66" t="str">
        <f t="shared" si="175"/>
        <v>저수</v>
      </c>
      <c r="AG257" s="66" t="str">
        <f t="shared" si="176"/>
        <v>저수</v>
      </c>
      <c r="AH257" s="66" t="str">
        <f t="shared" si="177"/>
        <v>고수</v>
      </c>
      <c r="AI257" s="66" t="str">
        <f t="shared" si="178"/>
        <v>고수</v>
      </c>
      <c r="AJ257" s="66" t="str">
        <f t="shared" si="179"/>
        <v>고수</v>
      </c>
      <c r="AK257" s="66" t="str">
        <f t="shared" si="180"/>
        <v>고수</v>
      </c>
      <c r="AL257" s="58" t="str">
        <f t="shared" si="181"/>
        <v>2 : 4</v>
      </c>
      <c r="AM257" s="66">
        <f t="shared" si="182"/>
        <v>2</v>
      </c>
      <c r="AN257" s="66">
        <f t="shared" si="183"/>
        <v>4</v>
      </c>
      <c r="AO257" s="66">
        <f t="shared" si="184"/>
        <v>33</v>
      </c>
      <c r="AP257" s="66" t="str">
        <f t="shared" si="185"/>
        <v>X</v>
      </c>
      <c r="AQ257" s="66" t="str">
        <f t="shared" si="186"/>
        <v>O</v>
      </c>
      <c r="AR257" s="66" t="str">
        <f t="shared" si="187"/>
        <v>X</v>
      </c>
      <c r="AS257" s="66" t="str">
        <f t="shared" si="188"/>
        <v>X</v>
      </c>
      <c r="AT257" s="66" t="str">
        <f t="shared" si="189"/>
        <v>X</v>
      </c>
      <c r="AU257" s="66" t="str">
        <f t="shared" si="190"/>
        <v>X</v>
      </c>
      <c r="AV257" s="66" t="str">
        <f t="shared" si="191"/>
        <v>X</v>
      </c>
      <c r="AW257" s="66" t="str">
        <f t="shared" si="192"/>
        <v>X</v>
      </c>
      <c r="AX257" s="66" t="str">
        <f t="shared" si="193"/>
        <v>X</v>
      </c>
      <c r="AY257" s="66" t="str">
        <f t="shared" si="194"/>
        <v>O</v>
      </c>
      <c r="AZ257" s="66" t="str">
        <f t="shared" si="195"/>
        <v>X</v>
      </c>
      <c r="BA257" s="66" t="str">
        <f t="shared" si="196"/>
        <v>X</v>
      </c>
      <c r="BB257" s="66">
        <f t="shared" si="197"/>
        <v>2</v>
      </c>
      <c r="BC257" s="127" t="str">
        <f t="shared" si="168"/>
        <v>1G</v>
      </c>
      <c r="BD257" s="127" t="str">
        <f t="shared" si="169"/>
        <v>2G</v>
      </c>
      <c r="BE257" s="127" t="str">
        <f t="shared" si="170"/>
        <v>2G</v>
      </c>
      <c r="BF257" s="127" t="str">
        <f t="shared" si="171"/>
        <v>3G</v>
      </c>
      <c r="BG257" s="127" t="str">
        <f t="shared" si="172"/>
        <v>3G</v>
      </c>
      <c r="BH257" s="127" t="str">
        <f t="shared" si="173"/>
        <v>3G</v>
      </c>
      <c r="BI257" s="127">
        <f t="shared" si="198"/>
        <v>1</v>
      </c>
      <c r="BJ257" s="127">
        <f t="shared" si="199"/>
        <v>2</v>
      </c>
      <c r="BK257" s="127">
        <f t="shared" si="200"/>
        <v>3</v>
      </c>
      <c r="BL257" s="127" t="str">
        <f t="shared" si="201"/>
        <v>123</v>
      </c>
      <c r="BS257"/>
      <c r="CL257" s="28">
        <v>139</v>
      </c>
      <c r="CM257" s="28">
        <v>130</v>
      </c>
      <c r="CO257"/>
    </row>
    <row r="258" spans="1:93" ht="16.5" hidden="1">
      <c r="B258" s="17">
        <v>254</v>
      </c>
      <c r="C258" s="363" t="s">
        <v>284</v>
      </c>
      <c r="D258" s="18">
        <v>1</v>
      </c>
      <c r="E258" s="20">
        <v>9741015900</v>
      </c>
      <c r="F258" s="18">
        <v>33</v>
      </c>
      <c r="G258" s="20">
        <v>49197050</v>
      </c>
      <c r="H258" s="20">
        <v>1225</v>
      </c>
      <c r="I258" s="20">
        <v>1325309</v>
      </c>
      <c r="J258" s="20">
        <v>59196</v>
      </c>
      <c r="K258" s="20">
        <v>54852</v>
      </c>
      <c r="L258" s="20">
        <v>978906</v>
      </c>
      <c r="M258" s="20">
        <v>5000</v>
      </c>
      <c r="N258" s="167">
        <v>1</v>
      </c>
      <c r="O258" s="167">
        <v>5</v>
      </c>
      <c r="P258" s="167">
        <v>19</v>
      </c>
      <c r="Q258" s="167">
        <v>20</v>
      </c>
      <c r="R258" s="167">
        <v>24</v>
      </c>
      <c r="S258" s="167">
        <v>30</v>
      </c>
      <c r="T258" s="167">
        <v>27</v>
      </c>
      <c r="U258" s="28">
        <f t="shared" si="202"/>
        <v>99</v>
      </c>
      <c r="W258" s="32" t="str">
        <f t="shared" si="203"/>
        <v>홀수</v>
      </c>
      <c r="X258" s="32" t="str">
        <f t="shared" si="204"/>
        <v>홀수</v>
      </c>
      <c r="Y258" s="32" t="str">
        <f t="shared" si="205"/>
        <v>홀수</v>
      </c>
      <c r="Z258" s="32" t="str">
        <f t="shared" si="206"/>
        <v>짝수</v>
      </c>
      <c r="AA258" s="32" t="str">
        <f t="shared" si="207"/>
        <v>짝수</v>
      </c>
      <c r="AB258" s="32" t="str">
        <f t="shared" si="208"/>
        <v>짝수</v>
      </c>
      <c r="AC258" s="58" t="str">
        <f t="shared" si="209"/>
        <v>3 : 3</v>
      </c>
      <c r="AD258" s="32">
        <f t="shared" si="210"/>
        <v>3</v>
      </c>
      <c r="AE258" s="32">
        <f t="shared" si="211"/>
        <v>3</v>
      </c>
      <c r="AF258" s="66" t="str">
        <f t="shared" si="175"/>
        <v>저수</v>
      </c>
      <c r="AG258" s="66" t="str">
        <f t="shared" si="176"/>
        <v>저수</v>
      </c>
      <c r="AH258" s="66" t="str">
        <f t="shared" si="177"/>
        <v>저수</v>
      </c>
      <c r="AI258" s="66" t="str">
        <f t="shared" si="178"/>
        <v>저수</v>
      </c>
      <c r="AJ258" s="66" t="str">
        <f t="shared" si="179"/>
        <v>고수</v>
      </c>
      <c r="AK258" s="66" t="str">
        <f t="shared" si="180"/>
        <v>고수</v>
      </c>
      <c r="AL258" s="58" t="str">
        <f t="shared" si="181"/>
        <v>4 : 2</v>
      </c>
      <c r="AM258" s="66">
        <f t="shared" si="182"/>
        <v>4</v>
      </c>
      <c r="AN258" s="66">
        <f t="shared" si="183"/>
        <v>2</v>
      </c>
      <c r="AO258" s="66">
        <f t="shared" si="184"/>
        <v>19</v>
      </c>
      <c r="AP258" s="66" t="str">
        <f t="shared" si="185"/>
        <v>X</v>
      </c>
      <c r="AQ258" s="66" t="str">
        <f t="shared" si="186"/>
        <v>O</v>
      </c>
      <c r="AR258" s="66" t="str">
        <f t="shared" si="187"/>
        <v>O</v>
      </c>
      <c r="AS258" s="66" t="str">
        <f t="shared" si="188"/>
        <v>X</v>
      </c>
      <c r="AT258" s="66" t="str">
        <f t="shared" si="189"/>
        <v>X</v>
      </c>
      <c r="AU258" s="66" t="str">
        <f t="shared" si="190"/>
        <v>X</v>
      </c>
      <c r="AV258" s="66" t="str">
        <f t="shared" si="191"/>
        <v>X</v>
      </c>
      <c r="AW258" s="66" t="str">
        <f t="shared" si="192"/>
        <v>X</v>
      </c>
      <c r="AX258" s="66" t="str">
        <f t="shared" si="193"/>
        <v>X</v>
      </c>
      <c r="AY258" s="66" t="str">
        <f t="shared" si="194"/>
        <v>X</v>
      </c>
      <c r="AZ258" s="66" t="str">
        <f t="shared" si="195"/>
        <v>X</v>
      </c>
      <c r="BA258" s="66" t="str">
        <f t="shared" si="196"/>
        <v>X</v>
      </c>
      <c r="BB258" s="66">
        <f t="shared" si="197"/>
        <v>2</v>
      </c>
      <c r="BC258" s="127" t="str">
        <f t="shared" si="168"/>
        <v>1G</v>
      </c>
      <c r="BD258" s="127" t="str">
        <f t="shared" si="169"/>
        <v>1G</v>
      </c>
      <c r="BE258" s="127" t="str">
        <f t="shared" si="170"/>
        <v>2G</v>
      </c>
      <c r="BF258" s="127" t="str">
        <f t="shared" si="171"/>
        <v>2G</v>
      </c>
      <c r="BG258" s="127" t="str">
        <f t="shared" si="172"/>
        <v>2G</v>
      </c>
      <c r="BH258" s="127" t="str">
        <f t="shared" si="173"/>
        <v>2G</v>
      </c>
      <c r="BI258" s="127">
        <f t="shared" si="198"/>
        <v>2</v>
      </c>
      <c r="BJ258" s="127">
        <f t="shared" si="199"/>
        <v>4</v>
      </c>
      <c r="BK258" s="127">
        <f t="shared" si="200"/>
        <v>0</v>
      </c>
      <c r="BL258" s="127" t="str">
        <f t="shared" si="201"/>
        <v>240</v>
      </c>
      <c r="BS258"/>
      <c r="CL258" s="28">
        <v>139</v>
      </c>
      <c r="CM258" s="28">
        <v>130</v>
      </c>
      <c r="CO258"/>
    </row>
    <row r="259" spans="1:93" ht="16.5" hidden="1">
      <c r="B259" s="17">
        <v>255</v>
      </c>
      <c r="C259" s="363" t="s">
        <v>285</v>
      </c>
      <c r="D259" s="18">
        <v>6</v>
      </c>
      <c r="E259" s="20">
        <v>1598618550</v>
      </c>
      <c r="F259" s="18">
        <v>13</v>
      </c>
      <c r="G259" s="20">
        <v>122970658</v>
      </c>
      <c r="H259" s="20">
        <v>1054</v>
      </c>
      <c r="I259" s="20">
        <v>1516716</v>
      </c>
      <c r="J259" s="20">
        <v>55422</v>
      </c>
      <c r="K259" s="20">
        <v>57689</v>
      </c>
      <c r="L259" s="20">
        <v>945297</v>
      </c>
      <c r="M259" s="20">
        <v>5000</v>
      </c>
      <c r="N259" s="167">
        <v>1</v>
      </c>
      <c r="O259" s="167">
        <v>5</v>
      </c>
      <c r="P259" s="167">
        <v>6</v>
      </c>
      <c r="Q259" s="167">
        <v>24</v>
      </c>
      <c r="R259" s="167">
        <v>27</v>
      </c>
      <c r="S259" s="167">
        <v>42</v>
      </c>
      <c r="T259" s="167">
        <v>32</v>
      </c>
      <c r="U259" s="28">
        <f t="shared" si="202"/>
        <v>105</v>
      </c>
      <c r="W259" s="32" t="str">
        <f t="shared" si="203"/>
        <v>홀수</v>
      </c>
      <c r="X259" s="32" t="str">
        <f t="shared" si="204"/>
        <v>홀수</v>
      </c>
      <c r="Y259" s="32" t="str">
        <f t="shared" si="205"/>
        <v>짝수</v>
      </c>
      <c r="Z259" s="32" t="str">
        <f t="shared" si="206"/>
        <v>짝수</v>
      </c>
      <c r="AA259" s="32" t="str">
        <f t="shared" si="207"/>
        <v>홀수</v>
      </c>
      <c r="AB259" s="32" t="str">
        <f t="shared" si="208"/>
        <v>짝수</v>
      </c>
      <c r="AC259" s="58" t="str">
        <f t="shared" si="209"/>
        <v>3 : 3</v>
      </c>
      <c r="AD259" s="32">
        <f t="shared" si="210"/>
        <v>3</v>
      </c>
      <c r="AE259" s="32">
        <f t="shared" si="211"/>
        <v>3</v>
      </c>
      <c r="AF259" s="66" t="str">
        <f t="shared" si="175"/>
        <v>저수</v>
      </c>
      <c r="AG259" s="66" t="str">
        <f t="shared" si="176"/>
        <v>저수</v>
      </c>
      <c r="AH259" s="66" t="str">
        <f t="shared" si="177"/>
        <v>저수</v>
      </c>
      <c r="AI259" s="66" t="str">
        <f t="shared" si="178"/>
        <v>고수</v>
      </c>
      <c r="AJ259" s="66" t="str">
        <f t="shared" si="179"/>
        <v>고수</v>
      </c>
      <c r="AK259" s="66" t="str">
        <f t="shared" si="180"/>
        <v>고수</v>
      </c>
      <c r="AL259" s="58" t="str">
        <f t="shared" si="181"/>
        <v>3 : 3</v>
      </c>
      <c r="AM259" s="66">
        <f t="shared" si="182"/>
        <v>3</v>
      </c>
      <c r="AN259" s="66">
        <f t="shared" si="183"/>
        <v>3</v>
      </c>
      <c r="AO259" s="66">
        <f t="shared" si="184"/>
        <v>25</v>
      </c>
      <c r="AP259" s="66" t="str">
        <f t="shared" si="185"/>
        <v>X</v>
      </c>
      <c r="AQ259" s="66" t="str">
        <f t="shared" si="186"/>
        <v>O</v>
      </c>
      <c r="AR259" s="66" t="str">
        <f t="shared" si="187"/>
        <v>X</v>
      </c>
      <c r="AS259" s="66" t="str">
        <f t="shared" si="188"/>
        <v>X</v>
      </c>
      <c r="AT259" s="66" t="str">
        <f t="shared" si="189"/>
        <v>X</v>
      </c>
      <c r="AU259" s="66" t="str">
        <f t="shared" si="190"/>
        <v>X</v>
      </c>
      <c r="AV259" s="66" t="str">
        <f t="shared" si="191"/>
        <v>X</v>
      </c>
      <c r="AW259" s="66" t="str">
        <f t="shared" si="192"/>
        <v>X</v>
      </c>
      <c r="AX259" s="66" t="str">
        <f t="shared" si="193"/>
        <v>X</v>
      </c>
      <c r="AY259" s="66" t="str">
        <f t="shared" si="194"/>
        <v>X</v>
      </c>
      <c r="AZ259" s="66" t="str">
        <f t="shared" si="195"/>
        <v>X</v>
      </c>
      <c r="BA259" s="66" t="str">
        <f t="shared" si="196"/>
        <v>X</v>
      </c>
      <c r="BB259" s="66">
        <f t="shared" si="197"/>
        <v>1</v>
      </c>
      <c r="BC259" s="127" t="str">
        <f t="shared" si="168"/>
        <v>1G</v>
      </c>
      <c r="BD259" s="127" t="str">
        <f t="shared" si="169"/>
        <v>1G</v>
      </c>
      <c r="BE259" s="127" t="str">
        <f t="shared" si="170"/>
        <v>1G</v>
      </c>
      <c r="BF259" s="127" t="str">
        <f t="shared" si="171"/>
        <v>2G</v>
      </c>
      <c r="BG259" s="127" t="str">
        <f t="shared" si="172"/>
        <v>2G</v>
      </c>
      <c r="BH259" s="127" t="str">
        <f t="shared" si="173"/>
        <v>3G</v>
      </c>
      <c r="BI259" s="127">
        <f t="shared" si="198"/>
        <v>3</v>
      </c>
      <c r="BJ259" s="127">
        <f t="shared" si="199"/>
        <v>2</v>
      </c>
      <c r="BK259" s="127">
        <f t="shared" si="200"/>
        <v>1</v>
      </c>
      <c r="BL259" s="127" t="str">
        <f t="shared" si="201"/>
        <v>321</v>
      </c>
      <c r="BS259"/>
      <c r="CL259" s="28">
        <v>140</v>
      </c>
      <c r="CM259" s="28">
        <v>140</v>
      </c>
      <c r="CO259"/>
    </row>
    <row r="260" spans="1:93" ht="16.5" hidden="1">
      <c r="B260" s="17">
        <v>256</v>
      </c>
      <c r="C260" s="363" t="s">
        <v>286</v>
      </c>
      <c r="D260" s="18">
        <v>2</v>
      </c>
      <c r="E260" s="20">
        <v>4891017000</v>
      </c>
      <c r="F260" s="18">
        <v>34</v>
      </c>
      <c r="G260" s="20">
        <v>47951148</v>
      </c>
      <c r="H260" s="20">
        <v>1192</v>
      </c>
      <c r="I260" s="20">
        <v>1367735</v>
      </c>
      <c r="J260" s="20">
        <v>56975</v>
      </c>
      <c r="K260" s="20">
        <v>57230</v>
      </c>
      <c r="L260" s="20">
        <v>938980</v>
      </c>
      <c r="M260" s="20">
        <v>5000</v>
      </c>
      <c r="N260" s="167">
        <v>4</v>
      </c>
      <c r="O260" s="167">
        <v>11</v>
      </c>
      <c r="P260" s="167">
        <v>14</v>
      </c>
      <c r="Q260" s="167">
        <v>21</v>
      </c>
      <c r="R260" s="167">
        <v>23</v>
      </c>
      <c r="S260" s="167">
        <v>43</v>
      </c>
      <c r="T260" s="167">
        <v>32</v>
      </c>
      <c r="U260" s="28">
        <f t="shared" si="202"/>
        <v>116</v>
      </c>
      <c r="W260" s="32" t="str">
        <f t="shared" si="203"/>
        <v>짝수</v>
      </c>
      <c r="X260" s="32" t="str">
        <f t="shared" si="204"/>
        <v>홀수</v>
      </c>
      <c r="Y260" s="32" t="str">
        <f t="shared" si="205"/>
        <v>짝수</v>
      </c>
      <c r="Z260" s="32" t="str">
        <f t="shared" si="206"/>
        <v>홀수</v>
      </c>
      <c r="AA260" s="32" t="str">
        <f t="shared" si="207"/>
        <v>홀수</v>
      </c>
      <c r="AB260" s="32" t="str">
        <f t="shared" si="208"/>
        <v>홀수</v>
      </c>
      <c r="AC260" s="58" t="str">
        <f t="shared" si="209"/>
        <v>4 : 2</v>
      </c>
      <c r="AD260" s="32">
        <f t="shared" si="210"/>
        <v>4</v>
      </c>
      <c r="AE260" s="32">
        <f t="shared" si="211"/>
        <v>2</v>
      </c>
      <c r="AF260" s="66" t="str">
        <f t="shared" si="175"/>
        <v>저수</v>
      </c>
      <c r="AG260" s="66" t="str">
        <f t="shared" si="176"/>
        <v>저수</v>
      </c>
      <c r="AH260" s="66" t="str">
        <f t="shared" si="177"/>
        <v>저수</v>
      </c>
      <c r="AI260" s="66" t="str">
        <f t="shared" si="178"/>
        <v>저수</v>
      </c>
      <c r="AJ260" s="66" t="str">
        <f t="shared" si="179"/>
        <v>고수</v>
      </c>
      <c r="AK260" s="66" t="str">
        <f t="shared" si="180"/>
        <v>고수</v>
      </c>
      <c r="AL260" s="58" t="str">
        <f t="shared" si="181"/>
        <v>4 : 2</v>
      </c>
      <c r="AM260" s="66">
        <f t="shared" si="182"/>
        <v>4</v>
      </c>
      <c r="AN260" s="66">
        <f t="shared" si="183"/>
        <v>2</v>
      </c>
      <c r="AO260" s="66">
        <f t="shared" si="184"/>
        <v>16</v>
      </c>
      <c r="AP260" s="66" t="str">
        <f t="shared" si="185"/>
        <v>X</v>
      </c>
      <c r="AQ260" s="66" t="str">
        <f t="shared" si="186"/>
        <v>O</v>
      </c>
      <c r="AR260" s="66" t="str">
        <f t="shared" si="187"/>
        <v>X</v>
      </c>
      <c r="AS260" s="66" t="str">
        <f t="shared" si="188"/>
        <v>X</v>
      </c>
      <c r="AT260" s="66" t="str">
        <f t="shared" si="189"/>
        <v>X</v>
      </c>
      <c r="AU260" s="66" t="str">
        <f t="shared" si="190"/>
        <v>X</v>
      </c>
      <c r="AV260" s="66" t="str">
        <f t="shared" si="191"/>
        <v>X</v>
      </c>
      <c r="AW260" s="66" t="str">
        <f t="shared" si="192"/>
        <v>X</v>
      </c>
      <c r="AX260" s="66" t="str">
        <f t="shared" si="193"/>
        <v>X</v>
      </c>
      <c r="AY260" s="66" t="str">
        <f t="shared" si="194"/>
        <v>X</v>
      </c>
      <c r="AZ260" s="66" t="str">
        <f t="shared" si="195"/>
        <v>O</v>
      </c>
      <c r="BA260" s="66" t="str">
        <f t="shared" si="196"/>
        <v>O</v>
      </c>
      <c r="BB260" s="66">
        <f t="shared" si="197"/>
        <v>3</v>
      </c>
      <c r="BC260" s="127" t="str">
        <f t="shared" si="168"/>
        <v>1G</v>
      </c>
      <c r="BD260" s="127" t="str">
        <f t="shared" si="169"/>
        <v>1G</v>
      </c>
      <c r="BE260" s="127" t="str">
        <f t="shared" si="170"/>
        <v>1G</v>
      </c>
      <c r="BF260" s="127" t="str">
        <f t="shared" si="171"/>
        <v>2G</v>
      </c>
      <c r="BG260" s="127" t="str">
        <f t="shared" si="172"/>
        <v>2G</v>
      </c>
      <c r="BH260" s="127" t="str">
        <f t="shared" si="173"/>
        <v>3G</v>
      </c>
      <c r="BI260" s="127">
        <f t="shared" si="198"/>
        <v>3</v>
      </c>
      <c r="BJ260" s="127">
        <f t="shared" si="199"/>
        <v>2</v>
      </c>
      <c r="BK260" s="127">
        <f t="shared" si="200"/>
        <v>1</v>
      </c>
      <c r="BL260" s="127" t="str">
        <f t="shared" si="201"/>
        <v>321</v>
      </c>
      <c r="BS260"/>
      <c r="CL260" s="28">
        <v>140</v>
      </c>
      <c r="CM260" s="28">
        <v>140</v>
      </c>
      <c r="CO260"/>
    </row>
    <row r="261" spans="1:93" ht="16.5" hidden="1">
      <c r="B261" s="17">
        <v>257</v>
      </c>
      <c r="C261" s="363" t="s">
        <v>287</v>
      </c>
      <c r="D261" s="18">
        <v>4</v>
      </c>
      <c r="E261" s="20">
        <v>2391377025</v>
      </c>
      <c r="F261" s="18">
        <v>18</v>
      </c>
      <c r="G261" s="20">
        <v>88569520</v>
      </c>
      <c r="H261" s="20">
        <v>1233</v>
      </c>
      <c r="I261" s="20">
        <v>1292986</v>
      </c>
      <c r="J261" s="20">
        <v>57977</v>
      </c>
      <c r="K261" s="20">
        <v>54996</v>
      </c>
      <c r="L261" s="20">
        <v>954861</v>
      </c>
      <c r="M261" s="20">
        <v>5000</v>
      </c>
      <c r="N261" s="167">
        <v>6</v>
      </c>
      <c r="O261" s="167">
        <v>13</v>
      </c>
      <c r="P261" s="167">
        <v>27</v>
      </c>
      <c r="Q261" s="167">
        <v>31</v>
      </c>
      <c r="R261" s="167">
        <v>32</v>
      </c>
      <c r="S261" s="167">
        <v>37</v>
      </c>
      <c r="T261" s="167">
        <v>4</v>
      </c>
      <c r="U261" s="28">
        <f t="shared" si="202"/>
        <v>146</v>
      </c>
      <c r="W261" s="32" t="str">
        <f t="shared" si="203"/>
        <v>짝수</v>
      </c>
      <c r="X261" s="32" t="str">
        <f t="shared" si="204"/>
        <v>홀수</v>
      </c>
      <c r="Y261" s="32" t="str">
        <f t="shared" si="205"/>
        <v>홀수</v>
      </c>
      <c r="Z261" s="32" t="str">
        <f t="shared" si="206"/>
        <v>홀수</v>
      </c>
      <c r="AA261" s="32" t="str">
        <f t="shared" si="207"/>
        <v>짝수</v>
      </c>
      <c r="AB261" s="32" t="str">
        <f t="shared" si="208"/>
        <v>홀수</v>
      </c>
      <c r="AC261" s="58" t="str">
        <f t="shared" si="209"/>
        <v>4 : 2</v>
      </c>
      <c r="AD261" s="32">
        <f t="shared" si="210"/>
        <v>4</v>
      </c>
      <c r="AE261" s="32">
        <f t="shared" si="211"/>
        <v>2</v>
      </c>
      <c r="AF261" s="66" t="str">
        <f t="shared" si="175"/>
        <v>저수</v>
      </c>
      <c r="AG261" s="66" t="str">
        <f t="shared" si="176"/>
        <v>저수</v>
      </c>
      <c r="AH261" s="66" t="str">
        <f t="shared" si="177"/>
        <v>고수</v>
      </c>
      <c r="AI261" s="66" t="str">
        <f t="shared" si="178"/>
        <v>고수</v>
      </c>
      <c r="AJ261" s="66" t="str">
        <f t="shared" si="179"/>
        <v>고수</v>
      </c>
      <c r="AK261" s="66" t="str">
        <f t="shared" si="180"/>
        <v>고수</v>
      </c>
      <c r="AL261" s="58" t="str">
        <f t="shared" si="181"/>
        <v>2 : 4</v>
      </c>
      <c r="AM261" s="66">
        <f t="shared" si="182"/>
        <v>2</v>
      </c>
      <c r="AN261" s="66">
        <f t="shared" si="183"/>
        <v>4</v>
      </c>
      <c r="AO261" s="66">
        <f t="shared" si="184"/>
        <v>26</v>
      </c>
      <c r="AP261" s="66" t="str">
        <f t="shared" si="185"/>
        <v>X</v>
      </c>
      <c r="AQ261" s="66" t="str">
        <f t="shared" si="186"/>
        <v>O</v>
      </c>
      <c r="AR261" s="66" t="str">
        <f t="shared" si="187"/>
        <v>X</v>
      </c>
      <c r="AS261" s="66" t="str">
        <f t="shared" si="188"/>
        <v>X</v>
      </c>
      <c r="AT261" s="66" t="str">
        <f t="shared" si="189"/>
        <v>X</v>
      </c>
      <c r="AU261" s="66" t="str">
        <f t="shared" si="190"/>
        <v>X</v>
      </c>
      <c r="AV261" s="66" t="str">
        <f t="shared" si="191"/>
        <v>X</v>
      </c>
      <c r="AW261" s="66" t="str">
        <f t="shared" si="192"/>
        <v>X</v>
      </c>
      <c r="AX261" s="66" t="str">
        <f t="shared" si="193"/>
        <v>X</v>
      </c>
      <c r="AY261" s="66" t="str">
        <f t="shared" si="194"/>
        <v>O</v>
      </c>
      <c r="AZ261" s="66" t="str">
        <f t="shared" si="195"/>
        <v>X</v>
      </c>
      <c r="BA261" s="66" t="str">
        <f t="shared" si="196"/>
        <v>O</v>
      </c>
      <c r="BB261" s="66">
        <f t="shared" si="197"/>
        <v>3</v>
      </c>
      <c r="BC261" s="127" t="str">
        <f t="shared" ref="BC261:BC324" si="212">VLOOKUP(N261,삼그룹,6,FALSE)</f>
        <v>1G</v>
      </c>
      <c r="BD261" s="127" t="str">
        <f t="shared" ref="BD261:BD324" si="213">VLOOKUP(O261,삼그룹,6,FALSE)</f>
        <v>1G</v>
      </c>
      <c r="BE261" s="127" t="str">
        <f t="shared" ref="BE261:BE324" si="214">VLOOKUP(P261,삼그룹,6,FALSE)</f>
        <v>2G</v>
      </c>
      <c r="BF261" s="127" t="str">
        <f t="shared" ref="BF261:BF324" si="215">VLOOKUP(Q261,삼그룹,6,FALSE)</f>
        <v>3G</v>
      </c>
      <c r="BG261" s="127" t="str">
        <f t="shared" ref="BG261:BG324" si="216">VLOOKUP(R261,삼그룹,6,FALSE)</f>
        <v>3G</v>
      </c>
      <c r="BH261" s="127" t="str">
        <f t="shared" ref="BH261:BH324" si="217">VLOOKUP(S261,삼그룹,6,FALSE)</f>
        <v>3G</v>
      </c>
      <c r="BI261" s="127">
        <f t="shared" si="198"/>
        <v>2</v>
      </c>
      <c r="BJ261" s="127">
        <f t="shared" si="199"/>
        <v>1</v>
      </c>
      <c r="BK261" s="127">
        <f t="shared" si="200"/>
        <v>3</v>
      </c>
      <c r="BL261" s="127" t="str">
        <f t="shared" si="201"/>
        <v>213</v>
      </c>
      <c r="BS261"/>
      <c r="CL261" s="28">
        <v>140</v>
      </c>
      <c r="CM261" s="28">
        <v>140</v>
      </c>
      <c r="CO261"/>
    </row>
    <row r="262" spans="1:93" ht="16.5" hidden="1">
      <c r="B262" s="17">
        <v>258</v>
      </c>
      <c r="C262" s="363" t="s">
        <v>288</v>
      </c>
      <c r="D262" s="18">
        <v>4</v>
      </c>
      <c r="E262" s="20">
        <v>2426434350</v>
      </c>
      <c r="F262" s="18">
        <v>28</v>
      </c>
      <c r="G262" s="20">
        <v>57772247</v>
      </c>
      <c r="H262" s="20">
        <v>1724</v>
      </c>
      <c r="I262" s="20">
        <v>938297</v>
      </c>
      <c r="J262" s="20">
        <v>54638</v>
      </c>
      <c r="K262" s="20">
        <v>59213</v>
      </c>
      <c r="L262" s="20">
        <v>901197</v>
      </c>
      <c r="M262" s="20">
        <v>5000</v>
      </c>
      <c r="N262" s="167">
        <v>14</v>
      </c>
      <c r="O262" s="167">
        <v>27</v>
      </c>
      <c r="P262" s="167">
        <v>30</v>
      </c>
      <c r="Q262" s="167">
        <v>31</v>
      </c>
      <c r="R262" s="167">
        <v>38</v>
      </c>
      <c r="S262" s="167">
        <v>40</v>
      </c>
      <c r="T262" s="167">
        <v>17</v>
      </c>
      <c r="U262" s="28">
        <f t="shared" ref="U262:U325" si="218">SUM(N262:S262)</f>
        <v>180</v>
      </c>
      <c r="W262" s="32" t="str">
        <f t="shared" si="203"/>
        <v>짝수</v>
      </c>
      <c r="X262" s="32" t="str">
        <f t="shared" si="204"/>
        <v>홀수</v>
      </c>
      <c r="Y262" s="32" t="str">
        <f t="shared" si="205"/>
        <v>짝수</v>
      </c>
      <c r="Z262" s="32" t="str">
        <f t="shared" si="206"/>
        <v>홀수</v>
      </c>
      <c r="AA262" s="32" t="str">
        <f t="shared" si="207"/>
        <v>짝수</v>
      </c>
      <c r="AB262" s="32" t="str">
        <f t="shared" si="208"/>
        <v>짝수</v>
      </c>
      <c r="AC262" s="58" t="str">
        <f t="shared" si="209"/>
        <v>2 : 4</v>
      </c>
      <c r="AD262" s="32">
        <f t="shared" si="210"/>
        <v>2</v>
      </c>
      <c r="AE262" s="32">
        <f t="shared" si="211"/>
        <v>4</v>
      </c>
      <c r="AF262" s="66" t="str">
        <f t="shared" ref="AF262:AF325" si="219">IF(N262&lt;23,"저수","고수")</f>
        <v>저수</v>
      </c>
      <c r="AG262" s="66" t="str">
        <f t="shared" ref="AG262:AG325" si="220">IF(O262&lt;23,"저수","고수")</f>
        <v>고수</v>
      </c>
      <c r="AH262" s="66" t="str">
        <f t="shared" ref="AH262:AH325" si="221">IF(P262&lt;23,"저수","고수")</f>
        <v>고수</v>
      </c>
      <c r="AI262" s="66" t="str">
        <f t="shared" ref="AI262:AI325" si="222">IF(Q262&lt;23,"저수","고수")</f>
        <v>고수</v>
      </c>
      <c r="AJ262" s="66" t="str">
        <f t="shared" ref="AJ262:AJ325" si="223">IF(R262&lt;23,"저수","고수")</f>
        <v>고수</v>
      </c>
      <c r="AK262" s="66" t="str">
        <f t="shared" ref="AK262:AK325" si="224">IF(S262&lt;23,"저수","고수")</f>
        <v>고수</v>
      </c>
      <c r="AL262" s="58" t="str">
        <f t="shared" ref="AL262:AL325" si="225">AM262&amp;" : "&amp;AN262</f>
        <v>1 : 5</v>
      </c>
      <c r="AM262" s="66">
        <f t="shared" ref="AM262:AM325" si="226">COUNTIF(AF262:AK262,"저수")</f>
        <v>1</v>
      </c>
      <c r="AN262" s="66">
        <f t="shared" ref="AN262:AN325" si="227">COUNTIF(AF262:AK262,"고수")</f>
        <v>5</v>
      </c>
      <c r="AO262" s="66">
        <f t="shared" ref="AO262:AO325" si="228">RIGHT(N262,1)+RIGHT(O262,1)+RIGHT(P262,1)+RIGHT(Q262,1)+RIGHT(R262,1)+RIGHT(S262,1)</f>
        <v>20</v>
      </c>
      <c r="AP262" s="66" t="str">
        <f t="shared" ref="AP262:AP325" si="229">IF(N262=2,"O",IF(N262=3,"O",IF(N262=5,"O",IF(N262=7,"O",IF(N262=11,"O",IF(N262=13,"O",IF(N262=17,"O",IF(N262=19,"O","X"))))))))</f>
        <v>X</v>
      </c>
      <c r="AQ262" s="66" t="str">
        <f t="shared" ref="AQ262:AQ325" si="230">IF(O262=2,"O",IF(O262=3,"O",IF(O262=5,"O",IF(O262=7,"O",IF(O262=11,"O",IF(O262=13,"O",IF(O262=17,"O",IF(O262=19,"O","X"))))))))</f>
        <v>X</v>
      </c>
      <c r="AR262" s="66" t="str">
        <f t="shared" ref="AR262:AR325" si="231">IF(P262=2,"O",IF(P262=3,"O",IF(P262=5,"O",IF(P262=7,"O",IF(P262=11,"O",IF(P262=13,"O",IF(P262=17,"O",IF(P262=19,"O","X"))))))))</f>
        <v>X</v>
      </c>
      <c r="AS262" s="66" t="str">
        <f t="shared" ref="AS262:AS325" si="232">IF(Q262=2,"O",IF(Q262=3,"O",IF(Q262=5,"O",IF(Q262=7,"O",IF(Q262=11,"O",IF(Q262=13,"O",IF(Q262=17,"O",IF(Q262=19,"O","X"))))))))</f>
        <v>X</v>
      </c>
      <c r="AT262" s="66" t="str">
        <f t="shared" ref="AT262:AT325" si="233">IF(R262=2,"O",IF(R262=3,"O",IF(R262=5,"O",IF(R262=7,"O",IF(R262=11,"O",IF(R262=13,"O",IF(R262=17,"O",IF(R262=19,"O","X"))))))))</f>
        <v>X</v>
      </c>
      <c r="AU262" s="66" t="str">
        <f t="shared" ref="AU262:AU325" si="234">IF(S262=2,"O",IF(S262=3,"O",IF(S262=5,"O",IF(S262=7,"O",IF(S262=11,"O",IF(S262=13,"O",IF(S262=17,"O",IF(S262=19,"O","X"))))))))</f>
        <v>X</v>
      </c>
      <c r="AV262" s="66" t="str">
        <f t="shared" ref="AV262:AV325" si="235">IF(N262=23,"O",IF(N262=29,"O",IF(N262=31,"O",IF(N262=37,"O",IF(N262=41,"O",IF(N262=43,"O","X"))))))</f>
        <v>X</v>
      </c>
      <c r="AW262" s="66" t="str">
        <f t="shared" ref="AW262:AW325" si="236">IF(O262=23,"O",IF(O262=29,"O",IF(O262=31,"O",IF(O262=37,"O",IF(O262=41,"O",IF(O262=43,"O","X"))))))</f>
        <v>X</v>
      </c>
      <c r="AX262" s="66" t="str">
        <f t="shared" ref="AX262:AX325" si="237">IF(P262=23,"O",IF(P262=29,"O",IF(P262=31,"O",IF(P262=37,"O",IF(P262=41,"O",IF(P262=43,"O","X"))))))</f>
        <v>X</v>
      </c>
      <c r="AY262" s="66" t="str">
        <f t="shared" ref="AY262:AY325" si="238">IF(Q262=23,"O",IF(Q262=29,"O",IF(Q262=31,"O",IF(Q262=37,"O",IF(Q262=41,"O",IF(Q262=43,"O","X"))))))</f>
        <v>O</v>
      </c>
      <c r="AZ262" s="66" t="str">
        <f t="shared" ref="AZ262:AZ325" si="239">IF(R262=23,"O",IF(R262=29,"O",IF(R262=31,"O",IF(R262=37,"O",IF(R262=41,"O",IF(R262=43,"O","X"))))))</f>
        <v>X</v>
      </c>
      <c r="BA262" s="66" t="str">
        <f t="shared" ref="BA262:BA325" si="240">IF(S262=23,"O",IF(S262=29,"O",IF(S262=31,"O",IF(S262=37,"O",IF(S262=41,"O",IF(S262=43,"O","X"))))))</f>
        <v>X</v>
      </c>
      <c r="BB262" s="66">
        <f t="shared" ref="BB262:BB325" si="241">COUNTIF(AP262:BA262,"O")</f>
        <v>1</v>
      </c>
      <c r="BC262" s="127" t="str">
        <f t="shared" si="212"/>
        <v>1G</v>
      </c>
      <c r="BD262" s="127" t="str">
        <f t="shared" si="213"/>
        <v>2G</v>
      </c>
      <c r="BE262" s="127" t="str">
        <f t="shared" si="214"/>
        <v>2G</v>
      </c>
      <c r="BF262" s="127" t="str">
        <f t="shared" si="215"/>
        <v>3G</v>
      </c>
      <c r="BG262" s="127" t="str">
        <f t="shared" si="216"/>
        <v>3G</v>
      </c>
      <c r="BH262" s="127" t="str">
        <f t="shared" si="217"/>
        <v>3G</v>
      </c>
      <c r="BI262" s="127">
        <f t="shared" ref="BI262:BI325" si="242">COUNTIF($BC262:$BH262,"1G")</f>
        <v>1</v>
      </c>
      <c r="BJ262" s="127">
        <f t="shared" ref="BJ262:BJ325" si="243">COUNTIF($BC262:$BH262,"2G")</f>
        <v>2</v>
      </c>
      <c r="BK262" s="127">
        <f t="shared" ref="BK262:BK325" si="244">COUNTIF($BC262:$BH262,"3G")</f>
        <v>3</v>
      </c>
      <c r="BL262" s="127" t="str">
        <f t="shared" ref="BL262:BL325" si="245">BI262&amp;BJ262&amp;BK262</f>
        <v>123</v>
      </c>
      <c r="BS262"/>
      <c r="CL262" s="28">
        <v>140</v>
      </c>
      <c r="CM262" s="28">
        <v>140</v>
      </c>
      <c r="CO262"/>
    </row>
    <row r="263" spans="1:93" ht="16.5" hidden="1">
      <c r="B263" s="17">
        <v>259</v>
      </c>
      <c r="C263" s="363" t="s">
        <v>289</v>
      </c>
      <c r="D263" s="18">
        <v>2</v>
      </c>
      <c r="E263" s="20">
        <v>4838533500</v>
      </c>
      <c r="F263" s="18">
        <v>25</v>
      </c>
      <c r="G263" s="20">
        <v>64513780</v>
      </c>
      <c r="H263" s="20">
        <v>1030</v>
      </c>
      <c r="I263" s="20">
        <v>1565869</v>
      </c>
      <c r="J263" s="20">
        <v>50402</v>
      </c>
      <c r="K263" s="20">
        <v>64000</v>
      </c>
      <c r="L263" s="20">
        <v>864868</v>
      </c>
      <c r="M263" s="20">
        <v>5000</v>
      </c>
      <c r="N263" s="167">
        <v>4</v>
      </c>
      <c r="O263" s="167">
        <v>5</v>
      </c>
      <c r="P263" s="167">
        <v>14</v>
      </c>
      <c r="Q263" s="167">
        <v>35</v>
      </c>
      <c r="R263" s="167">
        <v>42</v>
      </c>
      <c r="S263" s="167">
        <v>45</v>
      </c>
      <c r="T263" s="167">
        <v>34</v>
      </c>
      <c r="U263" s="28">
        <f t="shared" si="218"/>
        <v>145</v>
      </c>
      <c r="W263" s="32" t="str">
        <f t="shared" si="203"/>
        <v>짝수</v>
      </c>
      <c r="X263" s="32" t="str">
        <f t="shared" si="204"/>
        <v>홀수</v>
      </c>
      <c r="Y263" s="32" t="str">
        <f t="shared" si="205"/>
        <v>짝수</v>
      </c>
      <c r="Z263" s="32" t="str">
        <f t="shared" si="206"/>
        <v>홀수</v>
      </c>
      <c r="AA263" s="32" t="str">
        <f t="shared" si="207"/>
        <v>짝수</v>
      </c>
      <c r="AB263" s="32" t="str">
        <f t="shared" si="208"/>
        <v>홀수</v>
      </c>
      <c r="AC263" s="58" t="str">
        <f t="shared" si="209"/>
        <v>3 : 3</v>
      </c>
      <c r="AD263" s="32">
        <f t="shared" si="210"/>
        <v>3</v>
      </c>
      <c r="AE263" s="32">
        <f t="shared" si="211"/>
        <v>3</v>
      </c>
      <c r="AF263" s="66" t="str">
        <f t="shared" si="219"/>
        <v>저수</v>
      </c>
      <c r="AG263" s="66" t="str">
        <f t="shared" si="220"/>
        <v>저수</v>
      </c>
      <c r="AH263" s="66" t="str">
        <f t="shared" si="221"/>
        <v>저수</v>
      </c>
      <c r="AI263" s="66" t="str">
        <f t="shared" si="222"/>
        <v>고수</v>
      </c>
      <c r="AJ263" s="66" t="str">
        <f t="shared" si="223"/>
        <v>고수</v>
      </c>
      <c r="AK263" s="66" t="str">
        <f t="shared" si="224"/>
        <v>고수</v>
      </c>
      <c r="AL263" s="58" t="str">
        <f t="shared" si="225"/>
        <v>3 : 3</v>
      </c>
      <c r="AM263" s="66">
        <f t="shared" si="226"/>
        <v>3</v>
      </c>
      <c r="AN263" s="66">
        <f t="shared" si="227"/>
        <v>3</v>
      </c>
      <c r="AO263" s="66">
        <f t="shared" si="228"/>
        <v>25</v>
      </c>
      <c r="AP263" s="66" t="str">
        <f t="shared" si="229"/>
        <v>X</v>
      </c>
      <c r="AQ263" s="66" t="str">
        <f t="shared" si="230"/>
        <v>O</v>
      </c>
      <c r="AR263" s="66" t="str">
        <f t="shared" si="231"/>
        <v>X</v>
      </c>
      <c r="AS263" s="66" t="str">
        <f t="shared" si="232"/>
        <v>X</v>
      </c>
      <c r="AT263" s="66" t="str">
        <f t="shared" si="233"/>
        <v>X</v>
      </c>
      <c r="AU263" s="66" t="str">
        <f t="shared" si="234"/>
        <v>X</v>
      </c>
      <c r="AV263" s="66" t="str">
        <f t="shared" si="235"/>
        <v>X</v>
      </c>
      <c r="AW263" s="66" t="str">
        <f t="shared" si="236"/>
        <v>X</v>
      </c>
      <c r="AX263" s="66" t="str">
        <f t="shared" si="237"/>
        <v>X</v>
      </c>
      <c r="AY263" s="66" t="str">
        <f t="shared" si="238"/>
        <v>X</v>
      </c>
      <c r="AZ263" s="66" t="str">
        <f t="shared" si="239"/>
        <v>X</v>
      </c>
      <c r="BA263" s="66" t="str">
        <f t="shared" si="240"/>
        <v>X</v>
      </c>
      <c r="BB263" s="66">
        <f t="shared" si="241"/>
        <v>1</v>
      </c>
      <c r="BC263" s="127" t="str">
        <f t="shared" si="212"/>
        <v>1G</v>
      </c>
      <c r="BD263" s="127" t="str">
        <f t="shared" si="213"/>
        <v>1G</v>
      </c>
      <c r="BE263" s="127" t="str">
        <f t="shared" si="214"/>
        <v>1G</v>
      </c>
      <c r="BF263" s="127" t="str">
        <f t="shared" si="215"/>
        <v>3G</v>
      </c>
      <c r="BG263" s="127" t="str">
        <f t="shared" si="216"/>
        <v>3G</v>
      </c>
      <c r="BH263" s="127" t="str">
        <f t="shared" si="217"/>
        <v>3G</v>
      </c>
      <c r="BI263" s="127">
        <f t="shared" si="242"/>
        <v>3</v>
      </c>
      <c r="BJ263" s="127">
        <f t="shared" si="243"/>
        <v>0</v>
      </c>
      <c r="BK263" s="127">
        <f t="shared" si="244"/>
        <v>3</v>
      </c>
      <c r="BL263" s="127" t="str">
        <f t="shared" si="245"/>
        <v>303</v>
      </c>
      <c r="BS263"/>
      <c r="CL263" s="28">
        <v>140</v>
      </c>
      <c r="CM263" s="28">
        <v>140</v>
      </c>
      <c r="CO263"/>
    </row>
    <row r="264" spans="1:93" ht="16.5" hidden="1">
      <c r="B264" s="17">
        <v>260</v>
      </c>
      <c r="C264" s="363" t="s">
        <v>290</v>
      </c>
      <c r="D264" s="18">
        <v>4</v>
      </c>
      <c r="E264" s="20">
        <v>2310085575</v>
      </c>
      <c r="F264" s="18">
        <v>26</v>
      </c>
      <c r="G264" s="20">
        <v>59232964</v>
      </c>
      <c r="H264" s="20">
        <v>1284</v>
      </c>
      <c r="I264" s="20">
        <v>1199422</v>
      </c>
      <c r="J264" s="20">
        <v>58258</v>
      </c>
      <c r="K264" s="20">
        <v>52871</v>
      </c>
      <c r="L264" s="20">
        <v>933907</v>
      </c>
      <c r="M264" s="20">
        <v>5000</v>
      </c>
      <c r="N264" s="167">
        <v>7</v>
      </c>
      <c r="O264" s="167">
        <v>12</v>
      </c>
      <c r="P264" s="167">
        <v>15</v>
      </c>
      <c r="Q264" s="167">
        <v>24</v>
      </c>
      <c r="R264" s="167">
        <v>37</v>
      </c>
      <c r="S264" s="167">
        <v>40</v>
      </c>
      <c r="T264" s="167">
        <v>43</v>
      </c>
      <c r="U264" s="28">
        <f t="shared" si="218"/>
        <v>135</v>
      </c>
      <c r="W264" s="32" t="str">
        <f t="shared" si="203"/>
        <v>홀수</v>
      </c>
      <c r="X264" s="32" t="str">
        <f t="shared" si="204"/>
        <v>짝수</v>
      </c>
      <c r="Y264" s="32" t="str">
        <f t="shared" si="205"/>
        <v>홀수</v>
      </c>
      <c r="Z264" s="32" t="str">
        <f t="shared" si="206"/>
        <v>짝수</v>
      </c>
      <c r="AA264" s="32" t="str">
        <f t="shared" si="207"/>
        <v>홀수</v>
      </c>
      <c r="AB264" s="32" t="str">
        <f t="shared" si="208"/>
        <v>짝수</v>
      </c>
      <c r="AC264" s="58" t="str">
        <f t="shared" si="209"/>
        <v>3 : 3</v>
      </c>
      <c r="AD264" s="32">
        <f t="shared" si="210"/>
        <v>3</v>
      </c>
      <c r="AE264" s="32">
        <f t="shared" si="211"/>
        <v>3</v>
      </c>
      <c r="AF264" s="66" t="str">
        <f t="shared" si="219"/>
        <v>저수</v>
      </c>
      <c r="AG264" s="66" t="str">
        <f t="shared" si="220"/>
        <v>저수</v>
      </c>
      <c r="AH264" s="66" t="str">
        <f t="shared" si="221"/>
        <v>저수</v>
      </c>
      <c r="AI264" s="66" t="str">
        <f t="shared" si="222"/>
        <v>고수</v>
      </c>
      <c r="AJ264" s="66" t="str">
        <f t="shared" si="223"/>
        <v>고수</v>
      </c>
      <c r="AK264" s="66" t="str">
        <f t="shared" si="224"/>
        <v>고수</v>
      </c>
      <c r="AL264" s="58" t="str">
        <f t="shared" si="225"/>
        <v>3 : 3</v>
      </c>
      <c r="AM264" s="66">
        <f t="shared" si="226"/>
        <v>3</v>
      </c>
      <c r="AN264" s="66">
        <f t="shared" si="227"/>
        <v>3</v>
      </c>
      <c r="AO264" s="66">
        <f t="shared" si="228"/>
        <v>25</v>
      </c>
      <c r="AP264" s="66" t="str">
        <f t="shared" si="229"/>
        <v>O</v>
      </c>
      <c r="AQ264" s="66" t="str">
        <f t="shared" si="230"/>
        <v>X</v>
      </c>
      <c r="AR264" s="66" t="str">
        <f t="shared" si="231"/>
        <v>X</v>
      </c>
      <c r="AS264" s="66" t="str">
        <f t="shared" si="232"/>
        <v>X</v>
      </c>
      <c r="AT264" s="66" t="str">
        <f t="shared" si="233"/>
        <v>X</v>
      </c>
      <c r="AU264" s="66" t="str">
        <f t="shared" si="234"/>
        <v>X</v>
      </c>
      <c r="AV264" s="66" t="str">
        <f t="shared" si="235"/>
        <v>X</v>
      </c>
      <c r="AW264" s="66" t="str">
        <f t="shared" si="236"/>
        <v>X</v>
      </c>
      <c r="AX264" s="66" t="str">
        <f t="shared" si="237"/>
        <v>X</v>
      </c>
      <c r="AY264" s="66" t="str">
        <f t="shared" si="238"/>
        <v>X</v>
      </c>
      <c r="AZ264" s="66" t="str">
        <f t="shared" si="239"/>
        <v>O</v>
      </c>
      <c r="BA264" s="66" t="str">
        <f t="shared" si="240"/>
        <v>X</v>
      </c>
      <c r="BB264" s="66">
        <f t="shared" si="241"/>
        <v>2</v>
      </c>
      <c r="BC264" s="127" t="str">
        <f t="shared" si="212"/>
        <v>1G</v>
      </c>
      <c r="BD264" s="127" t="str">
        <f t="shared" si="213"/>
        <v>1G</v>
      </c>
      <c r="BE264" s="127" t="str">
        <f t="shared" si="214"/>
        <v>1G</v>
      </c>
      <c r="BF264" s="127" t="str">
        <f t="shared" si="215"/>
        <v>2G</v>
      </c>
      <c r="BG264" s="127" t="str">
        <f t="shared" si="216"/>
        <v>3G</v>
      </c>
      <c r="BH264" s="127" t="str">
        <f t="shared" si="217"/>
        <v>3G</v>
      </c>
      <c r="BI264" s="127">
        <f t="shared" si="242"/>
        <v>3</v>
      </c>
      <c r="BJ264" s="127">
        <f t="shared" si="243"/>
        <v>1</v>
      </c>
      <c r="BK264" s="127">
        <f t="shared" si="244"/>
        <v>2</v>
      </c>
      <c r="BL264" s="127" t="str">
        <f t="shared" si="245"/>
        <v>312</v>
      </c>
      <c r="BS264"/>
      <c r="CL264" s="28">
        <v>140</v>
      </c>
      <c r="CM264" s="28">
        <v>140</v>
      </c>
      <c r="CO264"/>
    </row>
    <row r="265" spans="1:93" ht="16.5" hidden="1">
      <c r="B265" s="17">
        <v>261</v>
      </c>
      <c r="C265" s="363" t="s">
        <v>291</v>
      </c>
      <c r="D265" s="18">
        <v>3</v>
      </c>
      <c r="E265" s="20">
        <v>3192299100</v>
      </c>
      <c r="F265" s="18">
        <v>32</v>
      </c>
      <c r="G265" s="20">
        <v>49879674</v>
      </c>
      <c r="H265" s="20">
        <v>1104</v>
      </c>
      <c r="I265" s="20">
        <v>1445788</v>
      </c>
      <c r="J265" s="20">
        <v>56285</v>
      </c>
      <c r="K265" s="20">
        <v>56717</v>
      </c>
      <c r="L265" s="20">
        <v>929205</v>
      </c>
      <c r="M265" s="20">
        <v>5000</v>
      </c>
      <c r="N265" s="167">
        <v>6</v>
      </c>
      <c r="O265" s="167">
        <v>11</v>
      </c>
      <c r="P265" s="167">
        <v>16</v>
      </c>
      <c r="Q265" s="167">
        <v>18</v>
      </c>
      <c r="R265" s="167">
        <v>31</v>
      </c>
      <c r="S265" s="167">
        <v>43</v>
      </c>
      <c r="T265" s="167">
        <v>2</v>
      </c>
      <c r="U265" s="28">
        <f t="shared" si="218"/>
        <v>125</v>
      </c>
      <c r="W265" s="32" t="str">
        <f t="shared" si="203"/>
        <v>짝수</v>
      </c>
      <c r="X265" s="32" t="str">
        <f t="shared" si="204"/>
        <v>홀수</v>
      </c>
      <c r="Y265" s="32" t="str">
        <f t="shared" si="205"/>
        <v>짝수</v>
      </c>
      <c r="Z265" s="32" t="str">
        <f t="shared" si="206"/>
        <v>짝수</v>
      </c>
      <c r="AA265" s="32" t="str">
        <f t="shared" si="207"/>
        <v>홀수</v>
      </c>
      <c r="AB265" s="32" t="str">
        <f t="shared" si="208"/>
        <v>홀수</v>
      </c>
      <c r="AC265" s="58" t="str">
        <f t="shared" si="209"/>
        <v>3 : 3</v>
      </c>
      <c r="AD265" s="32">
        <f t="shared" si="210"/>
        <v>3</v>
      </c>
      <c r="AE265" s="32">
        <f t="shared" si="211"/>
        <v>3</v>
      </c>
      <c r="AF265" s="66" t="str">
        <f t="shared" si="219"/>
        <v>저수</v>
      </c>
      <c r="AG265" s="66" t="str">
        <f t="shared" si="220"/>
        <v>저수</v>
      </c>
      <c r="AH265" s="66" t="str">
        <f t="shared" si="221"/>
        <v>저수</v>
      </c>
      <c r="AI265" s="66" t="str">
        <f t="shared" si="222"/>
        <v>저수</v>
      </c>
      <c r="AJ265" s="66" t="str">
        <f t="shared" si="223"/>
        <v>고수</v>
      </c>
      <c r="AK265" s="66" t="str">
        <f t="shared" si="224"/>
        <v>고수</v>
      </c>
      <c r="AL265" s="58" t="str">
        <f t="shared" si="225"/>
        <v>4 : 2</v>
      </c>
      <c r="AM265" s="66">
        <f t="shared" si="226"/>
        <v>4</v>
      </c>
      <c r="AN265" s="66">
        <f t="shared" si="227"/>
        <v>2</v>
      </c>
      <c r="AO265" s="66">
        <f t="shared" si="228"/>
        <v>25</v>
      </c>
      <c r="AP265" s="66" t="str">
        <f t="shared" si="229"/>
        <v>X</v>
      </c>
      <c r="AQ265" s="66" t="str">
        <f t="shared" si="230"/>
        <v>O</v>
      </c>
      <c r="AR265" s="66" t="str">
        <f t="shared" si="231"/>
        <v>X</v>
      </c>
      <c r="AS265" s="66" t="str">
        <f t="shared" si="232"/>
        <v>X</v>
      </c>
      <c r="AT265" s="66" t="str">
        <f t="shared" si="233"/>
        <v>X</v>
      </c>
      <c r="AU265" s="66" t="str">
        <f t="shared" si="234"/>
        <v>X</v>
      </c>
      <c r="AV265" s="66" t="str">
        <f t="shared" si="235"/>
        <v>X</v>
      </c>
      <c r="AW265" s="66" t="str">
        <f t="shared" si="236"/>
        <v>X</v>
      </c>
      <c r="AX265" s="66" t="str">
        <f t="shared" si="237"/>
        <v>X</v>
      </c>
      <c r="AY265" s="66" t="str">
        <f t="shared" si="238"/>
        <v>X</v>
      </c>
      <c r="AZ265" s="66" t="str">
        <f t="shared" si="239"/>
        <v>O</v>
      </c>
      <c r="BA265" s="66" t="str">
        <f t="shared" si="240"/>
        <v>O</v>
      </c>
      <c r="BB265" s="66">
        <f t="shared" si="241"/>
        <v>3</v>
      </c>
      <c r="BC265" s="127" t="str">
        <f t="shared" si="212"/>
        <v>1G</v>
      </c>
      <c r="BD265" s="127" t="str">
        <f t="shared" si="213"/>
        <v>1G</v>
      </c>
      <c r="BE265" s="127" t="str">
        <f t="shared" si="214"/>
        <v>2G</v>
      </c>
      <c r="BF265" s="127" t="str">
        <f t="shared" si="215"/>
        <v>2G</v>
      </c>
      <c r="BG265" s="127" t="str">
        <f t="shared" si="216"/>
        <v>3G</v>
      </c>
      <c r="BH265" s="127" t="str">
        <f t="shared" si="217"/>
        <v>3G</v>
      </c>
      <c r="BI265" s="127">
        <f t="shared" si="242"/>
        <v>2</v>
      </c>
      <c r="BJ265" s="127">
        <f t="shared" si="243"/>
        <v>2</v>
      </c>
      <c r="BK265" s="127">
        <f t="shared" si="244"/>
        <v>2</v>
      </c>
      <c r="BL265" s="127" t="str">
        <f t="shared" si="245"/>
        <v>222</v>
      </c>
      <c r="BS265"/>
      <c r="CL265" s="28">
        <v>141</v>
      </c>
      <c r="CM265" s="28">
        <v>140</v>
      </c>
      <c r="CO265"/>
    </row>
    <row r="266" spans="1:93" ht="16.5" hidden="1">
      <c r="B266" s="17">
        <v>262</v>
      </c>
      <c r="C266" s="363" t="s">
        <v>292</v>
      </c>
      <c r="D266" s="18">
        <v>2</v>
      </c>
      <c r="E266" s="20">
        <v>4518741600</v>
      </c>
      <c r="F266" s="18">
        <v>21</v>
      </c>
      <c r="G266" s="20">
        <v>71726058</v>
      </c>
      <c r="H266" s="20">
        <v>1106</v>
      </c>
      <c r="I266" s="20">
        <v>1361888</v>
      </c>
      <c r="J266" s="20">
        <v>54807</v>
      </c>
      <c r="K266" s="20">
        <v>54966</v>
      </c>
      <c r="L266" s="20">
        <v>910729</v>
      </c>
      <c r="M266" s="20">
        <v>5000</v>
      </c>
      <c r="N266" s="167">
        <v>9</v>
      </c>
      <c r="O266" s="167">
        <v>12</v>
      </c>
      <c r="P266" s="167">
        <v>24</v>
      </c>
      <c r="Q266" s="167">
        <v>25</v>
      </c>
      <c r="R266" s="167">
        <v>29</v>
      </c>
      <c r="S266" s="167">
        <v>31</v>
      </c>
      <c r="T266" s="167">
        <v>36</v>
      </c>
      <c r="U266" s="28">
        <f t="shared" si="218"/>
        <v>130</v>
      </c>
      <c r="W266" s="32" t="str">
        <f t="shared" si="203"/>
        <v>홀수</v>
      </c>
      <c r="X266" s="32" t="str">
        <f t="shared" si="204"/>
        <v>짝수</v>
      </c>
      <c r="Y266" s="32" t="str">
        <f t="shared" si="205"/>
        <v>짝수</v>
      </c>
      <c r="Z266" s="32" t="str">
        <f t="shared" si="206"/>
        <v>홀수</v>
      </c>
      <c r="AA266" s="32" t="str">
        <f t="shared" si="207"/>
        <v>홀수</v>
      </c>
      <c r="AB266" s="32" t="str">
        <f t="shared" si="208"/>
        <v>홀수</v>
      </c>
      <c r="AC266" s="58" t="str">
        <f t="shared" si="209"/>
        <v>4 : 2</v>
      </c>
      <c r="AD266" s="32">
        <f t="shared" si="210"/>
        <v>4</v>
      </c>
      <c r="AE266" s="32">
        <f t="shared" si="211"/>
        <v>2</v>
      </c>
      <c r="AF266" s="66" t="str">
        <f t="shared" si="219"/>
        <v>저수</v>
      </c>
      <c r="AG266" s="66" t="str">
        <f t="shared" si="220"/>
        <v>저수</v>
      </c>
      <c r="AH266" s="66" t="str">
        <f t="shared" si="221"/>
        <v>고수</v>
      </c>
      <c r="AI266" s="66" t="str">
        <f t="shared" si="222"/>
        <v>고수</v>
      </c>
      <c r="AJ266" s="66" t="str">
        <f t="shared" si="223"/>
        <v>고수</v>
      </c>
      <c r="AK266" s="66" t="str">
        <f t="shared" si="224"/>
        <v>고수</v>
      </c>
      <c r="AL266" s="58" t="str">
        <f t="shared" si="225"/>
        <v>2 : 4</v>
      </c>
      <c r="AM266" s="66">
        <f t="shared" si="226"/>
        <v>2</v>
      </c>
      <c r="AN266" s="66">
        <f t="shared" si="227"/>
        <v>4</v>
      </c>
      <c r="AO266" s="66">
        <f t="shared" si="228"/>
        <v>30</v>
      </c>
      <c r="AP266" s="66" t="str">
        <f t="shared" si="229"/>
        <v>X</v>
      </c>
      <c r="AQ266" s="66" t="str">
        <f t="shared" si="230"/>
        <v>X</v>
      </c>
      <c r="AR266" s="66" t="str">
        <f t="shared" si="231"/>
        <v>X</v>
      </c>
      <c r="AS266" s="66" t="str">
        <f t="shared" si="232"/>
        <v>X</v>
      </c>
      <c r="AT266" s="66" t="str">
        <f t="shared" si="233"/>
        <v>X</v>
      </c>
      <c r="AU266" s="66" t="str">
        <f t="shared" si="234"/>
        <v>X</v>
      </c>
      <c r="AV266" s="66" t="str">
        <f t="shared" si="235"/>
        <v>X</v>
      </c>
      <c r="AW266" s="66" t="str">
        <f t="shared" si="236"/>
        <v>X</v>
      </c>
      <c r="AX266" s="66" t="str">
        <f t="shared" si="237"/>
        <v>X</v>
      </c>
      <c r="AY266" s="66" t="str">
        <f t="shared" si="238"/>
        <v>X</v>
      </c>
      <c r="AZ266" s="66" t="str">
        <f t="shared" si="239"/>
        <v>O</v>
      </c>
      <c r="BA266" s="66" t="str">
        <f t="shared" si="240"/>
        <v>O</v>
      </c>
      <c r="BB266" s="66">
        <f t="shared" si="241"/>
        <v>2</v>
      </c>
      <c r="BC266" s="127" t="str">
        <f t="shared" si="212"/>
        <v>1G</v>
      </c>
      <c r="BD266" s="127" t="str">
        <f t="shared" si="213"/>
        <v>1G</v>
      </c>
      <c r="BE266" s="127" t="str">
        <f t="shared" si="214"/>
        <v>2G</v>
      </c>
      <c r="BF266" s="127" t="str">
        <f t="shared" si="215"/>
        <v>2G</v>
      </c>
      <c r="BG266" s="127" t="str">
        <f t="shared" si="216"/>
        <v>2G</v>
      </c>
      <c r="BH266" s="127" t="str">
        <f t="shared" si="217"/>
        <v>3G</v>
      </c>
      <c r="BI266" s="127">
        <f t="shared" si="242"/>
        <v>2</v>
      </c>
      <c r="BJ266" s="127">
        <f t="shared" si="243"/>
        <v>3</v>
      </c>
      <c r="BK266" s="127">
        <f t="shared" si="244"/>
        <v>1</v>
      </c>
      <c r="BL266" s="127" t="str">
        <f t="shared" si="245"/>
        <v>231</v>
      </c>
      <c r="BS266"/>
      <c r="CL266" s="28">
        <v>141</v>
      </c>
      <c r="CM266" s="28">
        <v>140</v>
      </c>
      <c r="CO266"/>
    </row>
    <row r="267" spans="1:93" ht="16.5" hidden="1">
      <c r="B267" s="17">
        <v>263</v>
      </c>
      <c r="C267" s="363" t="s">
        <v>293</v>
      </c>
      <c r="D267" s="18">
        <v>6</v>
      </c>
      <c r="E267" s="20">
        <v>1551704900</v>
      </c>
      <c r="F267" s="18">
        <v>27</v>
      </c>
      <c r="G267" s="20">
        <v>57470552</v>
      </c>
      <c r="H267" s="18">
        <v>937</v>
      </c>
      <c r="I267" s="20">
        <v>1656036</v>
      </c>
      <c r="J267" s="20">
        <v>50490</v>
      </c>
      <c r="K267" s="20">
        <v>61466</v>
      </c>
      <c r="L267" s="20">
        <v>864303</v>
      </c>
      <c r="M267" s="20">
        <v>5000</v>
      </c>
      <c r="N267" s="167">
        <v>1</v>
      </c>
      <c r="O267" s="167">
        <v>27</v>
      </c>
      <c r="P267" s="167">
        <v>28</v>
      </c>
      <c r="Q267" s="167">
        <v>32</v>
      </c>
      <c r="R267" s="167">
        <v>37</v>
      </c>
      <c r="S267" s="167">
        <v>40</v>
      </c>
      <c r="T267" s="167">
        <v>18</v>
      </c>
      <c r="U267" s="28">
        <f t="shared" si="218"/>
        <v>165</v>
      </c>
      <c r="W267" s="32" t="str">
        <f t="shared" si="203"/>
        <v>홀수</v>
      </c>
      <c r="X267" s="32" t="str">
        <f t="shared" si="204"/>
        <v>홀수</v>
      </c>
      <c r="Y267" s="32" t="str">
        <f t="shared" si="205"/>
        <v>짝수</v>
      </c>
      <c r="Z267" s="32" t="str">
        <f t="shared" si="206"/>
        <v>짝수</v>
      </c>
      <c r="AA267" s="32" t="str">
        <f t="shared" si="207"/>
        <v>홀수</v>
      </c>
      <c r="AB267" s="32" t="str">
        <f t="shared" si="208"/>
        <v>짝수</v>
      </c>
      <c r="AC267" s="58" t="str">
        <f t="shared" si="209"/>
        <v>3 : 3</v>
      </c>
      <c r="AD267" s="32">
        <f t="shared" si="210"/>
        <v>3</v>
      </c>
      <c r="AE267" s="32">
        <f t="shared" si="211"/>
        <v>3</v>
      </c>
      <c r="AF267" s="66" t="str">
        <f t="shared" si="219"/>
        <v>저수</v>
      </c>
      <c r="AG267" s="66" t="str">
        <f t="shared" si="220"/>
        <v>고수</v>
      </c>
      <c r="AH267" s="66" t="str">
        <f t="shared" si="221"/>
        <v>고수</v>
      </c>
      <c r="AI267" s="66" t="str">
        <f t="shared" si="222"/>
        <v>고수</v>
      </c>
      <c r="AJ267" s="66" t="str">
        <f t="shared" si="223"/>
        <v>고수</v>
      </c>
      <c r="AK267" s="66" t="str">
        <f t="shared" si="224"/>
        <v>고수</v>
      </c>
      <c r="AL267" s="58" t="str">
        <f t="shared" si="225"/>
        <v>1 : 5</v>
      </c>
      <c r="AM267" s="66">
        <f t="shared" si="226"/>
        <v>1</v>
      </c>
      <c r="AN267" s="66">
        <f t="shared" si="227"/>
        <v>5</v>
      </c>
      <c r="AO267" s="66">
        <f t="shared" si="228"/>
        <v>25</v>
      </c>
      <c r="AP267" s="66" t="str">
        <f t="shared" si="229"/>
        <v>X</v>
      </c>
      <c r="AQ267" s="66" t="str">
        <f t="shared" si="230"/>
        <v>X</v>
      </c>
      <c r="AR267" s="66" t="str">
        <f t="shared" si="231"/>
        <v>X</v>
      </c>
      <c r="AS267" s="66" t="str">
        <f t="shared" si="232"/>
        <v>X</v>
      </c>
      <c r="AT267" s="66" t="str">
        <f t="shared" si="233"/>
        <v>X</v>
      </c>
      <c r="AU267" s="66" t="str">
        <f t="shared" si="234"/>
        <v>X</v>
      </c>
      <c r="AV267" s="66" t="str">
        <f t="shared" si="235"/>
        <v>X</v>
      </c>
      <c r="AW267" s="66" t="str">
        <f t="shared" si="236"/>
        <v>X</v>
      </c>
      <c r="AX267" s="66" t="str">
        <f t="shared" si="237"/>
        <v>X</v>
      </c>
      <c r="AY267" s="66" t="str">
        <f t="shared" si="238"/>
        <v>X</v>
      </c>
      <c r="AZ267" s="66" t="str">
        <f t="shared" si="239"/>
        <v>O</v>
      </c>
      <c r="BA267" s="66" t="str">
        <f t="shared" si="240"/>
        <v>X</v>
      </c>
      <c r="BB267" s="66">
        <f t="shared" si="241"/>
        <v>1</v>
      </c>
      <c r="BC267" s="127" t="str">
        <f t="shared" si="212"/>
        <v>1G</v>
      </c>
      <c r="BD267" s="127" t="str">
        <f t="shared" si="213"/>
        <v>2G</v>
      </c>
      <c r="BE267" s="127" t="str">
        <f t="shared" si="214"/>
        <v>2G</v>
      </c>
      <c r="BF267" s="127" t="str">
        <f t="shared" si="215"/>
        <v>3G</v>
      </c>
      <c r="BG267" s="127" t="str">
        <f t="shared" si="216"/>
        <v>3G</v>
      </c>
      <c r="BH267" s="127" t="str">
        <f t="shared" si="217"/>
        <v>3G</v>
      </c>
      <c r="BI267" s="127">
        <f t="shared" si="242"/>
        <v>1</v>
      </c>
      <c r="BJ267" s="127">
        <f t="shared" si="243"/>
        <v>2</v>
      </c>
      <c r="BK267" s="127">
        <f t="shared" si="244"/>
        <v>3</v>
      </c>
      <c r="BL267" s="127" t="str">
        <f t="shared" si="245"/>
        <v>123</v>
      </c>
      <c r="BS267"/>
      <c r="CL267" s="28">
        <v>141</v>
      </c>
      <c r="CM267" s="28">
        <v>140</v>
      </c>
      <c r="CO267"/>
    </row>
    <row r="268" spans="1:93" ht="16.5" hidden="1">
      <c r="B268" s="17">
        <v>264</v>
      </c>
      <c r="C268" s="363" t="s">
        <v>294</v>
      </c>
      <c r="D268" s="18">
        <v>7</v>
      </c>
      <c r="E268" s="20">
        <v>1344889200</v>
      </c>
      <c r="F268" s="18">
        <v>27</v>
      </c>
      <c r="G268" s="20">
        <v>58112497</v>
      </c>
      <c r="H268" s="20">
        <v>1047</v>
      </c>
      <c r="I268" s="20">
        <v>1498604</v>
      </c>
      <c r="J268" s="20">
        <v>50096</v>
      </c>
      <c r="K268" s="20">
        <v>62642</v>
      </c>
      <c r="L268" s="20">
        <v>840243</v>
      </c>
      <c r="M268" s="20">
        <v>5000</v>
      </c>
      <c r="N268" s="167">
        <v>9</v>
      </c>
      <c r="O268" s="167">
        <v>16</v>
      </c>
      <c r="P268" s="167">
        <v>27</v>
      </c>
      <c r="Q268" s="167">
        <v>36</v>
      </c>
      <c r="R268" s="167">
        <v>41</v>
      </c>
      <c r="S268" s="167">
        <v>44</v>
      </c>
      <c r="T268" s="167">
        <v>5</v>
      </c>
      <c r="U268" s="28">
        <f t="shared" si="218"/>
        <v>173</v>
      </c>
      <c r="W268" s="32" t="str">
        <f t="shared" si="203"/>
        <v>홀수</v>
      </c>
      <c r="X268" s="32" t="str">
        <f t="shared" si="204"/>
        <v>짝수</v>
      </c>
      <c r="Y268" s="32" t="str">
        <f t="shared" si="205"/>
        <v>홀수</v>
      </c>
      <c r="Z268" s="32" t="str">
        <f t="shared" si="206"/>
        <v>짝수</v>
      </c>
      <c r="AA268" s="32" t="str">
        <f t="shared" si="207"/>
        <v>홀수</v>
      </c>
      <c r="AB268" s="32" t="str">
        <f t="shared" si="208"/>
        <v>짝수</v>
      </c>
      <c r="AC268" s="58" t="str">
        <f t="shared" si="209"/>
        <v>3 : 3</v>
      </c>
      <c r="AD268" s="32">
        <f t="shared" si="210"/>
        <v>3</v>
      </c>
      <c r="AE268" s="32">
        <f t="shared" si="211"/>
        <v>3</v>
      </c>
      <c r="AF268" s="66" t="str">
        <f t="shared" si="219"/>
        <v>저수</v>
      </c>
      <c r="AG268" s="66" t="str">
        <f t="shared" si="220"/>
        <v>저수</v>
      </c>
      <c r="AH268" s="66" t="str">
        <f t="shared" si="221"/>
        <v>고수</v>
      </c>
      <c r="AI268" s="66" t="str">
        <f t="shared" si="222"/>
        <v>고수</v>
      </c>
      <c r="AJ268" s="66" t="str">
        <f t="shared" si="223"/>
        <v>고수</v>
      </c>
      <c r="AK268" s="66" t="str">
        <f t="shared" si="224"/>
        <v>고수</v>
      </c>
      <c r="AL268" s="58" t="str">
        <f t="shared" si="225"/>
        <v>2 : 4</v>
      </c>
      <c r="AM268" s="66">
        <f t="shared" si="226"/>
        <v>2</v>
      </c>
      <c r="AN268" s="66">
        <f t="shared" si="227"/>
        <v>4</v>
      </c>
      <c r="AO268" s="66">
        <f t="shared" si="228"/>
        <v>33</v>
      </c>
      <c r="AP268" s="66" t="str">
        <f t="shared" si="229"/>
        <v>X</v>
      </c>
      <c r="AQ268" s="66" t="str">
        <f t="shared" si="230"/>
        <v>X</v>
      </c>
      <c r="AR268" s="66" t="str">
        <f t="shared" si="231"/>
        <v>X</v>
      </c>
      <c r="AS268" s="66" t="str">
        <f t="shared" si="232"/>
        <v>X</v>
      </c>
      <c r="AT268" s="66" t="str">
        <f t="shared" si="233"/>
        <v>X</v>
      </c>
      <c r="AU268" s="66" t="str">
        <f t="shared" si="234"/>
        <v>X</v>
      </c>
      <c r="AV268" s="66" t="str">
        <f t="shared" si="235"/>
        <v>X</v>
      </c>
      <c r="AW268" s="66" t="str">
        <f t="shared" si="236"/>
        <v>X</v>
      </c>
      <c r="AX268" s="66" t="str">
        <f t="shared" si="237"/>
        <v>X</v>
      </c>
      <c r="AY268" s="66" t="str">
        <f t="shared" si="238"/>
        <v>X</v>
      </c>
      <c r="AZ268" s="66" t="str">
        <f t="shared" si="239"/>
        <v>O</v>
      </c>
      <c r="BA268" s="66" t="str">
        <f t="shared" si="240"/>
        <v>X</v>
      </c>
      <c r="BB268" s="66">
        <f t="shared" si="241"/>
        <v>1</v>
      </c>
      <c r="BC268" s="127" t="str">
        <f t="shared" si="212"/>
        <v>1G</v>
      </c>
      <c r="BD268" s="127" t="str">
        <f t="shared" si="213"/>
        <v>2G</v>
      </c>
      <c r="BE268" s="127" t="str">
        <f t="shared" si="214"/>
        <v>2G</v>
      </c>
      <c r="BF268" s="127" t="str">
        <f t="shared" si="215"/>
        <v>3G</v>
      </c>
      <c r="BG268" s="127" t="str">
        <f t="shared" si="216"/>
        <v>3G</v>
      </c>
      <c r="BH268" s="127" t="str">
        <f t="shared" si="217"/>
        <v>3G</v>
      </c>
      <c r="BI268" s="127">
        <f t="shared" si="242"/>
        <v>1</v>
      </c>
      <c r="BJ268" s="127">
        <f t="shared" si="243"/>
        <v>2</v>
      </c>
      <c r="BK268" s="127">
        <f t="shared" si="244"/>
        <v>3</v>
      </c>
      <c r="BL268" s="127" t="str">
        <f t="shared" si="245"/>
        <v>123</v>
      </c>
      <c r="BS268"/>
      <c r="CL268" s="28">
        <v>141</v>
      </c>
      <c r="CM268" s="28">
        <v>140</v>
      </c>
      <c r="CO268"/>
    </row>
    <row r="269" spans="1:93" ht="16.5" hidden="1">
      <c r="B269" s="17">
        <v>265</v>
      </c>
      <c r="C269" s="363" t="s">
        <v>295</v>
      </c>
      <c r="D269" s="18">
        <v>8</v>
      </c>
      <c r="E269" s="20">
        <v>1200838575</v>
      </c>
      <c r="F269" s="18">
        <v>19</v>
      </c>
      <c r="G269" s="20">
        <v>84269374</v>
      </c>
      <c r="H269" s="20">
        <v>1010</v>
      </c>
      <c r="I269" s="20">
        <v>1585266</v>
      </c>
      <c r="J269" s="20">
        <v>52966</v>
      </c>
      <c r="K269" s="20">
        <v>60459</v>
      </c>
      <c r="L269" s="20">
        <v>889156</v>
      </c>
      <c r="M269" s="20">
        <v>5000</v>
      </c>
      <c r="N269" s="167">
        <v>5</v>
      </c>
      <c r="O269" s="167">
        <v>9</v>
      </c>
      <c r="P269" s="167">
        <v>34</v>
      </c>
      <c r="Q269" s="167">
        <v>37</v>
      </c>
      <c r="R269" s="167">
        <v>38</v>
      </c>
      <c r="S269" s="167">
        <v>39</v>
      </c>
      <c r="T269" s="167">
        <v>12</v>
      </c>
      <c r="U269" s="28">
        <f t="shared" si="218"/>
        <v>162</v>
      </c>
      <c r="W269" s="32" t="str">
        <f t="shared" si="203"/>
        <v>홀수</v>
      </c>
      <c r="X269" s="32" t="str">
        <f t="shared" si="204"/>
        <v>홀수</v>
      </c>
      <c r="Y269" s="32" t="str">
        <f t="shared" si="205"/>
        <v>짝수</v>
      </c>
      <c r="Z269" s="32" t="str">
        <f t="shared" si="206"/>
        <v>홀수</v>
      </c>
      <c r="AA269" s="32" t="str">
        <f t="shared" si="207"/>
        <v>짝수</v>
      </c>
      <c r="AB269" s="32" t="str">
        <f t="shared" si="208"/>
        <v>홀수</v>
      </c>
      <c r="AC269" s="58" t="str">
        <f t="shared" si="209"/>
        <v>4 : 2</v>
      </c>
      <c r="AD269" s="32">
        <f t="shared" si="210"/>
        <v>4</v>
      </c>
      <c r="AE269" s="32">
        <f t="shared" si="211"/>
        <v>2</v>
      </c>
      <c r="AF269" s="66" t="str">
        <f t="shared" si="219"/>
        <v>저수</v>
      </c>
      <c r="AG269" s="66" t="str">
        <f t="shared" si="220"/>
        <v>저수</v>
      </c>
      <c r="AH269" s="66" t="str">
        <f t="shared" si="221"/>
        <v>고수</v>
      </c>
      <c r="AI269" s="66" t="str">
        <f t="shared" si="222"/>
        <v>고수</v>
      </c>
      <c r="AJ269" s="66" t="str">
        <f t="shared" si="223"/>
        <v>고수</v>
      </c>
      <c r="AK269" s="66" t="str">
        <f t="shared" si="224"/>
        <v>고수</v>
      </c>
      <c r="AL269" s="58" t="str">
        <f t="shared" si="225"/>
        <v>2 : 4</v>
      </c>
      <c r="AM269" s="66">
        <f t="shared" si="226"/>
        <v>2</v>
      </c>
      <c r="AN269" s="66">
        <f t="shared" si="227"/>
        <v>4</v>
      </c>
      <c r="AO269" s="66">
        <f t="shared" si="228"/>
        <v>42</v>
      </c>
      <c r="AP269" s="66" t="str">
        <f t="shared" si="229"/>
        <v>O</v>
      </c>
      <c r="AQ269" s="66" t="str">
        <f t="shared" si="230"/>
        <v>X</v>
      </c>
      <c r="AR269" s="66" t="str">
        <f t="shared" si="231"/>
        <v>X</v>
      </c>
      <c r="AS269" s="66" t="str">
        <f t="shared" si="232"/>
        <v>X</v>
      </c>
      <c r="AT269" s="66" t="str">
        <f t="shared" si="233"/>
        <v>X</v>
      </c>
      <c r="AU269" s="66" t="str">
        <f t="shared" si="234"/>
        <v>X</v>
      </c>
      <c r="AV269" s="66" t="str">
        <f t="shared" si="235"/>
        <v>X</v>
      </c>
      <c r="AW269" s="66" t="str">
        <f t="shared" si="236"/>
        <v>X</v>
      </c>
      <c r="AX269" s="66" t="str">
        <f t="shared" si="237"/>
        <v>X</v>
      </c>
      <c r="AY269" s="66" t="str">
        <f t="shared" si="238"/>
        <v>O</v>
      </c>
      <c r="AZ269" s="66" t="str">
        <f t="shared" si="239"/>
        <v>X</v>
      </c>
      <c r="BA269" s="66" t="str">
        <f t="shared" si="240"/>
        <v>X</v>
      </c>
      <c r="BB269" s="66">
        <f t="shared" si="241"/>
        <v>2</v>
      </c>
      <c r="BC269" s="127" t="str">
        <f t="shared" si="212"/>
        <v>1G</v>
      </c>
      <c r="BD269" s="127" t="str">
        <f t="shared" si="213"/>
        <v>1G</v>
      </c>
      <c r="BE269" s="127" t="str">
        <f t="shared" si="214"/>
        <v>3G</v>
      </c>
      <c r="BF269" s="127" t="str">
        <f t="shared" si="215"/>
        <v>3G</v>
      </c>
      <c r="BG269" s="127" t="str">
        <f t="shared" si="216"/>
        <v>3G</v>
      </c>
      <c r="BH269" s="127" t="str">
        <f t="shared" si="217"/>
        <v>3G</v>
      </c>
      <c r="BI269" s="127">
        <f t="shared" si="242"/>
        <v>2</v>
      </c>
      <c r="BJ269" s="127">
        <f t="shared" si="243"/>
        <v>0</v>
      </c>
      <c r="BK269" s="127">
        <f t="shared" si="244"/>
        <v>4</v>
      </c>
      <c r="BL269" s="127" t="str">
        <f t="shared" si="245"/>
        <v>204</v>
      </c>
      <c r="BS269"/>
      <c r="CL269" s="28">
        <v>141</v>
      </c>
      <c r="CM269" s="28">
        <v>140</v>
      </c>
      <c r="CO269"/>
    </row>
    <row r="270" spans="1:93" ht="16.5" hidden="1">
      <c r="A270" s="18">
        <v>2008</v>
      </c>
      <c r="B270" s="17">
        <v>266</v>
      </c>
      <c r="C270" s="363" t="s">
        <v>296</v>
      </c>
      <c r="D270" s="18">
        <v>3</v>
      </c>
      <c r="E270" s="20">
        <v>3207211700</v>
      </c>
      <c r="F270" s="18">
        <v>36</v>
      </c>
      <c r="G270" s="20">
        <v>44544607</v>
      </c>
      <c r="H270" s="20">
        <v>1194</v>
      </c>
      <c r="I270" s="20">
        <v>1343054</v>
      </c>
      <c r="J270" s="20">
        <v>58820</v>
      </c>
      <c r="K270" s="20">
        <v>54526</v>
      </c>
      <c r="L270" s="20">
        <v>986495</v>
      </c>
      <c r="M270" s="20">
        <v>5000</v>
      </c>
      <c r="N270" s="167">
        <v>3</v>
      </c>
      <c r="O270" s="167">
        <v>4</v>
      </c>
      <c r="P270" s="167">
        <v>9</v>
      </c>
      <c r="Q270" s="167">
        <v>11</v>
      </c>
      <c r="R270" s="167">
        <v>22</v>
      </c>
      <c r="S270" s="167">
        <v>42</v>
      </c>
      <c r="T270" s="167">
        <v>37</v>
      </c>
      <c r="U270" s="28">
        <f t="shared" si="218"/>
        <v>91</v>
      </c>
      <c r="W270" s="32" t="str">
        <f t="shared" si="203"/>
        <v>홀수</v>
      </c>
      <c r="X270" s="32" t="str">
        <f t="shared" si="204"/>
        <v>짝수</v>
      </c>
      <c r="Y270" s="32" t="str">
        <f t="shared" si="205"/>
        <v>홀수</v>
      </c>
      <c r="Z270" s="32" t="str">
        <f t="shared" si="206"/>
        <v>홀수</v>
      </c>
      <c r="AA270" s="32" t="str">
        <f t="shared" si="207"/>
        <v>짝수</v>
      </c>
      <c r="AB270" s="32" t="str">
        <f t="shared" si="208"/>
        <v>짝수</v>
      </c>
      <c r="AC270" s="58" t="str">
        <f t="shared" si="209"/>
        <v>3 : 3</v>
      </c>
      <c r="AD270" s="32">
        <f t="shared" si="210"/>
        <v>3</v>
      </c>
      <c r="AE270" s="32">
        <f t="shared" si="211"/>
        <v>3</v>
      </c>
      <c r="AF270" s="66" t="str">
        <f t="shared" si="219"/>
        <v>저수</v>
      </c>
      <c r="AG270" s="66" t="str">
        <f t="shared" si="220"/>
        <v>저수</v>
      </c>
      <c r="AH270" s="66" t="str">
        <f t="shared" si="221"/>
        <v>저수</v>
      </c>
      <c r="AI270" s="66" t="str">
        <f t="shared" si="222"/>
        <v>저수</v>
      </c>
      <c r="AJ270" s="66" t="str">
        <f t="shared" si="223"/>
        <v>저수</v>
      </c>
      <c r="AK270" s="66" t="str">
        <f t="shared" si="224"/>
        <v>고수</v>
      </c>
      <c r="AL270" s="58" t="str">
        <f t="shared" si="225"/>
        <v>5 : 1</v>
      </c>
      <c r="AM270" s="66">
        <f t="shared" si="226"/>
        <v>5</v>
      </c>
      <c r="AN270" s="66">
        <f t="shared" si="227"/>
        <v>1</v>
      </c>
      <c r="AO270" s="66">
        <f t="shared" si="228"/>
        <v>21</v>
      </c>
      <c r="AP270" s="66" t="str">
        <f t="shared" si="229"/>
        <v>O</v>
      </c>
      <c r="AQ270" s="66" t="str">
        <f t="shared" si="230"/>
        <v>X</v>
      </c>
      <c r="AR270" s="66" t="str">
        <f t="shared" si="231"/>
        <v>X</v>
      </c>
      <c r="AS270" s="66" t="str">
        <f t="shared" si="232"/>
        <v>O</v>
      </c>
      <c r="AT270" s="66" t="str">
        <f t="shared" si="233"/>
        <v>X</v>
      </c>
      <c r="AU270" s="66" t="str">
        <f t="shared" si="234"/>
        <v>X</v>
      </c>
      <c r="AV270" s="66" t="str">
        <f t="shared" si="235"/>
        <v>X</v>
      </c>
      <c r="AW270" s="66" t="str">
        <f t="shared" si="236"/>
        <v>X</v>
      </c>
      <c r="AX270" s="66" t="str">
        <f t="shared" si="237"/>
        <v>X</v>
      </c>
      <c r="AY270" s="66" t="str">
        <f t="shared" si="238"/>
        <v>X</v>
      </c>
      <c r="AZ270" s="66" t="str">
        <f t="shared" si="239"/>
        <v>X</v>
      </c>
      <c r="BA270" s="66" t="str">
        <f t="shared" si="240"/>
        <v>X</v>
      </c>
      <c r="BB270" s="66">
        <f t="shared" si="241"/>
        <v>2</v>
      </c>
      <c r="BC270" s="127" t="str">
        <f t="shared" si="212"/>
        <v>1G</v>
      </c>
      <c r="BD270" s="127" t="str">
        <f t="shared" si="213"/>
        <v>1G</v>
      </c>
      <c r="BE270" s="127" t="str">
        <f t="shared" si="214"/>
        <v>1G</v>
      </c>
      <c r="BF270" s="127" t="str">
        <f t="shared" si="215"/>
        <v>1G</v>
      </c>
      <c r="BG270" s="127" t="str">
        <f t="shared" si="216"/>
        <v>2G</v>
      </c>
      <c r="BH270" s="127" t="str">
        <f t="shared" si="217"/>
        <v>3G</v>
      </c>
      <c r="BI270" s="127">
        <f t="shared" si="242"/>
        <v>4</v>
      </c>
      <c r="BJ270" s="127">
        <f t="shared" si="243"/>
        <v>1</v>
      </c>
      <c r="BK270" s="127">
        <f t="shared" si="244"/>
        <v>1</v>
      </c>
      <c r="BL270" s="127" t="str">
        <f t="shared" si="245"/>
        <v>411</v>
      </c>
      <c r="BS270"/>
      <c r="CL270" s="28">
        <v>141</v>
      </c>
      <c r="CM270" s="28">
        <v>140</v>
      </c>
      <c r="CO270"/>
    </row>
    <row r="271" spans="1:93" ht="16.5" hidden="1">
      <c r="B271" s="17">
        <v>267</v>
      </c>
      <c r="C271" s="363" t="s">
        <v>297</v>
      </c>
      <c r="D271" s="18">
        <v>3</v>
      </c>
      <c r="E271" s="20">
        <v>3257663300</v>
      </c>
      <c r="F271" s="18">
        <v>28</v>
      </c>
      <c r="G271" s="20">
        <v>58172559</v>
      </c>
      <c r="H271" s="20">
        <v>1141</v>
      </c>
      <c r="I271" s="20">
        <v>1427548</v>
      </c>
      <c r="J271" s="20">
        <v>55101</v>
      </c>
      <c r="K271" s="20">
        <v>59122</v>
      </c>
      <c r="L271" s="20">
        <v>925922</v>
      </c>
      <c r="M271" s="20">
        <v>5000</v>
      </c>
      <c r="N271" s="167">
        <v>7</v>
      </c>
      <c r="O271" s="167">
        <v>8</v>
      </c>
      <c r="P271" s="167">
        <v>24</v>
      </c>
      <c r="Q271" s="167">
        <v>34</v>
      </c>
      <c r="R271" s="167">
        <v>36</v>
      </c>
      <c r="S271" s="167">
        <v>41</v>
      </c>
      <c r="T271" s="167">
        <v>1</v>
      </c>
      <c r="U271" s="28">
        <f t="shared" si="218"/>
        <v>150</v>
      </c>
      <c r="W271" s="32" t="str">
        <f t="shared" si="203"/>
        <v>홀수</v>
      </c>
      <c r="X271" s="32" t="str">
        <f t="shared" si="204"/>
        <v>짝수</v>
      </c>
      <c r="Y271" s="32" t="str">
        <f t="shared" si="205"/>
        <v>짝수</v>
      </c>
      <c r="Z271" s="32" t="str">
        <f t="shared" si="206"/>
        <v>짝수</v>
      </c>
      <c r="AA271" s="32" t="str">
        <f t="shared" si="207"/>
        <v>짝수</v>
      </c>
      <c r="AB271" s="32" t="str">
        <f t="shared" si="208"/>
        <v>홀수</v>
      </c>
      <c r="AC271" s="58" t="str">
        <f t="shared" si="209"/>
        <v>2 : 4</v>
      </c>
      <c r="AD271" s="32">
        <f t="shared" si="210"/>
        <v>2</v>
      </c>
      <c r="AE271" s="32">
        <f t="shared" si="211"/>
        <v>4</v>
      </c>
      <c r="AF271" s="66" t="str">
        <f t="shared" si="219"/>
        <v>저수</v>
      </c>
      <c r="AG271" s="66" t="str">
        <f t="shared" si="220"/>
        <v>저수</v>
      </c>
      <c r="AH271" s="66" t="str">
        <f t="shared" si="221"/>
        <v>고수</v>
      </c>
      <c r="AI271" s="66" t="str">
        <f t="shared" si="222"/>
        <v>고수</v>
      </c>
      <c r="AJ271" s="66" t="str">
        <f t="shared" si="223"/>
        <v>고수</v>
      </c>
      <c r="AK271" s="66" t="str">
        <f t="shared" si="224"/>
        <v>고수</v>
      </c>
      <c r="AL271" s="58" t="str">
        <f t="shared" si="225"/>
        <v>2 : 4</v>
      </c>
      <c r="AM271" s="66">
        <f t="shared" si="226"/>
        <v>2</v>
      </c>
      <c r="AN271" s="66">
        <f t="shared" si="227"/>
        <v>4</v>
      </c>
      <c r="AO271" s="66">
        <f t="shared" si="228"/>
        <v>30</v>
      </c>
      <c r="AP271" s="66" t="str">
        <f t="shared" si="229"/>
        <v>O</v>
      </c>
      <c r="AQ271" s="66" t="str">
        <f t="shared" si="230"/>
        <v>X</v>
      </c>
      <c r="AR271" s="66" t="str">
        <f t="shared" si="231"/>
        <v>X</v>
      </c>
      <c r="AS271" s="66" t="str">
        <f t="shared" si="232"/>
        <v>X</v>
      </c>
      <c r="AT271" s="66" t="str">
        <f t="shared" si="233"/>
        <v>X</v>
      </c>
      <c r="AU271" s="66" t="str">
        <f t="shared" si="234"/>
        <v>X</v>
      </c>
      <c r="AV271" s="66" t="str">
        <f t="shared" si="235"/>
        <v>X</v>
      </c>
      <c r="AW271" s="66" t="str">
        <f t="shared" si="236"/>
        <v>X</v>
      </c>
      <c r="AX271" s="66" t="str">
        <f t="shared" si="237"/>
        <v>X</v>
      </c>
      <c r="AY271" s="66" t="str">
        <f t="shared" si="238"/>
        <v>X</v>
      </c>
      <c r="AZ271" s="66" t="str">
        <f t="shared" si="239"/>
        <v>X</v>
      </c>
      <c r="BA271" s="66" t="str">
        <f t="shared" si="240"/>
        <v>O</v>
      </c>
      <c r="BB271" s="66">
        <f t="shared" si="241"/>
        <v>2</v>
      </c>
      <c r="BC271" s="127" t="str">
        <f t="shared" si="212"/>
        <v>1G</v>
      </c>
      <c r="BD271" s="127" t="str">
        <f t="shared" si="213"/>
        <v>1G</v>
      </c>
      <c r="BE271" s="127" t="str">
        <f t="shared" si="214"/>
        <v>2G</v>
      </c>
      <c r="BF271" s="127" t="str">
        <f t="shared" si="215"/>
        <v>3G</v>
      </c>
      <c r="BG271" s="127" t="str">
        <f t="shared" si="216"/>
        <v>3G</v>
      </c>
      <c r="BH271" s="127" t="str">
        <f t="shared" si="217"/>
        <v>3G</v>
      </c>
      <c r="BI271" s="127">
        <f t="shared" si="242"/>
        <v>2</v>
      </c>
      <c r="BJ271" s="127">
        <f t="shared" si="243"/>
        <v>1</v>
      </c>
      <c r="BK271" s="127">
        <f t="shared" si="244"/>
        <v>3</v>
      </c>
      <c r="BL271" s="127" t="str">
        <f t="shared" si="245"/>
        <v>213</v>
      </c>
      <c r="BS271"/>
      <c r="CL271" s="28">
        <v>142</v>
      </c>
      <c r="CM271" s="28">
        <v>140</v>
      </c>
      <c r="CO271"/>
    </row>
    <row r="272" spans="1:93" ht="16.5" hidden="1">
      <c r="B272" s="17">
        <v>268</v>
      </c>
      <c r="C272" s="363" t="s">
        <v>298</v>
      </c>
      <c r="D272" s="18">
        <v>7</v>
      </c>
      <c r="E272" s="20">
        <v>1350954515</v>
      </c>
      <c r="F272" s="18">
        <v>35</v>
      </c>
      <c r="G272" s="20">
        <v>45031818</v>
      </c>
      <c r="H272" s="20">
        <v>1362</v>
      </c>
      <c r="I272" s="20">
        <v>1157206</v>
      </c>
      <c r="J272" s="20">
        <v>61857</v>
      </c>
      <c r="K272" s="20">
        <v>50960</v>
      </c>
      <c r="L272" s="20">
        <v>969153</v>
      </c>
      <c r="M272" s="20">
        <v>5000</v>
      </c>
      <c r="N272" s="167">
        <v>3</v>
      </c>
      <c r="O272" s="167">
        <v>10</v>
      </c>
      <c r="P272" s="167">
        <v>19</v>
      </c>
      <c r="Q272" s="167">
        <v>24</v>
      </c>
      <c r="R272" s="167">
        <v>32</v>
      </c>
      <c r="S272" s="167">
        <v>45</v>
      </c>
      <c r="T272" s="167">
        <v>12</v>
      </c>
      <c r="U272" s="28">
        <f t="shared" si="218"/>
        <v>133</v>
      </c>
      <c r="W272" s="32" t="str">
        <f t="shared" si="203"/>
        <v>홀수</v>
      </c>
      <c r="X272" s="32" t="str">
        <f t="shared" si="204"/>
        <v>짝수</v>
      </c>
      <c r="Y272" s="32" t="str">
        <f t="shared" si="205"/>
        <v>홀수</v>
      </c>
      <c r="Z272" s="32" t="str">
        <f t="shared" si="206"/>
        <v>짝수</v>
      </c>
      <c r="AA272" s="32" t="str">
        <f t="shared" si="207"/>
        <v>짝수</v>
      </c>
      <c r="AB272" s="32" t="str">
        <f t="shared" si="208"/>
        <v>홀수</v>
      </c>
      <c r="AC272" s="58" t="str">
        <f t="shared" si="209"/>
        <v>3 : 3</v>
      </c>
      <c r="AD272" s="32">
        <f t="shared" si="210"/>
        <v>3</v>
      </c>
      <c r="AE272" s="32">
        <f t="shared" si="211"/>
        <v>3</v>
      </c>
      <c r="AF272" s="66" t="str">
        <f t="shared" si="219"/>
        <v>저수</v>
      </c>
      <c r="AG272" s="66" t="str">
        <f t="shared" si="220"/>
        <v>저수</v>
      </c>
      <c r="AH272" s="66" t="str">
        <f t="shared" si="221"/>
        <v>저수</v>
      </c>
      <c r="AI272" s="66" t="str">
        <f t="shared" si="222"/>
        <v>고수</v>
      </c>
      <c r="AJ272" s="66" t="str">
        <f t="shared" si="223"/>
        <v>고수</v>
      </c>
      <c r="AK272" s="66" t="str">
        <f t="shared" si="224"/>
        <v>고수</v>
      </c>
      <c r="AL272" s="58" t="str">
        <f t="shared" si="225"/>
        <v>3 : 3</v>
      </c>
      <c r="AM272" s="66">
        <f t="shared" si="226"/>
        <v>3</v>
      </c>
      <c r="AN272" s="66">
        <f t="shared" si="227"/>
        <v>3</v>
      </c>
      <c r="AO272" s="66">
        <f t="shared" si="228"/>
        <v>23</v>
      </c>
      <c r="AP272" s="66" t="str">
        <f t="shared" si="229"/>
        <v>O</v>
      </c>
      <c r="AQ272" s="66" t="str">
        <f t="shared" si="230"/>
        <v>X</v>
      </c>
      <c r="AR272" s="66" t="str">
        <f t="shared" si="231"/>
        <v>O</v>
      </c>
      <c r="AS272" s="66" t="str">
        <f t="shared" si="232"/>
        <v>X</v>
      </c>
      <c r="AT272" s="66" t="str">
        <f t="shared" si="233"/>
        <v>X</v>
      </c>
      <c r="AU272" s="66" t="str">
        <f t="shared" si="234"/>
        <v>X</v>
      </c>
      <c r="AV272" s="66" t="str">
        <f t="shared" si="235"/>
        <v>X</v>
      </c>
      <c r="AW272" s="66" t="str">
        <f t="shared" si="236"/>
        <v>X</v>
      </c>
      <c r="AX272" s="66" t="str">
        <f t="shared" si="237"/>
        <v>X</v>
      </c>
      <c r="AY272" s="66" t="str">
        <f t="shared" si="238"/>
        <v>X</v>
      </c>
      <c r="AZ272" s="66" t="str">
        <f t="shared" si="239"/>
        <v>X</v>
      </c>
      <c r="BA272" s="66" t="str">
        <f t="shared" si="240"/>
        <v>X</v>
      </c>
      <c r="BB272" s="66">
        <f t="shared" si="241"/>
        <v>2</v>
      </c>
      <c r="BC272" s="127" t="str">
        <f t="shared" si="212"/>
        <v>1G</v>
      </c>
      <c r="BD272" s="127" t="str">
        <f t="shared" si="213"/>
        <v>1G</v>
      </c>
      <c r="BE272" s="127" t="str">
        <f t="shared" si="214"/>
        <v>2G</v>
      </c>
      <c r="BF272" s="127" t="str">
        <f t="shared" si="215"/>
        <v>2G</v>
      </c>
      <c r="BG272" s="127" t="str">
        <f t="shared" si="216"/>
        <v>3G</v>
      </c>
      <c r="BH272" s="127" t="str">
        <f t="shared" si="217"/>
        <v>3G</v>
      </c>
      <c r="BI272" s="127">
        <f t="shared" si="242"/>
        <v>2</v>
      </c>
      <c r="BJ272" s="127">
        <f t="shared" si="243"/>
        <v>2</v>
      </c>
      <c r="BK272" s="127">
        <f t="shared" si="244"/>
        <v>2</v>
      </c>
      <c r="BL272" s="127" t="str">
        <f t="shared" si="245"/>
        <v>222</v>
      </c>
      <c r="BS272"/>
      <c r="CL272" s="28">
        <v>142</v>
      </c>
      <c r="CM272" s="28">
        <v>140</v>
      </c>
      <c r="CO272"/>
    </row>
    <row r="273" spans="2:93" ht="16.5" hidden="1">
      <c r="B273" s="17">
        <v>269</v>
      </c>
      <c r="C273" s="363" t="s">
        <v>299</v>
      </c>
      <c r="D273" s="18">
        <v>5</v>
      </c>
      <c r="E273" s="20">
        <v>1961399940</v>
      </c>
      <c r="F273" s="18">
        <v>22</v>
      </c>
      <c r="G273" s="20">
        <v>74295453</v>
      </c>
      <c r="H273" s="20">
        <v>1014</v>
      </c>
      <c r="I273" s="20">
        <v>1611933</v>
      </c>
      <c r="J273" s="20">
        <v>50514</v>
      </c>
      <c r="K273" s="20">
        <v>64715</v>
      </c>
      <c r="L273" s="20">
        <v>866762</v>
      </c>
      <c r="M273" s="20">
        <v>5000</v>
      </c>
      <c r="N273" s="167">
        <v>5</v>
      </c>
      <c r="O273" s="167">
        <v>18</v>
      </c>
      <c r="P273" s="167">
        <v>20</v>
      </c>
      <c r="Q273" s="167">
        <v>36</v>
      </c>
      <c r="R273" s="167">
        <v>42</v>
      </c>
      <c r="S273" s="167">
        <v>43</v>
      </c>
      <c r="T273" s="167">
        <v>32</v>
      </c>
      <c r="U273" s="28">
        <f t="shared" si="218"/>
        <v>164</v>
      </c>
      <c r="W273" s="32" t="str">
        <f t="shared" si="203"/>
        <v>홀수</v>
      </c>
      <c r="X273" s="32" t="str">
        <f t="shared" si="204"/>
        <v>짝수</v>
      </c>
      <c r="Y273" s="32" t="str">
        <f t="shared" si="205"/>
        <v>짝수</v>
      </c>
      <c r="Z273" s="32" t="str">
        <f t="shared" si="206"/>
        <v>짝수</v>
      </c>
      <c r="AA273" s="32" t="str">
        <f t="shared" si="207"/>
        <v>짝수</v>
      </c>
      <c r="AB273" s="32" t="str">
        <f t="shared" si="208"/>
        <v>홀수</v>
      </c>
      <c r="AC273" s="58" t="str">
        <f t="shared" si="209"/>
        <v>2 : 4</v>
      </c>
      <c r="AD273" s="32">
        <f t="shared" si="210"/>
        <v>2</v>
      </c>
      <c r="AE273" s="32">
        <f t="shared" si="211"/>
        <v>4</v>
      </c>
      <c r="AF273" s="66" t="str">
        <f t="shared" si="219"/>
        <v>저수</v>
      </c>
      <c r="AG273" s="66" t="str">
        <f t="shared" si="220"/>
        <v>저수</v>
      </c>
      <c r="AH273" s="66" t="str">
        <f t="shared" si="221"/>
        <v>저수</v>
      </c>
      <c r="AI273" s="66" t="str">
        <f t="shared" si="222"/>
        <v>고수</v>
      </c>
      <c r="AJ273" s="66" t="str">
        <f t="shared" si="223"/>
        <v>고수</v>
      </c>
      <c r="AK273" s="66" t="str">
        <f t="shared" si="224"/>
        <v>고수</v>
      </c>
      <c r="AL273" s="58" t="str">
        <f t="shared" si="225"/>
        <v>3 : 3</v>
      </c>
      <c r="AM273" s="66">
        <f t="shared" si="226"/>
        <v>3</v>
      </c>
      <c r="AN273" s="66">
        <f t="shared" si="227"/>
        <v>3</v>
      </c>
      <c r="AO273" s="66">
        <f t="shared" si="228"/>
        <v>24</v>
      </c>
      <c r="AP273" s="66" t="str">
        <f t="shared" si="229"/>
        <v>O</v>
      </c>
      <c r="AQ273" s="66" t="str">
        <f t="shared" si="230"/>
        <v>X</v>
      </c>
      <c r="AR273" s="66" t="str">
        <f t="shared" si="231"/>
        <v>X</v>
      </c>
      <c r="AS273" s="66" t="str">
        <f t="shared" si="232"/>
        <v>X</v>
      </c>
      <c r="AT273" s="66" t="str">
        <f t="shared" si="233"/>
        <v>X</v>
      </c>
      <c r="AU273" s="66" t="str">
        <f t="shared" si="234"/>
        <v>X</v>
      </c>
      <c r="AV273" s="66" t="str">
        <f t="shared" si="235"/>
        <v>X</v>
      </c>
      <c r="AW273" s="66" t="str">
        <f t="shared" si="236"/>
        <v>X</v>
      </c>
      <c r="AX273" s="66" t="str">
        <f t="shared" si="237"/>
        <v>X</v>
      </c>
      <c r="AY273" s="66" t="str">
        <f t="shared" si="238"/>
        <v>X</v>
      </c>
      <c r="AZ273" s="66" t="str">
        <f t="shared" si="239"/>
        <v>X</v>
      </c>
      <c r="BA273" s="66" t="str">
        <f t="shared" si="240"/>
        <v>O</v>
      </c>
      <c r="BB273" s="66">
        <f t="shared" si="241"/>
        <v>2</v>
      </c>
      <c r="BC273" s="127" t="str">
        <f t="shared" si="212"/>
        <v>1G</v>
      </c>
      <c r="BD273" s="127" t="str">
        <f t="shared" si="213"/>
        <v>2G</v>
      </c>
      <c r="BE273" s="127" t="str">
        <f t="shared" si="214"/>
        <v>2G</v>
      </c>
      <c r="BF273" s="127" t="str">
        <f t="shared" si="215"/>
        <v>3G</v>
      </c>
      <c r="BG273" s="127" t="str">
        <f t="shared" si="216"/>
        <v>3G</v>
      </c>
      <c r="BH273" s="127" t="str">
        <f t="shared" si="217"/>
        <v>3G</v>
      </c>
      <c r="BI273" s="127">
        <f t="shared" si="242"/>
        <v>1</v>
      </c>
      <c r="BJ273" s="127">
        <f t="shared" si="243"/>
        <v>2</v>
      </c>
      <c r="BK273" s="127">
        <f t="shared" si="244"/>
        <v>3</v>
      </c>
      <c r="BL273" s="127" t="str">
        <f t="shared" si="245"/>
        <v>123</v>
      </c>
      <c r="BS273"/>
      <c r="CL273" s="28">
        <v>142</v>
      </c>
      <c r="CM273" s="28">
        <v>140</v>
      </c>
      <c r="CO273"/>
    </row>
    <row r="274" spans="2:93" ht="16.5" hidden="1">
      <c r="B274" s="17">
        <v>270</v>
      </c>
      <c r="C274" s="363" t="s">
        <v>300</v>
      </c>
      <c r="D274" s="18">
        <v>5</v>
      </c>
      <c r="E274" s="20">
        <v>1927830060</v>
      </c>
      <c r="F274" s="18">
        <v>32</v>
      </c>
      <c r="G274" s="20">
        <v>50203908</v>
      </c>
      <c r="H274" s="20">
        <v>1242</v>
      </c>
      <c r="I274" s="20">
        <v>1293499</v>
      </c>
      <c r="J274" s="20">
        <v>59807</v>
      </c>
      <c r="K274" s="20">
        <v>53724</v>
      </c>
      <c r="L274" s="20">
        <v>971485</v>
      </c>
      <c r="M274" s="20">
        <v>5000</v>
      </c>
      <c r="N274" s="167">
        <v>5</v>
      </c>
      <c r="O274" s="167">
        <v>9</v>
      </c>
      <c r="P274" s="167">
        <v>12</v>
      </c>
      <c r="Q274" s="167">
        <v>20</v>
      </c>
      <c r="R274" s="167">
        <v>21</v>
      </c>
      <c r="S274" s="167">
        <v>26</v>
      </c>
      <c r="T274" s="167">
        <v>27</v>
      </c>
      <c r="U274" s="28">
        <f t="shared" si="218"/>
        <v>93</v>
      </c>
      <c r="W274" s="32" t="str">
        <f t="shared" si="203"/>
        <v>홀수</v>
      </c>
      <c r="X274" s="32" t="str">
        <f t="shared" si="204"/>
        <v>홀수</v>
      </c>
      <c r="Y274" s="32" t="str">
        <f t="shared" si="205"/>
        <v>짝수</v>
      </c>
      <c r="Z274" s="32" t="str">
        <f t="shared" si="206"/>
        <v>짝수</v>
      </c>
      <c r="AA274" s="32" t="str">
        <f t="shared" si="207"/>
        <v>홀수</v>
      </c>
      <c r="AB274" s="32" t="str">
        <f t="shared" si="208"/>
        <v>짝수</v>
      </c>
      <c r="AC274" s="58" t="str">
        <f t="shared" si="209"/>
        <v>3 : 3</v>
      </c>
      <c r="AD274" s="32">
        <f t="shared" si="210"/>
        <v>3</v>
      </c>
      <c r="AE274" s="32">
        <f t="shared" si="211"/>
        <v>3</v>
      </c>
      <c r="AF274" s="66" t="str">
        <f t="shared" si="219"/>
        <v>저수</v>
      </c>
      <c r="AG274" s="66" t="str">
        <f t="shared" si="220"/>
        <v>저수</v>
      </c>
      <c r="AH274" s="66" t="str">
        <f t="shared" si="221"/>
        <v>저수</v>
      </c>
      <c r="AI274" s="66" t="str">
        <f t="shared" si="222"/>
        <v>저수</v>
      </c>
      <c r="AJ274" s="66" t="str">
        <f t="shared" si="223"/>
        <v>저수</v>
      </c>
      <c r="AK274" s="66" t="str">
        <f t="shared" si="224"/>
        <v>고수</v>
      </c>
      <c r="AL274" s="58" t="str">
        <f t="shared" si="225"/>
        <v>5 : 1</v>
      </c>
      <c r="AM274" s="66">
        <f t="shared" si="226"/>
        <v>5</v>
      </c>
      <c r="AN274" s="66">
        <f t="shared" si="227"/>
        <v>1</v>
      </c>
      <c r="AO274" s="66">
        <f t="shared" si="228"/>
        <v>23</v>
      </c>
      <c r="AP274" s="66" t="str">
        <f t="shared" si="229"/>
        <v>O</v>
      </c>
      <c r="AQ274" s="66" t="str">
        <f t="shared" si="230"/>
        <v>X</v>
      </c>
      <c r="AR274" s="66" t="str">
        <f t="shared" si="231"/>
        <v>X</v>
      </c>
      <c r="AS274" s="66" t="str">
        <f t="shared" si="232"/>
        <v>X</v>
      </c>
      <c r="AT274" s="66" t="str">
        <f t="shared" si="233"/>
        <v>X</v>
      </c>
      <c r="AU274" s="66" t="str">
        <f t="shared" si="234"/>
        <v>X</v>
      </c>
      <c r="AV274" s="66" t="str">
        <f t="shared" si="235"/>
        <v>X</v>
      </c>
      <c r="AW274" s="66" t="str">
        <f t="shared" si="236"/>
        <v>X</v>
      </c>
      <c r="AX274" s="66" t="str">
        <f t="shared" si="237"/>
        <v>X</v>
      </c>
      <c r="AY274" s="66" t="str">
        <f t="shared" si="238"/>
        <v>X</v>
      </c>
      <c r="AZ274" s="66" t="str">
        <f t="shared" si="239"/>
        <v>X</v>
      </c>
      <c r="BA274" s="66" t="str">
        <f t="shared" si="240"/>
        <v>X</v>
      </c>
      <c r="BB274" s="66">
        <f t="shared" si="241"/>
        <v>1</v>
      </c>
      <c r="BC274" s="127" t="str">
        <f t="shared" si="212"/>
        <v>1G</v>
      </c>
      <c r="BD274" s="127" t="str">
        <f t="shared" si="213"/>
        <v>1G</v>
      </c>
      <c r="BE274" s="127" t="str">
        <f t="shared" si="214"/>
        <v>1G</v>
      </c>
      <c r="BF274" s="127" t="str">
        <f t="shared" si="215"/>
        <v>2G</v>
      </c>
      <c r="BG274" s="127" t="str">
        <f t="shared" si="216"/>
        <v>2G</v>
      </c>
      <c r="BH274" s="127" t="str">
        <f t="shared" si="217"/>
        <v>2G</v>
      </c>
      <c r="BI274" s="127">
        <f t="shared" si="242"/>
        <v>3</v>
      </c>
      <c r="BJ274" s="127">
        <f t="shared" si="243"/>
        <v>3</v>
      </c>
      <c r="BK274" s="127">
        <f t="shared" si="244"/>
        <v>0</v>
      </c>
      <c r="BL274" s="127" t="str">
        <f t="shared" si="245"/>
        <v>330</v>
      </c>
      <c r="BS274"/>
      <c r="CL274" s="28">
        <v>142</v>
      </c>
      <c r="CM274" s="28">
        <v>140</v>
      </c>
      <c r="CO274"/>
    </row>
    <row r="275" spans="2:93" ht="16.5" hidden="1">
      <c r="B275" s="17">
        <v>271</v>
      </c>
      <c r="C275" s="363" t="s">
        <v>301</v>
      </c>
      <c r="D275" s="18">
        <v>6</v>
      </c>
      <c r="E275" s="20">
        <v>1565918150</v>
      </c>
      <c r="F275" s="18">
        <v>28</v>
      </c>
      <c r="G275" s="20">
        <v>55925649</v>
      </c>
      <c r="H275" s="20">
        <v>1256</v>
      </c>
      <c r="I275" s="20">
        <v>1246751</v>
      </c>
      <c r="J275" s="20">
        <v>59418</v>
      </c>
      <c r="K275" s="20">
        <v>52709</v>
      </c>
      <c r="L275" s="20">
        <v>956127</v>
      </c>
      <c r="M275" s="20">
        <v>5000</v>
      </c>
      <c r="N275" s="167">
        <v>3</v>
      </c>
      <c r="O275" s="167">
        <v>8</v>
      </c>
      <c r="P275" s="167">
        <v>9</v>
      </c>
      <c r="Q275" s="167">
        <v>27</v>
      </c>
      <c r="R275" s="167">
        <v>29</v>
      </c>
      <c r="S275" s="167">
        <v>40</v>
      </c>
      <c r="T275" s="167">
        <v>36</v>
      </c>
      <c r="U275" s="28">
        <f t="shared" si="218"/>
        <v>116</v>
      </c>
      <c r="W275" s="32" t="str">
        <f t="shared" si="203"/>
        <v>홀수</v>
      </c>
      <c r="X275" s="32" t="str">
        <f t="shared" si="204"/>
        <v>짝수</v>
      </c>
      <c r="Y275" s="32" t="str">
        <f t="shared" si="205"/>
        <v>홀수</v>
      </c>
      <c r="Z275" s="32" t="str">
        <f t="shared" si="206"/>
        <v>홀수</v>
      </c>
      <c r="AA275" s="32" t="str">
        <f t="shared" si="207"/>
        <v>홀수</v>
      </c>
      <c r="AB275" s="32" t="str">
        <f t="shared" si="208"/>
        <v>짝수</v>
      </c>
      <c r="AC275" s="58" t="str">
        <f t="shared" si="209"/>
        <v>4 : 2</v>
      </c>
      <c r="AD275" s="32">
        <f t="shared" si="210"/>
        <v>4</v>
      </c>
      <c r="AE275" s="32">
        <f t="shared" si="211"/>
        <v>2</v>
      </c>
      <c r="AF275" s="66" t="str">
        <f t="shared" si="219"/>
        <v>저수</v>
      </c>
      <c r="AG275" s="66" t="str">
        <f t="shared" si="220"/>
        <v>저수</v>
      </c>
      <c r="AH275" s="66" t="str">
        <f t="shared" si="221"/>
        <v>저수</v>
      </c>
      <c r="AI275" s="66" t="str">
        <f t="shared" si="222"/>
        <v>고수</v>
      </c>
      <c r="AJ275" s="66" t="str">
        <f t="shared" si="223"/>
        <v>고수</v>
      </c>
      <c r="AK275" s="66" t="str">
        <f t="shared" si="224"/>
        <v>고수</v>
      </c>
      <c r="AL275" s="58" t="str">
        <f t="shared" si="225"/>
        <v>3 : 3</v>
      </c>
      <c r="AM275" s="66">
        <f t="shared" si="226"/>
        <v>3</v>
      </c>
      <c r="AN275" s="66">
        <f t="shared" si="227"/>
        <v>3</v>
      </c>
      <c r="AO275" s="66">
        <f t="shared" si="228"/>
        <v>36</v>
      </c>
      <c r="AP275" s="66" t="str">
        <f t="shared" si="229"/>
        <v>O</v>
      </c>
      <c r="AQ275" s="66" t="str">
        <f t="shared" si="230"/>
        <v>X</v>
      </c>
      <c r="AR275" s="66" t="str">
        <f t="shared" si="231"/>
        <v>X</v>
      </c>
      <c r="AS275" s="66" t="str">
        <f t="shared" si="232"/>
        <v>X</v>
      </c>
      <c r="AT275" s="66" t="str">
        <f t="shared" si="233"/>
        <v>X</v>
      </c>
      <c r="AU275" s="66" t="str">
        <f t="shared" si="234"/>
        <v>X</v>
      </c>
      <c r="AV275" s="66" t="str">
        <f t="shared" si="235"/>
        <v>X</v>
      </c>
      <c r="AW275" s="66" t="str">
        <f t="shared" si="236"/>
        <v>X</v>
      </c>
      <c r="AX275" s="66" t="str">
        <f t="shared" si="237"/>
        <v>X</v>
      </c>
      <c r="AY275" s="66" t="str">
        <f t="shared" si="238"/>
        <v>X</v>
      </c>
      <c r="AZ275" s="66" t="str">
        <f t="shared" si="239"/>
        <v>O</v>
      </c>
      <c r="BA275" s="66" t="str">
        <f t="shared" si="240"/>
        <v>X</v>
      </c>
      <c r="BB275" s="66">
        <f t="shared" si="241"/>
        <v>2</v>
      </c>
      <c r="BC275" s="127" t="str">
        <f t="shared" si="212"/>
        <v>1G</v>
      </c>
      <c r="BD275" s="127" t="str">
        <f t="shared" si="213"/>
        <v>1G</v>
      </c>
      <c r="BE275" s="127" t="str">
        <f t="shared" si="214"/>
        <v>1G</v>
      </c>
      <c r="BF275" s="127" t="str">
        <f t="shared" si="215"/>
        <v>2G</v>
      </c>
      <c r="BG275" s="127" t="str">
        <f t="shared" si="216"/>
        <v>2G</v>
      </c>
      <c r="BH275" s="127" t="str">
        <f t="shared" si="217"/>
        <v>3G</v>
      </c>
      <c r="BI275" s="127">
        <f t="shared" si="242"/>
        <v>3</v>
      </c>
      <c r="BJ275" s="127">
        <f t="shared" si="243"/>
        <v>2</v>
      </c>
      <c r="BK275" s="127">
        <f t="shared" si="244"/>
        <v>1</v>
      </c>
      <c r="BL275" s="127" t="str">
        <f t="shared" si="245"/>
        <v>321</v>
      </c>
      <c r="BS275"/>
      <c r="CL275" s="28">
        <v>142</v>
      </c>
      <c r="CM275" s="28">
        <v>140</v>
      </c>
      <c r="CO275"/>
    </row>
    <row r="276" spans="2:93" ht="16.5" hidden="1">
      <c r="B276" s="17">
        <v>272</v>
      </c>
      <c r="C276" s="363" t="s">
        <v>302</v>
      </c>
      <c r="D276" s="18">
        <v>9</v>
      </c>
      <c r="E276" s="20">
        <v>1104622800</v>
      </c>
      <c r="F276" s="18">
        <v>39</v>
      </c>
      <c r="G276" s="20">
        <v>42485493</v>
      </c>
      <c r="H276" s="20">
        <v>1370</v>
      </c>
      <c r="I276" s="20">
        <v>1209442</v>
      </c>
      <c r="J276" s="20">
        <v>63219</v>
      </c>
      <c r="K276" s="20">
        <v>52419</v>
      </c>
      <c r="L276" s="20">
        <v>1017199</v>
      </c>
      <c r="M276" s="20">
        <v>5000</v>
      </c>
      <c r="N276" s="167">
        <v>7</v>
      </c>
      <c r="O276" s="167">
        <v>9</v>
      </c>
      <c r="P276" s="167">
        <v>12</v>
      </c>
      <c r="Q276" s="167">
        <v>27</v>
      </c>
      <c r="R276" s="167">
        <v>39</v>
      </c>
      <c r="S276" s="167">
        <v>43</v>
      </c>
      <c r="T276" s="167">
        <v>28</v>
      </c>
      <c r="U276" s="28">
        <f t="shared" si="218"/>
        <v>137</v>
      </c>
      <c r="W276" s="32" t="str">
        <f t="shared" si="203"/>
        <v>홀수</v>
      </c>
      <c r="X276" s="32" t="str">
        <f t="shared" si="204"/>
        <v>홀수</v>
      </c>
      <c r="Y276" s="32" t="str">
        <f t="shared" si="205"/>
        <v>짝수</v>
      </c>
      <c r="Z276" s="32" t="str">
        <f t="shared" si="206"/>
        <v>홀수</v>
      </c>
      <c r="AA276" s="32" t="str">
        <f t="shared" si="207"/>
        <v>홀수</v>
      </c>
      <c r="AB276" s="32" t="str">
        <f t="shared" si="208"/>
        <v>홀수</v>
      </c>
      <c r="AC276" s="58" t="str">
        <f t="shared" si="209"/>
        <v>5 : 1</v>
      </c>
      <c r="AD276" s="32">
        <f t="shared" si="210"/>
        <v>5</v>
      </c>
      <c r="AE276" s="32">
        <f t="shared" si="211"/>
        <v>1</v>
      </c>
      <c r="AF276" s="66" t="str">
        <f t="shared" si="219"/>
        <v>저수</v>
      </c>
      <c r="AG276" s="66" t="str">
        <f t="shared" si="220"/>
        <v>저수</v>
      </c>
      <c r="AH276" s="66" t="str">
        <f t="shared" si="221"/>
        <v>저수</v>
      </c>
      <c r="AI276" s="66" t="str">
        <f t="shared" si="222"/>
        <v>고수</v>
      </c>
      <c r="AJ276" s="66" t="str">
        <f t="shared" si="223"/>
        <v>고수</v>
      </c>
      <c r="AK276" s="66" t="str">
        <f t="shared" si="224"/>
        <v>고수</v>
      </c>
      <c r="AL276" s="58" t="str">
        <f t="shared" si="225"/>
        <v>3 : 3</v>
      </c>
      <c r="AM276" s="66">
        <f t="shared" si="226"/>
        <v>3</v>
      </c>
      <c r="AN276" s="66">
        <f t="shared" si="227"/>
        <v>3</v>
      </c>
      <c r="AO276" s="66">
        <f t="shared" si="228"/>
        <v>37</v>
      </c>
      <c r="AP276" s="66" t="str">
        <f t="shared" si="229"/>
        <v>O</v>
      </c>
      <c r="AQ276" s="66" t="str">
        <f t="shared" si="230"/>
        <v>X</v>
      </c>
      <c r="AR276" s="66" t="str">
        <f t="shared" si="231"/>
        <v>X</v>
      </c>
      <c r="AS276" s="66" t="str">
        <f t="shared" si="232"/>
        <v>X</v>
      </c>
      <c r="AT276" s="66" t="str">
        <f t="shared" si="233"/>
        <v>X</v>
      </c>
      <c r="AU276" s="66" t="str">
        <f t="shared" si="234"/>
        <v>X</v>
      </c>
      <c r="AV276" s="66" t="str">
        <f t="shared" si="235"/>
        <v>X</v>
      </c>
      <c r="AW276" s="66" t="str">
        <f t="shared" si="236"/>
        <v>X</v>
      </c>
      <c r="AX276" s="66" t="str">
        <f t="shared" si="237"/>
        <v>X</v>
      </c>
      <c r="AY276" s="66" t="str">
        <f t="shared" si="238"/>
        <v>X</v>
      </c>
      <c r="AZ276" s="66" t="str">
        <f t="shared" si="239"/>
        <v>X</v>
      </c>
      <c r="BA276" s="66" t="str">
        <f t="shared" si="240"/>
        <v>O</v>
      </c>
      <c r="BB276" s="66">
        <f t="shared" si="241"/>
        <v>2</v>
      </c>
      <c r="BC276" s="127" t="str">
        <f t="shared" si="212"/>
        <v>1G</v>
      </c>
      <c r="BD276" s="127" t="str">
        <f t="shared" si="213"/>
        <v>1G</v>
      </c>
      <c r="BE276" s="127" t="str">
        <f t="shared" si="214"/>
        <v>1G</v>
      </c>
      <c r="BF276" s="127" t="str">
        <f t="shared" si="215"/>
        <v>2G</v>
      </c>
      <c r="BG276" s="127" t="str">
        <f t="shared" si="216"/>
        <v>3G</v>
      </c>
      <c r="BH276" s="127" t="str">
        <f t="shared" si="217"/>
        <v>3G</v>
      </c>
      <c r="BI276" s="127">
        <f t="shared" si="242"/>
        <v>3</v>
      </c>
      <c r="BJ276" s="127">
        <f t="shared" si="243"/>
        <v>1</v>
      </c>
      <c r="BK276" s="127">
        <f t="shared" si="244"/>
        <v>2</v>
      </c>
      <c r="BL276" s="127" t="str">
        <f t="shared" si="245"/>
        <v>312</v>
      </c>
      <c r="BS276"/>
      <c r="CL276" s="28">
        <v>142</v>
      </c>
      <c r="CM276" s="28">
        <v>140</v>
      </c>
      <c r="CO276"/>
    </row>
    <row r="277" spans="2:93" ht="16.5" hidden="1">
      <c r="B277" s="17">
        <v>273</v>
      </c>
      <c r="C277" s="363" t="s">
        <v>303</v>
      </c>
      <c r="D277" s="18">
        <v>3</v>
      </c>
      <c r="E277" s="20">
        <v>3339543100</v>
      </c>
      <c r="F277" s="18">
        <v>21</v>
      </c>
      <c r="G277" s="20">
        <v>79512931</v>
      </c>
      <c r="H277" s="20">
        <v>1096</v>
      </c>
      <c r="I277" s="20">
        <v>1523515</v>
      </c>
      <c r="J277" s="20">
        <v>56192</v>
      </c>
      <c r="K277" s="20">
        <v>59431</v>
      </c>
      <c r="L277" s="20">
        <v>942078</v>
      </c>
      <c r="M277" s="20">
        <v>5000</v>
      </c>
      <c r="N277" s="167">
        <v>1</v>
      </c>
      <c r="O277" s="167">
        <v>8</v>
      </c>
      <c r="P277" s="167">
        <v>24</v>
      </c>
      <c r="Q277" s="167">
        <v>31</v>
      </c>
      <c r="R277" s="167">
        <v>34</v>
      </c>
      <c r="S277" s="167">
        <v>44</v>
      </c>
      <c r="T277" s="167">
        <v>6</v>
      </c>
      <c r="U277" s="28">
        <f t="shared" si="218"/>
        <v>142</v>
      </c>
      <c r="W277" s="32" t="str">
        <f t="shared" si="203"/>
        <v>홀수</v>
      </c>
      <c r="X277" s="32" t="str">
        <f t="shared" si="204"/>
        <v>짝수</v>
      </c>
      <c r="Y277" s="32" t="str">
        <f t="shared" si="205"/>
        <v>짝수</v>
      </c>
      <c r="Z277" s="32" t="str">
        <f t="shared" si="206"/>
        <v>홀수</v>
      </c>
      <c r="AA277" s="32" t="str">
        <f t="shared" si="207"/>
        <v>짝수</v>
      </c>
      <c r="AB277" s="32" t="str">
        <f t="shared" si="208"/>
        <v>짝수</v>
      </c>
      <c r="AC277" s="58" t="str">
        <f t="shared" si="209"/>
        <v>2 : 4</v>
      </c>
      <c r="AD277" s="32">
        <f t="shared" si="210"/>
        <v>2</v>
      </c>
      <c r="AE277" s="32">
        <f t="shared" si="211"/>
        <v>4</v>
      </c>
      <c r="AF277" s="66" t="str">
        <f t="shared" si="219"/>
        <v>저수</v>
      </c>
      <c r="AG277" s="66" t="str">
        <f t="shared" si="220"/>
        <v>저수</v>
      </c>
      <c r="AH277" s="66" t="str">
        <f t="shared" si="221"/>
        <v>고수</v>
      </c>
      <c r="AI277" s="66" t="str">
        <f t="shared" si="222"/>
        <v>고수</v>
      </c>
      <c r="AJ277" s="66" t="str">
        <f t="shared" si="223"/>
        <v>고수</v>
      </c>
      <c r="AK277" s="66" t="str">
        <f t="shared" si="224"/>
        <v>고수</v>
      </c>
      <c r="AL277" s="58" t="str">
        <f t="shared" si="225"/>
        <v>2 : 4</v>
      </c>
      <c r="AM277" s="66">
        <f t="shared" si="226"/>
        <v>2</v>
      </c>
      <c r="AN277" s="66">
        <f t="shared" si="227"/>
        <v>4</v>
      </c>
      <c r="AO277" s="66">
        <f t="shared" si="228"/>
        <v>22</v>
      </c>
      <c r="AP277" s="66" t="str">
        <f t="shared" si="229"/>
        <v>X</v>
      </c>
      <c r="AQ277" s="66" t="str">
        <f t="shared" si="230"/>
        <v>X</v>
      </c>
      <c r="AR277" s="66" t="str">
        <f t="shared" si="231"/>
        <v>X</v>
      </c>
      <c r="AS277" s="66" t="str">
        <f t="shared" si="232"/>
        <v>X</v>
      </c>
      <c r="AT277" s="66" t="str">
        <f t="shared" si="233"/>
        <v>X</v>
      </c>
      <c r="AU277" s="66" t="str">
        <f t="shared" si="234"/>
        <v>X</v>
      </c>
      <c r="AV277" s="66" t="str">
        <f t="shared" si="235"/>
        <v>X</v>
      </c>
      <c r="AW277" s="66" t="str">
        <f t="shared" si="236"/>
        <v>X</v>
      </c>
      <c r="AX277" s="66" t="str">
        <f t="shared" si="237"/>
        <v>X</v>
      </c>
      <c r="AY277" s="66" t="str">
        <f t="shared" si="238"/>
        <v>O</v>
      </c>
      <c r="AZ277" s="66" t="str">
        <f t="shared" si="239"/>
        <v>X</v>
      </c>
      <c r="BA277" s="66" t="str">
        <f t="shared" si="240"/>
        <v>X</v>
      </c>
      <c r="BB277" s="66">
        <f t="shared" si="241"/>
        <v>1</v>
      </c>
      <c r="BC277" s="127" t="str">
        <f t="shared" si="212"/>
        <v>1G</v>
      </c>
      <c r="BD277" s="127" t="str">
        <f t="shared" si="213"/>
        <v>1G</v>
      </c>
      <c r="BE277" s="127" t="str">
        <f t="shared" si="214"/>
        <v>2G</v>
      </c>
      <c r="BF277" s="127" t="str">
        <f t="shared" si="215"/>
        <v>3G</v>
      </c>
      <c r="BG277" s="127" t="str">
        <f t="shared" si="216"/>
        <v>3G</v>
      </c>
      <c r="BH277" s="127" t="str">
        <f t="shared" si="217"/>
        <v>3G</v>
      </c>
      <c r="BI277" s="127">
        <f t="shared" si="242"/>
        <v>2</v>
      </c>
      <c r="BJ277" s="127">
        <f t="shared" si="243"/>
        <v>1</v>
      </c>
      <c r="BK277" s="127">
        <f t="shared" si="244"/>
        <v>3</v>
      </c>
      <c r="BL277" s="127" t="str">
        <f t="shared" si="245"/>
        <v>213</v>
      </c>
      <c r="BS277"/>
      <c r="CL277" s="28">
        <v>142</v>
      </c>
      <c r="CM277" s="28">
        <v>140</v>
      </c>
      <c r="CO277"/>
    </row>
    <row r="278" spans="2:93" ht="16.5" hidden="1">
      <c r="B278" s="17">
        <v>274</v>
      </c>
      <c r="C278" s="363" t="s">
        <v>304</v>
      </c>
      <c r="D278" s="18">
        <v>4</v>
      </c>
      <c r="E278" s="20">
        <v>2505085575</v>
      </c>
      <c r="F278" s="18">
        <v>37</v>
      </c>
      <c r="G278" s="20">
        <v>45136678</v>
      </c>
      <c r="H278" s="20">
        <v>1254</v>
      </c>
      <c r="I278" s="20">
        <v>1331784</v>
      </c>
      <c r="J278" s="20">
        <v>57315</v>
      </c>
      <c r="K278" s="20">
        <v>58277</v>
      </c>
      <c r="L278" s="20">
        <v>923057</v>
      </c>
      <c r="M278" s="20">
        <v>5000</v>
      </c>
      <c r="N278" s="167">
        <v>13</v>
      </c>
      <c r="O278" s="167">
        <v>14</v>
      </c>
      <c r="P278" s="167">
        <v>15</v>
      </c>
      <c r="Q278" s="167">
        <v>26</v>
      </c>
      <c r="R278" s="167">
        <v>35</v>
      </c>
      <c r="S278" s="167">
        <v>39</v>
      </c>
      <c r="T278" s="167">
        <v>25</v>
      </c>
      <c r="U278" s="28">
        <f t="shared" si="218"/>
        <v>142</v>
      </c>
      <c r="W278" s="32" t="str">
        <f t="shared" si="203"/>
        <v>홀수</v>
      </c>
      <c r="X278" s="32" t="str">
        <f t="shared" si="204"/>
        <v>짝수</v>
      </c>
      <c r="Y278" s="32" t="str">
        <f t="shared" si="205"/>
        <v>홀수</v>
      </c>
      <c r="Z278" s="32" t="str">
        <f t="shared" si="206"/>
        <v>짝수</v>
      </c>
      <c r="AA278" s="32" t="str">
        <f t="shared" si="207"/>
        <v>홀수</v>
      </c>
      <c r="AB278" s="32" t="str">
        <f t="shared" si="208"/>
        <v>홀수</v>
      </c>
      <c r="AC278" s="58" t="str">
        <f t="shared" si="209"/>
        <v>4 : 2</v>
      </c>
      <c r="AD278" s="32">
        <f t="shared" si="210"/>
        <v>4</v>
      </c>
      <c r="AE278" s="32">
        <f t="shared" si="211"/>
        <v>2</v>
      </c>
      <c r="AF278" s="66" t="str">
        <f t="shared" si="219"/>
        <v>저수</v>
      </c>
      <c r="AG278" s="66" t="str">
        <f t="shared" si="220"/>
        <v>저수</v>
      </c>
      <c r="AH278" s="66" t="str">
        <f t="shared" si="221"/>
        <v>저수</v>
      </c>
      <c r="AI278" s="66" t="str">
        <f t="shared" si="222"/>
        <v>고수</v>
      </c>
      <c r="AJ278" s="66" t="str">
        <f t="shared" si="223"/>
        <v>고수</v>
      </c>
      <c r="AK278" s="66" t="str">
        <f t="shared" si="224"/>
        <v>고수</v>
      </c>
      <c r="AL278" s="58" t="str">
        <f t="shared" si="225"/>
        <v>3 : 3</v>
      </c>
      <c r="AM278" s="66">
        <f t="shared" si="226"/>
        <v>3</v>
      </c>
      <c r="AN278" s="66">
        <f t="shared" si="227"/>
        <v>3</v>
      </c>
      <c r="AO278" s="66">
        <f t="shared" si="228"/>
        <v>32</v>
      </c>
      <c r="AP278" s="66" t="str">
        <f t="shared" si="229"/>
        <v>O</v>
      </c>
      <c r="AQ278" s="66" t="str">
        <f t="shared" si="230"/>
        <v>X</v>
      </c>
      <c r="AR278" s="66" t="str">
        <f t="shared" si="231"/>
        <v>X</v>
      </c>
      <c r="AS278" s="66" t="str">
        <f t="shared" si="232"/>
        <v>X</v>
      </c>
      <c r="AT278" s="66" t="str">
        <f t="shared" si="233"/>
        <v>X</v>
      </c>
      <c r="AU278" s="66" t="str">
        <f t="shared" si="234"/>
        <v>X</v>
      </c>
      <c r="AV278" s="66" t="str">
        <f t="shared" si="235"/>
        <v>X</v>
      </c>
      <c r="AW278" s="66" t="str">
        <f t="shared" si="236"/>
        <v>X</v>
      </c>
      <c r="AX278" s="66" t="str">
        <f t="shared" si="237"/>
        <v>X</v>
      </c>
      <c r="AY278" s="66" t="str">
        <f t="shared" si="238"/>
        <v>X</v>
      </c>
      <c r="AZ278" s="66" t="str">
        <f t="shared" si="239"/>
        <v>X</v>
      </c>
      <c r="BA278" s="66" t="str">
        <f t="shared" si="240"/>
        <v>X</v>
      </c>
      <c r="BB278" s="66">
        <f t="shared" si="241"/>
        <v>1</v>
      </c>
      <c r="BC278" s="127" t="str">
        <f t="shared" si="212"/>
        <v>1G</v>
      </c>
      <c r="BD278" s="127" t="str">
        <f t="shared" si="213"/>
        <v>1G</v>
      </c>
      <c r="BE278" s="127" t="str">
        <f t="shared" si="214"/>
        <v>1G</v>
      </c>
      <c r="BF278" s="127" t="str">
        <f t="shared" si="215"/>
        <v>2G</v>
      </c>
      <c r="BG278" s="127" t="str">
        <f t="shared" si="216"/>
        <v>3G</v>
      </c>
      <c r="BH278" s="127" t="str">
        <f t="shared" si="217"/>
        <v>3G</v>
      </c>
      <c r="BI278" s="127">
        <f t="shared" si="242"/>
        <v>3</v>
      </c>
      <c r="BJ278" s="127">
        <f t="shared" si="243"/>
        <v>1</v>
      </c>
      <c r="BK278" s="127">
        <f t="shared" si="244"/>
        <v>2</v>
      </c>
      <c r="BL278" s="127" t="str">
        <f t="shared" si="245"/>
        <v>312</v>
      </c>
      <c r="BS278"/>
      <c r="CL278" s="28">
        <v>143</v>
      </c>
      <c r="CM278" s="28">
        <v>140</v>
      </c>
      <c r="CO278"/>
    </row>
    <row r="279" spans="2:93" ht="16.5" hidden="1">
      <c r="B279" s="17">
        <v>275</v>
      </c>
      <c r="C279" s="363" t="s">
        <v>305</v>
      </c>
      <c r="D279" s="18">
        <v>1</v>
      </c>
      <c r="E279" s="20">
        <v>10044066900</v>
      </c>
      <c r="F279" s="18">
        <v>19</v>
      </c>
      <c r="G279" s="20">
        <v>88105850</v>
      </c>
      <c r="H279" s="18">
        <v>991</v>
      </c>
      <c r="I279" s="20">
        <v>1689215</v>
      </c>
      <c r="J279" s="20">
        <v>51657</v>
      </c>
      <c r="K279" s="20">
        <v>64813</v>
      </c>
      <c r="L279" s="20">
        <v>884959</v>
      </c>
      <c r="M279" s="20">
        <v>5000</v>
      </c>
      <c r="N279" s="167">
        <v>14</v>
      </c>
      <c r="O279" s="167">
        <v>19</v>
      </c>
      <c r="P279" s="167">
        <v>20</v>
      </c>
      <c r="Q279" s="167">
        <v>35</v>
      </c>
      <c r="R279" s="167">
        <v>38</v>
      </c>
      <c r="S279" s="167">
        <v>40</v>
      </c>
      <c r="T279" s="167">
        <v>26</v>
      </c>
      <c r="U279" s="28">
        <f t="shared" si="218"/>
        <v>166</v>
      </c>
      <c r="W279" s="32" t="str">
        <f t="shared" si="203"/>
        <v>짝수</v>
      </c>
      <c r="X279" s="32" t="str">
        <f t="shared" si="204"/>
        <v>홀수</v>
      </c>
      <c r="Y279" s="32" t="str">
        <f t="shared" si="205"/>
        <v>짝수</v>
      </c>
      <c r="Z279" s="32" t="str">
        <f t="shared" si="206"/>
        <v>홀수</v>
      </c>
      <c r="AA279" s="32" t="str">
        <f t="shared" si="207"/>
        <v>짝수</v>
      </c>
      <c r="AB279" s="32" t="str">
        <f t="shared" si="208"/>
        <v>짝수</v>
      </c>
      <c r="AC279" s="58" t="str">
        <f t="shared" si="209"/>
        <v>2 : 4</v>
      </c>
      <c r="AD279" s="32">
        <f t="shared" si="210"/>
        <v>2</v>
      </c>
      <c r="AE279" s="32">
        <f t="shared" si="211"/>
        <v>4</v>
      </c>
      <c r="AF279" s="66" t="str">
        <f t="shared" si="219"/>
        <v>저수</v>
      </c>
      <c r="AG279" s="66" t="str">
        <f t="shared" si="220"/>
        <v>저수</v>
      </c>
      <c r="AH279" s="66" t="str">
        <f t="shared" si="221"/>
        <v>저수</v>
      </c>
      <c r="AI279" s="66" t="str">
        <f t="shared" si="222"/>
        <v>고수</v>
      </c>
      <c r="AJ279" s="66" t="str">
        <f t="shared" si="223"/>
        <v>고수</v>
      </c>
      <c r="AK279" s="66" t="str">
        <f t="shared" si="224"/>
        <v>고수</v>
      </c>
      <c r="AL279" s="58" t="str">
        <f t="shared" si="225"/>
        <v>3 : 3</v>
      </c>
      <c r="AM279" s="66">
        <f t="shared" si="226"/>
        <v>3</v>
      </c>
      <c r="AN279" s="66">
        <f t="shared" si="227"/>
        <v>3</v>
      </c>
      <c r="AO279" s="66">
        <f t="shared" si="228"/>
        <v>26</v>
      </c>
      <c r="AP279" s="66" t="str">
        <f t="shared" si="229"/>
        <v>X</v>
      </c>
      <c r="AQ279" s="66" t="str">
        <f t="shared" si="230"/>
        <v>O</v>
      </c>
      <c r="AR279" s="66" t="str">
        <f t="shared" si="231"/>
        <v>X</v>
      </c>
      <c r="AS279" s="66" t="str">
        <f t="shared" si="232"/>
        <v>X</v>
      </c>
      <c r="AT279" s="66" t="str">
        <f t="shared" si="233"/>
        <v>X</v>
      </c>
      <c r="AU279" s="66" t="str">
        <f t="shared" si="234"/>
        <v>X</v>
      </c>
      <c r="AV279" s="66" t="str">
        <f t="shared" si="235"/>
        <v>X</v>
      </c>
      <c r="AW279" s="66" t="str">
        <f t="shared" si="236"/>
        <v>X</v>
      </c>
      <c r="AX279" s="66" t="str">
        <f t="shared" si="237"/>
        <v>X</v>
      </c>
      <c r="AY279" s="66" t="str">
        <f t="shared" si="238"/>
        <v>X</v>
      </c>
      <c r="AZ279" s="66" t="str">
        <f t="shared" si="239"/>
        <v>X</v>
      </c>
      <c r="BA279" s="66" t="str">
        <f t="shared" si="240"/>
        <v>X</v>
      </c>
      <c r="BB279" s="66">
        <f t="shared" si="241"/>
        <v>1</v>
      </c>
      <c r="BC279" s="127" t="str">
        <f t="shared" si="212"/>
        <v>1G</v>
      </c>
      <c r="BD279" s="127" t="str">
        <f t="shared" si="213"/>
        <v>2G</v>
      </c>
      <c r="BE279" s="127" t="str">
        <f t="shared" si="214"/>
        <v>2G</v>
      </c>
      <c r="BF279" s="127" t="str">
        <f t="shared" si="215"/>
        <v>3G</v>
      </c>
      <c r="BG279" s="127" t="str">
        <f t="shared" si="216"/>
        <v>3G</v>
      </c>
      <c r="BH279" s="127" t="str">
        <f t="shared" si="217"/>
        <v>3G</v>
      </c>
      <c r="BI279" s="127">
        <f t="shared" si="242"/>
        <v>1</v>
      </c>
      <c r="BJ279" s="127">
        <f t="shared" si="243"/>
        <v>2</v>
      </c>
      <c r="BK279" s="127">
        <f t="shared" si="244"/>
        <v>3</v>
      </c>
      <c r="BL279" s="127" t="str">
        <f t="shared" si="245"/>
        <v>123</v>
      </c>
      <c r="BS279"/>
      <c r="CL279" s="28">
        <v>143</v>
      </c>
      <c r="CM279" s="28">
        <v>140</v>
      </c>
      <c r="CO279"/>
    </row>
    <row r="280" spans="2:93" ht="16.5" hidden="1">
      <c r="B280" s="17">
        <v>276</v>
      </c>
      <c r="C280" s="363" t="s">
        <v>306</v>
      </c>
      <c r="D280" s="18">
        <v>3</v>
      </c>
      <c r="E280" s="20">
        <v>3312569000</v>
      </c>
      <c r="F280" s="18">
        <v>31</v>
      </c>
      <c r="G280" s="20">
        <v>53428533</v>
      </c>
      <c r="H280" s="20">
        <v>1161</v>
      </c>
      <c r="I280" s="20">
        <v>1426602</v>
      </c>
      <c r="J280" s="20">
        <v>59894</v>
      </c>
      <c r="K280" s="20">
        <v>55308</v>
      </c>
      <c r="L280" s="20">
        <v>944192</v>
      </c>
      <c r="M280" s="20">
        <v>5000</v>
      </c>
      <c r="N280" s="167">
        <v>4</v>
      </c>
      <c r="O280" s="167">
        <v>15</v>
      </c>
      <c r="P280" s="167">
        <v>21</v>
      </c>
      <c r="Q280" s="167">
        <v>33</v>
      </c>
      <c r="R280" s="167">
        <v>39</v>
      </c>
      <c r="S280" s="167">
        <v>41</v>
      </c>
      <c r="T280" s="167">
        <v>25</v>
      </c>
      <c r="U280" s="28">
        <f t="shared" si="218"/>
        <v>153</v>
      </c>
      <c r="W280" s="32" t="str">
        <f t="shared" si="203"/>
        <v>짝수</v>
      </c>
      <c r="X280" s="32" t="str">
        <f t="shared" si="204"/>
        <v>홀수</v>
      </c>
      <c r="Y280" s="32" t="str">
        <f t="shared" si="205"/>
        <v>홀수</v>
      </c>
      <c r="Z280" s="32" t="str">
        <f t="shared" si="206"/>
        <v>홀수</v>
      </c>
      <c r="AA280" s="32" t="str">
        <f t="shared" si="207"/>
        <v>홀수</v>
      </c>
      <c r="AB280" s="32" t="str">
        <f t="shared" si="208"/>
        <v>홀수</v>
      </c>
      <c r="AC280" s="58" t="str">
        <f t="shared" si="209"/>
        <v>5 : 1</v>
      </c>
      <c r="AD280" s="32">
        <f t="shared" si="210"/>
        <v>5</v>
      </c>
      <c r="AE280" s="32">
        <f t="shared" si="211"/>
        <v>1</v>
      </c>
      <c r="AF280" s="66" t="str">
        <f t="shared" si="219"/>
        <v>저수</v>
      </c>
      <c r="AG280" s="66" t="str">
        <f t="shared" si="220"/>
        <v>저수</v>
      </c>
      <c r="AH280" s="66" t="str">
        <f t="shared" si="221"/>
        <v>저수</v>
      </c>
      <c r="AI280" s="66" t="str">
        <f t="shared" si="222"/>
        <v>고수</v>
      </c>
      <c r="AJ280" s="66" t="str">
        <f t="shared" si="223"/>
        <v>고수</v>
      </c>
      <c r="AK280" s="66" t="str">
        <f t="shared" si="224"/>
        <v>고수</v>
      </c>
      <c r="AL280" s="58" t="str">
        <f t="shared" si="225"/>
        <v>3 : 3</v>
      </c>
      <c r="AM280" s="66">
        <f t="shared" si="226"/>
        <v>3</v>
      </c>
      <c r="AN280" s="66">
        <f t="shared" si="227"/>
        <v>3</v>
      </c>
      <c r="AO280" s="66">
        <f t="shared" si="228"/>
        <v>23</v>
      </c>
      <c r="AP280" s="66" t="str">
        <f t="shared" si="229"/>
        <v>X</v>
      </c>
      <c r="AQ280" s="66" t="str">
        <f t="shared" si="230"/>
        <v>X</v>
      </c>
      <c r="AR280" s="66" t="str">
        <f t="shared" si="231"/>
        <v>X</v>
      </c>
      <c r="AS280" s="66" t="str">
        <f t="shared" si="232"/>
        <v>X</v>
      </c>
      <c r="AT280" s="66" t="str">
        <f t="shared" si="233"/>
        <v>X</v>
      </c>
      <c r="AU280" s="66" t="str">
        <f t="shared" si="234"/>
        <v>X</v>
      </c>
      <c r="AV280" s="66" t="str">
        <f t="shared" si="235"/>
        <v>X</v>
      </c>
      <c r="AW280" s="66" t="str">
        <f t="shared" si="236"/>
        <v>X</v>
      </c>
      <c r="AX280" s="66" t="str">
        <f t="shared" si="237"/>
        <v>X</v>
      </c>
      <c r="AY280" s="66" t="str">
        <f t="shared" si="238"/>
        <v>X</v>
      </c>
      <c r="AZ280" s="66" t="str">
        <f t="shared" si="239"/>
        <v>X</v>
      </c>
      <c r="BA280" s="66" t="str">
        <f t="shared" si="240"/>
        <v>O</v>
      </c>
      <c r="BB280" s="66">
        <f t="shared" si="241"/>
        <v>1</v>
      </c>
      <c r="BC280" s="127" t="str">
        <f t="shared" si="212"/>
        <v>1G</v>
      </c>
      <c r="BD280" s="127" t="str">
        <f t="shared" si="213"/>
        <v>1G</v>
      </c>
      <c r="BE280" s="127" t="str">
        <f t="shared" si="214"/>
        <v>2G</v>
      </c>
      <c r="BF280" s="127" t="str">
        <f t="shared" si="215"/>
        <v>3G</v>
      </c>
      <c r="BG280" s="127" t="str">
        <f t="shared" si="216"/>
        <v>3G</v>
      </c>
      <c r="BH280" s="127" t="str">
        <f t="shared" si="217"/>
        <v>3G</v>
      </c>
      <c r="BI280" s="127">
        <f t="shared" si="242"/>
        <v>2</v>
      </c>
      <c r="BJ280" s="127">
        <f t="shared" si="243"/>
        <v>1</v>
      </c>
      <c r="BK280" s="127">
        <f t="shared" si="244"/>
        <v>3</v>
      </c>
      <c r="BL280" s="127" t="str">
        <f t="shared" si="245"/>
        <v>213</v>
      </c>
      <c r="BS280"/>
      <c r="CL280" s="28">
        <v>143</v>
      </c>
      <c r="CM280" s="28">
        <v>140</v>
      </c>
      <c r="CO280"/>
    </row>
    <row r="281" spans="2:93" ht="16.5" hidden="1">
      <c r="B281" s="17">
        <v>277</v>
      </c>
      <c r="C281" s="363" t="s">
        <v>307</v>
      </c>
      <c r="D281" s="18">
        <v>3</v>
      </c>
      <c r="E281" s="20">
        <v>3272627800</v>
      </c>
      <c r="F281" s="18">
        <v>31</v>
      </c>
      <c r="G281" s="20">
        <v>52784320</v>
      </c>
      <c r="H281" s="20">
        <v>1104</v>
      </c>
      <c r="I281" s="20">
        <v>1482169</v>
      </c>
      <c r="J281" s="20">
        <v>55271</v>
      </c>
      <c r="K281" s="20">
        <v>59211</v>
      </c>
      <c r="L281" s="20">
        <v>914243</v>
      </c>
      <c r="M281" s="20">
        <v>5000</v>
      </c>
      <c r="N281" s="167">
        <v>10</v>
      </c>
      <c r="O281" s="167">
        <v>12</v>
      </c>
      <c r="P281" s="167">
        <v>13</v>
      </c>
      <c r="Q281" s="167">
        <v>15</v>
      </c>
      <c r="R281" s="167">
        <v>25</v>
      </c>
      <c r="S281" s="167">
        <v>29</v>
      </c>
      <c r="T281" s="167">
        <v>20</v>
      </c>
      <c r="U281" s="28">
        <f t="shared" si="218"/>
        <v>104</v>
      </c>
      <c r="W281" s="32" t="str">
        <f t="shared" si="203"/>
        <v>짝수</v>
      </c>
      <c r="X281" s="32" t="str">
        <f t="shared" si="204"/>
        <v>짝수</v>
      </c>
      <c r="Y281" s="32" t="str">
        <f t="shared" si="205"/>
        <v>홀수</v>
      </c>
      <c r="Z281" s="32" t="str">
        <f t="shared" si="206"/>
        <v>홀수</v>
      </c>
      <c r="AA281" s="32" t="str">
        <f t="shared" si="207"/>
        <v>홀수</v>
      </c>
      <c r="AB281" s="32" t="str">
        <f t="shared" si="208"/>
        <v>홀수</v>
      </c>
      <c r="AC281" s="58" t="str">
        <f t="shared" si="209"/>
        <v>4 : 2</v>
      </c>
      <c r="AD281" s="32">
        <f t="shared" si="210"/>
        <v>4</v>
      </c>
      <c r="AE281" s="32">
        <f t="shared" si="211"/>
        <v>2</v>
      </c>
      <c r="AF281" s="66" t="str">
        <f t="shared" si="219"/>
        <v>저수</v>
      </c>
      <c r="AG281" s="66" t="str">
        <f t="shared" si="220"/>
        <v>저수</v>
      </c>
      <c r="AH281" s="66" t="str">
        <f t="shared" si="221"/>
        <v>저수</v>
      </c>
      <c r="AI281" s="66" t="str">
        <f t="shared" si="222"/>
        <v>저수</v>
      </c>
      <c r="AJ281" s="66" t="str">
        <f t="shared" si="223"/>
        <v>고수</v>
      </c>
      <c r="AK281" s="66" t="str">
        <f t="shared" si="224"/>
        <v>고수</v>
      </c>
      <c r="AL281" s="58" t="str">
        <f t="shared" si="225"/>
        <v>4 : 2</v>
      </c>
      <c r="AM281" s="66">
        <f t="shared" si="226"/>
        <v>4</v>
      </c>
      <c r="AN281" s="66">
        <f t="shared" si="227"/>
        <v>2</v>
      </c>
      <c r="AO281" s="66">
        <f t="shared" si="228"/>
        <v>24</v>
      </c>
      <c r="AP281" s="66" t="str">
        <f t="shared" si="229"/>
        <v>X</v>
      </c>
      <c r="AQ281" s="66" t="str">
        <f t="shared" si="230"/>
        <v>X</v>
      </c>
      <c r="AR281" s="66" t="str">
        <f t="shared" si="231"/>
        <v>O</v>
      </c>
      <c r="AS281" s="66" t="str">
        <f t="shared" si="232"/>
        <v>X</v>
      </c>
      <c r="AT281" s="66" t="str">
        <f t="shared" si="233"/>
        <v>X</v>
      </c>
      <c r="AU281" s="66" t="str">
        <f t="shared" si="234"/>
        <v>X</v>
      </c>
      <c r="AV281" s="66" t="str">
        <f t="shared" si="235"/>
        <v>X</v>
      </c>
      <c r="AW281" s="66" t="str">
        <f t="shared" si="236"/>
        <v>X</v>
      </c>
      <c r="AX281" s="66" t="str">
        <f t="shared" si="237"/>
        <v>X</v>
      </c>
      <c r="AY281" s="66" t="str">
        <f t="shared" si="238"/>
        <v>X</v>
      </c>
      <c r="AZ281" s="66" t="str">
        <f t="shared" si="239"/>
        <v>X</v>
      </c>
      <c r="BA281" s="66" t="str">
        <f t="shared" si="240"/>
        <v>O</v>
      </c>
      <c r="BB281" s="66">
        <f t="shared" si="241"/>
        <v>2</v>
      </c>
      <c r="BC281" s="127" t="str">
        <f t="shared" si="212"/>
        <v>1G</v>
      </c>
      <c r="BD281" s="127" t="str">
        <f t="shared" si="213"/>
        <v>1G</v>
      </c>
      <c r="BE281" s="127" t="str">
        <f t="shared" si="214"/>
        <v>1G</v>
      </c>
      <c r="BF281" s="127" t="str">
        <f t="shared" si="215"/>
        <v>1G</v>
      </c>
      <c r="BG281" s="127" t="str">
        <f t="shared" si="216"/>
        <v>2G</v>
      </c>
      <c r="BH281" s="127" t="str">
        <f t="shared" si="217"/>
        <v>2G</v>
      </c>
      <c r="BI281" s="127">
        <f t="shared" si="242"/>
        <v>4</v>
      </c>
      <c r="BJ281" s="127">
        <f t="shared" si="243"/>
        <v>2</v>
      </c>
      <c r="BK281" s="127">
        <f t="shared" si="244"/>
        <v>0</v>
      </c>
      <c r="BL281" s="127" t="str">
        <f t="shared" si="245"/>
        <v>420</v>
      </c>
      <c r="BS281"/>
      <c r="CL281" s="28">
        <v>143</v>
      </c>
      <c r="CM281" s="28">
        <v>140</v>
      </c>
      <c r="CO281"/>
    </row>
    <row r="282" spans="2:93" ht="16.5" hidden="1">
      <c r="B282" s="17">
        <v>278</v>
      </c>
      <c r="C282" s="363" t="s">
        <v>308</v>
      </c>
      <c r="D282" s="18">
        <v>3</v>
      </c>
      <c r="E282" s="20">
        <v>3186530000</v>
      </c>
      <c r="F282" s="18">
        <v>27</v>
      </c>
      <c r="G282" s="20">
        <v>59009815</v>
      </c>
      <c r="H282" s="20">
        <v>1089</v>
      </c>
      <c r="I282" s="20">
        <v>1463054</v>
      </c>
      <c r="J282" s="20">
        <v>55643</v>
      </c>
      <c r="K282" s="20">
        <v>57268</v>
      </c>
      <c r="L282" s="20">
        <v>922288</v>
      </c>
      <c r="M282" s="20">
        <v>5000</v>
      </c>
      <c r="N282" s="167">
        <v>3</v>
      </c>
      <c r="O282" s="167">
        <v>11</v>
      </c>
      <c r="P282" s="167">
        <v>37</v>
      </c>
      <c r="Q282" s="167">
        <v>39</v>
      </c>
      <c r="R282" s="167">
        <v>41</v>
      </c>
      <c r="S282" s="167">
        <v>43</v>
      </c>
      <c r="T282" s="167">
        <v>13</v>
      </c>
      <c r="U282" s="28">
        <f t="shared" si="218"/>
        <v>174</v>
      </c>
      <c r="W282" s="32" t="str">
        <f t="shared" si="203"/>
        <v>홀수</v>
      </c>
      <c r="X282" s="32" t="str">
        <f t="shared" si="204"/>
        <v>홀수</v>
      </c>
      <c r="Y282" s="32" t="str">
        <f t="shared" si="205"/>
        <v>홀수</v>
      </c>
      <c r="Z282" s="32" t="str">
        <f t="shared" si="206"/>
        <v>홀수</v>
      </c>
      <c r="AA282" s="32" t="str">
        <f t="shared" si="207"/>
        <v>홀수</v>
      </c>
      <c r="AB282" s="32" t="str">
        <f t="shared" si="208"/>
        <v>홀수</v>
      </c>
      <c r="AC282" s="58" t="str">
        <f t="shared" si="209"/>
        <v>6 : 0</v>
      </c>
      <c r="AD282" s="32">
        <f t="shared" si="210"/>
        <v>6</v>
      </c>
      <c r="AE282" s="32">
        <f t="shared" si="211"/>
        <v>0</v>
      </c>
      <c r="AF282" s="66" t="str">
        <f t="shared" si="219"/>
        <v>저수</v>
      </c>
      <c r="AG282" s="66" t="str">
        <f t="shared" si="220"/>
        <v>저수</v>
      </c>
      <c r="AH282" s="66" t="str">
        <f t="shared" si="221"/>
        <v>고수</v>
      </c>
      <c r="AI282" s="66" t="str">
        <f t="shared" si="222"/>
        <v>고수</v>
      </c>
      <c r="AJ282" s="66" t="str">
        <f t="shared" si="223"/>
        <v>고수</v>
      </c>
      <c r="AK282" s="66" t="str">
        <f t="shared" si="224"/>
        <v>고수</v>
      </c>
      <c r="AL282" s="58" t="str">
        <f t="shared" si="225"/>
        <v>2 : 4</v>
      </c>
      <c r="AM282" s="66">
        <f t="shared" si="226"/>
        <v>2</v>
      </c>
      <c r="AN282" s="66">
        <f t="shared" si="227"/>
        <v>4</v>
      </c>
      <c r="AO282" s="66">
        <f t="shared" si="228"/>
        <v>24</v>
      </c>
      <c r="AP282" s="66" t="str">
        <f t="shared" si="229"/>
        <v>O</v>
      </c>
      <c r="AQ282" s="66" t="str">
        <f t="shared" si="230"/>
        <v>O</v>
      </c>
      <c r="AR282" s="66" t="str">
        <f t="shared" si="231"/>
        <v>X</v>
      </c>
      <c r="AS282" s="66" t="str">
        <f t="shared" si="232"/>
        <v>X</v>
      </c>
      <c r="AT282" s="66" t="str">
        <f t="shared" si="233"/>
        <v>X</v>
      </c>
      <c r="AU282" s="66" t="str">
        <f t="shared" si="234"/>
        <v>X</v>
      </c>
      <c r="AV282" s="66" t="str">
        <f t="shared" si="235"/>
        <v>X</v>
      </c>
      <c r="AW282" s="66" t="str">
        <f t="shared" si="236"/>
        <v>X</v>
      </c>
      <c r="AX282" s="66" t="str">
        <f t="shared" si="237"/>
        <v>O</v>
      </c>
      <c r="AY282" s="66" t="str">
        <f t="shared" si="238"/>
        <v>X</v>
      </c>
      <c r="AZ282" s="66" t="str">
        <f t="shared" si="239"/>
        <v>O</v>
      </c>
      <c r="BA282" s="66" t="str">
        <f t="shared" si="240"/>
        <v>O</v>
      </c>
      <c r="BB282" s="66">
        <f t="shared" si="241"/>
        <v>5</v>
      </c>
      <c r="BC282" s="127" t="str">
        <f t="shared" si="212"/>
        <v>1G</v>
      </c>
      <c r="BD282" s="127" t="str">
        <f t="shared" si="213"/>
        <v>1G</v>
      </c>
      <c r="BE282" s="127" t="str">
        <f t="shared" si="214"/>
        <v>3G</v>
      </c>
      <c r="BF282" s="127" t="str">
        <f t="shared" si="215"/>
        <v>3G</v>
      </c>
      <c r="BG282" s="127" t="str">
        <f t="shared" si="216"/>
        <v>3G</v>
      </c>
      <c r="BH282" s="127" t="str">
        <f t="shared" si="217"/>
        <v>3G</v>
      </c>
      <c r="BI282" s="127">
        <f t="shared" si="242"/>
        <v>2</v>
      </c>
      <c r="BJ282" s="127">
        <f t="shared" si="243"/>
        <v>0</v>
      </c>
      <c r="BK282" s="127">
        <f t="shared" si="244"/>
        <v>4</v>
      </c>
      <c r="BL282" s="127" t="str">
        <f t="shared" si="245"/>
        <v>204</v>
      </c>
      <c r="BS282"/>
      <c r="CL282" s="28">
        <v>143</v>
      </c>
      <c r="CM282" s="28">
        <v>140</v>
      </c>
      <c r="CO282"/>
    </row>
    <row r="283" spans="2:93" ht="16.5" hidden="1">
      <c r="B283" s="17">
        <v>279</v>
      </c>
      <c r="C283" s="363" t="s">
        <v>309</v>
      </c>
      <c r="D283" s="18">
        <v>5</v>
      </c>
      <c r="E283" s="20">
        <v>1914205320</v>
      </c>
      <c r="F283" s="18">
        <v>27</v>
      </c>
      <c r="G283" s="20">
        <v>59080412</v>
      </c>
      <c r="H283" s="20">
        <v>1088</v>
      </c>
      <c r="I283" s="20">
        <v>1466150</v>
      </c>
      <c r="J283" s="20">
        <v>55421</v>
      </c>
      <c r="K283" s="20">
        <v>57566</v>
      </c>
      <c r="L283" s="20">
        <v>922712</v>
      </c>
      <c r="M283" s="20">
        <v>5000</v>
      </c>
      <c r="N283" s="167">
        <v>7</v>
      </c>
      <c r="O283" s="167">
        <v>16</v>
      </c>
      <c r="P283" s="167">
        <v>31</v>
      </c>
      <c r="Q283" s="167">
        <v>36</v>
      </c>
      <c r="R283" s="167">
        <v>37</v>
      </c>
      <c r="S283" s="167">
        <v>38</v>
      </c>
      <c r="T283" s="167">
        <v>11</v>
      </c>
      <c r="U283" s="28">
        <f t="shared" si="218"/>
        <v>165</v>
      </c>
      <c r="W283" s="32" t="str">
        <f t="shared" si="203"/>
        <v>홀수</v>
      </c>
      <c r="X283" s="32" t="str">
        <f t="shared" si="204"/>
        <v>짝수</v>
      </c>
      <c r="Y283" s="32" t="str">
        <f t="shared" si="205"/>
        <v>홀수</v>
      </c>
      <c r="Z283" s="32" t="str">
        <f t="shared" si="206"/>
        <v>짝수</v>
      </c>
      <c r="AA283" s="32" t="str">
        <f t="shared" si="207"/>
        <v>홀수</v>
      </c>
      <c r="AB283" s="32" t="str">
        <f t="shared" si="208"/>
        <v>짝수</v>
      </c>
      <c r="AC283" s="58" t="str">
        <f t="shared" si="209"/>
        <v>3 : 3</v>
      </c>
      <c r="AD283" s="32">
        <f t="shared" si="210"/>
        <v>3</v>
      </c>
      <c r="AE283" s="32">
        <f t="shared" si="211"/>
        <v>3</v>
      </c>
      <c r="AF283" s="66" t="str">
        <f t="shared" si="219"/>
        <v>저수</v>
      </c>
      <c r="AG283" s="66" t="str">
        <f t="shared" si="220"/>
        <v>저수</v>
      </c>
      <c r="AH283" s="66" t="str">
        <f t="shared" si="221"/>
        <v>고수</v>
      </c>
      <c r="AI283" s="66" t="str">
        <f t="shared" si="222"/>
        <v>고수</v>
      </c>
      <c r="AJ283" s="66" t="str">
        <f t="shared" si="223"/>
        <v>고수</v>
      </c>
      <c r="AK283" s="66" t="str">
        <f t="shared" si="224"/>
        <v>고수</v>
      </c>
      <c r="AL283" s="58" t="str">
        <f t="shared" si="225"/>
        <v>2 : 4</v>
      </c>
      <c r="AM283" s="66">
        <f t="shared" si="226"/>
        <v>2</v>
      </c>
      <c r="AN283" s="66">
        <f t="shared" si="227"/>
        <v>4</v>
      </c>
      <c r="AO283" s="66">
        <f t="shared" si="228"/>
        <v>35</v>
      </c>
      <c r="AP283" s="66" t="str">
        <f t="shared" si="229"/>
        <v>O</v>
      </c>
      <c r="AQ283" s="66" t="str">
        <f t="shared" si="230"/>
        <v>X</v>
      </c>
      <c r="AR283" s="66" t="str">
        <f t="shared" si="231"/>
        <v>X</v>
      </c>
      <c r="AS283" s="66" t="str">
        <f t="shared" si="232"/>
        <v>X</v>
      </c>
      <c r="AT283" s="66" t="str">
        <f t="shared" si="233"/>
        <v>X</v>
      </c>
      <c r="AU283" s="66" t="str">
        <f t="shared" si="234"/>
        <v>X</v>
      </c>
      <c r="AV283" s="66" t="str">
        <f t="shared" si="235"/>
        <v>X</v>
      </c>
      <c r="AW283" s="66" t="str">
        <f t="shared" si="236"/>
        <v>X</v>
      </c>
      <c r="AX283" s="66" t="str">
        <f t="shared" si="237"/>
        <v>O</v>
      </c>
      <c r="AY283" s="66" t="str">
        <f t="shared" si="238"/>
        <v>X</v>
      </c>
      <c r="AZ283" s="66" t="str">
        <f t="shared" si="239"/>
        <v>O</v>
      </c>
      <c r="BA283" s="66" t="str">
        <f t="shared" si="240"/>
        <v>X</v>
      </c>
      <c r="BB283" s="66">
        <f t="shared" si="241"/>
        <v>3</v>
      </c>
      <c r="BC283" s="127" t="str">
        <f t="shared" si="212"/>
        <v>1G</v>
      </c>
      <c r="BD283" s="127" t="str">
        <f t="shared" si="213"/>
        <v>2G</v>
      </c>
      <c r="BE283" s="127" t="str">
        <f t="shared" si="214"/>
        <v>3G</v>
      </c>
      <c r="BF283" s="127" t="str">
        <f t="shared" si="215"/>
        <v>3G</v>
      </c>
      <c r="BG283" s="127" t="str">
        <f t="shared" si="216"/>
        <v>3G</v>
      </c>
      <c r="BH283" s="127" t="str">
        <f t="shared" si="217"/>
        <v>3G</v>
      </c>
      <c r="BI283" s="127">
        <f t="shared" si="242"/>
        <v>1</v>
      </c>
      <c r="BJ283" s="127">
        <f t="shared" si="243"/>
        <v>1</v>
      </c>
      <c r="BK283" s="127">
        <f t="shared" si="244"/>
        <v>4</v>
      </c>
      <c r="BL283" s="127" t="str">
        <f t="shared" si="245"/>
        <v>114</v>
      </c>
      <c r="BS283"/>
      <c r="CL283" s="28">
        <v>143</v>
      </c>
      <c r="CM283" s="28">
        <v>140</v>
      </c>
      <c r="CO283"/>
    </row>
    <row r="284" spans="2:93" ht="16.5" hidden="1">
      <c r="B284" s="17">
        <v>280</v>
      </c>
      <c r="C284" s="363" t="s">
        <v>310</v>
      </c>
      <c r="D284" s="18">
        <v>7</v>
      </c>
      <c r="E284" s="20">
        <v>1355258529</v>
      </c>
      <c r="F284" s="18">
        <v>27</v>
      </c>
      <c r="G284" s="20">
        <v>58560554</v>
      </c>
      <c r="H284" s="20">
        <v>1145</v>
      </c>
      <c r="I284" s="20">
        <v>1380904</v>
      </c>
      <c r="J284" s="20">
        <v>53915</v>
      </c>
      <c r="K284" s="20">
        <v>58653</v>
      </c>
      <c r="L284" s="20">
        <v>905130</v>
      </c>
      <c r="M284" s="20">
        <v>5000</v>
      </c>
      <c r="N284" s="167">
        <v>10</v>
      </c>
      <c r="O284" s="167">
        <v>11</v>
      </c>
      <c r="P284" s="167">
        <v>23</v>
      </c>
      <c r="Q284" s="167">
        <v>24</v>
      </c>
      <c r="R284" s="167">
        <v>36</v>
      </c>
      <c r="S284" s="167">
        <v>37</v>
      </c>
      <c r="T284" s="167">
        <v>35</v>
      </c>
      <c r="U284" s="28">
        <f t="shared" si="218"/>
        <v>141</v>
      </c>
      <c r="W284" s="32" t="str">
        <f t="shared" si="203"/>
        <v>짝수</v>
      </c>
      <c r="X284" s="32" t="str">
        <f t="shared" si="204"/>
        <v>홀수</v>
      </c>
      <c r="Y284" s="32" t="str">
        <f t="shared" si="205"/>
        <v>홀수</v>
      </c>
      <c r="Z284" s="32" t="str">
        <f t="shared" si="206"/>
        <v>짝수</v>
      </c>
      <c r="AA284" s="32" t="str">
        <f t="shared" si="207"/>
        <v>짝수</v>
      </c>
      <c r="AB284" s="32" t="str">
        <f t="shared" si="208"/>
        <v>홀수</v>
      </c>
      <c r="AC284" s="58" t="str">
        <f t="shared" si="209"/>
        <v>3 : 3</v>
      </c>
      <c r="AD284" s="32">
        <f t="shared" si="210"/>
        <v>3</v>
      </c>
      <c r="AE284" s="32">
        <f t="shared" si="211"/>
        <v>3</v>
      </c>
      <c r="AF284" s="66" t="str">
        <f t="shared" si="219"/>
        <v>저수</v>
      </c>
      <c r="AG284" s="66" t="str">
        <f t="shared" si="220"/>
        <v>저수</v>
      </c>
      <c r="AH284" s="66" t="str">
        <f t="shared" si="221"/>
        <v>고수</v>
      </c>
      <c r="AI284" s="66" t="str">
        <f t="shared" si="222"/>
        <v>고수</v>
      </c>
      <c r="AJ284" s="66" t="str">
        <f t="shared" si="223"/>
        <v>고수</v>
      </c>
      <c r="AK284" s="66" t="str">
        <f t="shared" si="224"/>
        <v>고수</v>
      </c>
      <c r="AL284" s="58" t="str">
        <f t="shared" si="225"/>
        <v>2 : 4</v>
      </c>
      <c r="AM284" s="66">
        <f t="shared" si="226"/>
        <v>2</v>
      </c>
      <c r="AN284" s="66">
        <f t="shared" si="227"/>
        <v>4</v>
      </c>
      <c r="AO284" s="66">
        <f t="shared" si="228"/>
        <v>21</v>
      </c>
      <c r="AP284" s="66" t="str">
        <f t="shared" si="229"/>
        <v>X</v>
      </c>
      <c r="AQ284" s="66" t="str">
        <f t="shared" si="230"/>
        <v>O</v>
      </c>
      <c r="AR284" s="66" t="str">
        <f t="shared" si="231"/>
        <v>X</v>
      </c>
      <c r="AS284" s="66" t="str">
        <f t="shared" si="232"/>
        <v>X</v>
      </c>
      <c r="AT284" s="66" t="str">
        <f t="shared" si="233"/>
        <v>X</v>
      </c>
      <c r="AU284" s="66" t="str">
        <f t="shared" si="234"/>
        <v>X</v>
      </c>
      <c r="AV284" s="66" t="str">
        <f t="shared" si="235"/>
        <v>X</v>
      </c>
      <c r="AW284" s="66" t="str">
        <f t="shared" si="236"/>
        <v>X</v>
      </c>
      <c r="AX284" s="66" t="str">
        <f t="shared" si="237"/>
        <v>O</v>
      </c>
      <c r="AY284" s="66" t="str">
        <f t="shared" si="238"/>
        <v>X</v>
      </c>
      <c r="AZ284" s="66" t="str">
        <f t="shared" si="239"/>
        <v>X</v>
      </c>
      <c r="BA284" s="66" t="str">
        <f t="shared" si="240"/>
        <v>O</v>
      </c>
      <c r="BB284" s="66">
        <f t="shared" si="241"/>
        <v>3</v>
      </c>
      <c r="BC284" s="127" t="str">
        <f t="shared" si="212"/>
        <v>1G</v>
      </c>
      <c r="BD284" s="127" t="str">
        <f t="shared" si="213"/>
        <v>1G</v>
      </c>
      <c r="BE284" s="127" t="str">
        <f t="shared" si="214"/>
        <v>2G</v>
      </c>
      <c r="BF284" s="127" t="str">
        <f t="shared" si="215"/>
        <v>2G</v>
      </c>
      <c r="BG284" s="127" t="str">
        <f t="shared" si="216"/>
        <v>3G</v>
      </c>
      <c r="BH284" s="127" t="str">
        <f t="shared" si="217"/>
        <v>3G</v>
      </c>
      <c r="BI284" s="127">
        <f t="shared" si="242"/>
        <v>2</v>
      </c>
      <c r="BJ284" s="127">
        <f t="shared" si="243"/>
        <v>2</v>
      </c>
      <c r="BK284" s="127">
        <f t="shared" si="244"/>
        <v>2</v>
      </c>
      <c r="BL284" s="127" t="str">
        <f t="shared" si="245"/>
        <v>222</v>
      </c>
      <c r="BS284"/>
      <c r="CL284" s="28">
        <v>143</v>
      </c>
      <c r="CM284" s="28">
        <v>140</v>
      </c>
      <c r="CO284"/>
    </row>
    <row r="285" spans="2:93" ht="16.5" hidden="1">
      <c r="B285" s="17">
        <v>281</v>
      </c>
      <c r="C285" s="363" t="s">
        <v>311</v>
      </c>
      <c r="D285" s="18">
        <v>6</v>
      </c>
      <c r="E285" s="20">
        <v>1554683200</v>
      </c>
      <c r="F285" s="18">
        <v>37</v>
      </c>
      <c r="G285" s="20">
        <v>42018465</v>
      </c>
      <c r="H285" s="20">
        <v>1491</v>
      </c>
      <c r="I285" s="20">
        <v>1042712</v>
      </c>
      <c r="J285" s="20">
        <v>74543</v>
      </c>
      <c r="K285" s="20">
        <v>41713</v>
      </c>
      <c r="L285" s="20">
        <v>970685</v>
      </c>
      <c r="M285" s="20">
        <v>5000</v>
      </c>
      <c r="N285" s="167">
        <v>1</v>
      </c>
      <c r="O285" s="167">
        <v>3</v>
      </c>
      <c r="P285" s="167">
        <v>4</v>
      </c>
      <c r="Q285" s="167">
        <v>6</v>
      </c>
      <c r="R285" s="167">
        <v>14</v>
      </c>
      <c r="S285" s="167">
        <v>41</v>
      </c>
      <c r="T285" s="167">
        <v>12</v>
      </c>
      <c r="U285" s="28">
        <f t="shared" si="218"/>
        <v>69</v>
      </c>
      <c r="W285" s="32" t="str">
        <f t="shared" si="203"/>
        <v>홀수</v>
      </c>
      <c r="X285" s="32" t="str">
        <f t="shared" si="204"/>
        <v>홀수</v>
      </c>
      <c r="Y285" s="32" t="str">
        <f t="shared" si="205"/>
        <v>짝수</v>
      </c>
      <c r="Z285" s="32" t="str">
        <f t="shared" si="206"/>
        <v>짝수</v>
      </c>
      <c r="AA285" s="32" t="str">
        <f t="shared" si="207"/>
        <v>짝수</v>
      </c>
      <c r="AB285" s="32" t="str">
        <f t="shared" si="208"/>
        <v>홀수</v>
      </c>
      <c r="AC285" s="58" t="str">
        <f t="shared" si="209"/>
        <v>3 : 3</v>
      </c>
      <c r="AD285" s="32">
        <f t="shared" si="210"/>
        <v>3</v>
      </c>
      <c r="AE285" s="32">
        <f t="shared" si="211"/>
        <v>3</v>
      </c>
      <c r="AF285" s="66" t="str">
        <f t="shared" si="219"/>
        <v>저수</v>
      </c>
      <c r="AG285" s="66" t="str">
        <f t="shared" si="220"/>
        <v>저수</v>
      </c>
      <c r="AH285" s="66" t="str">
        <f t="shared" si="221"/>
        <v>저수</v>
      </c>
      <c r="AI285" s="66" t="str">
        <f t="shared" si="222"/>
        <v>저수</v>
      </c>
      <c r="AJ285" s="66" t="str">
        <f t="shared" si="223"/>
        <v>저수</v>
      </c>
      <c r="AK285" s="66" t="str">
        <f t="shared" si="224"/>
        <v>고수</v>
      </c>
      <c r="AL285" s="58" t="str">
        <f t="shared" si="225"/>
        <v>5 : 1</v>
      </c>
      <c r="AM285" s="66">
        <f t="shared" si="226"/>
        <v>5</v>
      </c>
      <c r="AN285" s="66">
        <f t="shared" si="227"/>
        <v>1</v>
      </c>
      <c r="AO285" s="66">
        <f t="shared" si="228"/>
        <v>19</v>
      </c>
      <c r="AP285" s="66" t="str">
        <f t="shared" si="229"/>
        <v>X</v>
      </c>
      <c r="AQ285" s="66" t="str">
        <f t="shared" si="230"/>
        <v>O</v>
      </c>
      <c r="AR285" s="66" t="str">
        <f t="shared" si="231"/>
        <v>X</v>
      </c>
      <c r="AS285" s="66" t="str">
        <f t="shared" si="232"/>
        <v>X</v>
      </c>
      <c r="AT285" s="66" t="str">
        <f t="shared" si="233"/>
        <v>X</v>
      </c>
      <c r="AU285" s="66" t="str">
        <f t="shared" si="234"/>
        <v>X</v>
      </c>
      <c r="AV285" s="66" t="str">
        <f t="shared" si="235"/>
        <v>X</v>
      </c>
      <c r="AW285" s="66" t="str">
        <f t="shared" si="236"/>
        <v>X</v>
      </c>
      <c r="AX285" s="66" t="str">
        <f t="shared" si="237"/>
        <v>X</v>
      </c>
      <c r="AY285" s="66" t="str">
        <f t="shared" si="238"/>
        <v>X</v>
      </c>
      <c r="AZ285" s="66" t="str">
        <f t="shared" si="239"/>
        <v>X</v>
      </c>
      <c r="BA285" s="66" t="str">
        <f t="shared" si="240"/>
        <v>O</v>
      </c>
      <c r="BB285" s="66">
        <f t="shared" si="241"/>
        <v>2</v>
      </c>
      <c r="BC285" s="127" t="str">
        <f t="shared" si="212"/>
        <v>1G</v>
      </c>
      <c r="BD285" s="127" t="str">
        <f t="shared" si="213"/>
        <v>1G</v>
      </c>
      <c r="BE285" s="127" t="str">
        <f t="shared" si="214"/>
        <v>1G</v>
      </c>
      <c r="BF285" s="127" t="str">
        <f t="shared" si="215"/>
        <v>1G</v>
      </c>
      <c r="BG285" s="127" t="str">
        <f t="shared" si="216"/>
        <v>1G</v>
      </c>
      <c r="BH285" s="127" t="str">
        <f t="shared" si="217"/>
        <v>3G</v>
      </c>
      <c r="BI285" s="127">
        <f t="shared" si="242"/>
        <v>5</v>
      </c>
      <c r="BJ285" s="127">
        <f t="shared" si="243"/>
        <v>0</v>
      </c>
      <c r="BK285" s="127">
        <f t="shared" si="244"/>
        <v>1</v>
      </c>
      <c r="BL285" s="127" t="str">
        <f t="shared" si="245"/>
        <v>501</v>
      </c>
      <c r="BS285"/>
      <c r="CL285" s="28">
        <v>143</v>
      </c>
      <c r="CM285" s="28">
        <v>140</v>
      </c>
      <c r="CO285"/>
    </row>
    <row r="286" spans="2:93" ht="16.5" hidden="1">
      <c r="B286" s="17">
        <v>282</v>
      </c>
      <c r="C286" s="363" t="s">
        <v>312</v>
      </c>
      <c r="D286" s="18">
        <v>7</v>
      </c>
      <c r="E286" s="20">
        <v>1322052643</v>
      </c>
      <c r="F286" s="18">
        <v>32</v>
      </c>
      <c r="G286" s="20">
        <v>48199836</v>
      </c>
      <c r="H286" s="20">
        <v>1523</v>
      </c>
      <c r="I286" s="20">
        <v>1012735</v>
      </c>
      <c r="J286" s="20">
        <v>66297</v>
      </c>
      <c r="K286" s="20">
        <v>46530</v>
      </c>
      <c r="L286" s="20">
        <v>1020328</v>
      </c>
      <c r="M286" s="20">
        <v>5000</v>
      </c>
      <c r="N286" s="167">
        <v>2</v>
      </c>
      <c r="O286" s="167">
        <v>5</v>
      </c>
      <c r="P286" s="167">
        <v>10</v>
      </c>
      <c r="Q286" s="167">
        <v>18</v>
      </c>
      <c r="R286" s="167">
        <v>31</v>
      </c>
      <c r="S286" s="167">
        <v>32</v>
      </c>
      <c r="T286" s="167">
        <v>30</v>
      </c>
      <c r="U286" s="28">
        <f t="shared" si="218"/>
        <v>98</v>
      </c>
      <c r="W286" s="32" t="str">
        <f t="shared" si="203"/>
        <v>짝수</v>
      </c>
      <c r="X286" s="32" t="str">
        <f t="shared" si="204"/>
        <v>홀수</v>
      </c>
      <c r="Y286" s="32" t="str">
        <f t="shared" si="205"/>
        <v>짝수</v>
      </c>
      <c r="Z286" s="32" t="str">
        <f t="shared" si="206"/>
        <v>짝수</v>
      </c>
      <c r="AA286" s="32" t="str">
        <f t="shared" si="207"/>
        <v>홀수</v>
      </c>
      <c r="AB286" s="32" t="str">
        <f t="shared" si="208"/>
        <v>짝수</v>
      </c>
      <c r="AC286" s="58" t="str">
        <f t="shared" si="209"/>
        <v>2 : 4</v>
      </c>
      <c r="AD286" s="32">
        <f t="shared" si="210"/>
        <v>2</v>
      </c>
      <c r="AE286" s="32">
        <f t="shared" si="211"/>
        <v>4</v>
      </c>
      <c r="AF286" s="66" t="str">
        <f t="shared" si="219"/>
        <v>저수</v>
      </c>
      <c r="AG286" s="66" t="str">
        <f t="shared" si="220"/>
        <v>저수</v>
      </c>
      <c r="AH286" s="66" t="str">
        <f t="shared" si="221"/>
        <v>저수</v>
      </c>
      <c r="AI286" s="66" t="str">
        <f t="shared" si="222"/>
        <v>저수</v>
      </c>
      <c r="AJ286" s="66" t="str">
        <f t="shared" si="223"/>
        <v>고수</v>
      </c>
      <c r="AK286" s="66" t="str">
        <f t="shared" si="224"/>
        <v>고수</v>
      </c>
      <c r="AL286" s="58" t="str">
        <f t="shared" si="225"/>
        <v>4 : 2</v>
      </c>
      <c r="AM286" s="66">
        <f t="shared" si="226"/>
        <v>4</v>
      </c>
      <c r="AN286" s="66">
        <f t="shared" si="227"/>
        <v>2</v>
      </c>
      <c r="AO286" s="66">
        <f t="shared" si="228"/>
        <v>18</v>
      </c>
      <c r="AP286" s="66" t="str">
        <f t="shared" si="229"/>
        <v>O</v>
      </c>
      <c r="AQ286" s="66" t="str">
        <f t="shared" si="230"/>
        <v>O</v>
      </c>
      <c r="AR286" s="66" t="str">
        <f t="shared" si="231"/>
        <v>X</v>
      </c>
      <c r="AS286" s="66" t="str">
        <f t="shared" si="232"/>
        <v>X</v>
      </c>
      <c r="AT286" s="66" t="str">
        <f t="shared" si="233"/>
        <v>X</v>
      </c>
      <c r="AU286" s="66" t="str">
        <f t="shared" si="234"/>
        <v>X</v>
      </c>
      <c r="AV286" s="66" t="str">
        <f t="shared" si="235"/>
        <v>X</v>
      </c>
      <c r="AW286" s="66" t="str">
        <f t="shared" si="236"/>
        <v>X</v>
      </c>
      <c r="AX286" s="66" t="str">
        <f t="shared" si="237"/>
        <v>X</v>
      </c>
      <c r="AY286" s="66" t="str">
        <f t="shared" si="238"/>
        <v>X</v>
      </c>
      <c r="AZ286" s="66" t="str">
        <f t="shared" si="239"/>
        <v>O</v>
      </c>
      <c r="BA286" s="66" t="str">
        <f t="shared" si="240"/>
        <v>X</v>
      </c>
      <c r="BB286" s="66">
        <f t="shared" si="241"/>
        <v>3</v>
      </c>
      <c r="BC286" s="127" t="str">
        <f t="shared" si="212"/>
        <v>1G</v>
      </c>
      <c r="BD286" s="127" t="str">
        <f t="shared" si="213"/>
        <v>1G</v>
      </c>
      <c r="BE286" s="127" t="str">
        <f t="shared" si="214"/>
        <v>1G</v>
      </c>
      <c r="BF286" s="127" t="str">
        <f t="shared" si="215"/>
        <v>2G</v>
      </c>
      <c r="BG286" s="127" t="str">
        <f t="shared" si="216"/>
        <v>3G</v>
      </c>
      <c r="BH286" s="127" t="str">
        <f t="shared" si="217"/>
        <v>3G</v>
      </c>
      <c r="BI286" s="127">
        <f t="shared" si="242"/>
        <v>3</v>
      </c>
      <c r="BJ286" s="127">
        <f t="shared" si="243"/>
        <v>1</v>
      </c>
      <c r="BK286" s="127">
        <f t="shared" si="244"/>
        <v>2</v>
      </c>
      <c r="BL286" s="127" t="str">
        <f t="shared" si="245"/>
        <v>312</v>
      </c>
      <c r="BS286"/>
      <c r="CL286" s="28">
        <v>144</v>
      </c>
      <c r="CM286" s="28">
        <v>140</v>
      </c>
      <c r="CO286"/>
    </row>
    <row r="287" spans="2:93" ht="16.5" hidden="1">
      <c r="B287" s="17">
        <v>283</v>
      </c>
      <c r="C287" s="363" t="s">
        <v>313</v>
      </c>
      <c r="D287" s="18">
        <v>3</v>
      </c>
      <c r="E287" s="20">
        <v>3137224600</v>
      </c>
      <c r="F287" s="18">
        <v>24</v>
      </c>
      <c r="G287" s="20">
        <v>65358846</v>
      </c>
      <c r="H287" s="20">
        <v>1061</v>
      </c>
      <c r="I287" s="20">
        <v>1478429</v>
      </c>
      <c r="J287" s="20">
        <v>52989</v>
      </c>
      <c r="K287" s="20">
        <v>59206</v>
      </c>
      <c r="L287" s="20">
        <v>876107</v>
      </c>
      <c r="M287" s="20">
        <v>5000</v>
      </c>
      <c r="N287" s="167">
        <v>6</v>
      </c>
      <c r="O287" s="167">
        <v>8</v>
      </c>
      <c r="P287" s="167">
        <v>18</v>
      </c>
      <c r="Q287" s="167">
        <v>31</v>
      </c>
      <c r="R287" s="167">
        <v>38</v>
      </c>
      <c r="S287" s="167">
        <v>45</v>
      </c>
      <c r="T287" s="167">
        <v>42</v>
      </c>
      <c r="U287" s="28">
        <f t="shared" si="218"/>
        <v>146</v>
      </c>
      <c r="W287" s="32" t="str">
        <f t="shared" si="203"/>
        <v>짝수</v>
      </c>
      <c r="X287" s="32" t="str">
        <f t="shared" si="204"/>
        <v>짝수</v>
      </c>
      <c r="Y287" s="32" t="str">
        <f t="shared" si="205"/>
        <v>짝수</v>
      </c>
      <c r="Z287" s="32" t="str">
        <f t="shared" si="206"/>
        <v>홀수</v>
      </c>
      <c r="AA287" s="32" t="str">
        <f t="shared" si="207"/>
        <v>짝수</v>
      </c>
      <c r="AB287" s="32" t="str">
        <f t="shared" si="208"/>
        <v>홀수</v>
      </c>
      <c r="AC287" s="58" t="str">
        <f t="shared" si="209"/>
        <v>2 : 4</v>
      </c>
      <c r="AD287" s="32">
        <f t="shared" si="210"/>
        <v>2</v>
      </c>
      <c r="AE287" s="32">
        <f t="shared" si="211"/>
        <v>4</v>
      </c>
      <c r="AF287" s="66" t="str">
        <f t="shared" si="219"/>
        <v>저수</v>
      </c>
      <c r="AG287" s="66" t="str">
        <f t="shared" si="220"/>
        <v>저수</v>
      </c>
      <c r="AH287" s="66" t="str">
        <f t="shared" si="221"/>
        <v>저수</v>
      </c>
      <c r="AI287" s="66" t="str">
        <f t="shared" si="222"/>
        <v>고수</v>
      </c>
      <c r="AJ287" s="66" t="str">
        <f t="shared" si="223"/>
        <v>고수</v>
      </c>
      <c r="AK287" s="66" t="str">
        <f t="shared" si="224"/>
        <v>고수</v>
      </c>
      <c r="AL287" s="58" t="str">
        <f t="shared" si="225"/>
        <v>3 : 3</v>
      </c>
      <c r="AM287" s="66">
        <f t="shared" si="226"/>
        <v>3</v>
      </c>
      <c r="AN287" s="66">
        <f t="shared" si="227"/>
        <v>3</v>
      </c>
      <c r="AO287" s="66">
        <f t="shared" si="228"/>
        <v>36</v>
      </c>
      <c r="AP287" s="66" t="str">
        <f t="shared" si="229"/>
        <v>X</v>
      </c>
      <c r="AQ287" s="66" t="str">
        <f t="shared" si="230"/>
        <v>X</v>
      </c>
      <c r="AR287" s="66" t="str">
        <f t="shared" si="231"/>
        <v>X</v>
      </c>
      <c r="AS287" s="66" t="str">
        <f t="shared" si="232"/>
        <v>X</v>
      </c>
      <c r="AT287" s="66" t="str">
        <f t="shared" si="233"/>
        <v>X</v>
      </c>
      <c r="AU287" s="66" t="str">
        <f t="shared" si="234"/>
        <v>X</v>
      </c>
      <c r="AV287" s="66" t="str">
        <f t="shared" si="235"/>
        <v>X</v>
      </c>
      <c r="AW287" s="66" t="str">
        <f t="shared" si="236"/>
        <v>X</v>
      </c>
      <c r="AX287" s="66" t="str">
        <f t="shared" si="237"/>
        <v>X</v>
      </c>
      <c r="AY287" s="66" t="str">
        <f t="shared" si="238"/>
        <v>O</v>
      </c>
      <c r="AZ287" s="66" t="str">
        <f t="shared" si="239"/>
        <v>X</v>
      </c>
      <c r="BA287" s="66" t="str">
        <f t="shared" si="240"/>
        <v>X</v>
      </c>
      <c r="BB287" s="66">
        <f t="shared" si="241"/>
        <v>1</v>
      </c>
      <c r="BC287" s="127" t="str">
        <f t="shared" si="212"/>
        <v>1G</v>
      </c>
      <c r="BD287" s="127" t="str">
        <f t="shared" si="213"/>
        <v>1G</v>
      </c>
      <c r="BE287" s="127" t="str">
        <f t="shared" si="214"/>
        <v>2G</v>
      </c>
      <c r="BF287" s="127" t="str">
        <f t="shared" si="215"/>
        <v>3G</v>
      </c>
      <c r="BG287" s="127" t="str">
        <f t="shared" si="216"/>
        <v>3G</v>
      </c>
      <c r="BH287" s="127" t="str">
        <f t="shared" si="217"/>
        <v>3G</v>
      </c>
      <c r="BI287" s="127">
        <f t="shared" si="242"/>
        <v>2</v>
      </c>
      <c r="BJ287" s="127">
        <f t="shared" si="243"/>
        <v>1</v>
      </c>
      <c r="BK287" s="127">
        <f t="shared" si="244"/>
        <v>3</v>
      </c>
      <c r="BL287" s="127" t="str">
        <f t="shared" si="245"/>
        <v>213</v>
      </c>
      <c r="BS287"/>
      <c r="CL287" s="28">
        <v>144</v>
      </c>
      <c r="CM287" s="28">
        <v>140</v>
      </c>
      <c r="CO287"/>
    </row>
    <row r="288" spans="2:93" ht="16.5" hidden="1">
      <c r="B288" s="17">
        <v>284</v>
      </c>
      <c r="C288" s="363" t="s">
        <v>314</v>
      </c>
      <c r="D288" s="18">
        <v>3</v>
      </c>
      <c r="E288" s="20">
        <v>3117640300</v>
      </c>
      <c r="F288" s="18">
        <v>14</v>
      </c>
      <c r="G288" s="20">
        <v>111344297</v>
      </c>
      <c r="H288" s="18">
        <v>955</v>
      </c>
      <c r="I288" s="20">
        <v>1632273</v>
      </c>
      <c r="J288" s="20">
        <v>50537</v>
      </c>
      <c r="K288" s="20">
        <v>61691</v>
      </c>
      <c r="L288" s="20">
        <v>859700</v>
      </c>
      <c r="M288" s="20">
        <v>5000</v>
      </c>
      <c r="N288" s="167">
        <v>2</v>
      </c>
      <c r="O288" s="167">
        <v>7</v>
      </c>
      <c r="P288" s="167">
        <v>15</v>
      </c>
      <c r="Q288" s="167">
        <v>24</v>
      </c>
      <c r="R288" s="167">
        <v>30</v>
      </c>
      <c r="S288" s="167">
        <v>45</v>
      </c>
      <c r="T288" s="167">
        <v>28</v>
      </c>
      <c r="U288" s="28">
        <f t="shared" si="218"/>
        <v>123</v>
      </c>
      <c r="W288" s="32" t="str">
        <f t="shared" si="203"/>
        <v>짝수</v>
      </c>
      <c r="X288" s="32" t="str">
        <f t="shared" si="204"/>
        <v>홀수</v>
      </c>
      <c r="Y288" s="32" t="str">
        <f t="shared" si="205"/>
        <v>홀수</v>
      </c>
      <c r="Z288" s="32" t="str">
        <f t="shared" si="206"/>
        <v>짝수</v>
      </c>
      <c r="AA288" s="32" t="str">
        <f t="shared" si="207"/>
        <v>짝수</v>
      </c>
      <c r="AB288" s="32" t="str">
        <f t="shared" si="208"/>
        <v>홀수</v>
      </c>
      <c r="AC288" s="58" t="str">
        <f t="shared" si="209"/>
        <v>3 : 3</v>
      </c>
      <c r="AD288" s="32">
        <f t="shared" si="210"/>
        <v>3</v>
      </c>
      <c r="AE288" s="32">
        <f t="shared" si="211"/>
        <v>3</v>
      </c>
      <c r="AF288" s="66" t="str">
        <f t="shared" si="219"/>
        <v>저수</v>
      </c>
      <c r="AG288" s="66" t="str">
        <f t="shared" si="220"/>
        <v>저수</v>
      </c>
      <c r="AH288" s="66" t="str">
        <f t="shared" si="221"/>
        <v>저수</v>
      </c>
      <c r="AI288" s="66" t="str">
        <f t="shared" si="222"/>
        <v>고수</v>
      </c>
      <c r="AJ288" s="66" t="str">
        <f t="shared" si="223"/>
        <v>고수</v>
      </c>
      <c r="AK288" s="66" t="str">
        <f t="shared" si="224"/>
        <v>고수</v>
      </c>
      <c r="AL288" s="58" t="str">
        <f t="shared" si="225"/>
        <v>3 : 3</v>
      </c>
      <c r="AM288" s="66">
        <f t="shared" si="226"/>
        <v>3</v>
      </c>
      <c r="AN288" s="66">
        <f t="shared" si="227"/>
        <v>3</v>
      </c>
      <c r="AO288" s="66">
        <f t="shared" si="228"/>
        <v>23</v>
      </c>
      <c r="AP288" s="66" t="str">
        <f t="shared" si="229"/>
        <v>O</v>
      </c>
      <c r="AQ288" s="66" t="str">
        <f t="shared" si="230"/>
        <v>O</v>
      </c>
      <c r="AR288" s="66" t="str">
        <f t="shared" si="231"/>
        <v>X</v>
      </c>
      <c r="AS288" s="66" t="str">
        <f t="shared" si="232"/>
        <v>X</v>
      </c>
      <c r="AT288" s="66" t="str">
        <f t="shared" si="233"/>
        <v>X</v>
      </c>
      <c r="AU288" s="66" t="str">
        <f t="shared" si="234"/>
        <v>X</v>
      </c>
      <c r="AV288" s="66" t="str">
        <f t="shared" si="235"/>
        <v>X</v>
      </c>
      <c r="AW288" s="66" t="str">
        <f t="shared" si="236"/>
        <v>X</v>
      </c>
      <c r="AX288" s="66" t="str">
        <f t="shared" si="237"/>
        <v>X</v>
      </c>
      <c r="AY288" s="66" t="str">
        <f t="shared" si="238"/>
        <v>X</v>
      </c>
      <c r="AZ288" s="66" t="str">
        <f t="shared" si="239"/>
        <v>X</v>
      </c>
      <c r="BA288" s="66" t="str">
        <f t="shared" si="240"/>
        <v>X</v>
      </c>
      <c r="BB288" s="66">
        <f t="shared" si="241"/>
        <v>2</v>
      </c>
      <c r="BC288" s="127" t="str">
        <f t="shared" si="212"/>
        <v>1G</v>
      </c>
      <c r="BD288" s="127" t="str">
        <f t="shared" si="213"/>
        <v>1G</v>
      </c>
      <c r="BE288" s="127" t="str">
        <f t="shared" si="214"/>
        <v>1G</v>
      </c>
      <c r="BF288" s="127" t="str">
        <f t="shared" si="215"/>
        <v>2G</v>
      </c>
      <c r="BG288" s="127" t="str">
        <f t="shared" si="216"/>
        <v>2G</v>
      </c>
      <c r="BH288" s="127" t="str">
        <f t="shared" si="217"/>
        <v>3G</v>
      </c>
      <c r="BI288" s="127">
        <f t="shared" si="242"/>
        <v>3</v>
      </c>
      <c r="BJ288" s="127">
        <f t="shared" si="243"/>
        <v>2</v>
      </c>
      <c r="BK288" s="127">
        <f t="shared" si="244"/>
        <v>1</v>
      </c>
      <c r="BL288" s="127" t="str">
        <f t="shared" si="245"/>
        <v>321</v>
      </c>
      <c r="BS288"/>
      <c r="CL288" s="28">
        <v>144</v>
      </c>
      <c r="CM288" s="28">
        <v>140</v>
      </c>
      <c r="CO288"/>
    </row>
    <row r="289" spans="2:93" ht="16.5" hidden="1">
      <c r="B289" s="17">
        <v>285</v>
      </c>
      <c r="C289" s="363" t="s">
        <v>315</v>
      </c>
      <c r="D289" s="18">
        <v>3</v>
      </c>
      <c r="E289" s="20">
        <v>3164370100</v>
      </c>
      <c r="F289" s="18">
        <v>26</v>
      </c>
      <c r="G289" s="20">
        <v>60853272</v>
      </c>
      <c r="H289" s="20">
        <v>1017</v>
      </c>
      <c r="I289" s="20">
        <v>1555738</v>
      </c>
      <c r="J289" s="20">
        <v>51283</v>
      </c>
      <c r="K289" s="20">
        <v>61705</v>
      </c>
      <c r="L289" s="20">
        <v>872117</v>
      </c>
      <c r="M289" s="20">
        <v>5000</v>
      </c>
      <c r="N289" s="167">
        <v>13</v>
      </c>
      <c r="O289" s="167">
        <v>33</v>
      </c>
      <c r="P289" s="167">
        <v>37</v>
      </c>
      <c r="Q289" s="167">
        <v>40</v>
      </c>
      <c r="R289" s="167">
        <v>41</v>
      </c>
      <c r="S289" s="167">
        <v>45</v>
      </c>
      <c r="T289" s="167">
        <v>2</v>
      </c>
      <c r="U289" s="28">
        <f t="shared" si="218"/>
        <v>209</v>
      </c>
      <c r="W289" s="32" t="str">
        <f t="shared" si="203"/>
        <v>홀수</v>
      </c>
      <c r="X289" s="32" t="str">
        <f t="shared" si="204"/>
        <v>홀수</v>
      </c>
      <c r="Y289" s="32" t="str">
        <f t="shared" si="205"/>
        <v>홀수</v>
      </c>
      <c r="Z289" s="32" t="str">
        <f t="shared" si="206"/>
        <v>짝수</v>
      </c>
      <c r="AA289" s="32" t="str">
        <f t="shared" si="207"/>
        <v>홀수</v>
      </c>
      <c r="AB289" s="32" t="str">
        <f t="shared" si="208"/>
        <v>홀수</v>
      </c>
      <c r="AC289" s="58" t="str">
        <f t="shared" si="209"/>
        <v>5 : 1</v>
      </c>
      <c r="AD289" s="32">
        <f t="shared" si="210"/>
        <v>5</v>
      </c>
      <c r="AE289" s="32">
        <f t="shared" si="211"/>
        <v>1</v>
      </c>
      <c r="AF289" s="66" t="str">
        <f t="shared" si="219"/>
        <v>저수</v>
      </c>
      <c r="AG289" s="66" t="str">
        <f t="shared" si="220"/>
        <v>고수</v>
      </c>
      <c r="AH289" s="66" t="str">
        <f t="shared" si="221"/>
        <v>고수</v>
      </c>
      <c r="AI289" s="66" t="str">
        <f t="shared" si="222"/>
        <v>고수</v>
      </c>
      <c r="AJ289" s="66" t="str">
        <f t="shared" si="223"/>
        <v>고수</v>
      </c>
      <c r="AK289" s="66" t="str">
        <f t="shared" si="224"/>
        <v>고수</v>
      </c>
      <c r="AL289" s="58" t="str">
        <f t="shared" si="225"/>
        <v>1 : 5</v>
      </c>
      <c r="AM289" s="66">
        <f t="shared" si="226"/>
        <v>1</v>
      </c>
      <c r="AN289" s="66">
        <f t="shared" si="227"/>
        <v>5</v>
      </c>
      <c r="AO289" s="66">
        <f t="shared" si="228"/>
        <v>19</v>
      </c>
      <c r="AP289" s="66" t="str">
        <f t="shared" si="229"/>
        <v>O</v>
      </c>
      <c r="AQ289" s="66" t="str">
        <f t="shared" si="230"/>
        <v>X</v>
      </c>
      <c r="AR289" s="66" t="str">
        <f t="shared" si="231"/>
        <v>X</v>
      </c>
      <c r="AS289" s="66" t="str">
        <f t="shared" si="232"/>
        <v>X</v>
      </c>
      <c r="AT289" s="66" t="str">
        <f t="shared" si="233"/>
        <v>X</v>
      </c>
      <c r="AU289" s="66" t="str">
        <f t="shared" si="234"/>
        <v>X</v>
      </c>
      <c r="AV289" s="66" t="str">
        <f t="shared" si="235"/>
        <v>X</v>
      </c>
      <c r="AW289" s="66" t="str">
        <f t="shared" si="236"/>
        <v>X</v>
      </c>
      <c r="AX289" s="66" t="str">
        <f t="shared" si="237"/>
        <v>O</v>
      </c>
      <c r="AY289" s="66" t="str">
        <f t="shared" si="238"/>
        <v>X</v>
      </c>
      <c r="AZ289" s="66" t="str">
        <f t="shared" si="239"/>
        <v>O</v>
      </c>
      <c r="BA289" s="66" t="str">
        <f t="shared" si="240"/>
        <v>X</v>
      </c>
      <c r="BB289" s="66">
        <f t="shared" si="241"/>
        <v>3</v>
      </c>
      <c r="BC289" s="127" t="str">
        <f t="shared" si="212"/>
        <v>1G</v>
      </c>
      <c r="BD289" s="127" t="str">
        <f t="shared" si="213"/>
        <v>3G</v>
      </c>
      <c r="BE289" s="127" t="str">
        <f t="shared" si="214"/>
        <v>3G</v>
      </c>
      <c r="BF289" s="127" t="str">
        <f t="shared" si="215"/>
        <v>3G</v>
      </c>
      <c r="BG289" s="127" t="str">
        <f t="shared" si="216"/>
        <v>3G</v>
      </c>
      <c r="BH289" s="127" t="str">
        <f t="shared" si="217"/>
        <v>3G</v>
      </c>
      <c r="BI289" s="127">
        <f t="shared" si="242"/>
        <v>1</v>
      </c>
      <c r="BJ289" s="127">
        <f t="shared" si="243"/>
        <v>0</v>
      </c>
      <c r="BK289" s="127">
        <f t="shared" si="244"/>
        <v>5</v>
      </c>
      <c r="BL289" s="127" t="str">
        <f t="shared" si="245"/>
        <v>105</v>
      </c>
      <c r="BS289"/>
      <c r="CL289" s="28">
        <v>144</v>
      </c>
      <c r="CM289" s="28">
        <v>140</v>
      </c>
      <c r="CO289"/>
    </row>
    <row r="290" spans="2:93" ht="16.5" hidden="1">
      <c r="B290" s="17">
        <v>286</v>
      </c>
      <c r="C290" s="363" t="s">
        <v>316</v>
      </c>
      <c r="D290" s="18">
        <v>3</v>
      </c>
      <c r="E290" s="20">
        <v>3236566300</v>
      </c>
      <c r="F290" s="18">
        <v>27</v>
      </c>
      <c r="G290" s="20">
        <v>59936413</v>
      </c>
      <c r="H290" s="20">
        <v>1033</v>
      </c>
      <c r="I290" s="20">
        <v>1566586</v>
      </c>
      <c r="J290" s="20">
        <v>48857</v>
      </c>
      <c r="K290" s="20">
        <v>66246</v>
      </c>
      <c r="L290" s="20">
        <v>857882</v>
      </c>
      <c r="M290" s="20">
        <v>5000</v>
      </c>
      <c r="N290" s="167">
        <v>1</v>
      </c>
      <c r="O290" s="167">
        <v>15</v>
      </c>
      <c r="P290" s="167">
        <v>19</v>
      </c>
      <c r="Q290" s="167">
        <v>40</v>
      </c>
      <c r="R290" s="167">
        <v>42</v>
      </c>
      <c r="S290" s="167">
        <v>44</v>
      </c>
      <c r="T290" s="167">
        <v>17</v>
      </c>
      <c r="U290" s="28">
        <f t="shared" si="218"/>
        <v>161</v>
      </c>
      <c r="W290" s="32" t="str">
        <f t="shared" si="203"/>
        <v>홀수</v>
      </c>
      <c r="X290" s="32" t="str">
        <f t="shared" si="204"/>
        <v>홀수</v>
      </c>
      <c r="Y290" s="32" t="str">
        <f t="shared" si="205"/>
        <v>홀수</v>
      </c>
      <c r="Z290" s="32" t="str">
        <f t="shared" si="206"/>
        <v>짝수</v>
      </c>
      <c r="AA290" s="32" t="str">
        <f t="shared" si="207"/>
        <v>짝수</v>
      </c>
      <c r="AB290" s="32" t="str">
        <f t="shared" si="208"/>
        <v>짝수</v>
      </c>
      <c r="AC290" s="58" t="str">
        <f t="shared" si="209"/>
        <v>3 : 3</v>
      </c>
      <c r="AD290" s="32">
        <f t="shared" si="210"/>
        <v>3</v>
      </c>
      <c r="AE290" s="32">
        <f t="shared" si="211"/>
        <v>3</v>
      </c>
      <c r="AF290" s="66" t="str">
        <f t="shared" si="219"/>
        <v>저수</v>
      </c>
      <c r="AG290" s="66" t="str">
        <f t="shared" si="220"/>
        <v>저수</v>
      </c>
      <c r="AH290" s="66" t="str">
        <f t="shared" si="221"/>
        <v>저수</v>
      </c>
      <c r="AI290" s="66" t="str">
        <f t="shared" si="222"/>
        <v>고수</v>
      </c>
      <c r="AJ290" s="66" t="str">
        <f t="shared" si="223"/>
        <v>고수</v>
      </c>
      <c r="AK290" s="66" t="str">
        <f t="shared" si="224"/>
        <v>고수</v>
      </c>
      <c r="AL290" s="58" t="str">
        <f t="shared" si="225"/>
        <v>3 : 3</v>
      </c>
      <c r="AM290" s="66">
        <f t="shared" si="226"/>
        <v>3</v>
      </c>
      <c r="AN290" s="66">
        <f t="shared" si="227"/>
        <v>3</v>
      </c>
      <c r="AO290" s="66">
        <f t="shared" si="228"/>
        <v>21</v>
      </c>
      <c r="AP290" s="66" t="str">
        <f t="shared" si="229"/>
        <v>X</v>
      </c>
      <c r="AQ290" s="66" t="str">
        <f t="shared" si="230"/>
        <v>X</v>
      </c>
      <c r="AR290" s="66" t="str">
        <f t="shared" si="231"/>
        <v>O</v>
      </c>
      <c r="AS290" s="66" t="str">
        <f t="shared" si="232"/>
        <v>X</v>
      </c>
      <c r="AT290" s="66" t="str">
        <f t="shared" si="233"/>
        <v>X</v>
      </c>
      <c r="AU290" s="66" t="str">
        <f t="shared" si="234"/>
        <v>X</v>
      </c>
      <c r="AV290" s="66" t="str">
        <f t="shared" si="235"/>
        <v>X</v>
      </c>
      <c r="AW290" s="66" t="str">
        <f t="shared" si="236"/>
        <v>X</v>
      </c>
      <c r="AX290" s="66" t="str">
        <f t="shared" si="237"/>
        <v>X</v>
      </c>
      <c r="AY290" s="66" t="str">
        <f t="shared" si="238"/>
        <v>X</v>
      </c>
      <c r="AZ290" s="66" t="str">
        <f t="shared" si="239"/>
        <v>X</v>
      </c>
      <c r="BA290" s="66" t="str">
        <f t="shared" si="240"/>
        <v>X</v>
      </c>
      <c r="BB290" s="66">
        <f t="shared" si="241"/>
        <v>1</v>
      </c>
      <c r="BC290" s="127" t="str">
        <f t="shared" si="212"/>
        <v>1G</v>
      </c>
      <c r="BD290" s="127" t="str">
        <f t="shared" si="213"/>
        <v>1G</v>
      </c>
      <c r="BE290" s="127" t="str">
        <f t="shared" si="214"/>
        <v>2G</v>
      </c>
      <c r="BF290" s="127" t="str">
        <f t="shared" si="215"/>
        <v>3G</v>
      </c>
      <c r="BG290" s="127" t="str">
        <f t="shared" si="216"/>
        <v>3G</v>
      </c>
      <c r="BH290" s="127" t="str">
        <f t="shared" si="217"/>
        <v>3G</v>
      </c>
      <c r="BI290" s="127">
        <f t="shared" si="242"/>
        <v>2</v>
      </c>
      <c r="BJ290" s="127">
        <f t="shared" si="243"/>
        <v>1</v>
      </c>
      <c r="BK290" s="127">
        <f t="shared" si="244"/>
        <v>3</v>
      </c>
      <c r="BL290" s="127" t="str">
        <f t="shared" si="245"/>
        <v>213</v>
      </c>
      <c r="BS290"/>
      <c r="CL290" s="28">
        <v>144</v>
      </c>
      <c r="CM290" s="28">
        <v>140</v>
      </c>
      <c r="CO290"/>
    </row>
    <row r="291" spans="2:93" ht="16.5" hidden="1">
      <c r="B291" s="17">
        <v>287</v>
      </c>
      <c r="C291" s="363" t="s">
        <v>317</v>
      </c>
      <c r="D291" s="18">
        <v>7</v>
      </c>
      <c r="E291" s="20">
        <v>1328657100</v>
      </c>
      <c r="F291" s="18">
        <v>37</v>
      </c>
      <c r="G291" s="20">
        <v>41894594</v>
      </c>
      <c r="H291" s="20">
        <v>1330</v>
      </c>
      <c r="I291" s="20">
        <v>1165489</v>
      </c>
      <c r="J291" s="20">
        <v>60597</v>
      </c>
      <c r="K291" s="20">
        <v>51161</v>
      </c>
      <c r="L291" s="20">
        <v>962149</v>
      </c>
      <c r="M291" s="20">
        <v>5000</v>
      </c>
      <c r="N291" s="167">
        <v>6</v>
      </c>
      <c r="O291" s="167">
        <v>12</v>
      </c>
      <c r="P291" s="167">
        <v>24</v>
      </c>
      <c r="Q291" s="167">
        <v>27</v>
      </c>
      <c r="R291" s="167">
        <v>35</v>
      </c>
      <c r="S291" s="167">
        <v>37</v>
      </c>
      <c r="T291" s="167">
        <v>41</v>
      </c>
      <c r="U291" s="28">
        <f t="shared" si="218"/>
        <v>141</v>
      </c>
      <c r="W291" s="32" t="str">
        <f t="shared" si="203"/>
        <v>짝수</v>
      </c>
      <c r="X291" s="32" t="str">
        <f t="shared" si="204"/>
        <v>짝수</v>
      </c>
      <c r="Y291" s="32" t="str">
        <f t="shared" si="205"/>
        <v>짝수</v>
      </c>
      <c r="Z291" s="32" t="str">
        <f t="shared" si="206"/>
        <v>홀수</v>
      </c>
      <c r="AA291" s="32" t="str">
        <f t="shared" si="207"/>
        <v>홀수</v>
      </c>
      <c r="AB291" s="32" t="str">
        <f t="shared" si="208"/>
        <v>홀수</v>
      </c>
      <c r="AC291" s="58" t="str">
        <f t="shared" si="209"/>
        <v>3 : 3</v>
      </c>
      <c r="AD291" s="32">
        <f t="shared" si="210"/>
        <v>3</v>
      </c>
      <c r="AE291" s="32">
        <f t="shared" si="211"/>
        <v>3</v>
      </c>
      <c r="AF291" s="66" t="str">
        <f t="shared" si="219"/>
        <v>저수</v>
      </c>
      <c r="AG291" s="66" t="str">
        <f t="shared" si="220"/>
        <v>저수</v>
      </c>
      <c r="AH291" s="66" t="str">
        <f t="shared" si="221"/>
        <v>고수</v>
      </c>
      <c r="AI291" s="66" t="str">
        <f t="shared" si="222"/>
        <v>고수</v>
      </c>
      <c r="AJ291" s="66" t="str">
        <f t="shared" si="223"/>
        <v>고수</v>
      </c>
      <c r="AK291" s="66" t="str">
        <f t="shared" si="224"/>
        <v>고수</v>
      </c>
      <c r="AL291" s="58" t="str">
        <f t="shared" si="225"/>
        <v>2 : 4</v>
      </c>
      <c r="AM291" s="66">
        <f t="shared" si="226"/>
        <v>2</v>
      </c>
      <c r="AN291" s="66">
        <f t="shared" si="227"/>
        <v>4</v>
      </c>
      <c r="AO291" s="66">
        <f t="shared" si="228"/>
        <v>31</v>
      </c>
      <c r="AP291" s="66" t="str">
        <f t="shared" si="229"/>
        <v>X</v>
      </c>
      <c r="AQ291" s="66" t="str">
        <f t="shared" si="230"/>
        <v>X</v>
      </c>
      <c r="AR291" s="66" t="str">
        <f t="shared" si="231"/>
        <v>X</v>
      </c>
      <c r="AS291" s="66" t="str">
        <f t="shared" si="232"/>
        <v>X</v>
      </c>
      <c r="AT291" s="66" t="str">
        <f t="shared" si="233"/>
        <v>X</v>
      </c>
      <c r="AU291" s="66" t="str">
        <f t="shared" si="234"/>
        <v>X</v>
      </c>
      <c r="AV291" s="66" t="str">
        <f t="shared" si="235"/>
        <v>X</v>
      </c>
      <c r="AW291" s="66" t="str">
        <f t="shared" si="236"/>
        <v>X</v>
      </c>
      <c r="AX291" s="66" t="str">
        <f t="shared" si="237"/>
        <v>X</v>
      </c>
      <c r="AY291" s="66" t="str">
        <f t="shared" si="238"/>
        <v>X</v>
      </c>
      <c r="AZ291" s="66" t="str">
        <f t="shared" si="239"/>
        <v>X</v>
      </c>
      <c r="BA291" s="66" t="str">
        <f t="shared" si="240"/>
        <v>O</v>
      </c>
      <c r="BB291" s="66">
        <f t="shared" si="241"/>
        <v>1</v>
      </c>
      <c r="BC291" s="127" t="str">
        <f t="shared" si="212"/>
        <v>1G</v>
      </c>
      <c r="BD291" s="127" t="str">
        <f t="shared" si="213"/>
        <v>1G</v>
      </c>
      <c r="BE291" s="127" t="str">
        <f t="shared" si="214"/>
        <v>2G</v>
      </c>
      <c r="BF291" s="127" t="str">
        <f t="shared" si="215"/>
        <v>2G</v>
      </c>
      <c r="BG291" s="127" t="str">
        <f t="shared" si="216"/>
        <v>3G</v>
      </c>
      <c r="BH291" s="127" t="str">
        <f t="shared" si="217"/>
        <v>3G</v>
      </c>
      <c r="BI291" s="127">
        <f t="shared" si="242"/>
        <v>2</v>
      </c>
      <c r="BJ291" s="127">
        <f t="shared" si="243"/>
        <v>2</v>
      </c>
      <c r="BK291" s="127">
        <f t="shared" si="244"/>
        <v>2</v>
      </c>
      <c r="BL291" s="127" t="str">
        <f t="shared" si="245"/>
        <v>222</v>
      </c>
      <c r="BS291"/>
      <c r="CL291" s="28">
        <v>144</v>
      </c>
      <c r="CM291" s="28">
        <v>140</v>
      </c>
      <c r="CO291"/>
    </row>
    <row r="292" spans="2:93" ht="16.5" hidden="1">
      <c r="B292" s="17">
        <v>288</v>
      </c>
      <c r="C292" s="363" t="s">
        <v>318</v>
      </c>
      <c r="D292" s="18">
        <v>4</v>
      </c>
      <c r="E292" s="20">
        <v>2357261550</v>
      </c>
      <c r="F292" s="18">
        <v>24</v>
      </c>
      <c r="G292" s="20">
        <v>65479488</v>
      </c>
      <c r="H292" s="20">
        <v>1056</v>
      </c>
      <c r="I292" s="20">
        <v>1488171</v>
      </c>
      <c r="J292" s="20">
        <v>50246</v>
      </c>
      <c r="K292" s="20">
        <v>62553</v>
      </c>
      <c r="L292" s="20">
        <v>853998</v>
      </c>
      <c r="M292" s="20">
        <v>5000</v>
      </c>
      <c r="N292" s="167">
        <v>1</v>
      </c>
      <c r="O292" s="167">
        <v>12</v>
      </c>
      <c r="P292" s="167">
        <v>17</v>
      </c>
      <c r="Q292" s="167">
        <v>28</v>
      </c>
      <c r="R292" s="167">
        <v>35</v>
      </c>
      <c r="S292" s="167">
        <v>41</v>
      </c>
      <c r="T292" s="167">
        <v>10</v>
      </c>
      <c r="U292" s="28">
        <f t="shared" si="218"/>
        <v>134</v>
      </c>
      <c r="W292" s="32" t="str">
        <f t="shared" si="203"/>
        <v>홀수</v>
      </c>
      <c r="X292" s="32" t="str">
        <f t="shared" si="204"/>
        <v>짝수</v>
      </c>
      <c r="Y292" s="32" t="str">
        <f t="shared" si="205"/>
        <v>홀수</v>
      </c>
      <c r="Z292" s="32" t="str">
        <f t="shared" si="206"/>
        <v>짝수</v>
      </c>
      <c r="AA292" s="32" t="str">
        <f t="shared" si="207"/>
        <v>홀수</v>
      </c>
      <c r="AB292" s="32" t="str">
        <f t="shared" si="208"/>
        <v>홀수</v>
      </c>
      <c r="AC292" s="58" t="str">
        <f t="shared" si="209"/>
        <v>4 : 2</v>
      </c>
      <c r="AD292" s="32">
        <f t="shared" si="210"/>
        <v>4</v>
      </c>
      <c r="AE292" s="32">
        <f t="shared" si="211"/>
        <v>2</v>
      </c>
      <c r="AF292" s="66" t="str">
        <f t="shared" si="219"/>
        <v>저수</v>
      </c>
      <c r="AG292" s="66" t="str">
        <f t="shared" si="220"/>
        <v>저수</v>
      </c>
      <c r="AH292" s="66" t="str">
        <f t="shared" si="221"/>
        <v>저수</v>
      </c>
      <c r="AI292" s="66" t="str">
        <f t="shared" si="222"/>
        <v>고수</v>
      </c>
      <c r="AJ292" s="66" t="str">
        <f t="shared" si="223"/>
        <v>고수</v>
      </c>
      <c r="AK292" s="66" t="str">
        <f t="shared" si="224"/>
        <v>고수</v>
      </c>
      <c r="AL292" s="58" t="str">
        <f t="shared" si="225"/>
        <v>3 : 3</v>
      </c>
      <c r="AM292" s="66">
        <f t="shared" si="226"/>
        <v>3</v>
      </c>
      <c r="AN292" s="66">
        <f t="shared" si="227"/>
        <v>3</v>
      </c>
      <c r="AO292" s="66">
        <f t="shared" si="228"/>
        <v>24</v>
      </c>
      <c r="AP292" s="66" t="str">
        <f t="shared" si="229"/>
        <v>X</v>
      </c>
      <c r="AQ292" s="66" t="str">
        <f t="shared" si="230"/>
        <v>X</v>
      </c>
      <c r="AR292" s="66" t="str">
        <f t="shared" si="231"/>
        <v>O</v>
      </c>
      <c r="AS292" s="66" t="str">
        <f t="shared" si="232"/>
        <v>X</v>
      </c>
      <c r="AT292" s="66" t="str">
        <f t="shared" si="233"/>
        <v>X</v>
      </c>
      <c r="AU292" s="66" t="str">
        <f t="shared" si="234"/>
        <v>X</v>
      </c>
      <c r="AV292" s="66" t="str">
        <f t="shared" si="235"/>
        <v>X</v>
      </c>
      <c r="AW292" s="66" t="str">
        <f t="shared" si="236"/>
        <v>X</v>
      </c>
      <c r="AX292" s="66" t="str">
        <f t="shared" si="237"/>
        <v>X</v>
      </c>
      <c r="AY292" s="66" t="str">
        <f t="shared" si="238"/>
        <v>X</v>
      </c>
      <c r="AZ292" s="66" t="str">
        <f t="shared" si="239"/>
        <v>X</v>
      </c>
      <c r="BA292" s="66" t="str">
        <f t="shared" si="240"/>
        <v>O</v>
      </c>
      <c r="BB292" s="66">
        <f t="shared" si="241"/>
        <v>2</v>
      </c>
      <c r="BC292" s="127" t="str">
        <f t="shared" si="212"/>
        <v>1G</v>
      </c>
      <c r="BD292" s="127" t="str">
        <f t="shared" si="213"/>
        <v>1G</v>
      </c>
      <c r="BE292" s="127" t="str">
        <f t="shared" si="214"/>
        <v>2G</v>
      </c>
      <c r="BF292" s="127" t="str">
        <f t="shared" si="215"/>
        <v>2G</v>
      </c>
      <c r="BG292" s="127" t="str">
        <f t="shared" si="216"/>
        <v>3G</v>
      </c>
      <c r="BH292" s="127" t="str">
        <f t="shared" si="217"/>
        <v>3G</v>
      </c>
      <c r="BI292" s="127">
        <f t="shared" si="242"/>
        <v>2</v>
      </c>
      <c r="BJ292" s="127">
        <f t="shared" si="243"/>
        <v>2</v>
      </c>
      <c r="BK292" s="127">
        <f t="shared" si="244"/>
        <v>2</v>
      </c>
      <c r="BL292" s="127" t="str">
        <f t="shared" si="245"/>
        <v>222</v>
      </c>
      <c r="BS292"/>
      <c r="CL292" s="28">
        <v>144</v>
      </c>
      <c r="CM292" s="28">
        <v>140</v>
      </c>
      <c r="CO292"/>
    </row>
    <row r="293" spans="2:93" ht="16.5" hidden="1">
      <c r="B293" s="17">
        <v>289</v>
      </c>
      <c r="C293" s="363" t="s">
        <v>319</v>
      </c>
      <c r="D293" s="18">
        <v>0</v>
      </c>
      <c r="E293" s="18">
        <v>0</v>
      </c>
      <c r="F293" s="18">
        <v>24</v>
      </c>
      <c r="G293" s="20">
        <v>63761694</v>
      </c>
      <c r="H293" s="20">
        <v>1019</v>
      </c>
      <c r="I293" s="20">
        <v>1501748</v>
      </c>
      <c r="J293" s="20">
        <v>52281</v>
      </c>
      <c r="K293" s="20">
        <v>58541</v>
      </c>
      <c r="L293" s="20">
        <v>880103</v>
      </c>
      <c r="M293" s="20">
        <v>5000</v>
      </c>
      <c r="N293" s="167">
        <v>3</v>
      </c>
      <c r="O293" s="167">
        <v>14</v>
      </c>
      <c r="P293" s="167">
        <v>33</v>
      </c>
      <c r="Q293" s="167">
        <v>37</v>
      </c>
      <c r="R293" s="167">
        <v>38</v>
      </c>
      <c r="S293" s="167">
        <v>42</v>
      </c>
      <c r="T293" s="167">
        <v>10</v>
      </c>
      <c r="U293" s="28">
        <f t="shared" si="218"/>
        <v>167</v>
      </c>
      <c r="W293" s="32" t="str">
        <f t="shared" si="203"/>
        <v>홀수</v>
      </c>
      <c r="X293" s="32" t="str">
        <f t="shared" si="204"/>
        <v>짝수</v>
      </c>
      <c r="Y293" s="32" t="str">
        <f t="shared" si="205"/>
        <v>홀수</v>
      </c>
      <c r="Z293" s="32" t="str">
        <f t="shared" si="206"/>
        <v>홀수</v>
      </c>
      <c r="AA293" s="32" t="str">
        <f t="shared" si="207"/>
        <v>짝수</v>
      </c>
      <c r="AB293" s="32" t="str">
        <f t="shared" si="208"/>
        <v>짝수</v>
      </c>
      <c r="AC293" s="58" t="str">
        <f t="shared" si="209"/>
        <v>3 : 3</v>
      </c>
      <c r="AD293" s="32">
        <f t="shared" si="210"/>
        <v>3</v>
      </c>
      <c r="AE293" s="32">
        <f t="shared" si="211"/>
        <v>3</v>
      </c>
      <c r="AF293" s="66" t="str">
        <f t="shared" si="219"/>
        <v>저수</v>
      </c>
      <c r="AG293" s="66" t="str">
        <f t="shared" si="220"/>
        <v>저수</v>
      </c>
      <c r="AH293" s="66" t="str">
        <f t="shared" si="221"/>
        <v>고수</v>
      </c>
      <c r="AI293" s="66" t="str">
        <f t="shared" si="222"/>
        <v>고수</v>
      </c>
      <c r="AJ293" s="66" t="str">
        <f t="shared" si="223"/>
        <v>고수</v>
      </c>
      <c r="AK293" s="66" t="str">
        <f t="shared" si="224"/>
        <v>고수</v>
      </c>
      <c r="AL293" s="58" t="str">
        <f t="shared" si="225"/>
        <v>2 : 4</v>
      </c>
      <c r="AM293" s="66">
        <f t="shared" si="226"/>
        <v>2</v>
      </c>
      <c r="AN293" s="66">
        <f t="shared" si="227"/>
        <v>4</v>
      </c>
      <c r="AO293" s="66">
        <f t="shared" si="228"/>
        <v>27</v>
      </c>
      <c r="AP293" s="66" t="str">
        <f t="shared" si="229"/>
        <v>O</v>
      </c>
      <c r="AQ293" s="66" t="str">
        <f t="shared" si="230"/>
        <v>X</v>
      </c>
      <c r="AR293" s="66" t="str">
        <f t="shared" si="231"/>
        <v>X</v>
      </c>
      <c r="AS293" s="66" t="str">
        <f t="shared" si="232"/>
        <v>X</v>
      </c>
      <c r="AT293" s="66" t="str">
        <f t="shared" si="233"/>
        <v>X</v>
      </c>
      <c r="AU293" s="66" t="str">
        <f t="shared" si="234"/>
        <v>X</v>
      </c>
      <c r="AV293" s="66" t="str">
        <f t="shared" si="235"/>
        <v>X</v>
      </c>
      <c r="AW293" s="66" t="str">
        <f t="shared" si="236"/>
        <v>X</v>
      </c>
      <c r="AX293" s="66" t="str">
        <f t="shared" si="237"/>
        <v>X</v>
      </c>
      <c r="AY293" s="66" t="str">
        <f t="shared" si="238"/>
        <v>O</v>
      </c>
      <c r="AZ293" s="66" t="str">
        <f t="shared" si="239"/>
        <v>X</v>
      </c>
      <c r="BA293" s="66" t="str">
        <f t="shared" si="240"/>
        <v>X</v>
      </c>
      <c r="BB293" s="66">
        <f t="shared" si="241"/>
        <v>2</v>
      </c>
      <c r="BC293" s="127" t="str">
        <f t="shared" si="212"/>
        <v>1G</v>
      </c>
      <c r="BD293" s="127" t="str">
        <f t="shared" si="213"/>
        <v>1G</v>
      </c>
      <c r="BE293" s="127" t="str">
        <f t="shared" si="214"/>
        <v>3G</v>
      </c>
      <c r="BF293" s="127" t="str">
        <f t="shared" si="215"/>
        <v>3G</v>
      </c>
      <c r="BG293" s="127" t="str">
        <f t="shared" si="216"/>
        <v>3G</v>
      </c>
      <c r="BH293" s="127" t="str">
        <f t="shared" si="217"/>
        <v>3G</v>
      </c>
      <c r="BI293" s="127">
        <f t="shared" si="242"/>
        <v>2</v>
      </c>
      <c r="BJ293" s="127">
        <f t="shared" si="243"/>
        <v>0</v>
      </c>
      <c r="BK293" s="127">
        <f t="shared" si="244"/>
        <v>4</v>
      </c>
      <c r="BL293" s="127" t="str">
        <f t="shared" si="245"/>
        <v>204</v>
      </c>
      <c r="BS293"/>
      <c r="CL293" s="28">
        <v>145</v>
      </c>
      <c r="CM293" s="28">
        <v>140</v>
      </c>
      <c r="CO293"/>
    </row>
    <row r="294" spans="2:93" ht="16.5" hidden="1">
      <c r="B294" s="17">
        <v>290</v>
      </c>
      <c r="C294" s="363" t="s">
        <v>320</v>
      </c>
      <c r="D294" s="18">
        <v>13</v>
      </c>
      <c r="E294" s="20">
        <v>2149214424</v>
      </c>
      <c r="F294" s="18">
        <v>61</v>
      </c>
      <c r="G294" s="20">
        <v>51251650</v>
      </c>
      <c r="H294" s="20">
        <v>2297</v>
      </c>
      <c r="I294" s="20">
        <v>1361059</v>
      </c>
      <c r="J294" s="20">
        <v>106752</v>
      </c>
      <c r="K294" s="20">
        <v>58573</v>
      </c>
      <c r="L294" s="20">
        <v>1783529</v>
      </c>
      <c r="M294" s="20">
        <v>5000</v>
      </c>
      <c r="N294" s="167">
        <v>8</v>
      </c>
      <c r="O294" s="167">
        <v>13</v>
      </c>
      <c r="P294" s="167">
        <v>18</v>
      </c>
      <c r="Q294" s="167">
        <v>32</v>
      </c>
      <c r="R294" s="167">
        <v>39</v>
      </c>
      <c r="S294" s="167">
        <v>45</v>
      </c>
      <c r="T294" s="167">
        <v>7</v>
      </c>
      <c r="U294" s="28">
        <f t="shared" si="218"/>
        <v>155</v>
      </c>
      <c r="W294" s="32" t="str">
        <f t="shared" si="203"/>
        <v>짝수</v>
      </c>
      <c r="X294" s="32" t="str">
        <f t="shared" si="204"/>
        <v>홀수</v>
      </c>
      <c r="Y294" s="32" t="str">
        <f t="shared" si="205"/>
        <v>짝수</v>
      </c>
      <c r="Z294" s="32" t="str">
        <f t="shared" si="206"/>
        <v>짝수</v>
      </c>
      <c r="AA294" s="32" t="str">
        <f t="shared" si="207"/>
        <v>홀수</v>
      </c>
      <c r="AB294" s="32" t="str">
        <f t="shared" si="208"/>
        <v>홀수</v>
      </c>
      <c r="AC294" s="58" t="str">
        <f t="shared" si="209"/>
        <v>3 : 3</v>
      </c>
      <c r="AD294" s="32">
        <f t="shared" si="210"/>
        <v>3</v>
      </c>
      <c r="AE294" s="32">
        <f t="shared" si="211"/>
        <v>3</v>
      </c>
      <c r="AF294" s="66" t="str">
        <f t="shared" si="219"/>
        <v>저수</v>
      </c>
      <c r="AG294" s="66" t="str">
        <f t="shared" si="220"/>
        <v>저수</v>
      </c>
      <c r="AH294" s="66" t="str">
        <f t="shared" si="221"/>
        <v>저수</v>
      </c>
      <c r="AI294" s="66" t="str">
        <f t="shared" si="222"/>
        <v>고수</v>
      </c>
      <c r="AJ294" s="66" t="str">
        <f t="shared" si="223"/>
        <v>고수</v>
      </c>
      <c r="AK294" s="66" t="str">
        <f t="shared" si="224"/>
        <v>고수</v>
      </c>
      <c r="AL294" s="58" t="str">
        <f t="shared" si="225"/>
        <v>3 : 3</v>
      </c>
      <c r="AM294" s="66">
        <f t="shared" si="226"/>
        <v>3</v>
      </c>
      <c r="AN294" s="66">
        <f t="shared" si="227"/>
        <v>3</v>
      </c>
      <c r="AO294" s="66">
        <f t="shared" si="228"/>
        <v>35</v>
      </c>
      <c r="AP294" s="66" t="str">
        <f t="shared" si="229"/>
        <v>X</v>
      </c>
      <c r="AQ294" s="66" t="str">
        <f t="shared" si="230"/>
        <v>O</v>
      </c>
      <c r="AR294" s="66" t="str">
        <f t="shared" si="231"/>
        <v>X</v>
      </c>
      <c r="AS294" s="66" t="str">
        <f t="shared" si="232"/>
        <v>X</v>
      </c>
      <c r="AT294" s="66" t="str">
        <f t="shared" si="233"/>
        <v>X</v>
      </c>
      <c r="AU294" s="66" t="str">
        <f t="shared" si="234"/>
        <v>X</v>
      </c>
      <c r="AV294" s="66" t="str">
        <f t="shared" si="235"/>
        <v>X</v>
      </c>
      <c r="AW294" s="66" t="str">
        <f t="shared" si="236"/>
        <v>X</v>
      </c>
      <c r="AX294" s="66" t="str">
        <f t="shared" si="237"/>
        <v>X</v>
      </c>
      <c r="AY294" s="66" t="str">
        <f t="shared" si="238"/>
        <v>X</v>
      </c>
      <c r="AZ294" s="66" t="str">
        <f t="shared" si="239"/>
        <v>X</v>
      </c>
      <c r="BA294" s="66" t="str">
        <f t="shared" si="240"/>
        <v>X</v>
      </c>
      <c r="BB294" s="66">
        <f t="shared" si="241"/>
        <v>1</v>
      </c>
      <c r="BC294" s="127" t="str">
        <f t="shared" si="212"/>
        <v>1G</v>
      </c>
      <c r="BD294" s="127" t="str">
        <f t="shared" si="213"/>
        <v>1G</v>
      </c>
      <c r="BE294" s="127" t="str">
        <f t="shared" si="214"/>
        <v>2G</v>
      </c>
      <c r="BF294" s="127" t="str">
        <f t="shared" si="215"/>
        <v>3G</v>
      </c>
      <c r="BG294" s="127" t="str">
        <f t="shared" si="216"/>
        <v>3G</v>
      </c>
      <c r="BH294" s="127" t="str">
        <f t="shared" si="217"/>
        <v>3G</v>
      </c>
      <c r="BI294" s="127">
        <f t="shared" si="242"/>
        <v>2</v>
      </c>
      <c r="BJ294" s="127">
        <f t="shared" si="243"/>
        <v>1</v>
      </c>
      <c r="BK294" s="127">
        <f t="shared" si="244"/>
        <v>3</v>
      </c>
      <c r="BL294" s="127" t="str">
        <f t="shared" si="245"/>
        <v>213</v>
      </c>
      <c r="BS294"/>
      <c r="CL294" s="28">
        <v>145</v>
      </c>
      <c r="CM294" s="28">
        <v>140</v>
      </c>
      <c r="CO294"/>
    </row>
    <row r="295" spans="2:93" ht="16.5" hidden="1">
      <c r="B295" s="17">
        <v>291</v>
      </c>
      <c r="C295" s="363" t="s">
        <v>321</v>
      </c>
      <c r="D295" s="18">
        <v>7</v>
      </c>
      <c r="E295" s="20">
        <v>1450585200</v>
      </c>
      <c r="F295" s="18">
        <v>39</v>
      </c>
      <c r="G295" s="20">
        <v>43393575</v>
      </c>
      <c r="H295" s="20">
        <v>1227</v>
      </c>
      <c r="I295" s="20">
        <v>1379258</v>
      </c>
      <c r="J295" s="20">
        <v>62513</v>
      </c>
      <c r="K295" s="20">
        <v>54144</v>
      </c>
      <c r="L295" s="20">
        <v>1029643</v>
      </c>
      <c r="M295" s="20">
        <v>5000</v>
      </c>
      <c r="N295" s="167">
        <v>3</v>
      </c>
      <c r="O295" s="167">
        <v>7</v>
      </c>
      <c r="P295" s="167">
        <v>8</v>
      </c>
      <c r="Q295" s="167">
        <v>18</v>
      </c>
      <c r="R295" s="167">
        <v>20</v>
      </c>
      <c r="S295" s="167">
        <v>42</v>
      </c>
      <c r="T295" s="167">
        <v>45</v>
      </c>
      <c r="U295" s="28">
        <f t="shared" si="218"/>
        <v>98</v>
      </c>
      <c r="W295" s="32" t="str">
        <f t="shared" si="203"/>
        <v>홀수</v>
      </c>
      <c r="X295" s="32" t="str">
        <f t="shared" si="204"/>
        <v>홀수</v>
      </c>
      <c r="Y295" s="32" t="str">
        <f t="shared" si="205"/>
        <v>짝수</v>
      </c>
      <c r="Z295" s="32" t="str">
        <f t="shared" si="206"/>
        <v>짝수</v>
      </c>
      <c r="AA295" s="32" t="str">
        <f t="shared" si="207"/>
        <v>짝수</v>
      </c>
      <c r="AB295" s="32" t="str">
        <f t="shared" si="208"/>
        <v>짝수</v>
      </c>
      <c r="AC295" s="58" t="str">
        <f t="shared" si="209"/>
        <v>2 : 4</v>
      </c>
      <c r="AD295" s="32">
        <f t="shared" si="210"/>
        <v>2</v>
      </c>
      <c r="AE295" s="32">
        <f t="shared" si="211"/>
        <v>4</v>
      </c>
      <c r="AF295" s="66" t="str">
        <f t="shared" si="219"/>
        <v>저수</v>
      </c>
      <c r="AG295" s="66" t="str">
        <f t="shared" si="220"/>
        <v>저수</v>
      </c>
      <c r="AH295" s="66" t="str">
        <f t="shared" si="221"/>
        <v>저수</v>
      </c>
      <c r="AI295" s="66" t="str">
        <f t="shared" si="222"/>
        <v>저수</v>
      </c>
      <c r="AJ295" s="66" t="str">
        <f t="shared" si="223"/>
        <v>저수</v>
      </c>
      <c r="AK295" s="66" t="str">
        <f t="shared" si="224"/>
        <v>고수</v>
      </c>
      <c r="AL295" s="58" t="str">
        <f t="shared" si="225"/>
        <v>5 : 1</v>
      </c>
      <c r="AM295" s="66">
        <f t="shared" si="226"/>
        <v>5</v>
      </c>
      <c r="AN295" s="66">
        <f t="shared" si="227"/>
        <v>1</v>
      </c>
      <c r="AO295" s="66">
        <f t="shared" si="228"/>
        <v>28</v>
      </c>
      <c r="AP295" s="66" t="str">
        <f t="shared" si="229"/>
        <v>O</v>
      </c>
      <c r="AQ295" s="66" t="str">
        <f t="shared" si="230"/>
        <v>O</v>
      </c>
      <c r="AR295" s="66" t="str">
        <f t="shared" si="231"/>
        <v>X</v>
      </c>
      <c r="AS295" s="66" t="str">
        <f t="shared" si="232"/>
        <v>X</v>
      </c>
      <c r="AT295" s="66" t="str">
        <f t="shared" si="233"/>
        <v>X</v>
      </c>
      <c r="AU295" s="66" t="str">
        <f t="shared" si="234"/>
        <v>X</v>
      </c>
      <c r="AV295" s="66" t="str">
        <f t="shared" si="235"/>
        <v>X</v>
      </c>
      <c r="AW295" s="66" t="str">
        <f t="shared" si="236"/>
        <v>X</v>
      </c>
      <c r="AX295" s="66" t="str">
        <f t="shared" si="237"/>
        <v>X</v>
      </c>
      <c r="AY295" s="66" t="str">
        <f t="shared" si="238"/>
        <v>X</v>
      </c>
      <c r="AZ295" s="66" t="str">
        <f t="shared" si="239"/>
        <v>X</v>
      </c>
      <c r="BA295" s="66" t="str">
        <f t="shared" si="240"/>
        <v>X</v>
      </c>
      <c r="BB295" s="66">
        <f t="shared" si="241"/>
        <v>2</v>
      </c>
      <c r="BC295" s="127" t="str">
        <f t="shared" si="212"/>
        <v>1G</v>
      </c>
      <c r="BD295" s="127" t="str">
        <f t="shared" si="213"/>
        <v>1G</v>
      </c>
      <c r="BE295" s="127" t="str">
        <f t="shared" si="214"/>
        <v>1G</v>
      </c>
      <c r="BF295" s="127" t="str">
        <f t="shared" si="215"/>
        <v>2G</v>
      </c>
      <c r="BG295" s="127" t="str">
        <f t="shared" si="216"/>
        <v>2G</v>
      </c>
      <c r="BH295" s="127" t="str">
        <f t="shared" si="217"/>
        <v>3G</v>
      </c>
      <c r="BI295" s="127">
        <f t="shared" si="242"/>
        <v>3</v>
      </c>
      <c r="BJ295" s="127">
        <f t="shared" si="243"/>
        <v>2</v>
      </c>
      <c r="BK295" s="127">
        <f t="shared" si="244"/>
        <v>1</v>
      </c>
      <c r="BL295" s="127" t="str">
        <f t="shared" si="245"/>
        <v>321</v>
      </c>
      <c r="BS295"/>
      <c r="CL295" s="28">
        <v>145</v>
      </c>
      <c r="CM295" s="28">
        <v>140</v>
      </c>
      <c r="CO295"/>
    </row>
    <row r="296" spans="2:93" ht="16.5" hidden="1">
      <c r="B296" s="17">
        <v>292</v>
      </c>
      <c r="C296" s="363" t="s">
        <v>322</v>
      </c>
      <c r="D296" s="18">
        <v>14</v>
      </c>
      <c r="E296" s="20">
        <v>720373950</v>
      </c>
      <c r="F296" s="18">
        <v>37</v>
      </c>
      <c r="G296" s="20">
        <v>45428988</v>
      </c>
      <c r="H296" s="20">
        <v>1688</v>
      </c>
      <c r="I296" s="20">
        <v>995778</v>
      </c>
      <c r="J296" s="20">
        <v>66893</v>
      </c>
      <c r="K296" s="20">
        <v>50256</v>
      </c>
      <c r="L296" s="20">
        <v>977718</v>
      </c>
      <c r="M296" s="20">
        <v>5000</v>
      </c>
      <c r="N296" s="167">
        <v>17</v>
      </c>
      <c r="O296" s="167">
        <v>18</v>
      </c>
      <c r="P296" s="167">
        <v>31</v>
      </c>
      <c r="Q296" s="167">
        <v>32</v>
      </c>
      <c r="R296" s="167">
        <v>33</v>
      </c>
      <c r="S296" s="167">
        <v>34</v>
      </c>
      <c r="T296" s="167">
        <v>10</v>
      </c>
      <c r="U296" s="28">
        <f t="shared" si="218"/>
        <v>165</v>
      </c>
      <c r="W296" s="32" t="str">
        <f t="shared" si="203"/>
        <v>홀수</v>
      </c>
      <c r="X296" s="32" t="str">
        <f t="shared" si="204"/>
        <v>짝수</v>
      </c>
      <c r="Y296" s="32" t="str">
        <f t="shared" si="205"/>
        <v>홀수</v>
      </c>
      <c r="Z296" s="32" t="str">
        <f t="shared" si="206"/>
        <v>짝수</v>
      </c>
      <c r="AA296" s="32" t="str">
        <f t="shared" si="207"/>
        <v>홀수</v>
      </c>
      <c r="AB296" s="32" t="str">
        <f t="shared" si="208"/>
        <v>짝수</v>
      </c>
      <c r="AC296" s="58" t="str">
        <f t="shared" si="209"/>
        <v>3 : 3</v>
      </c>
      <c r="AD296" s="32">
        <f t="shared" si="210"/>
        <v>3</v>
      </c>
      <c r="AE296" s="32">
        <f t="shared" si="211"/>
        <v>3</v>
      </c>
      <c r="AF296" s="66" t="str">
        <f t="shared" si="219"/>
        <v>저수</v>
      </c>
      <c r="AG296" s="66" t="str">
        <f t="shared" si="220"/>
        <v>저수</v>
      </c>
      <c r="AH296" s="66" t="str">
        <f t="shared" si="221"/>
        <v>고수</v>
      </c>
      <c r="AI296" s="66" t="str">
        <f t="shared" si="222"/>
        <v>고수</v>
      </c>
      <c r="AJ296" s="66" t="str">
        <f t="shared" si="223"/>
        <v>고수</v>
      </c>
      <c r="AK296" s="66" t="str">
        <f t="shared" si="224"/>
        <v>고수</v>
      </c>
      <c r="AL296" s="58" t="str">
        <f t="shared" si="225"/>
        <v>2 : 4</v>
      </c>
      <c r="AM296" s="66">
        <f t="shared" si="226"/>
        <v>2</v>
      </c>
      <c r="AN296" s="66">
        <f t="shared" si="227"/>
        <v>4</v>
      </c>
      <c r="AO296" s="66">
        <f t="shared" si="228"/>
        <v>25</v>
      </c>
      <c r="AP296" s="66" t="str">
        <f t="shared" si="229"/>
        <v>O</v>
      </c>
      <c r="AQ296" s="66" t="str">
        <f t="shared" si="230"/>
        <v>X</v>
      </c>
      <c r="AR296" s="66" t="str">
        <f t="shared" si="231"/>
        <v>X</v>
      </c>
      <c r="AS296" s="66" t="str">
        <f t="shared" si="232"/>
        <v>X</v>
      </c>
      <c r="AT296" s="66" t="str">
        <f t="shared" si="233"/>
        <v>X</v>
      </c>
      <c r="AU296" s="66" t="str">
        <f t="shared" si="234"/>
        <v>X</v>
      </c>
      <c r="AV296" s="66" t="str">
        <f t="shared" si="235"/>
        <v>X</v>
      </c>
      <c r="AW296" s="66" t="str">
        <f t="shared" si="236"/>
        <v>X</v>
      </c>
      <c r="AX296" s="66" t="str">
        <f t="shared" si="237"/>
        <v>O</v>
      </c>
      <c r="AY296" s="66" t="str">
        <f t="shared" si="238"/>
        <v>X</v>
      </c>
      <c r="AZ296" s="66" t="str">
        <f t="shared" si="239"/>
        <v>X</v>
      </c>
      <c r="BA296" s="66" t="str">
        <f t="shared" si="240"/>
        <v>X</v>
      </c>
      <c r="BB296" s="66">
        <f t="shared" si="241"/>
        <v>2</v>
      </c>
      <c r="BC296" s="127" t="str">
        <f t="shared" si="212"/>
        <v>2G</v>
      </c>
      <c r="BD296" s="127" t="str">
        <f t="shared" si="213"/>
        <v>2G</v>
      </c>
      <c r="BE296" s="127" t="str">
        <f t="shared" si="214"/>
        <v>3G</v>
      </c>
      <c r="BF296" s="127" t="str">
        <f t="shared" si="215"/>
        <v>3G</v>
      </c>
      <c r="BG296" s="127" t="str">
        <f t="shared" si="216"/>
        <v>3G</v>
      </c>
      <c r="BH296" s="127" t="str">
        <f t="shared" si="217"/>
        <v>3G</v>
      </c>
      <c r="BI296" s="127">
        <f t="shared" si="242"/>
        <v>0</v>
      </c>
      <c r="BJ296" s="127">
        <f t="shared" si="243"/>
        <v>2</v>
      </c>
      <c r="BK296" s="127">
        <f t="shared" si="244"/>
        <v>4</v>
      </c>
      <c r="BL296" s="127" t="str">
        <f t="shared" si="245"/>
        <v>024</v>
      </c>
      <c r="BS296"/>
      <c r="CL296" s="28">
        <v>145</v>
      </c>
      <c r="CM296" s="28">
        <v>140</v>
      </c>
      <c r="CO296"/>
    </row>
    <row r="297" spans="2:93" ht="16.5" hidden="1">
      <c r="B297" s="17">
        <v>293</v>
      </c>
      <c r="C297" s="363" t="s">
        <v>323</v>
      </c>
      <c r="D297" s="18">
        <v>6</v>
      </c>
      <c r="E297" s="20">
        <v>1656764400</v>
      </c>
      <c r="F297" s="18">
        <v>21</v>
      </c>
      <c r="G297" s="20">
        <v>78893543</v>
      </c>
      <c r="H297" s="20">
        <v>1154</v>
      </c>
      <c r="I297" s="20">
        <v>1435672</v>
      </c>
      <c r="J297" s="20">
        <v>61059</v>
      </c>
      <c r="K297" s="20">
        <v>54268</v>
      </c>
      <c r="L297" s="20">
        <v>926442</v>
      </c>
      <c r="M297" s="20">
        <v>5000</v>
      </c>
      <c r="N297" s="167">
        <v>1</v>
      </c>
      <c r="O297" s="167">
        <v>9</v>
      </c>
      <c r="P297" s="167">
        <v>17</v>
      </c>
      <c r="Q297" s="167">
        <v>21</v>
      </c>
      <c r="R297" s="167">
        <v>29</v>
      </c>
      <c r="S297" s="167">
        <v>33</v>
      </c>
      <c r="T297" s="167">
        <v>24</v>
      </c>
      <c r="U297" s="28">
        <f t="shared" si="218"/>
        <v>110</v>
      </c>
      <c r="W297" s="32" t="str">
        <f t="shared" si="203"/>
        <v>홀수</v>
      </c>
      <c r="X297" s="32" t="str">
        <f t="shared" si="204"/>
        <v>홀수</v>
      </c>
      <c r="Y297" s="32" t="str">
        <f t="shared" si="205"/>
        <v>홀수</v>
      </c>
      <c r="Z297" s="32" t="str">
        <f t="shared" si="206"/>
        <v>홀수</v>
      </c>
      <c r="AA297" s="32" t="str">
        <f t="shared" si="207"/>
        <v>홀수</v>
      </c>
      <c r="AB297" s="32" t="str">
        <f t="shared" si="208"/>
        <v>홀수</v>
      </c>
      <c r="AC297" s="58" t="str">
        <f t="shared" si="209"/>
        <v>6 : 0</v>
      </c>
      <c r="AD297" s="32">
        <f t="shared" si="210"/>
        <v>6</v>
      </c>
      <c r="AE297" s="32">
        <f t="shared" si="211"/>
        <v>0</v>
      </c>
      <c r="AF297" s="66" t="str">
        <f t="shared" si="219"/>
        <v>저수</v>
      </c>
      <c r="AG297" s="66" t="str">
        <f t="shared" si="220"/>
        <v>저수</v>
      </c>
      <c r="AH297" s="66" t="str">
        <f t="shared" si="221"/>
        <v>저수</v>
      </c>
      <c r="AI297" s="66" t="str">
        <f t="shared" si="222"/>
        <v>저수</v>
      </c>
      <c r="AJ297" s="66" t="str">
        <f t="shared" si="223"/>
        <v>고수</v>
      </c>
      <c r="AK297" s="66" t="str">
        <f t="shared" si="224"/>
        <v>고수</v>
      </c>
      <c r="AL297" s="58" t="str">
        <f t="shared" si="225"/>
        <v>4 : 2</v>
      </c>
      <c r="AM297" s="66">
        <f t="shared" si="226"/>
        <v>4</v>
      </c>
      <c r="AN297" s="66">
        <f t="shared" si="227"/>
        <v>2</v>
      </c>
      <c r="AO297" s="66">
        <f t="shared" si="228"/>
        <v>30</v>
      </c>
      <c r="AP297" s="66" t="str">
        <f t="shared" si="229"/>
        <v>X</v>
      </c>
      <c r="AQ297" s="66" t="str">
        <f t="shared" si="230"/>
        <v>X</v>
      </c>
      <c r="AR297" s="66" t="str">
        <f t="shared" si="231"/>
        <v>O</v>
      </c>
      <c r="AS297" s="66" t="str">
        <f t="shared" si="232"/>
        <v>X</v>
      </c>
      <c r="AT297" s="66" t="str">
        <f t="shared" si="233"/>
        <v>X</v>
      </c>
      <c r="AU297" s="66" t="str">
        <f t="shared" si="234"/>
        <v>X</v>
      </c>
      <c r="AV297" s="66" t="str">
        <f t="shared" si="235"/>
        <v>X</v>
      </c>
      <c r="AW297" s="66" t="str">
        <f t="shared" si="236"/>
        <v>X</v>
      </c>
      <c r="AX297" s="66" t="str">
        <f t="shared" si="237"/>
        <v>X</v>
      </c>
      <c r="AY297" s="66" t="str">
        <f t="shared" si="238"/>
        <v>X</v>
      </c>
      <c r="AZ297" s="66" t="str">
        <f t="shared" si="239"/>
        <v>O</v>
      </c>
      <c r="BA297" s="66" t="str">
        <f t="shared" si="240"/>
        <v>X</v>
      </c>
      <c r="BB297" s="66">
        <f t="shared" si="241"/>
        <v>2</v>
      </c>
      <c r="BC297" s="127" t="str">
        <f t="shared" si="212"/>
        <v>1G</v>
      </c>
      <c r="BD297" s="127" t="str">
        <f t="shared" si="213"/>
        <v>1G</v>
      </c>
      <c r="BE297" s="127" t="str">
        <f t="shared" si="214"/>
        <v>2G</v>
      </c>
      <c r="BF297" s="127" t="str">
        <f t="shared" si="215"/>
        <v>2G</v>
      </c>
      <c r="BG297" s="127" t="str">
        <f t="shared" si="216"/>
        <v>2G</v>
      </c>
      <c r="BH297" s="127" t="str">
        <f t="shared" si="217"/>
        <v>3G</v>
      </c>
      <c r="BI297" s="127">
        <f t="shared" si="242"/>
        <v>2</v>
      </c>
      <c r="BJ297" s="127">
        <f t="shared" si="243"/>
        <v>3</v>
      </c>
      <c r="BK297" s="127">
        <f t="shared" si="244"/>
        <v>1</v>
      </c>
      <c r="BL297" s="127" t="str">
        <f t="shared" si="245"/>
        <v>231</v>
      </c>
      <c r="BS297"/>
      <c r="CL297" s="28">
        <v>145</v>
      </c>
      <c r="CM297" s="28">
        <v>140</v>
      </c>
      <c r="CO297"/>
    </row>
    <row r="298" spans="2:93" ht="16.5" hidden="1">
      <c r="B298" s="17">
        <v>294</v>
      </c>
      <c r="C298" s="363" t="s">
        <v>324</v>
      </c>
      <c r="D298" s="18">
        <v>4</v>
      </c>
      <c r="E298" s="20">
        <v>2406504975</v>
      </c>
      <c r="F298" s="18">
        <v>26</v>
      </c>
      <c r="G298" s="20">
        <v>61705256</v>
      </c>
      <c r="H298" s="20">
        <v>1137</v>
      </c>
      <c r="I298" s="20">
        <v>1411027</v>
      </c>
      <c r="J298" s="20">
        <v>56795</v>
      </c>
      <c r="K298" s="20">
        <v>56496</v>
      </c>
      <c r="L298" s="20">
        <v>947708</v>
      </c>
      <c r="M298" s="20">
        <v>5000</v>
      </c>
      <c r="N298" s="167">
        <v>6</v>
      </c>
      <c r="O298" s="167">
        <v>10</v>
      </c>
      <c r="P298" s="167">
        <v>17</v>
      </c>
      <c r="Q298" s="167">
        <v>30</v>
      </c>
      <c r="R298" s="167">
        <v>37</v>
      </c>
      <c r="S298" s="167">
        <v>38</v>
      </c>
      <c r="T298" s="167">
        <v>40</v>
      </c>
      <c r="U298" s="28">
        <f t="shared" si="218"/>
        <v>138</v>
      </c>
      <c r="W298" s="32" t="str">
        <f t="shared" si="203"/>
        <v>짝수</v>
      </c>
      <c r="X298" s="32" t="str">
        <f t="shared" si="204"/>
        <v>짝수</v>
      </c>
      <c r="Y298" s="32" t="str">
        <f t="shared" si="205"/>
        <v>홀수</v>
      </c>
      <c r="Z298" s="32" t="str">
        <f t="shared" si="206"/>
        <v>짝수</v>
      </c>
      <c r="AA298" s="32" t="str">
        <f t="shared" si="207"/>
        <v>홀수</v>
      </c>
      <c r="AB298" s="32" t="str">
        <f t="shared" si="208"/>
        <v>짝수</v>
      </c>
      <c r="AC298" s="58" t="str">
        <f t="shared" si="209"/>
        <v>2 : 4</v>
      </c>
      <c r="AD298" s="32">
        <f t="shared" si="210"/>
        <v>2</v>
      </c>
      <c r="AE298" s="32">
        <f t="shared" si="211"/>
        <v>4</v>
      </c>
      <c r="AF298" s="66" t="str">
        <f t="shared" si="219"/>
        <v>저수</v>
      </c>
      <c r="AG298" s="66" t="str">
        <f t="shared" si="220"/>
        <v>저수</v>
      </c>
      <c r="AH298" s="66" t="str">
        <f t="shared" si="221"/>
        <v>저수</v>
      </c>
      <c r="AI298" s="66" t="str">
        <f t="shared" si="222"/>
        <v>고수</v>
      </c>
      <c r="AJ298" s="66" t="str">
        <f t="shared" si="223"/>
        <v>고수</v>
      </c>
      <c r="AK298" s="66" t="str">
        <f t="shared" si="224"/>
        <v>고수</v>
      </c>
      <c r="AL298" s="58" t="str">
        <f t="shared" si="225"/>
        <v>3 : 3</v>
      </c>
      <c r="AM298" s="66">
        <f t="shared" si="226"/>
        <v>3</v>
      </c>
      <c r="AN298" s="66">
        <f t="shared" si="227"/>
        <v>3</v>
      </c>
      <c r="AO298" s="66">
        <f t="shared" si="228"/>
        <v>28</v>
      </c>
      <c r="AP298" s="66" t="str">
        <f t="shared" si="229"/>
        <v>X</v>
      </c>
      <c r="AQ298" s="66" t="str">
        <f t="shared" si="230"/>
        <v>X</v>
      </c>
      <c r="AR298" s="66" t="str">
        <f t="shared" si="231"/>
        <v>O</v>
      </c>
      <c r="AS298" s="66" t="str">
        <f t="shared" si="232"/>
        <v>X</v>
      </c>
      <c r="AT298" s="66" t="str">
        <f t="shared" si="233"/>
        <v>X</v>
      </c>
      <c r="AU298" s="66" t="str">
        <f t="shared" si="234"/>
        <v>X</v>
      </c>
      <c r="AV298" s="66" t="str">
        <f t="shared" si="235"/>
        <v>X</v>
      </c>
      <c r="AW298" s="66" t="str">
        <f t="shared" si="236"/>
        <v>X</v>
      </c>
      <c r="AX298" s="66" t="str">
        <f t="shared" si="237"/>
        <v>X</v>
      </c>
      <c r="AY298" s="66" t="str">
        <f t="shared" si="238"/>
        <v>X</v>
      </c>
      <c r="AZ298" s="66" t="str">
        <f t="shared" si="239"/>
        <v>O</v>
      </c>
      <c r="BA298" s="66" t="str">
        <f t="shared" si="240"/>
        <v>X</v>
      </c>
      <c r="BB298" s="66">
        <f t="shared" si="241"/>
        <v>2</v>
      </c>
      <c r="BC298" s="127" t="str">
        <f t="shared" si="212"/>
        <v>1G</v>
      </c>
      <c r="BD298" s="127" t="str">
        <f t="shared" si="213"/>
        <v>1G</v>
      </c>
      <c r="BE298" s="127" t="str">
        <f t="shared" si="214"/>
        <v>2G</v>
      </c>
      <c r="BF298" s="127" t="str">
        <f t="shared" si="215"/>
        <v>2G</v>
      </c>
      <c r="BG298" s="127" t="str">
        <f t="shared" si="216"/>
        <v>3G</v>
      </c>
      <c r="BH298" s="127" t="str">
        <f t="shared" si="217"/>
        <v>3G</v>
      </c>
      <c r="BI298" s="127">
        <f t="shared" si="242"/>
        <v>2</v>
      </c>
      <c r="BJ298" s="127">
        <f t="shared" si="243"/>
        <v>2</v>
      </c>
      <c r="BK298" s="127">
        <f t="shared" si="244"/>
        <v>2</v>
      </c>
      <c r="BL298" s="127" t="str">
        <f t="shared" si="245"/>
        <v>222</v>
      </c>
      <c r="BS298"/>
      <c r="CL298" s="28">
        <v>145</v>
      </c>
      <c r="CM298" s="28">
        <v>140</v>
      </c>
      <c r="CO298"/>
    </row>
    <row r="299" spans="2:93" ht="16.5" hidden="1">
      <c r="B299" s="17">
        <v>295</v>
      </c>
      <c r="C299" s="363" t="s">
        <v>325</v>
      </c>
      <c r="D299" s="18">
        <v>0</v>
      </c>
      <c r="E299" s="18">
        <v>0</v>
      </c>
      <c r="F299" s="18">
        <v>26</v>
      </c>
      <c r="G299" s="20">
        <v>62969875</v>
      </c>
      <c r="H299" s="20">
        <v>1013</v>
      </c>
      <c r="I299" s="20">
        <v>1616207</v>
      </c>
      <c r="J299" s="20">
        <v>55376</v>
      </c>
      <c r="K299" s="20">
        <v>59131</v>
      </c>
      <c r="L299" s="20">
        <v>950380</v>
      </c>
      <c r="M299" s="20">
        <v>5000</v>
      </c>
      <c r="N299" s="167">
        <v>1</v>
      </c>
      <c r="O299" s="167">
        <v>4</v>
      </c>
      <c r="P299" s="167">
        <v>12</v>
      </c>
      <c r="Q299" s="167">
        <v>16</v>
      </c>
      <c r="R299" s="167">
        <v>18</v>
      </c>
      <c r="S299" s="167">
        <v>38</v>
      </c>
      <c r="T299" s="167">
        <v>8</v>
      </c>
      <c r="U299" s="28">
        <f t="shared" si="218"/>
        <v>89</v>
      </c>
      <c r="W299" s="32" t="str">
        <f t="shared" si="203"/>
        <v>홀수</v>
      </c>
      <c r="X299" s="32" t="str">
        <f t="shared" si="204"/>
        <v>짝수</v>
      </c>
      <c r="Y299" s="32" t="str">
        <f t="shared" si="205"/>
        <v>짝수</v>
      </c>
      <c r="Z299" s="32" t="str">
        <f t="shared" si="206"/>
        <v>짝수</v>
      </c>
      <c r="AA299" s="32" t="str">
        <f t="shared" si="207"/>
        <v>짝수</v>
      </c>
      <c r="AB299" s="32" t="str">
        <f t="shared" si="208"/>
        <v>짝수</v>
      </c>
      <c r="AC299" s="58" t="str">
        <f t="shared" si="209"/>
        <v>1 : 5</v>
      </c>
      <c r="AD299" s="32">
        <f t="shared" si="210"/>
        <v>1</v>
      </c>
      <c r="AE299" s="32">
        <f t="shared" si="211"/>
        <v>5</v>
      </c>
      <c r="AF299" s="66" t="str">
        <f t="shared" si="219"/>
        <v>저수</v>
      </c>
      <c r="AG299" s="66" t="str">
        <f t="shared" si="220"/>
        <v>저수</v>
      </c>
      <c r="AH299" s="66" t="str">
        <f t="shared" si="221"/>
        <v>저수</v>
      </c>
      <c r="AI299" s="66" t="str">
        <f t="shared" si="222"/>
        <v>저수</v>
      </c>
      <c r="AJ299" s="66" t="str">
        <f t="shared" si="223"/>
        <v>저수</v>
      </c>
      <c r="AK299" s="66" t="str">
        <f t="shared" si="224"/>
        <v>고수</v>
      </c>
      <c r="AL299" s="58" t="str">
        <f t="shared" si="225"/>
        <v>5 : 1</v>
      </c>
      <c r="AM299" s="66">
        <f t="shared" si="226"/>
        <v>5</v>
      </c>
      <c r="AN299" s="66">
        <f t="shared" si="227"/>
        <v>1</v>
      </c>
      <c r="AO299" s="66">
        <f t="shared" si="228"/>
        <v>29</v>
      </c>
      <c r="AP299" s="66" t="str">
        <f t="shared" si="229"/>
        <v>X</v>
      </c>
      <c r="AQ299" s="66" t="str">
        <f t="shared" si="230"/>
        <v>X</v>
      </c>
      <c r="AR299" s="66" t="str">
        <f t="shared" si="231"/>
        <v>X</v>
      </c>
      <c r="AS299" s="66" t="str">
        <f t="shared" si="232"/>
        <v>X</v>
      </c>
      <c r="AT299" s="66" t="str">
        <f t="shared" si="233"/>
        <v>X</v>
      </c>
      <c r="AU299" s="66" t="str">
        <f t="shared" si="234"/>
        <v>X</v>
      </c>
      <c r="AV299" s="66" t="str">
        <f t="shared" si="235"/>
        <v>X</v>
      </c>
      <c r="AW299" s="66" t="str">
        <f t="shared" si="236"/>
        <v>X</v>
      </c>
      <c r="AX299" s="66" t="str">
        <f t="shared" si="237"/>
        <v>X</v>
      </c>
      <c r="AY299" s="66" t="str">
        <f t="shared" si="238"/>
        <v>X</v>
      </c>
      <c r="AZ299" s="66" t="str">
        <f t="shared" si="239"/>
        <v>X</v>
      </c>
      <c r="BA299" s="66" t="str">
        <f t="shared" si="240"/>
        <v>X</v>
      </c>
      <c r="BB299" s="66">
        <f t="shared" si="241"/>
        <v>0</v>
      </c>
      <c r="BC299" s="127" t="str">
        <f t="shared" si="212"/>
        <v>1G</v>
      </c>
      <c r="BD299" s="127" t="str">
        <f t="shared" si="213"/>
        <v>1G</v>
      </c>
      <c r="BE299" s="127" t="str">
        <f t="shared" si="214"/>
        <v>1G</v>
      </c>
      <c r="BF299" s="127" t="str">
        <f t="shared" si="215"/>
        <v>2G</v>
      </c>
      <c r="BG299" s="127" t="str">
        <f t="shared" si="216"/>
        <v>2G</v>
      </c>
      <c r="BH299" s="127" t="str">
        <f t="shared" si="217"/>
        <v>3G</v>
      </c>
      <c r="BI299" s="127">
        <f t="shared" si="242"/>
        <v>3</v>
      </c>
      <c r="BJ299" s="127">
        <f t="shared" si="243"/>
        <v>2</v>
      </c>
      <c r="BK299" s="127">
        <f t="shared" si="244"/>
        <v>1</v>
      </c>
      <c r="BL299" s="127" t="str">
        <f t="shared" si="245"/>
        <v>321</v>
      </c>
      <c r="BS299"/>
      <c r="CL299" s="28">
        <v>146</v>
      </c>
      <c r="CM299" s="28">
        <v>140</v>
      </c>
      <c r="CO299"/>
    </row>
    <row r="300" spans="2:93" ht="16.5" hidden="1">
      <c r="B300" s="17">
        <v>296</v>
      </c>
      <c r="C300" s="363" t="s">
        <v>326</v>
      </c>
      <c r="D300" s="18">
        <v>8</v>
      </c>
      <c r="E300" s="20">
        <v>3066088275</v>
      </c>
      <c r="F300" s="18">
        <v>53</v>
      </c>
      <c r="G300" s="20">
        <v>46243415</v>
      </c>
      <c r="H300" s="20">
        <v>2066</v>
      </c>
      <c r="I300" s="20">
        <v>1186303</v>
      </c>
      <c r="J300" s="20">
        <v>89945</v>
      </c>
      <c r="K300" s="20">
        <v>54498</v>
      </c>
      <c r="L300" s="20">
        <v>1435988</v>
      </c>
      <c r="M300" s="20">
        <v>5000</v>
      </c>
      <c r="N300" s="167">
        <v>3</v>
      </c>
      <c r="O300" s="167">
        <v>8</v>
      </c>
      <c r="P300" s="167">
        <v>15</v>
      </c>
      <c r="Q300" s="167">
        <v>27</v>
      </c>
      <c r="R300" s="167">
        <v>30</v>
      </c>
      <c r="S300" s="167">
        <v>45</v>
      </c>
      <c r="T300" s="167">
        <v>44</v>
      </c>
      <c r="U300" s="28">
        <f t="shared" si="218"/>
        <v>128</v>
      </c>
      <c r="W300" s="32" t="str">
        <f t="shared" si="203"/>
        <v>홀수</v>
      </c>
      <c r="X300" s="32" t="str">
        <f t="shared" si="204"/>
        <v>짝수</v>
      </c>
      <c r="Y300" s="32" t="str">
        <f t="shared" si="205"/>
        <v>홀수</v>
      </c>
      <c r="Z300" s="32" t="str">
        <f t="shared" si="206"/>
        <v>홀수</v>
      </c>
      <c r="AA300" s="32" t="str">
        <f t="shared" si="207"/>
        <v>짝수</v>
      </c>
      <c r="AB300" s="32" t="str">
        <f t="shared" si="208"/>
        <v>홀수</v>
      </c>
      <c r="AC300" s="58" t="str">
        <f t="shared" si="209"/>
        <v>4 : 2</v>
      </c>
      <c r="AD300" s="32">
        <f t="shared" si="210"/>
        <v>4</v>
      </c>
      <c r="AE300" s="32">
        <f t="shared" si="211"/>
        <v>2</v>
      </c>
      <c r="AF300" s="66" t="str">
        <f t="shared" si="219"/>
        <v>저수</v>
      </c>
      <c r="AG300" s="66" t="str">
        <f t="shared" si="220"/>
        <v>저수</v>
      </c>
      <c r="AH300" s="66" t="str">
        <f t="shared" si="221"/>
        <v>저수</v>
      </c>
      <c r="AI300" s="66" t="str">
        <f t="shared" si="222"/>
        <v>고수</v>
      </c>
      <c r="AJ300" s="66" t="str">
        <f t="shared" si="223"/>
        <v>고수</v>
      </c>
      <c r="AK300" s="66" t="str">
        <f t="shared" si="224"/>
        <v>고수</v>
      </c>
      <c r="AL300" s="58" t="str">
        <f t="shared" si="225"/>
        <v>3 : 3</v>
      </c>
      <c r="AM300" s="66">
        <f t="shared" si="226"/>
        <v>3</v>
      </c>
      <c r="AN300" s="66">
        <f t="shared" si="227"/>
        <v>3</v>
      </c>
      <c r="AO300" s="66">
        <f t="shared" si="228"/>
        <v>28</v>
      </c>
      <c r="AP300" s="66" t="str">
        <f t="shared" si="229"/>
        <v>O</v>
      </c>
      <c r="AQ300" s="66" t="str">
        <f t="shared" si="230"/>
        <v>X</v>
      </c>
      <c r="AR300" s="66" t="str">
        <f t="shared" si="231"/>
        <v>X</v>
      </c>
      <c r="AS300" s="66" t="str">
        <f t="shared" si="232"/>
        <v>X</v>
      </c>
      <c r="AT300" s="66" t="str">
        <f t="shared" si="233"/>
        <v>X</v>
      </c>
      <c r="AU300" s="66" t="str">
        <f t="shared" si="234"/>
        <v>X</v>
      </c>
      <c r="AV300" s="66" t="str">
        <f t="shared" si="235"/>
        <v>X</v>
      </c>
      <c r="AW300" s="66" t="str">
        <f t="shared" si="236"/>
        <v>X</v>
      </c>
      <c r="AX300" s="66" t="str">
        <f t="shared" si="237"/>
        <v>X</v>
      </c>
      <c r="AY300" s="66" t="str">
        <f t="shared" si="238"/>
        <v>X</v>
      </c>
      <c r="AZ300" s="66" t="str">
        <f t="shared" si="239"/>
        <v>X</v>
      </c>
      <c r="BA300" s="66" t="str">
        <f t="shared" si="240"/>
        <v>X</v>
      </c>
      <c r="BB300" s="66">
        <f t="shared" si="241"/>
        <v>1</v>
      </c>
      <c r="BC300" s="127" t="str">
        <f t="shared" si="212"/>
        <v>1G</v>
      </c>
      <c r="BD300" s="127" t="str">
        <f t="shared" si="213"/>
        <v>1G</v>
      </c>
      <c r="BE300" s="127" t="str">
        <f t="shared" si="214"/>
        <v>1G</v>
      </c>
      <c r="BF300" s="127" t="str">
        <f t="shared" si="215"/>
        <v>2G</v>
      </c>
      <c r="BG300" s="127" t="str">
        <f t="shared" si="216"/>
        <v>2G</v>
      </c>
      <c r="BH300" s="127" t="str">
        <f t="shared" si="217"/>
        <v>3G</v>
      </c>
      <c r="BI300" s="127">
        <f t="shared" si="242"/>
        <v>3</v>
      </c>
      <c r="BJ300" s="127">
        <f t="shared" si="243"/>
        <v>2</v>
      </c>
      <c r="BK300" s="127">
        <f t="shared" si="244"/>
        <v>1</v>
      </c>
      <c r="BL300" s="127" t="str">
        <f t="shared" si="245"/>
        <v>321</v>
      </c>
      <c r="BS300"/>
      <c r="CL300" s="28">
        <v>146</v>
      </c>
      <c r="CM300" s="28">
        <v>140</v>
      </c>
      <c r="CO300"/>
    </row>
    <row r="301" spans="2:93" ht="16.5" hidden="1">
      <c r="B301" s="17">
        <v>297</v>
      </c>
      <c r="C301" s="363" t="s">
        <v>327</v>
      </c>
      <c r="D301" s="18">
        <v>2</v>
      </c>
      <c r="E301" s="20">
        <v>5056668750</v>
      </c>
      <c r="F301" s="18">
        <v>28</v>
      </c>
      <c r="G301" s="20">
        <v>60198438</v>
      </c>
      <c r="H301" s="20">
        <v>1275</v>
      </c>
      <c r="I301" s="20">
        <v>1322005</v>
      </c>
      <c r="J301" s="20">
        <v>61258</v>
      </c>
      <c r="K301" s="20">
        <v>55032</v>
      </c>
      <c r="L301" s="20">
        <v>993035</v>
      </c>
      <c r="M301" s="20">
        <v>5000</v>
      </c>
      <c r="N301" s="167">
        <v>6</v>
      </c>
      <c r="O301" s="167">
        <v>11</v>
      </c>
      <c r="P301" s="167">
        <v>19</v>
      </c>
      <c r="Q301" s="167">
        <v>20</v>
      </c>
      <c r="R301" s="167">
        <v>28</v>
      </c>
      <c r="S301" s="167">
        <v>32</v>
      </c>
      <c r="T301" s="167">
        <v>34</v>
      </c>
      <c r="U301" s="28">
        <f t="shared" si="218"/>
        <v>116</v>
      </c>
      <c r="W301" s="32" t="str">
        <f t="shared" si="203"/>
        <v>짝수</v>
      </c>
      <c r="X301" s="32" t="str">
        <f t="shared" si="204"/>
        <v>홀수</v>
      </c>
      <c r="Y301" s="32" t="str">
        <f t="shared" si="205"/>
        <v>홀수</v>
      </c>
      <c r="Z301" s="32" t="str">
        <f t="shared" si="206"/>
        <v>짝수</v>
      </c>
      <c r="AA301" s="32" t="str">
        <f t="shared" si="207"/>
        <v>짝수</v>
      </c>
      <c r="AB301" s="32" t="str">
        <f t="shared" si="208"/>
        <v>짝수</v>
      </c>
      <c r="AC301" s="58" t="str">
        <f t="shared" si="209"/>
        <v>2 : 4</v>
      </c>
      <c r="AD301" s="32">
        <f t="shared" si="210"/>
        <v>2</v>
      </c>
      <c r="AE301" s="32">
        <f t="shared" si="211"/>
        <v>4</v>
      </c>
      <c r="AF301" s="66" t="str">
        <f t="shared" si="219"/>
        <v>저수</v>
      </c>
      <c r="AG301" s="66" t="str">
        <f t="shared" si="220"/>
        <v>저수</v>
      </c>
      <c r="AH301" s="66" t="str">
        <f t="shared" si="221"/>
        <v>저수</v>
      </c>
      <c r="AI301" s="66" t="str">
        <f t="shared" si="222"/>
        <v>저수</v>
      </c>
      <c r="AJ301" s="66" t="str">
        <f t="shared" si="223"/>
        <v>고수</v>
      </c>
      <c r="AK301" s="66" t="str">
        <f t="shared" si="224"/>
        <v>고수</v>
      </c>
      <c r="AL301" s="58" t="str">
        <f t="shared" si="225"/>
        <v>4 : 2</v>
      </c>
      <c r="AM301" s="66">
        <f t="shared" si="226"/>
        <v>4</v>
      </c>
      <c r="AN301" s="66">
        <f t="shared" si="227"/>
        <v>2</v>
      </c>
      <c r="AO301" s="66">
        <f t="shared" si="228"/>
        <v>26</v>
      </c>
      <c r="AP301" s="66" t="str">
        <f t="shared" si="229"/>
        <v>X</v>
      </c>
      <c r="AQ301" s="66" t="str">
        <f t="shared" si="230"/>
        <v>O</v>
      </c>
      <c r="AR301" s="66" t="str">
        <f t="shared" si="231"/>
        <v>O</v>
      </c>
      <c r="AS301" s="66" t="str">
        <f t="shared" si="232"/>
        <v>X</v>
      </c>
      <c r="AT301" s="66" t="str">
        <f t="shared" si="233"/>
        <v>X</v>
      </c>
      <c r="AU301" s="66" t="str">
        <f t="shared" si="234"/>
        <v>X</v>
      </c>
      <c r="AV301" s="66" t="str">
        <f t="shared" si="235"/>
        <v>X</v>
      </c>
      <c r="AW301" s="66" t="str">
        <f t="shared" si="236"/>
        <v>X</v>
      </c>
      <c r="AX301" s="66" t="str">
        <f t="shared" si="237"/>
        <v>X</v>
      </c>
      <c r="AY301" s="66" t="str">
        <f t="shared" si="238"/>
        <v>X</v>
      </c>
      <c r="AZ301" s="66" t="str">
        <f t="shared" si="239"/>
        <v>X</v>
      </c>
      <c r="BA301" s="66" t="str">
        <f t="shared" si="240"/>
        <v>X</v>
      </c>
      <c r="BB301" s="66">
        <f t="shared" si="241"/>
        <v>2</v>
      </c>
      <c r="BC301" s="127" t="str">
        <f t="shared" si="212"/>
        <v>1G</v>
      </c>
      <c r="BD301" s="127" t="str">
        <f t="shared" si="213"/>
        <v>1G</v>
      </c>
      <c r="BE301" s="127" t="str">
        <f t="shared" si="214"/>
        <v>2G</v>
      </c>
      <c r="BF301" s="127" t="str">
        <f t="shared" si="215"/>
        <v>2G</v>
      </c>
      <c r="BG301" s="127" t="str">
        <f t="shared" si="216"/>
        <v>2G</v>
      </c>
      <c r="BH301" s="127" t="str">
        <f t="shared" si="217"/>
        <v>3G</v>
      </c>
      <c r="BI301" s="127">
        <f t="shared" si="242"/>
        <v>2</v>
      </c>
      <c r="BJ301" s="127">
        <f t="shared" si="243"/>
        <v>3</v>
      </c>
      <c r="BK301" s="127">
        <f t="shared" si="244"/>
        <v>1</v>
      </c>
      <c r="BL301" s="127" t="str">
        <f t="shared" si="245"/>
        <v>231</v>
      </c>
      <c r="BS301"/>
      <c r="CL301" s="28">
        <v>146</v>
      </c>
      <c r="CM301" s="28">
        <v>140</v>
      </c>
      <c r="CO301"/>
    </row>
    <row r="302" spans="2:93" ht="16.5" hidden="1">
      <c r="B302" s="17">
        <v>298</v>
      </c>
      <c r="C302" s="363" t="s">
        <v>328</v>
      </c>
      <c r="D302" s="18">
        <v>1</v>
      </c>
      <c r="E302" s="20">
        <v>9909778500</v>
      </c>
      <c r="F302" s="18">
        <v>40</v>
      </c>
      <c r="G302" s="20">
        <v>41290744</v>
      </c>
      <c r="H302" s="20">
        <v>1353</v>
      </c>
      <c r="I302" s="20">
        <v>1220717</v>
      </c>
      <c r="J302" s="20">
        <v>63561</v>
      </c>
      <c r="K302" s="20">
        <v>51970</v>
      </c>
      <c r="L302" s="20">
        <v>1011908</v>
      </c>
      <c r="M302" s="20">
        <v>5000</v>
      </c>
      <c r="N302" s="167">
        <v>5</v>
      </c>
      <c r="O302" s="167">
        <v>9</v>
      </c>
      <c r="P302" s="167">
        <v>27</v>
      </c>
      <c r="Q302" s="167">
        <v>29</v>
      </c>
      <c r="R302" s="167">
        <v>37</v>
      </c>
      <c r="S302" s="167">
        <v>40</v>
      </c>
      <c r="T302" s="167">
        <v>19</v>
      </c>
      <c r="U302" s="28">
        <f t="shared" si="218"/>
        <v>147</v>
      </c>
      <c r="W302" s="32" t="str">
        <f t="shared" si="203"/>
        <v>홀수</v>
      </c>
      <c r="X302" s="32" t="str">
        <f t="shared" si="204"/>
        <v>홀수</v>
      </c>
      <c r="Y302" s="32" t="str">
        <f t="shared" si="205"/>
        <v>홀수</v>
      </c>
      <c r="Z302" s="32" t="str">
        <f t="shared" si="206"/>
        <v>홀수</v>
      </c>
      <c r="AA302" s="32" t="str">
        <f t="shared" si="207"/>
        <v>홀수</v>
      </c>
      <c r="AB302" s="32" t="str">
        <f t="shared" si="208"/>
        <v>짝수</v>
      </c>
      <c r="AC302" s="58" t="str">
        <f t="shared" si="209"/>
        <v>5 : 1</v>
      </c>
      <c r="AD302" s="32">
        <f t="shared" si="210"/>
        <v>5</v>
      </c>
      <c r="AE302" s="32">
        <f t="shared" si="211"/>
        <v>1</v>
      </c>
      <c r="AF302" s="66" t="str">
        <f t="shared" si="219"/>
        <v>저수</v>
      </c>
      <c r="AG302" s="66" t="str">
        <f t="shared" si="220"/>
        <v>저수</v>
      </c>
      <c r="AH302" s="66" t="str">
        <f t="shared" si="221"/>
        <v>고수</v>
      </c>
      <c r="AI302" s="66" t="str">
        <f t="shared" si="222"/>
        <v>고수</v>
      </c>
      <c r="AJ302" s="66" t="str">
        <f t="shared" si="223"/>
        <v>고수</v>
      </c>
      <c r="AK302" s="66" t="str">
        <f t="shared" si="224"/>
        <v>고수</v>
      </c>
      <c r="AL302" s="58" t="str">
        <f t="shared" si="225"/>
        <v>2 : 4</v>
      </c>
      <c r="AM302" s="66">
        <f t="shared" si="226"/>
        <v>2</v>
      </c>
      <c r="AN302" s="66">
        <f t="shared" si="227"/>
        <v>4</v>
      </c>
      <c r="AO302" s="66">
        <f t="shared" si="228"/>
        <v>37</v>
      </c>
      <c r="AP302" s="66" t="str">
        <f t="shared" si="229"/>
        <v>O</v>
      </c>
      <c r="AQ302" s="66" t="str">
        <f t="shared" si="230"/>
        <v>X</v>
      </c>
      <c r="AR302" s="66" t="str">
        <f t="shared" si="231"/>
        <v>X</v>
      </c>
      <c r="AS302" s="66" t="str">
        <f t="shared" si="232"/>
        <v>X</v>
      </c>
      <c r="AT302" s="66" t="str">
        <f t="shared" si="233"/>
        <v>X</v>
      </c>
      <c r="AU302" s="66" t="str">
        <f t="shared" si="234"/>
        <v>X</v>
      </c>
      <c r="AV302" s="66" t="str">
        <f t="shared" si="235"/>
        <v>X</v>
      </c>
      <c r="AW302" s="66" t="str">
        <f t="shared" si="236"/>
        <v>X</v>
      </c>
      <c r="AX302" s="66" t="str">
        <f t="shared" si="237"/>
        <v>X</v>
      </c>
      <c r="AY302" s="66" t="str">
        <f t="shared" si="238"/>
        <v>O</v>
      </c>
      <c r="AZ302" s="66" t="str">
        <f t="shared" si="239"/>
        <v>O</v>
      </c>
      <c r="BA302" s="66" t="str">
        <f t="shared" si="240"/>
        <v>X</v>
      </c>
      <c r="BB302" s="66">
        <f t="shared" si="241"/>
        <v>3</v>
      </c>
      <c r="BC302" s="127" t="str">
        <f t="shared" si="212"/>
        <v>1G</v>
      </c>
      <c r="BD302" s="127" t="str">
        <f t="shared" si="213"/>
        <v>1G</v>
      </c>
      <c r="BE302" s="127" t="str">
        <f t="shared" si="214"/>
        <v>2G</v>
      </c>
      <c r="BF302" s="127" t="str">
        <f t="shared" si="215"/>
        <v>2G</v>
      </c>
      <c r="BG302" s="127" t="str">
        <f t="shared" si="216"/>
        <v>3G</v>
      </c>
      <c r="BH302" s="127" t="str">
        <f t="shared" si="217"/>
        <v>3G</v>
      </c>
      <c r="BI302" s="127">
        <f t="shared" si="242"/>
        <v>2</v>
      </c>
      <c r="BJ302" s="127">
        <f t="shared" si="243"/>
        <v>2</v>
      </c>
      <c r="BK302" s="127">
        <f t="shared" si="244"/>
        <v>2</v>
      </c>
      <c r="BL302" s="127" t="str">
        <f t="shared" si="245"/>
        <v>222</v>
      </c>
      <c r="BS302"/>
      <c r="CL302" s="28">
        <v>146</v>
      </c>
      <c r="CM302" s="28">
        <v>140</v>
      </c>
      <c r="CO302"/>
    </row>
    <row r="303" spans="2:93" ht="16.5" hidden="1">
      <c r="B303" s="17">
        <v>299</v>
      </c>
      <c r="C303" s="363" t="s">
        <v>329</v>
      </c>
      <c r="D303" s="18">
        <v>7</v>
      </c>
      <c r="E303" s="20">
        <v>1483772529</v>
      </c>
      <c r="F303" s="18">
        <v>29</v>
      </c>
      <c r="G303" s="20">
        <v>59691999</v>
      </c>
      <c r="H303" s="20">
        <v>1118</v>
      </c>
      <c r="I303" s="20">
        <v>1548362</v>
      </c>
      <c r="J303" s="20">
        <v>58114</v>
      </c>
      <c r="K303" s="20">
        <v>59575</v>
      </c>
      <c r="L303" s="20">
        <v>984255</v>
      </c>
      <c r="M303" s="20">
        <v>5000</v>
      </c>
      <c r="N303" s="167">
        <v>1</v>
      </c>
      <c r="O303" s="167">
        <v>3</v>
      </c>
      <c r="P303" s="167">
        <v>20</v>
      </c>
      <c r="Q303" s="167">
        <v>25</v>
      </c>
      <c r="R303" s="167">
        <v>36</v>
      </c>
      <c r="S303" s="167">
        <v>45</v>
      </c>
      <c r="T303" s="167">
        <v>24</v>
      </c>
      <c r="U303" s="28">
        <f t="shared" si="218"/>
        <v>130</v>
      </c>
      <c r="W303" s="32" t="str">
        <f t="shared" si="203"/>
        <v>홀수</v>
      </c>
      <c r="X303" s="32" t="str">
        <f t="shared" si="204"/>
        <v>홀수</v>
      </c>
      <c r="Y303" s="32" t="str">
        <f t="shared" si="205"/>
        <v>짝수</v>
      </c>
      <c r="Z303" s="32" t="str">
        <f t="shared" si="206"/>
        <v>홀수</v>
      </c>
      <c r="AA303" s="32" t="str">
        <f t="shared" si="207"/>
        <v>짝수</v>
      </c>
      <c r="AB303" s="32" t="str">
        <f t="shared" si="208"/>
        <v>홀수</v>
      </c>
      <c r="AC303" s="58" t="str">
        <f t="shared" si="209"/>
        <v>4 : 2</v>
      </c>
      <c r="AD303" s="32">
        <f t="shared" si="210"/>
        <v>4</v>
      </c>
      <c r="AE303" s="32">
        <f t="shared" si="211"/>
        <v>2</v>
      </c>
      <c r="AF303" s="66" t="str">
        <f t="shared" si="219"/>
        <v>저수</v>
      </c>
      <c r="AG303" s="66" t="str">
        <f t="shared" si="220"/>
        <v>저수</v>
      </c>
      <c r="AH303" s="66" t="str">
        <f t="shared" si="221"/>
        <v>저수</v>
      </c>
      <c r="AI303" s="66" t="str">
        <f t="shared" si="222"/>
        <v>고수</v>
      </c>
      <c r="AJ303" s="66" t="str">
        <f t="shared" si="223"/>
        <v>고수</v>
      </c>
      <c r="AK303" s="66" t="str">
        <f t="shared" si="224"/>
        <v>고수</v>
      </c>
      <c r="AL303" s="58" t="str">
        <f t="shared" si="225"/>
        <v>3 : 3</v>
      </c>
      <c r="AM303" s="66">
        <f t="shared" si="226"/>
        <v>3</v>
      </c>
      <c r="AN303" s="66">
        <f t="shared" si="227"/>
        <v>3</v>
      </c>
      <c r="AO303" s="66">
        <f t="shared" si="228"/>
        <v>20</v>
      </c>
      <c r="AP303" s="66" t="str">
        <f t="shared" si="229"/>
        <v>X</v>
      </c>
      <c r="AQ303" s="66" t="str">
        <f t="shared" si="230"/>
        <v>O</v>
      </c>
      <c r="AR303" s="66" t="str">
        <f t="shared" si="231"/>
        <v>X</v>
      </c>
      <c r="AS303" s="66" t="str">
        <f t="shared" si="232"/>
        <v>X</v>
      </c>
      <c r="AT303" s="66" t="str">
        <f t="shared" si="233"/>
        <v>X</v>
      </c>
      <c r="AU303" s="66" t="str">
        <f t="shared" si="234"/>
        <v>X</v>
      </c>
      <c r="AV303" s="66" t="str">
        <f t="shared" si="235"/>
        <v>X</v>
      </c>
      <c r="AW303" s="66" t="str">
        <f t="shared" si="236"/>
        <v>X</v>
      </c>
      <c r="AX303" s="66" t="str">
        <f t="shared" si="237"/>
        <v>X</v>
      </c>
      <c r="AY303" s="66" t="str">
        <f t="shared" si="238"/>
        <v>X</v>
      </c>
      <c r="AZ303" s="66" t="str">
        <f t="shared" si="239"/>
        <v>X</v>
      </c>
      <c r="BA303" s="66" t="str">
        <f t="shared" si="240"/>
        <v>X</v>
      </c>
      <c r="BB303" s="66">
        <f t="shared" si="241"/>
        <v>1</v>
      </c>
      <c r="BC303" s="127" t="str">
        <f t="shared" si="212"/>
        <v>1G</v>
      </c>
      <c r="BD303" s="127" t="str">
        <f t="shared" si="213"/>
        <v>1G</v>
      </c>
      <c r="BE303" s="127" t="str">
        <f t="shared" si="214"/>
        <v>2G</v>
      </c>
      <c r="BF303" s="127" t="str">
        <f t="shared" si="215"/>
        <v>2G</v>
      </c>
      <c r="BG303" s="127" t="str">
        <f t="shared" si="216"/>
        <v>3G</v>
      </c>
      <c r="BH303" s="127" t="str">
        <f t="shared" si="217"/>
        <v>3G</v>
      </c>
      <c r="BI303" s="127">
        <f t="shared" si="242"/>
        <v>2</v>
      </c>
      <c r="BJ303" s="127">
        <f t="shared" si="243"/>
        <v>2</v>
      </c>
      <c r="BK303" s="127">
        <f t="shared" si="244"/>
        <v>2</v>
      </c>
      <c r="BL303" s="127" t="str">
        <f t="shared" si="245"/>
        <v>222</v>
      </c>
      <c r="BS303"/>
      <c r="CL303" s="28">
        <v>146</v>
      </c>
      <c r="CM303" s="28">
        <v>140</v>
      </c>
      <c r="CO303"/>
    </row>
    <row r="304" spans="2:93" ht="16.5" hidden="1">
      <c r="B304" s="17">
        <v>300</v>
      </c>
      <c r="C304" s="363" t="s">
        <v>330</v>
      </c>
      <c r="D304" s="18">
        <v>12</v>
      </c>
      <c r="E304" s="20">
        <v>836092425</v>
      </c>
      <c r="F304" s="18">
        <v>34</v>
      </c>
      <c r="G304" s="20">
        <v>49181908</v>
      </c>
      <c r="H304" s="20">
        <v>1416</v>
      </c>
      <c r="I304" s="20">
        <v>1180922</v>
      </c>
      <c r="J304" s="20">
        <v>70193</v>
      </c>
      <c r="K304" s="20">
        <v>47646</v>
      </c>
      <c r="L304" s="20">
        <v>1102135</v>
      </c>
      <c r="M304" s="20">
        <v>5000</v>
      </c>
      <c r="N304" s="167">
        <v>7</v>
      </c>
      <c r="O304" s="167">
        <v>9</v>
      </c>
      <c r="P304" s="167">
        <v>10</v>
      </c>
      <c r="Q304" s="167">
        <v>12</v>
      </c>
      <c r="R304" s="167">
        <v>26</v>
      </c>
      <c r="S304" s="167">
        <v>38</v>
      </c>
      <c r="T304" s="167">
        <v>39</v>
      </c>
      <c r="U304" s="28">
        <f t="shared" si="218"/>
        <v>102</v>
      </c>
      <c r="W304" s="32" t="str">
        <f t="shared" si="203"/>
        <v>홀수</v>
      </c>
      <c r="X304" s="32" t="str">
        <f t="shared" si="204"/>
        <v>홀수</v>
      </c>
      <c r="Y304" s="32" t="str">
        <f t="shared" si="205"/>
        <v>짝수</v>
      </c>
      <c r="Z304" s="32" t="str">
        <f t="shared" si="206"/>
        <v>짝수</v>
      </c>
      <c r="AA304" s="32" t="str">
        <f t="shared" si="207"/>
        <v>짝수</v>
      </c>
      <c r="AB304" s="32" t="str">
        <f t="shared" si="208"/>
        <v>짝수</v>
      </c>
      <c r="AC304" s="58" t="str">
        <f t="shared" si="209"/>
        <v>2 : 4</v>
      </c>
      <c r="AD304" s="32">
        <f t="shared" si="210"/>
        <v>2</v>
      </c>
      <c r="AE304" s="32">
        <f t="shared" si="211"/>
        <v>4</v>
      </c>
      <c r="AF304" s="66" t="str">
        <f t="shared" si="219"/>
        <v>저수</v>
      </c>
      <c r="AG304" s="66" t="str">
        <f t="shared" si="220"/>
        <v>저수</v>
      </c>
      <c r="AH304" s="66" t="str">
        <f t="shared" si="221"/>
        <v>저수</v>
      </c>
      <c r="AI304" s="66" t="str">
        <f t="shared" si="222"/>
        <v>저수</v>
      </c>
      <c r="AJ304" s="66" t="str">
        <f t="shared" si="223"/>
        <v>고수</v>
      </c>
      <c r="AK304" s="66" t="str">
        <f t="shared" si="224"/>
        <v>고수</v>
      </c>
      <c r="AL304" s="58" t="str">
        <f t="shared" si="225"/>
        <v>4 : 2</v>
      </c>
      <c r="AM304" s="66">
        <f t="shared" si="226"/>
        <v>4</v>
      </c>
      <c r="AN304" s="66">
        <f t="shared" si="227"/>
        <v>2</v>
      </c>
      <c r="AO304" s="66">
        <f t="shared" si="228"/>
        <v>32</v>
      </c>
      <c r="AP304" s="66" t="str">
        <f t="shared" si="229"/>
        <v>O</v>
      </c>
      <c r="AQ304" s="66" t="str">
        <f t="shared" si="230"/>
        <v>X</v>
      </c>
      <c r="AR304" s="66" t="str">
        <f t="shared" si="231"/>
        <v>X</v>
      </c>
      <c r="AS304" s="66" t="str">
        <f t="shared" si="232"/>
        <v>X</v>
      </c>
      <c r="AT304" s="66" t="str">
        <f t="shared" si="233"/>
        <v>X</v>
      </c>
      <c r="AU304" s="66" t="str">
        <f t="shared" si="234"/>
        <v>X</v>
      </c>
      <c r="AV304" s="66" t="str">
        <f t="shared" si="235"/>
        <v>X</v>
      </c>
      <c r="AW304" s="66" t="str">
        <f t="shared" si="236"/>
        <v>X</v>
      </c>
      <c r="AX304" s="66" t="str">
        <f t="shared" si="237"/>
        <v>X</v>
      </c>
      <c r="AY304" s="66" t="str">
        <f t="shared" si="238"/>
        <v>X</v>
      </c>
      <c r="AZ304" s="66" t="str">
        <f t="shared" si="239"/>
        <v>X</v>
      </c>
      <c r="BA304" s="66" t="str">
        <f t="shared" si="240"/>
        <v>X</v>
      </c>
      <c r="BB304" s="66">
        <f t="shared" si="241"/>
        <v>1</v>
      </c>
      <c r="BC304" s="127" t="str">
        <f t="shared" si="212"/>
        <v>1G</v>
      </c>
      <c r="BD304" s="127" t="str">
        <f t="shared" si="213"/>
        <v>1G</v>
      </c>
      <c r="BE304" s="127" t="str">
        <f t="shared" si="214"/>
        <v>1G</v>
      </c>
      <c r="BF304" s="127" t="str">
        <f t="shared" si="215"/>
        <v>1G</v>
      </c>
      <c r="BG304" s="127" t="str">
        <f t="shared" si="216"/>
        <v>2G</v>
      </c>
      <c r="BH304" s="127" t="str">
        <f t="shared" si="217"/>
        <v>3G</v>
      </c>
      <c r="BI304" s="127">
        <f t="shared" si="242"/>
        <v>4</v>
      </c>
      <c r="BJ304" s="127">
        <f t="shared" si="243"/>
        <v>1</v>
      </c>
      <c r="BK304" s="127">
        <f t="shared" si="244"/>
        <v>1</v>
      </c>
      <c r="BL304" s="127" t="str">
        <f t="shared" si="245"/>
        <v>411</v>
      </c>
      <c r="BS304"/>
      <c r="CL304" s="28">
        <v>147</v>
      </c>
      <c r="CM304" s="28">
        <v>140</v>
      </c>
      <c r="CO304"/>
    </row>
    <row r="305" spans="2:93" ht="16.5" hidden="1">
      <c r="B305" s="17">
        <v>301</v>
      </c>
      <c r="C305" s="363" t="s">
        <v>331</v>
      </c>
      <c r="D305" s="18">
        <v>7</v>
      </c>
      <c r="E305" s="20">
        <v>1447385015</v>
      </c>
      <c r="F305" s="18">
        <v>47</v>
      </c>
      <c r="G305" s="20">
        <v>35927997</v>
      </c>
      <c r="H305" s="20">
        <v>1271</v>
      </c>
      <c r="I305" s="20">
        <v>1328573</v>
      </c>
      <c r="J305" s="20">
        <v>65756</v>
      </c>
      <c r="K305" s="20">
        <v>51361</v>
      </c>
      <c r="L305" s="20">
        <v>1060486</v>
      </c>
      <c r="M305" s="20">
        <v>5000</v>
      </c>
      <c r="N305" s="167">
        <v>7</v>
      </c>
      <c r="O305" s="167">
        <v>11</v>
      </c>
      <c r="P305" s="167">
        <v>13</v>
      </c>
      <c r="Q305" s="167">
        <v>33</v>
      </c>
      <c r="R305" s="167">
        <v>37</v>
      </c>
      <c r="S305" s="167">
        <v>43</v>
      </c>
      <c r="T305" s="167">
        <v>26</v>
      </c>
      <c r="U305" s="28">
        <f t="shared" si="218"/>
        <v>144</v>
      </c>
      <c r="W305" s="32" t="str">
        <f t="shared" si="203"/>
        <v>홀수</v>
      </c>
      <c r="X305" s="32" t="str">
        <f t="shared" si="204"/>
        <v>홀수</v>
      </c>
      <c r="Y305" s="32" t="str">
        <f t="shared" si="205"/>
        <v>홀수</v>
      </c>
      <c r="Z305" s="32" t="str">
        <f t="shared" si="206"/>
        <v>홀수</v>
      </c>
      <c r="AA305" s="32" t="str">
        <f t="shared" si="207"/>
        <v>홀수</v>
      </c>
      <c r="AB305" s="32" t="str">
        <f t="shared" si="208"/>
        <v>홀수</v>
      </c>
      <c r="AC305" s="58" t="str">
        <f t="shared" si="209"/>
        <v>6 : 0</v>
      </c>
      <c r="AD305" s="32">
        <f t="shared" si="210"/>
        <v>6</v>
      </c>
      <c r="AE305" s="32">
        <f t="shared" si="211"/>
        <v>0</v>
      </c>
      <c r="AF305" s="66" t="str">
        <f t="shared" si="219"/>
        <v>저수</v>
      </c>
      <c r="AG305" s="66" t="str">
        <f t="shared" si="220"/>
        <v>저수</v>
      </c>
      <c r="AH305" s="66" t="str">
        <f t="shared" si="221"/>
        <v>저수</v>
      </c>
      <c r="AI305" s="66" t="str">
        <f t="shared" si="222"/>
        <v>고수</v>
      </c>
      <c r="AJ305" s="66" t="str">
        <f t="shared" si="223"/>
        <v>고수</v>
      </c>
      <c r="AK305" s="66" t="str">
        <f t="shared" si="224"/>
        <v>고수</v>
      </c>
      <c r="AL305" s="58" t="str">
        <f t="shared" si="225"/>
        <v>3 : 3</v>
      </c>
      <c r="AM305" s="66">
        <f t="shared" si="226"/>
        <v>3</v>
      </c>
      <c r="AN305" s="66">
        <f t="shared" si="227"/>
        <v>3</v>
      </c>
      <c r="AO305" s="66">
        <f t="shared" si="228"/>
        <v>24</v>
      </c>
      <c r="AP305" s="66" t="str">
        <f t="shared" si="229"/>
        <v>O</v>
      </c>
      <c r="AQ305" s="66" t="str">
        <f t="shared" si="230"/>
        <v>O</v>
      </c>
      <c r="AR305" s="66" t="str">
        <f t="shared" si="231"/>
        <v>O</v>
      </c>
      <c r="AS305" s="66" t="str">
        <f t="shared" si="232"/>
        <v>X</v>
      </c>
      <c r="AT305" s="66" t="str">
        <f t="shared" si="233"/>
        <v>X</v>
      </c>
      <c r="AU305" s="66" t="str">
        <f t="shared" si="234"/>
        <v>X</v>
      </c>
      <c r="AV305" s="66" t="str">
        <f t="shared" si="235"/>
        <v>X</v>
      </c>
      <c r="AW305" s="66" t="str">
        <f t="shared" si="236"/>
        <v>X</v>
      </c>
      <c r="AX305" s="66" t="str">
        <f t="shared" si="237"/>
        <v>X</v>
      </c>
      <c r="AY305" s="66" t="str">
        <f t="shared" si="238"/>
        <v>X</v>
      </c>
      <c r="AZ305" s="66" t="str">
        <f t="shared" si="239"/>
        <v>O</v>
      </c>
      <c r="BA305" s="66" t="str">
        <f t="shared" si="240"/>
        <v>O</v>
      </c>
      <c r="BB305" s="66">
        <f t="shared" si="241"/>
        <v>5</v>
      </c>
      <c r="BC305" s="127" t="str">
        <f t="shared" si="212"/>
        <v>1G</v>
      </c>
      <c r="BD305" s="127" t="str">
        <f t="shared" si="213"/>
        <v>1G</v>
      </c>
      <c r="BE305" s="127" t="str">
        <f t="shared" si="214"/>
        <v>1G</v>
      </c>
      <c r="BF305" s="127" t="str">
        <f t="shared" si="215"/>
        <v>3G</v>
      </c>
      <c r="BG305" s="127" t="str">
        <f t="shared" si="216"/>
        <v>3G</v>
      </c>
      <c r="BH305" s="127" t="str">
        <f t="shared" si="217"/>
        <v>3G</v>
      </c>
      <c r="BI305" s="127">
        <f t="shared" si="242"/>
        <v>3</v>
      </c>
      <c r="BJ305" s="127">
        <f t="shared" si="243"/>
        <v>0</v>
      </c>
      <c r="BK305" s="127">
        <f t="shared" si="244"/>
        <v>3</v>
      </c>
      <c r="BL305" s="127" t="str">
        <f t="shared" si="245"/>
        <v>303</v>
      </c>
      <c r="BS305"/>
      <c r="CL305" s="28">
        <v>147</v>
      </c>
      <c r="CM305" s="28">
        <v>140</v>
      </c>
      <c r="CO305"/>
    </row>
    <row r="306" spans="2:93" ht="16.5" hidden="1">
      <c r="B306" s="17">
        <v>302</v>
      </c>
      <c r="C306" s="363" t="s">
        <v>332</v>
      </c>
      <c r="D306" s="18">
        <v>2</v>
      </c>
      <c r="E306" s="20">
        <v>5472167250</v>
      </c>
      <c r="F306" s="18">
        <v>44</v>
      </c>
      <c r="G306" s="20">
        <v>41455813</v>
      </c>
      <c r="H306" s="20">
        <v>1134</v>
      </c>
      <c r="I306" s="20">
        <v>1608515</v>
      </c>
      <c r="J306" s="20">
        <v>59455</v>
      </c>
      <c r="K306" s="20">
        <v>61360</v>
      </c>
      <c r="L306" s="20">
        <v>990149</v>
      </c>
      <c r="M306" s="20">
        <v>5000</v>
      </c>
      <c r="N306" s="167">
        <v>13</v>
      </c>
      <c r="O306" s="167">
        <v>19</v>
      </c>
      <c r="P306" s="167">
        <v>20</v>
      </c>
      <c r="Q306" s="167">
        <v>32</v>
      </c>
      <c r="R306" s="167">
        <v>38</v>
      </c>
      <c r="S306" s="167">
        <v>42</v>
      </c>
      <c r="T306" s="167">
        <v>4</v>
      </c>
      <c r="U306" s="28">
        <f t="shared" si="218"/>
        <v>164</v>
      </c>
      <c r="W306" s="32" t="str">
        <f t="shared" si="203"/>
        <v>홀수</v>
      </c>
      <c r="X306" s="32" t="str">
        <f t="shared" si="204"/>
        <v>홀수</v>
      </c>
      <c r="Y306" s="32" t="str">
        <f t="shared" si="205"/>
        <v>짝수</v>
      </c>
      <c r="Z306" s="32" t="str">
        <f t="shared" si="206"/>
        <v>짝수</v>
      </c>
      <c r="AA306" s="32" t="str">
        <f t="shared" si="207"/>
        <v>짝수</v>
      </c>
      <c r="AB306" s="32" t="str">
        <f t="shared" si="208"/>
        <v>짝수</v>
      </c>
      <c r="AC306" s="58" t="str">
        <f t="shared" si="209"/>
        <v>2 : 4</v>
      </c>
      <c r="AD306" s="32">
        <f t="shared" si="210"/>
        <v>2</v>
      </c>
      <c r="AE306" s="32">
        <f t="shared" si="211"/>
        <v>4</v>
      </c>
      <c r="AF306" s="66" t="str">
        <f t="shared" si="219"/>
        <v>저수</v>
      </c>
      <c r="AG306" s="66" t="str">
        <f t="shared" si="220"/>
        <v>저수</v>
      </c>
      <c r="AH306" s="66" t="str">
        <f t="shared" si="221"/>
        <v>저수</v>
      </c>
      <c r="AI306" s="66" t="str">
        <f t="shared" si="222"/>
        <v>고수</v>
      </c>
      <c r="AJ306" s="66" t="str">
        <f t="shared" si="223"/>
        <v>고수</v>
      </c>
      <c r="AK306" s="66" t="str">
        <f t="shared" si="224"/>
        <v>고수</v>
      </c>
      <c r="AL306" s="58" t="str">
        <f t="shared" si="225"/>
        <v>3 : 3</v>
      </c>
      <c r="AM306" s="66">
        <f t="shared" si="226"/>
        <v>3</v>
      </c>
      <c r="AN306" s="66">
        <f t="shared" si="227"/>
        <v>3</v>
      </c>
      <c r="AO306" s="66">
        <f t="shared" si="228"/>
        <v>24</v>
      </c>
      <c r="AP306" s="66" t="str">
        <f t="shared" si="229"/>
        <v>O</v>
      </c>
      <c r="AQ306" s="66" t="str">
        <f t="shared" si="230"/>
        <v>O</v>
      </c>
      <c r="AR306" s="66" t="str">
        <f t="shared" si="231"/>
        <v>X</v>
      </c>
      <c r="AS306" s="66" t="str">
        <f t="shared" si="232"/>
        <v>X</v>
      </c>
      <c r="AT306" s="66" t="str">
        <f t="shared" si="233"/>
        <v>X</v>
      </c>
      <c r="AU306" s="66" t="str">
        <f t="shared" si="234"/>
        <v>X</v>
      </c>
      <c r="AV306" s="66" t="str">
        <f t="shared" si="235"/>
        <v>X</v>
      </c>
      <c r="AW306" s="66" t="str">
        <f t="shared" si="236"/>
        <v>X</v>
      </c>
      <c r="AX306" s="66" t="str">
        <f t="shared" si="237"/>
        <v>X</v>
      </c>
      <c r="AY306" s="66" t="str">
        <f t="shared" si="238"/>
        <v>X</v>
      </c>
      <c r="AZ306" s="66" t="str">
        <f t="shared" si="239"/>
        <v>X</v>
      </c>
      <c r="BA306" s="66" t="str">
        <f t="shared" si="240"/>
        <v>X</v>
      </c>
      <c r="BB306" s="66">
        <f t="shared" si="241"/>
        <v>2</v>
      </c>
      <c r="BC306" s="127" t="str">
        <f t="shared" si="212"/>
        <v>1G</v>
      </c>
      <c r="BD306" s="127" t="str">
        <f t="shared" si="213"/>
        <v>2G</v>
      </c>
      <c r="BE306" s="127" t="str">
        <f t="shared" si="214"/>
        <v>2G</v>
      </c>
      <c r="BF306" s="127" t="str">
        <f t="shared" si="215"/>
        <v>3G</v>
      </c>
      <c r="BG306" s="127" t="str">
        <f t="shared" si="216"/>
        <v>3G</v>
      </c>
      <c r="BH306" s="127" t="str">
        <f t="shared" si="217"/>
        <v>3G</v>
      </c>
      <c r="BI306" s="127">
        <f t="shared" si="242"/>
        <v>1</v>
      </c>
      <c r="BJ306" s="127">
        <f t="shared" si="243"/>
        <v>2</v>
      </c>
      <c r="BK306" s="127">
        <f t="shared" si="244"/>
        <v>3</v>
      </c>
      <c r="BL306" s="127" t="str">
        <f t="shared" si="245"/>
        <v>123</v>
      </c>
      <c r="BS306"/>
      <c r="CL306" s="28">
        <v>147</v>
      </c>
      <c r="CM306" s="28">
        <v>140</v>
      </c>
      <c r="CO306"/>
    </row>
    <row r="307" spans="2:93" ht="16.5" hidden="1">
      <c r="B307" s="17">
        <v>303</v>
      </c>
      <c r="C307" s="363" t="s">
        <v>333</v>
      </c>
      <c r="D307" s="18">
        <v>6</v>
      </c>
      <c r="E307" s="20">
        <v>1672749000</v>
      </c>
      <c r="F307" s="18">
        <v>29</v>
      </c>
      <c r="G307" s="20">
        <v>57681000</v>
      </c>
      <c r="H307" s="20">
        <v>1158</v>
      </c>
      <c r="I307" s="20">
        <v>1444516</v>
      </c>
      <c r="J307" s="20">
        <v>56266</v>
      </c>
      <c r="K307" s="20">
        <v>59459</v>
      </c>
      <c r="L307" s="20">
        <v>938678</v>
      </c>
      <c r="M307" s="20">
        <v>5000</v>
      </c>
      <c r="N307" s="167">
        <v>2</v>
      </c>
      <c r="O307" s="167">
        <v>14</v>
      </c>
      <c r="P307" s="167">
        <v>17</v>
      </c>
      <c r="Q307" s="167">
        <v>30</v>
      </c>
      <c r="R307" s="167">
        <v>38</v>
      </c>
      <c r="S307" s="167">
        <v>45</v>
      </c>
      <c r="T307" s="167">
        <v>43</v>
      </c>
      <c r="U307" s="28">
        <f t="shared" si="218"/>
        <v>146</v>
      </c>
      <c r="W307" s="32" t="str">
        <f t="shared" si="203"/>
        <v>짝수</v>
      </c>
      <c r="X307" s="32" t="str">
        <f t="shared" si="204"/>
        <v>짝수</v>
      </c>
      <c r="Y307" s="32" t="str">
        <f t="shared" si="205"/>
        <v>홀수</v>
      </c>
      <c r="Z307" s="32" t="str">
        <f t="shared" si="206"/>
        <v>짝수</v>
      </c>
      <c r="AA307" s="32" t="str">
        <f t="shared" si="207"/>
        <v>짝수</v>
      </c>
      <c r="AB307" s="32" t="str">
        <f t="shared" si="208"/>
        <v>홀수</v>
      </c>
      <c r="AC307" s="58" t="str">
        <f t="shared" si="209"/>
        <v>2 : 4</v>
      </c>
      <c r="AD307" s="32">
        <f t="shared" si="210"/>
        <v>2</v>
      </c>
      <c r="AE307" s="32">
        <f t="shared" si="211"/>
        <v>4</v>
      </c>
      <c r="AF307" s="66" t="str">
        <f t="shared" si="219"/>
        <v>저수</v>
      </c>
      <c r="AG307" s="66" t="str">
        <f t="shared" si="220"/>
        <v>저수</v>
      </c>
      <c r="AH307" s="66" t="str">
        <f t="shared" si="221"/>
        <v>저수</v>
      </c>
      <c r="AI307" s="66" t="str">
        <f t="shared" si="222"/>
        <v>고수</v>
      </c>
      <c r="AJ307" s="66" t="str">
        <f t="shared" si="223"/>
        <v>고수</v>
      </c>
      <c r="AK307" s="66" t="str">
        <f t="shared" si="224"/>
        <v>고수</v>
      </c>
      <c r="AL307" s="58" t="str">
        <f t="shared" si="225"/>
        <v>3 : 3</v>
      </c>
      <c r="AM307" s="66">
        <f t="shared" si="226"/>
        <v>3</v>
      </c>
      <c r="AN307" s="66">
        <f t="shared" si="227"/>
        <v>3</v>
      </c>
      <c r="AO307" s="66">
        <f t="shared" si="228"/>
        <v>26</v>
      </c>
      <c r="AP307" s="66" t="str">
        <f t="shared" si="229"/>
        <v>O</v>
      </c>
      <c r="AQ307" s="66" t="str">
        <f t="shared" si="230"/>
        <v>X</v>
      </c>
      <c r="AR307" s="66" t="str">
        <f t="shared" si="231"/>
        <v>O</v>
      </c>
      <c r="AS307" s="66" t="str">
        <f t="shared" si="232"/>
        <v>X</v>
      </c>
      <c r="AT307" s="66" t="str">
        <f t="shared" si="233"/>
        <v>X</v>
      </c>
      <c r="AU307" s="66" t="str">
        <f t="shared" si="234"/>
        <v>X</v>
      </c>
      <c r="AV307" s="66" t="str">
        <f t="shared" si="235"/>
        <v>X</v>
      </c>
      <c r="AW307" s="66" t="str">
        <f t="shared" si="236"/>
        <v>X</v>
      </c>
      <c r="AX307" s="66" t="str">
        <f t="shared" si="237"/>
        <v>X</v>
      </c>
      <c r="AY307" s="66" t="str">
        <f t="shared" si="238"/>
        <v>X</v>
      </c>
      <c r="AZ307" s="66" t="str">
        <f t="shared" si="239"/>
        <v>X</v>
      </c>
      <c r="BA307" s="66" t="str">
        <f t="shared" si="240"/>
        <v>X</v>
      </c>
      <c r="BB307" s="66">
        <f t="shared" si="241"/>
        <v>2</v>
      </c>
      <c r="BC307" s="127" t="str">
        <f t="shared" si="212"/>
        <v>1G</v>
      </c>
      <c r="BD307" s="127" t="str">
        <f t="shared" si="213"/>
        <v>1G</v>
      </c>
      <c r="BE307" s="127" t="str">
        <f t="shared" si="214"/>
        <v>2G</v>
      </c>
      <c r="BF307" s="127" t="str">
        <f t="shared" si="215"/>
        <v>2G</v>
      </c>
      <c r="BG307" s="127" t="str">
        <f t="shared" si="216"/>
        <v>3G</v>
      </c>
      <c r="BH307" s="127" t="str">
        <f t="shared" si="217"/>
        <v>3G</v>
      </c>
      <c r="BI307" s="127">
        <f t="shared" si="242"/>
        <v>2</v>
      </c>
      <c r="BJ307" s="127">
        <f t="shared" si="243"/>
        <v>2</v>
      </c>
      <c r="BK307" s="127">
        <f t="shared" si="244"/>
        <v>2</v>
      </c>
      <c r="BL307" s="127" t="str">
        <f t="shared" si="245"/>
        <v>222</v>
      </c>
      <c r="BS307"/>
      <c r="CL307" s="28">
        <v>148</v>
      </c>
      <c r="CM307" s="28">
        <v>140</v>
      </c>
      <c r="CO307"/>
    </row>
    <row r="308" spans="2:93" ht="16.5" hidden="1">
      <c r="B308" s="17">
        <v>304</v>
      </c>
      <c r="C308" s="363" t="s">
        <v>334</v>
      </c>
      <c r="D308" s="18">
        <v>6</v>
      </c>
      <c r="E308" s="20">
        <v>1661646150</v>
      </c>
      <c r="F308" s="18">
        <v>37</v>
      </c>
      <c r="G308" s="20">
        <v>44909356</v>
      </c>
      <c r="H308" s="20">
        <v>1426</v>
      </c>
      <c r="I308" s="20">
        <v>1165250</v>
      </c>
      <c r="J308" s="20">
        <v>62096</v>
      </c>
      <c r="K308" s="20">
        <v>53519</v>
      </c>
      <c r="L308" s="20">
        <v>992573</v>
      </c>
      <c r="M308" s="20">
        <v>5000</v>
      </c>
      <c r="N308" s="167">
        <v>4</v>
      </c>
      <c r="O308" s="167">
        <v>10</v>
      </c>
      <c r="P308" s="167">
        <v>16</v>
      </c>
      <c r="Q308" s="167">
        <v>26</v>
      </c>
      <c r="R308" s="167">
        <v>33</v>
      </c>
      <c r="S308" s="167">
        <v>41</v>
      </c>
      <c r="T308" s="167">
        <v>38</v>
      </c>
      <c r="U308" s="28">
        <f t="shared" si="218"/>
        <v>130</v>
      </c>
      <c r="W308" s="32" t="str">
        <f t="shared" si="203"/>
        <v>짝수</v>
      </c>
      <c r="X308" s="32" t="str">
        <f t="shared" si="204"/>
        <v>짝수</v>
      </c>
      <c r="Y308" s="32" t="str">
        <f t="shared" si="205"/>
        <v>짝수</v>
      </c>
      <c r="Z308" s="32" t="str">
        <f t="shared" si="206"/>
        <v>짝수</v>
      </c>
      <c r="AA308" s="32" t="str">
        <f t="shared" si="207"/>
        <v>홀수</v>
      </c>
      <c r="AB308" s="32" t="str">
        <f t="shared" si="208"/>
        <v>홀수</v>
      </c>
      <c r="AC308" s="58" t="str">
        <f t="shared" si="209"/>
        <v>2 : 4</v>
      </c>
      <c r="AD308" s="32">
        <f t="shared" si="210"/>
        <v>2</v>
      </c>
      <c r="AE308" s="32">
        <f t="shared" si="211"/>
        <v>4</v>
      </c>
      <c r="AF308" s="66" t="str">
        <f t="shared" si="219"/>
        <v>저수</v>
      </c>
      <c r="AG308" s="66" t="str">
        <f t="shared" si="220"/>
        <v>저수</v>
      </c>
      <c r="AH308" s="66" t="str">
        <f t="shared" si="221"/>
        <v>저수</v>
      </c>
      <c r="AI308" s="66" t="str">
        <f t="shared" si="222"/>
        <v>고수</v>
      </c>
      <c r="AJ308" s="66" t="str">
        <f t="shared" si="223"/>
        <v>고수</v>
      </c>
      <c r="AK308" s="66" t="str">
        <f t="shared" si="224"/>
        <v>고수</v>
      </c>
      <c r="AL308" s="58" t="str">
        <f t="shared" si="225"/>
        <v>3 : 3</v>
      </c>
      <c r="AM308" s="66">
        <f t="shared" si="226"/>
        <v>3</v>
      </c>
      <c r="AN308" s="66">
        <f t="shared" si="227"/>
        <v>3</v>
      </c>
      <c r="AO308" s="66">
        <f t="shared" si="228"/>
        <v>20</v>
      </c>
      <c r="AP308" s="66" t="str">
        <f t="shared" si="229"/>
        <v>X</v>
      </c>
      <c r="AQ308" s="66" t="str">
        <f t="shared" si="230"/>
        <v>X</v>
      </c>
      <c r="AR308" s="66" t="str">
        <f t="shared" si="231"/>
        <v>X</v>
      </c>
      <c r="AS308" s="66" t="str">
        <f t="shared" si="232"/>
        <v>X</v>
      </c>
      <c r="AT308" s="66" t="str">
        <f t="shared" si="233"/>
        <v>X</v>
      </c>
      <c r="AU308" s="66" t="str">
        <f t="shared" si="234"/>
        <v>X</v>
      </c>
      <c r="AV308" s="66" t="str">
        <f t="shared" si="235"/>
        <v>X</v>
      </c>
      <c r="AW308" s="66" t="str">
        <f t="shared" si="236"/>
        <v>X</v>
      </c>
      <c r="AX308" s="66" t="str">
        <f t="shared" si="237"/>
        <v>X</v>
      </c>
      <c r="AY308" s="66" t="str">
        <f t="shared" si="238"/>
        <v>X</v>
      </c>
      <c r="AZ308" s="66" t="str">
        <f t="shared" si="239"/>
        <v>X</v>
      </c>
      <c r="BA308" s="66" t="str">
        <f t="shared" si="240"/>
        <v>O</v>
      </c>
      <c r="BB308" s="66">
        <f t="shared" si="241"/>
        <v>1</v>
      </c>
      <c r="BC308" s="127" t="str">
        <f t="shared" si="212"/>
        <v>1G</v>
      </c>
      <c r="BD308" s="127" t="str">
        <f t="shared" si="213"/>
        <v>1G</v>
      </c>
      <c r="BE308" s="127" t="str">
        <f t="shared" si="214"/>
        <v>2G</v>
      </c>
      <c r="BF308" s="127" t="str">
        <f t="shared" si="215"/>
        <v>2G</v>
      </c>
      <c r="BG308" s="127" t="str">
        <f t="shared" si="216"/>
        <v>3G</v>
      </c>
      <c r="BH308" s="127" t="str">
        <f t="shared" si="217"/>
        <v>3G</v>
      </c>
      <c r="BI308" s="127">
        <f t="shared" si="242"/>
        <v>2</v>
      </c>
      <c r="BJ308" s="127">
        <f t="shared" si="243"/>
        <v>2</v>
      </c>
      <c r="BK308" s="127">
        <f t="shared" si="244"/>
        <v>2</v>
      </c>
      <c r="BL308" s="127" t="str">
        <f t="shared" si="245"/>
        <v>222</v>
      </c>
      <c r="BS308"/>
      <c r="CL308" s="28">
        <v>148</v>
      </c>
      <c r="CM308" s="28">
        <v>140</v>
      </c>
      <c r="CO308"/>
    </row>
    <row r="309" spans="2:93" ht="16.5" hidden="1">
      <c r="B309" s="17">
        <v>305</v>
      </c>
      <c r="C309" s="363" t="s">
        <v>335</v>
      </c>
      <c r="D309" s="18">
        <v>5</v>
      </c>
      <c r="E309" s="20">
        <v>2008210140</v>
      </c>
      <c r="F309" s="18">
        <v>34</v>
      </c>
      <c r="G309" s="20">
        <v>49220837</v>
      </c>
      <c r="H309" s="20">
        <v>1377</v>
      </c>
      <c r="I309" s="20">
        <v>1215330</v>
      </c>
      <c r="J309" s="20">
        <v>66162</v>
      </c>
      <c r="K309" s="20">
        <v>50589</v>
      </c>
      <c r="L309" s="20">
        <v>1049049</v>
      </c>
      <c r="M309" s="20">
        <v>5000</v>
      </c>
      <c r="N309" s="167">
        <v>7</v>
      </c>
      <c r="O309" s="167">
        <v>8</v>
      </c>
      <c r="P309" s="167">
        <v>18</v>
      </c>
      <c r="Q309" s="167">
        <v>21</v>
      </c>
      <c r="R309" s="167">
        <v>23</v>
      </c>
      <c r="S309" s="167">
        <v>39</v>
      </c>
      <c r="T309" s="167">
        <v>9</v>
      </c>
      <c r="U309" s="28">
        <f t="shared" si="218"/>
        <v>116</v>
      </c>
      <c r="W309" s="32" t="str">
        <f t="shared" si="203"/>
        <v>홀수</v>
      </c>
      <c r="X309" s="32" t="str">
        <f t="shared" si="204"/>
        <v>짝수</v>
      </c>
      <c r="Y309" s="32" t="str">
        <f t="shared" si="205"/>
        <v>짝수</v>
      </c>
      <c r="Z309" s="32" t="str">
        <f t="shared" si="206"/>
        <v>홀수</v>
      </c>
      <c r="AA309" s="32" t="str">
        <f t="shared" si="207"/>
        <v>홀수</v>
      </c>
      <c r="AB309" s="32" t="str">
        <f t="shared" si="208"/>
        <v>홀수</v>
      </c>
      <c r="AC309" s="58" t="str">
        <f t="shared" si="209"/>
        <v>4 : 2</v>
      </c>
      <c r="AD309" s="32">
        <f t="shared" si="210"/>
        <v>4</v>
      </c>
      <c r="AE309" s="32">
        <f t="shared" si="211"/>
        <v>2</v>
      </c>
      <c r="AF309" s="66" t="str">
        <f t="shared" si="219"/>
        <v>저수</v>
      </c>
      <c r="AG309" s="66" t="str">
        <f t="shared" si="220"/>
        <v>저수</v>
      </c>
      <c r="AH309" s="66" t="str">
        <f t="shared" si="221"/>
        <v>저수</v>
      </c>
      <c r="AI309" s="66" t="str">
        <f t="shared" si="222"/>
        <v>저수</v>
      </c>
      <c r="AJ309" s="66" t="str">
        <f t="shared" si="223"/>
        <v>고수</v>
      </c>
      <c r="AK309" s="66" t="str">
        <f t="shared" si="224"/>
        <v>고수</v>
      </c>
      <c r="AL309" s="58" t="str">
        <f t="shared" si="225"/>
        <v>4 : 2</v>
      </c>
      <c r="AM309" s="66">
        <f t="shared" si="226"/>
        <v>4</v>
      </c>
      <c r="AN309" s="66">
        <f t="shared" si="227"/>
        <v>2</v>
      </c>
      <c r="AO309" s="66">
        <f t="shared" si="228"/>
        <v>36</v>
      </c>
      <c r="AP309" s="66" t="str">
        <f t="shared" si="229"/>
        <v>O</v>
      </c>
      <c r="AQ309" s="66" t="str">
        <f t="shared" si="230"/>
        <v>X</v>
      </c>
      <c r="AR309" s="66" t="str">
        <f t="shared" si="231"/>
        <v>X</v>
      </c>
      <c r="AS309" s="66" t="str">
        <f t="shared" si="232"/>
        <v>X</v>
      </c>
      <c r="AT309" s="66" t="str">
        <f t="shared" si="233"/>
        <v>X</v>
      </c>
      <c r="AU309" s="66" t="str">
        <f t="shared" si="234"/>
        <v>X</v>
      </c>
      <c r="AV309" s="66" t="str">
        <f t="shared" si="235"/>
        <v>X</v>
      </c>
      <c r="AW309" s="66" t="str">
        <f t="shared" si="236"/>
        <v>X</v>
      </c>
      <c r="AX309" s="66" t="str">
        <f t="shared" si="237"/>
        <v>X</v>
      </c>
      <c r="AY309" s="66" t="str">
        <f t="shared" si="238"/>
        <v>X</v>
      </c>
      <c r="AZ309" s="66" t="str">
        <f t="shared" si="239"/>
        <v>O</v>
      </c>
      <c r="BA309" s="66" t="str">
        <f t="shared" si="240"/>
        <v>X</v>
      </c>
      <c r="BB309" s="66">
        <f t="shared" si="241"/>
        <v>2</v>
      </c>
      <c r="BC309" s="127" t="str">
        <f t="shared" si="212"/>
        <v>1G</v>
      </c>
      <c r="BD309" s="127" t="str">
        <f t="shared" si="213"/>
        <v>1G</v>
      </c>
      <c r="BE309" s="127" t="str">
        <f t="shared" si="214"/>
        <v>2G</v>
      </c>
      <c r="BF309" s="127" t="str">
        <f t="shared" si="215"/>
        <v>2G</v>
      </c>
      <c r="BG309" s="127" t="str">
        <f t="shared" si="216"/>
        <v>2G</v>
      </c>
      <c r="BH309" s="127" t="str">
        <f t="shared" si="217"/>
        <v>3G</v>
      </c>
      <c r="BI309" s="127">
        <f t="shared" si="242"/>
        <v>2</v>
      </c>
      <c r="BJ309" s="127">
        <f t="shared" si="243"/>
        <v>3</v>
      </c>
      <c r="BK309" s="127">
        <f t="shared" si="244"/>
        <v>1</v>
      </c>
      <c r="BL309" s="127" t="str">
        <f t="shared" si="245"/>
        <v>231</v>
      </c>
      <c r="BS309"/>
      <c r="CL309" s="28">
        <v>148</v>
      </c>
      <c r="CM309" s="28">
        <v>140</v>
      </c>
      <c r="CO309"/>
    </row>
    <row r="310" spans="2:93" ht="16.5" hidden="1">
      <c r="B310" s="17">
        <v>306</v>
      </c>
      <c r="C310" s="363" t="s">
        <v>336</v>
      </c>
      <c r="D310" s="18">
        <v>5</v>
      </c>
      <c r="E310" s="20">
        <v>2102669520</v>
      </c>
      <c r="F310" s="18">
        <v>23</v>
      </c>
      <c r="G310" s="20">
        <v>76183679</v>
      </c>
      <c r="H310" s="20">
        <v>1219</v>
      </c>
      <c r="I310" s="20">
        <v>1437428</v>
      </c>
      <c r="J310" s="20">
        <v>56687</v>
      </c>
      <c r="K310" s="20">
        <v>61822</v>
      </c>
      <c r="L310" s="20">
        <v>937697</v>
      </c>
      <c r="M310" s="20">
        <v>5000</v>
      </c>
      <c r="N310" s="167">
        <v>4</v>
      </c>
      <c r="O310" s="167">
        <v>18</v>
      </c>
      <c r="P310" s="167">
        <v>23</v>
      </c>
      <c r="Q310" s="167">
        <v>30</v>
      </c>
      <c r="R310" s="167">
        <v>34</v>
      </c>
      <c r="S310" s="167">
        <v>41</v>
      </c>
      <c r="T310" s="167">
        <v>19</v>
      </c>
      <c r="U310" s="28">
        <f t="shared" si="218"/>
        <v>150</v>
      </c>
      <c r="W310" s="32" t="str">
        <f t="shared" ref="W310:W373" si="246">IF(RIGHT(N310,1)="1","홀수",IF(RIGHT(N310,1)="3","홀수",IF(RIGHT(N310,1)="5","홀수",IF(RIGHT(N310,1)="7","홀수",IF(RIGHT(N310,1)="9","홀수","짝수")))))</f>
        <v>짝수</v>
      </c>
      <c r="X310" s="32" t="str">
        <f t="shared" ref="X310:X373" si="247">IF(RIGHT(O310,1)="1","홀수",IF(RIGHT(O310,1)="3","홀수",IF(RIGHT(O310,1)="5","홀수",IF(RIGHT(O310,1)="7","홀수",IF(RIGHT(O310,1)="9","홀수","짝수")))))</f>
        <v>짝수</v>
      </c>
      <c r="Y310" s="32" t="str">
        <f t="shared" ref="Y310:Y373" si="248">IF(RIGHT(P310,1)="1","홀수",IF(RIGHT(P310,1)="3","홀수",IF(RIGHT(P310,1)="5","홀수",IF(RIGHT(P310,1)="7","홀수",IF(RIGHT(P310,1)="9","홀수","짝수")))))</f>
        <v>홀수</v>
      </c>
      <c r="Z310" s="32" t="str">
        <f t="shared" ref="Z310:Z373" si="249">IF(RIGHT(Q310,1)="1","홀수",IF(RIGHT(Q310,1)="3","홀수",IF(RIGHT(Q310,1)="5","홀수",IF(RIGHT(Q310,1)="7","홀수",IF(RIGHT(Q310,1)="9","홀수","짝수")))))</f>
        <v>짝수</v>
      </c>
      <c r="AA310" s="32" t="str">
        <f t="shared" ref="AA310:AA373" si="250">IF(RIGHT(R310,1)="1","홀수",IF(RIGHT(R310,1)="3","홀수",IF(RIGHT(R310,1)="5","홀수",IF(RIGHT(R310,1)="7","홀수",IF(RIGHT(R310,1)="9","홀수","짝수")))))</f>
        <v>짝수</v>
      </c>
      <c r="AB310" s="32" t="str">
        <f t="shared" ref="AB310:AB373" si="251">IF(RIGHT(S310,1)="1","홀수",IF(RIGHT(S310,1)="3","홀수",IF(RIGHT(S310,1)="5","홀수",IF(RIGHT(S310,1)="7","홀수",IF(RIGHT(S310,1)="9","홀수","짝수")))))</f>
        <v>홀수</v>
      </c>
      <c r="AC310" s="58" t="str">
        <f t="shared" ref="AC310:AC373" si="252">AD310&amp;" : "&amp;AE310</f>
        <v>2 : 4</v>
      </c>
      <c r="AD310" s="32">
        <f t="shared" ref="AD310:AD373" si="253">COUNTIF(W310:AB310,"홀수")</f>
        <v>2</v>
      </c>
      <c r="AE310" s="32">
        <f t="shared" ref="AE310:AE373" si="254">COUNTIF(W310:AB310,"짝수")</f>
        <v>4</v>
      </c>
      <c r="AF310" s="66" t="str">
        <f t="shared" si="219"/>
        <v>저수</v>
      </c>
      <c r="AG310" s="66" t="str">
        <f t="shared" si="220"/>
        <v>저수</v>
      </c>
      <c r="AH310" s="66" t="str">
        <f t="shared" si="221"/>
        <v>고수</v>
      </c>
      <c r="AI310" s="66" t="str">
        <f t="shared" si="222"/>
        <v>고수</v>
      </c>
      <c r="AJ310" s="66" t="str">
        <f t="shared" si="223"/>
        <v>고수</v>
      </c>
      <c r="AK310" s="66" t="str">
        <f t="shared" si="224"/>
        <v>고수</v>
      </c>
      <c r="AL310" s="58" t="str">
        <f t="shared" si="225"/>
        <v>2 : 4</v>
      </c>
      <c r="AM310" s="66">
        <f t="shared" si="226"/>
        <v>2</v>
      </c>
      <c r="AN310" s="66">
        <f t="shared" si="227"/>
        <v>4</v>
      </c>
      <c r="AO310" s="66">
        <f t="shared" si="228"/>
        <v>20</v>
      </c>
      <c r="AP310" s="66" t="str">
        <f t="shared" si="229"/>
        <v>X</v>
      </c>
      <c r="AQ310" s="66" t="str">
        <f t="shared" si="230"/>
        <v>X</v>
      </c>
      <c r="AR310" s="66" t="str">
        <f t="shared" si="231"/>
        <v>X</v>
      </c>
      <c r="AS310" s="66" t="str">
        <f t="shared" si="232"/>
        <v>X</v>
      </c>
      <c r="AT310" s="66" t="str">
        <f t="shared" si="233"/>
        <v>X</v>
      </c>
      <c r="AU310" s="66" t="str">
        <f t="shared" si="234"/>
        <v>X</v>
      </c>
      <c r="AV310" s="66" t="str">
        <f t="shared" si="235"/>
        <v>X</v>
      </c>
      <c r="AW310" s="66" t="str">
        <f t="shared" si="236"/>
        <v>X</v>
      </c>
      <c r="AX310" s="66" t="str">
        <f t="shared" si="237"/>
        <v>O</v>
      </c>
      <c r="AY310" s="66" t="str">
        <f t="shared" si="238"/>
        <v>X</v>
      </c>
      <c r="AZ310" s="66" t="str">
        <f t="shared" si="239"/>
        <v>X</v>
      </c>
      <c r="BA310" s="66" t="str">
        <f t="shared" si="240"/>
        <v>O</v>
      </c>
      <c r="BB310" s="66">
        <f t="shared" si="241"/>
        <v>2</v>
      </c>
      <c r="BC310" s="127" t="str">
        <f t="shared" si="212"/>
        <v>1G</v>
      </c>
      <c r="BD310" s="127" t="str">
        <f t="shared" si="213"/>
        <v>2G</v>
      </c>
      <c r="BE310" s="127" t="str">
        <f t="shared" si="214"/>
        <v>2G</v>
      </c>
      <c r="BF310" s="127" t="str">
        <f t="shared" si="215"/>
        <v>2G</v>
      </c>
      <c r="BG310" s="127" t="str">
        <f t="shared" si="216"/>
        <v>3G</v>
      </c>
      <c r="BH310" s="127" t="str">
        <f t="shared" si="217"/>
        <v>3G</v>
      </c>
      <c r="BI310" s="127">
        <f t="shared" si="242"/>
        <v>1</v>
      </c>
      <c r="BJ310" s="127">
        <f t="shared" si="243"/>
        <v>3</v>
      </c>
      <c r="BK310" s="127">
        <f t="shared" si="244"/>
        <v>2</v>
      </c>
      <c r="BL310" s="127" t="str">
        <f t="shared" si="245"/>
        <v>132</v>
      </c>
      <c r="BS310"/>
      <c r="CL310" s="28">
        <v>148</v>
      </c>
      <c r="CM310" s="28">
        <v>140</v>
      </c>
      <c r="CO310"/>
    </row>
    <row r="311" spans="2:93" ht="16.5" hidden="1">
      <c r="B311" s="17">
        <v>307</v>
      </c>
      <c r="C311" s="363" t="s">
        <v>337</v>
      </c>
      <c r="D311" s="18">
        <v>4</v>
      </c>
      <c r="E311" s="20">
        <v>2587643250</v>
      </c>
      <c r="F311" s="18">
        <v>28</v>
      </c>
      <c r="G311" s="20">
        <v>61610554</v>
      </c>
      <c r="H311" s="20">
        <v>1177</v>
      </c>
      <c r="I311" s="20">
        <v>1465672</v>
      </c>
      <c r="J311" s="20">
        <v>59400</v>
      </c>
      <c r="K311" s="20">
        <v>58085</v>
      </c>
      <c r="L311" s="20">
        <v>937908</v>
      </c>
      <c r="M311" s="20">
        <v>5000</v>
      </c>
      <c r="N311" s="167">
        <v>5</v>
      </c>
      <c r="O311" s="167">
        <v>15</v>
      </c>
      <c r="P311" s="167">
        <v>21</v>
      </c>
      <c r="Q311" s="167">
        <v>23</v>
      </c>
      <c r="R311" s="167">
        <v>25</v>
      </c>
      <c r="S311" s="167">
        <v>45</v>
      </c>
      <c r="T311" s="167">
        <v>12</v>
      </c>
      <c r="U311" s="28">
        <f t="shared" si="218"/>
        <v>134</v>
      </c>
      <c r="W311" s="32" t="str">
        <f t="shared" si="246"/>
        <v>홀수</v>
      </c>
      <c r="X311" s="32" t="str">
        <f t="shared" si="247"/>
        <v>홀수</v>
      </c>
      <c r="Y311" s="32" t="str">
        <f t="shared" si="248"/>
        <v>홀수</v>
      </c>
      <c r="Z311" s="32" t="str">
        <f t="shared" si="249"/>
        <v>홀수</v>
      </c>
      <c r="AA311" s="32" t="str">
        <f t="shared" si="250"/>
        <v>홀수</v>
      </c>
      <c r="AB311" s="32" t="str">
        <f t="shared" si="251"/>
        <v>홀수</v>
      </c>
      <c r="AC311" s="58" t="str">
        <f t="shared" si="252"/>
        <v>6 : 0</v>
      </c>
      <c r="AD311" s="32">
        <f t="shared" si="253"/>
        <v>6</v>
      </c>
      <c r="AE311" s="32">
        <f t="shared" si="254"/>
        <v>0</v>
      </c>
      <c r="AF311" s="66" t="str">
        <f t="shared" si="219"/>
        <v>저수</v>
      </c>
      <c r="AG311" s="66" t="str">
        <f t="shared" si="220"/>
        <v>저수</v>
      </c>
      <c r="AH311" s="66" t="str">
        <f t="shared" si="221"/>
        <v>저수</v>
      </c>
      <c r="AI311" s="66" t="str">
        <f t="shared" si="222"/>
        <v>고수</v>
      </c>
      <c r="AJ311" s="66" t="str">
        <f t="shared" si="223"/>
        <v>고수</v>
      </c>
      <c r="AK311" s="66" t="str">
        <f t="shared" si="224"/>
        <v>고수</v>
      </c>
      <c r="AL311" s="58" t="str">
        <f t="shared" si="225"/>
        <v>3 : 3</v>
      </c>
      <c r="AM311" s="66">
        <f t="shared" si="226"/>
        <v>3</v>
      </c>
      <c r="AN311" s="66">
        <f t="shared" si="227"/>
        <v>3</v>
      </c>
      <c r="AO311" s="66">
        <f t="shared" si="228"/>
        <v>24</v>
      </c>
      <c r="AP311" s="66" t="str">
        <f t="shared" si="229"/>
        <v>O</v>
      </c>
      <c r="AQ311" s="66" t="str">
        <f t="shared" si="230"/>
        <v>X</v>
      </c>
      <c r="AR311" s="66" t="str">
        <f t="shared" si="231"/>
        <v>X</v>
      </c>
      <c r="AS311" s="66" t="str">
        <f t="shared" si="232"/>
        <v>X</v>
      </c>
      <c r="AT311" s="66" t="str">
        <f t="shared" si="233"/>
        <v>X</v>
      </c>
      <c r="AU311" s="66" t="str">
        <f t="shared" si="234"/>
        <v>X</v>
      </c>
      <c r="AV311" s="66" t="str">
        <f t="shared" si="235"/>
        <v>X</v>
      </c>
      <c r="AW311" s="66" t="str">
        <f t="shared" si="236"/>
        <v>X</v>
      </c>
      <c r="AX311" s="66" t="str">
        <f t="shared" si="237"/>
        <v>X</v>
      </c>
      <c r="AY311" s="66" t="str">
        <f t="shared" si="238"/>
        <v>O</v>
      </c>
      <c r="AZ311" s="66" t="str">
        <f t="shared" si="239"/>
        <v>X</v>
      </c>
      <c r="BA311" s="66" t="str">
        <f t="shared" si="240"/>
        <v>X</v>
      </c>
      <c r="BB311" s="66">
        <f t="shared" si="241"/>
        <v>2</v>
      </c>
      <c r="BC311" s="127" t="str">
        <f t="shared" si="212"/>
        <v>1G</v>
      </c>
      <c r="BD311" s="127" t="str">
        <f t="shared" si="213"/>
        <v>1G</v>
      </c>
      <c r="BE311" s="127" t="str">
        <f t="shared" si="214"/>
        <v>2G</v>
      </c>
      <c r="BF311" s="127" t="str">
        <f t="shared" si="215"/>
        <v>2G</v>
      </c>
      <c r="BG311" s="127" t="str">
        <f t="shared" si="216"/>
        <v>2G</v>
      </c>
      <c r="BH311" s="127" t="str">
        <f t="shared" si="217"/>
        <v>3G</v>
      </c>
      <c r="BI311" s="127">
        <f t="shared" si="242"/>
        <v>2</v>
      </c>
      <c r="BJ311" s="127">
        <f t="shared" si="243"/>
        <v>3</v>
      </c>
      <c r="BK311" s="127">
        <f t="shared" si="244"/>
        <v>1</v>
      </c>
      <c r="BL311" s="127" t="str">
        <f t="shared" si="245"/>
        <v>231</v>
      </c>
      <c r="BS311"/>
      <c r="CL311" s="28">
        <v>148</v>
      </c>
      <c r="CM311" s="28">
        <v>140</v>
      </c>
      <c r="CO311"/>
    </row>
    <row r="312" spans="2:93" ht="16.5" hidden="1">
      <c r="B312" s="17">
        <v>308</v>
      </c>
      <c r="C312" s="363" t="s">
        <v>338</v>
      </c>
      <c r="D312" s="18">
        <v>1</v>
      </c>
      <c r="E312" s="20">
        <v>10232872800</v>
      </c>
      <c r="F312" s="18">
        <v>27</v>
      </c>
      <c r="G312" s="20">
        <v>63165882</v>
      </c>
      <c r="H312" s="18">
        <v>978</v>
      </c>
      <c r="I312" s="20">
        <v>1743844</v>
      </c>
      <c r="J312" s="20">
        <v>53749</v>
      </c>
      <c r="K312" s="20">
        <v>63461</v>
      </c>
      <c r="L312" s="20">
        <v>922984</v>
      </c>
      <c r="M312" s="20">
        <v>5000</v>
      </c>
      <c r="N312" s="167">
        <v>14</v>
      </c>
      <c r="O312" s="167">
        <v>15</v>
      </c>
      <c r="P312" s="167">
        <v>17</v>
      </c>
      <c r="Q312" s="167">
        <v>19</v>
      </c>
      <c r="R312" s="167">
        <v>37</v>
      </c>
      <c r="S312" s="167">
        <v>45</v>
      </c>
      <c r="T312" s="167">
        <v>40</v>
      </c>
      <c r="U312" s="28">
        <f t="shared" si="218"/>
        <v>147</v>
      </c>
      <c r="W312" s="32" t="str">
        <f t="shared" si="246"/>
        <v>짝수</v>
      </c>
      <c r="X312" s="32" t="str">
        <f t="shared" si="247"/>
        <v>홀수</v>
      </c>
      <c r="Y312" s="32" t="str">
        <f t="shared" si="248"/>
        <v>홀수</v>
      </c>
      <c r="Z312" s="32" t="str">
        <f t="shared" si="249"/>
        <v>홀수</v>
      </c>
      <c r="AA312" s="32" t="str">
        <f t="shared" si="250"/>
        <v>홀수</v>
      </c>
      <c r="AB312" s="32" t="str">
        <f t="shared" si="251"/>
        <v>홀수</v>
      </c>
      <c r="AC312" s="58" t="str">
        <f t="shared" si="252"/>
        <v>5 : 1</v>
      </c>
      <c r="AD312" s="32">
        <f t="shared" si="253"/>
        <v>5</v>
      </c>
      <c r="AE312" s="32">
        <f t="shared" si="254"/>
        <v>1</v>
      </c>
      <c r="AF312" s="66" t="str">
        <f t="shared" si="219"/>
        <v>저수</v>
      </c>
      <c r="AG312" s="66" t="str">
        <f t="shared" si="220"/>
        <v>저수</v>
      </c>
      <c r="AH312" s="66" t="str">
        <f t="shared" si="221"/>
        <v>저수</v>
      </c>
      <c r="AI312" s="66" t="str">
        <f t="shared" si="222"/>
        <v>저수</v>
      </c>
      <c r="AJ312" s="66" t="str">
        <f t="shared" si="223"/>
        <v>고수</v>
      </c>
      <c r="AK312" s="66" t="str">
        <f t="shared" si="224"/>
        <v>고수</v>
      </c>
      <c r="AL312" s="58" t="str">
        <f t="shared" si="225"/>
        <v>4 : 2</v>
      </c>
      <c r="AM312" s="66">
        <f t="shared" si="226"/>
        <v>4</v>
      </c>
      <c r="AN312" s="66">
        <f t="shared" si="227"/>
        <v>2</v>
      </c>
      <c r="AO312" s="66">
        <f t="shared" si="228"/>
        <v>37</v>
      </c>
      <c r="AP312" s="66" t="str">
        <f t="shared" si="229"/>
        <v>X</v>
      </c>
      <c r="AQ312" s="66" t="str">
        <f t="shared" si="230"/>
        <v>X</v>
      </c>
      <c r="AR312" s="66" t="str">
        <f t="shared" si="231"/>
        <v>O</v>
      </c>
      <c r="AS312" s="66" t="str">
        <f t="shared" si="232"/>
        <v>O</v>
      </c>
      <c r="AT312" s="66" t="str">
        <f t="shared" si="233"/>
        <v>X</v>
      </c>
      <c r="AU312" s="66" t="str">
        <f t="shared" si="234"/>
        <v>X</v>
      </c>
      <c r="AV312" s="66" t="str">
        <f t="shared" si="235"/>
        <v>X</v>
      </c>
      <c r="AW312" s="66" t="str">
        <f t="shared" si="236"/>
        <v>X</v>
      </c>
      <c r="AX312" s="66" t="str">
        <f t="shared" si="237"/>
        <v>X</v>
      </c>
      <c r="AY312" s="66" t="str">
        <f t="shared" si="238"/>
        <v>X</v>
      </c>
      <c r="AZ312" s="66" t="str">
        <f t="shared" si="239"/>
        <v>O</v>
      </c>
      <c r="BA312" s="66" t="str">
        <f t="shared" si="240"/>
        <v>X</v>
      </c>
      <c r="BB312" s="66">
        <f t="shared" si="241"/>
        <v>3</v>
      </c>
      <c r="BC312" s="127" t="str">
        <f t="shared" si="212"/>
        <v>1G</v>
      </c>
      <c r="BD312" s="127" t="str">
        <f t="shared" si="213"/>
        <v>1G</v>
      </c>
      <c r="BE312" s="127" t="str">
        <f t="shared" si="214"/>
        <v>2G</v>
      </c>
      <c r="BF312" s="127" t="str">
        <f t="shared" si="215"/>
        <v>2G</v>
      </c>
      <c r="BG312" s="127" t="str">
        <f t="shared" si="216"/>
        <v>3G</v>
      </c>
      <c r="BH312" s="127" t="str">
        <f t="shared" si="217"/>
        <v>3G</v>
      </c>
      <c r="BI312" s="127">
        <f t="shared" si="242"/>
        <v>2</v>
      </c>
      <c r="BJ312" s="127">
        <f t="shared" si="243"/>
        <v>2</v>
      </c>
      <c r="BK312" s="127">
        <f t="shared" si="244"/>
        <v>2</v>
      </c>
      <c r="BL312" s="127" t="str">
        <f t="shared" si="245"/>
        <v>222</v>
      </c>
      <c r="BS312"/>
      <c r="CL312" s="28">
        <v>148</v>
      </c>
      <c r="CM312" s="28">
        <v>140</v>
      </c>
      <c r="CO312"/>
    </row>
    <row r="313" spans="2:93" ht="16.5" hidden="1">
      <c r="B313" s="17">
        <v>309</v>
      </c>
      <c r="C313" s="363" t="s">
        <v>339</v>
      </c>
      <c r="D313" s="18">
        <v>11</v>
      </c>
      <c r="E313" s="20">
        <v>901622946</v>
      </c>
      <c r="F313" s="18">
        <v>25</v>
      </c>
      <c r="G313" s="20">
        <v>66119016</v>
      </c>
      <c r="H313" s="20">
        <v>1390</v>
      </c>
      <c r="I313" s="20">
        <v>1189191</v>
      </c>
      <c r="J313" s="20">
        <v>69125</v>
      </c>
      <c r="K313" s="20">
        <v>47826</v>
      </c>
      <c r="L313" s="20">
        <v>1109802</v>
      </c>
      <c r="M313" s="20">
        <v>5000</v>
      </c>
      <c r="N313" s="167">
        <v>1</v>
      </c>
      <c r="O313" s="167">
        <v>2</v>
      </c>
      <c r="P313" s="167">
        <v>5</v>
      </c>
      <c r="Q313" s="167">
        <v>11</v>
      </c>
      <c r="R313" s="167">
        <v>18</v>
      </c>
      <c r="S313" s="167">
        <v>36</v>
      </c>
      <c r="T313" s="167">
        <v>22</v>
      </c>
      <c r="U313" s="28">
        <f t="shared" si="218"/>
        <v>73</v>
      </c>
      <c r="W313" s="32" t="str">
        <f t="shared" si="246"/>
        <v>홀수</v>
      </c>
      <c r="X313" s="32" t="str">
        <f t="shared" si="247"/>
        <v>짝수</v>
      </c>
      <c r="Y313" s="32" t="str">
        <f t="shared" si="248"/>
        <v>홀수</v>
      </c>
      <c r="Z313" s="32" t="str">
        <f t="shared" si="249"/>
        <v>홀수</v>
      </c>
      <c r="AA313" s="32" t="str">
        <f t="shared" si="250"/>
        <v>짝수</v>
      </c>
      <c r="AB313" s="32" t="str">
        <f t="shared" si="251"/>
        <v>짝수</v>
      </c>
      <c r="AC313" s="58" t="str">
        <f t="shared" si="252"/>
        <v>3 : 3</v>
      </c>
      <c r="AD313" s="32">
        <f t="shared" si="253"/>
        <v>3</v>
      </c>
      <c r="AE313" s="32">
        <f t="shared" si="254"/>
        <v>3</v>
      </c>
      <c r="AF313" s="66" t="str">
        <f t="shared" si="219"/>
        <v>저수</v>
      </c>
      <c r="AG313" s="66" t="str">
        <f t="shared" si="220"/>
        <v>저수</v>
      </c>
      <c r="AH313" s="66" t="str">
        <f t="shared" si="221"/>
        <v>저수</v>
      </c>
      <c r="AI313" s="66" t="str">
        <f t="shared" si="222"/>
        <v>저수</v>
      </c>
      <c r="AJ313" s="66" t="str">
        <f t="shared" si="223"/>
        <v>저수</v>
      </c>
      <c r="AK313" s="66" t="str">
        <f t="shared" si="224"/>
        <v>고수</v>
      </c>
      <c r="AL313" s="58" t="str">
        <f t="shared" si="225"/>
        <v>5 : 1</v>
      </c>
      <c r="AM313" s="66">
        <f t="shared" si="226"/>
        <v>5</v>
      </c>
      <c r="AN313" s="66">
        <f t="shared" si="227"/>
        <v>1</v>
      </c>
      <c r="AO313" s="66">
        <f t="shared" si="228"/>
        <v>23</v>
      </c>
      <c r="AP313" s="66" t="str">
        <f t="shared" si="229"/>
        <v>X</v>
      </c>
      <c r="AQ313" s="66" t="str">
        <f t="shared" si="230"/>
        <v>O</v>
      </c>
      <c r="AR313" s="66" t="str">
        <f t="shared" si="231"/>
        <v>O</v>
      </c>
      <c r="AS313" s="66" t="str">
        <f t="shared" si="232"/>
        <v>O</v>
      </c>
      <c r="AT313" s="66" t="str">
        <f t="shared" si="233"/>
        <v>X</v>
      </c>
      <c r="AU313" s="66" t="str">
        <f t="shared" si="234"/>
        <v>X</v>
      </c>
      <c r="AV313" s="66" t="str">
        <f t="shared" si="235"/>
        <v>X</v>
      </c>
      <c r="AW313" s="66" t="str">
        <f t="shared" si="236"/>
        <v>X</v>
      </c>
      <c r="AX313" s="66" t="str">
        <f t="shared" si="237"/>
        <v>X</v>
      </c>
      <c r="AY313" s="66" t="str">
        <f t="shared" si="238"/>
        <v>X</v>
      </c>
      <c r="AZ313" s="66" t="str">
        <f t="shared" si="239"/>
        <v>X</v>
      </c>
      <c r="BA313" s="66" t="str">
        <f t="shared" si="240"/>
        <v>X</v>
      </c>
      <c r="BB313" s="66">
        <f t="shared" si="241"/>
        <v>3</v>
      </c>
      <c r="BC313" s="127" t="str">
        <f t="shared" si="212"/>
        <v>1G</v>
      </c>
      <c r="BD313" s="127" t="str">
        <f t="shared" si="213"/>
        <v>1G</v>
      </c>
      <c r="BE313" s="127" t="str">
        <f t="shared" si="214"/>
        <v>1G</v>
      </c>
      <c r="BF313" s="127" t="str">
        <f t="shared" si="215"/>
        <v>1G</v>
      </c>
      <c r="BG313" s="127" t="str">
        <f t="shared" si="216"/>
        <v>2G</v>
      </c>
      <c r="BH313" s="127" t="str">
        <f t="shared" si="217"/>
        <v>3G</v>
      </c>
      <c r="BI313" s="127">
        <f t="shared" si="242"/>
        <v>4</v>
      </c>
      <c r="BJ313" s="127">
        <f t="shared" si="243"/>
        <v>1</v>
      </c>
      <c r="BK313" s="127">
        <f t="shared" si="244"/>
        <v>1</v>
      </c>
      <c r="BL313" s="127" t="str">
        <f t="shared" si="245"/>
        <v>411</v>
      </c>
      <c r="BS313"/>
      <c r="CL313" s="28">
        <v>148</v>
      </c>
      <c r="CM313" s="28">
        <v>140</v>
      </c>
      <c r="CO313"/>
    </row>
    <row r="314" spans="2:93" ht="16.5" hidden="1">
      <c r="B314" s="17">
        <v>310</v>
      </c>
      <c r="C314" s="363" t="s">
        <v>340</v>
      </c>
      <c r="D314" s="18">
        <v>8</v>
      </c>
      <c r="E314" s="20">
        <v>1296713325</v>
      </c>
      <c r="F314" s="18">
        <v>29</v>
      </c>
      <c r="G314" s="20">
        <v>59619004</v>
      </c>
      <c r="H314" s="20">
        <v>1086</v>
      </c>
      <c r="I314" s="20">
        <v>1592036</v>
      </c>
      <c r="J314" s="20">
        <v>53956</v>
      </c>
      <c r="K314" s="20">
        <v>64088</v>
      </c>
      <c r="L314" s="20">
        <v>913906</v>
      </c>
      <c r="M314" s="20">
        <v>5000</v>
      </c>
      <c r="N314" s="167">
        <v>1</v>
      </c>
      <c r="O314" s="167">
        <v>5</v>
      </c>
      <c r="P314" s="167">
        <v>19</v>
      </c>
      <c r="Q314" s="167">
        <v>28</v>
      </c>
      <c r="R314" s="167">
        <v>34</v>
      </c>
      <c r="S314" s="167">
        <v>41</v>
      </c>
      <c r="T314" s="167">
        <v>16</v>
      </c>
      <c r="U314" s="28">
        <f t="shared" si="218"/>
        <v>128</v>
      </c>
      <c r="W314" s="32" t="str">
        <f t="shared" si="246"/>
        <v>홀수</v>
      </c>
      <c r="X314" s="32" t="str">
        <f t="shared" si="247"/>
        <v>홀수</v>
      </c>
      <c r="Y314" s="32" t="str">
        <f t="shared" si="248"/>
        <v>홀수</v>
      </c>
      <c r="Z314" s="32" t="str">
        <f t="shared" si="249"/>
        <v>짝수</v>
      </c>
      <c r="AA314" s="32" t="str">
        <f t="shared" si="250"/>
        <v>짝수</v>
      </c>
      <c r="AB314" s="32" t="str">
        <f t="shared" si="251"/>
        <v>홀수</v>
      </c>
      <c r="AC314" s="58" t="str">
        <f t="shared" si="252"/>
        <v>4 : 2</v>
      </c>
      <c r="AD314" s="32">
        <f t="shared" si="253"/>
        <v>4</v>
      </c>
      <c r="AE314" s="32">
        <f t="shared" si="254"/>
        <v>2</v>
      </c>
      <c r="AF314" s="66" t="str">
        <f t="shared" si="219"/>
        <v>저수</v>
      </c>
      <c r="AG314" s="66" t="str">
        <f t="shared" si="220"/>
        <v>저수</v>
      </c>
      <c r="AH314" s="66" t="str">
        <f t="shared" si="221"/>
        <v>저수</v>
      </c>
      <c r="AI314" s="66" t="str">
        <f t="shared" si="222"/>
        <v>고수</v>
      </c>
      <c r="AJ314" s="66" t="str">
        <f t="shared" si="223"/>
        <v>고수</v>
      </c>
      <c r="AK314" s="66" t="str">
        <f t="shared" si="224"/>
        <v>고수</v>
      </c>
      <c r="AL314" s="58" t="str">
        <f t="shared" si="225"/>
        <v>3 : 3</v>
      </c>
      <c r="AM314" s="66">
        <f t="shared" si="226"/>
        <v>3</v>
      </c>
      <c r="AN314" s="66">
        <f t="shared" si="227"/>
        <v>3</v>
      </c>
      <c r="AO314" s="66">
        <f t="shared" si="228"/>
        <v>28</v>
      </c>
      <c r="AP314" s="66" t="str">
        <f t="shared" si="229"/>
        <v>X</v>
      </c>
      <c r="AQ314" s="66" t="str">
        <f t="shared" si="230"/>
        <v>O</v>
      </c>
      <c r="AR314" s="66" t="str">
        <f t="shared" si="231"/>
        <v>O</v>
      </c>
      <c r="AS314" s="66" t="str">
        <f t="shared" si="232"/>
        <v>X</v>
      </c>
      <c r="AT314" s="66" t="str">
        <f t="shared" si="233"/>
        <v>X</v>
      </c>
      <c r="AU314" s="66" t="str">
        <f t="shared" si="234"/>
        <v>X</v>
      </c>
      <c r="AV314" s="66" t="str">
        <f t="shared" si="235"/>
        <v>X</v>
      </c>
      <c r="AW314" s="66" t="str">
        <f t="shared" si="236"/>
        <v>X</v>
      </c>
      <c r="AX314" s="66" t="str">
        <f t="shared" si="237"/>
        <v>X</v>
      </c>
      <c r="AY314" s="66" t="str">
        <f t="shared" si="238"/>
        <v>X</v>
      </c>
      <c r="AZ314" s="66" t="str">
        <f t="shared" si="239"/>
        <v>X</v>
      </c>
      <c r="BA314" s="66" t="str">
        <f t="shared" si="240"/>
        <v>O</v>
      </c>
      <c r="BB314" s="66">
        <f t="shared" si="241"/>
        <v>3</v>
      </c>
      <c r="BC314" s="127" t="str">
        <f t="shared" si="212"/>
        <v>1G</v>
      </c>
      <c r="BD314" s="127" t="str">
        <f t="shared" si="213"/>
        <v>1G</v>
      </c>
      <c r="BE314" s="127" t="str">
        <f t="shared" si="214"/>
        <v>2G</v>
      </c>
      <c r="BF314" s="127" t="str">
        <f t="shared" si="215"/>
        <v>2G</v>
      </c>
      <c r="BG314" s="127" t="str">
        <f t="shared" si="216"/>
        <v>3G</v>
      </c>
      <c r="BH314" s="127" t="str">
        <f t="shared" si="217"/>
        <v>3G</v>
      </c>
      <c r="BI314" s="127">
        <f t="shared" si="242"/>
        <v>2</v>
      </c>
      <c r="BJ314" s="127">
        <f t="shared" si="243"/>
        <v>2</v>
      </c>
      <c r="BK314" s="127">
        <f t="shared" si="244"/>
        <v>2</v>
      </c>
      <c r="BL314" s="127" t="str">
        <f t="shared" si="245"/>
        <v>222</v>
      </c>
      <c r="BS314"/>
      <c r="CL314" s="28">
        <v>149</v>
      </c>
      <c r="CM314" s="28">
        <v>140</v>
      </c>
      <c r="CO314"/>
    </row>
    <row r="315" spans="2:93" ht="16.5" hidden="1">
      <c r="B315" s="17">
        <v>311</v>
      </c>
      <c r="C315" s="363" t="s">
        <v>341</v>
      </c>
      <c r="D315" s="18">
        <v>8</v>
      </c>
      <c r="E315" s="20">
        <v>1237691063</v>
      </c>
      <c r="F315" s="18">
        <v>43</v>
      </c>
      <c r="G315" s="20">
        <v>38378018</v>
      </c>
      <c r="H315" s="20">
        <v>1363</v>
      </c>
      <c r="I315" s="20">
        <v>1210752</v>
      </c>
      <c r="J315" s="20">
        <v>64780</v>
      </c>
      <c r="K315" s="20">
        <v>50950</v>
      </c>
      <c r="L315" s="20">
        <v>1020412</v>
      </c>
      <c r="M315" s="20">
        <v>5000</v>
      </c>
      <c r="N315" s="167">
        <v>4</v>
      </c>
      <c r="O315" s="167">
        <v>12</v>
      </c>
      <c r="P315" s="167">
        <v>24</v>
      </c>
      <c r="Q315" s="167">
        <v>27</v>
      </c>
      <c r="R315" s="167">
        <v>28</v>
      </c>
      <c r="S315" s="167">
        <v>32</v>
      </c>
      <c r="T315" s="167">
        <v>10</v>
      </c>
      <c r="U315" s="28">
        <f t="shared" si="218"/>
        <v>127</v>
      </c>
      <c r="W315" s="32" t="str">
        <f t="shared" si="246"/>
        <v>짝수</v>
      </c>
      <c r="X315" s="32" t="str">
        <f t="shared" si="247"/>
        <v>짝수</v>
      </c>
      <c r="Y315" s="32" t="str">
        <f t="shared" si="248"/>
        <v>짝수</v>
      </c>
      <c r="Z315" s="32" t="str">
        <f t="shared" si="249"/>
        <v>홀수</v>
      </c>
      <c r="AA315" s="32" t="str">
        <f t="shared" si="250"/>
        <v>짝수</v>
      </c>
      <c r="AB315" s="32" t="str">
        <f t="shared" si="251"/>
        <v>짝수</v>
      </c>
      <c r="AC315" s="58" t="str">
        <f t="shared" si="252"/>
        <v>1 : 5</v>
      </c>
      <c r="AD315" s="32">
        <f t="shared" si="253"/>
        <v>1</v>
      </c>
      <c r="AE315" s="32">
        <f t="shared" si="254"/>
        <v>5</v>
      </c>
      <c r="AF315" s="66" t="str">
        <f t="shared" si="219"/>
        <v>저수</v>
      </c>
      <c r="AG315" s="66" t="str">
        <f t="shared" si="220"/>
        <v>저수</v>
      </c>
      <c r="AH315" s="66" t="str">
        <f t="shared" si="221"/>
        <v>고수</v>
      </c>
      <c r="AI315" s="66" t="str">
        <f t="shared" si="222"/>
        <v>고수</v>
      </c>
      <c r="AJ315" s="66" t="str">
        <f t="shared" si="223"/>
        <v>고수</v>
      </c>
      <c r="AK315" s="66" t="str">
        <f t="shared" si="224"/>
        <v>고수</v>
      </c>
      <c r="AL315" s="58" t="str">
        <f t="shared" si="225"/>
        <v>2 : 4</v>
      </c>
      <c r="AM315" s="66">
        <f t="shared" si="226"/>
        <v>2</v>
      </c>
      <c r="AN315" s="66">
        <f t="shared" si="227"/>
        <v>4</v>
      </c>
      <c r="AO315" s="66">
        <f t="shared" si="228"/>
        <v>27</v>
      </c>
      <c r="AP315" s="66" t="str">
        <f t="shared" si="229"/>
        <v>X</v>
      </c>
      <c r="AQ315" s="66" t="str">
        <f t="shared" si="230"/>
        <v>X</v>
      </c>
      <c r="AR315" s="66" t="str">
        <f t="shared" si="231"/>
        <v>X</v>
      </c>
      <c r="AS315" s="66" t="str">
        <f t="shared" si="232"/>
        <v>X</v>
      </c>
      <c r="AT315" s="66" t="str">
        <f t="shared" si="233"/>
        <v>X</v>
      </c>
      <c r="AU315" s="66" t="str">
        <f t="shared" si="234"/>
        <v>X</v>
      </c>
      <c r="AV315" s="66" t="str">
        <f t="shared" si="235"/>
        <v>X</v>
      </c>
      <c r="AW315" s="66" t="str">
        <f t="shared" si="236"/>
        <v>X</v>
      </c>
      <c r="AX315" s="66" t="str">
        <f t="shared" si="237"/>
        <v>X</v>
      </c>
      <c r="AY315" s="66" t="str">
        <f t="shared" si="238"/>
        <v>X</v>
      </c>
      <c r="AZ315" s="66" t="str">
        <f t="shared" si="239"/>
        <v>X</v>
      </c>
      <c r="BA315" s="66" t="str">
        <f t="shared" si="240"/>
        <v>X</v>
      </c>
      <c r="BB315" s="66">
        <f t="shared" si="241"/>
        <v>0</v>
      </c>
      <c r="BC315" s="127" t="str">
        <f t="shared" si="212"/>
        <v>1G</v>
      </c>
      <c r="BD315" s="127" t="str">
        <f t="shared" si="213"/>
        <v>1G</v>
      </c>
      <c r="BE315" s="127" t="str">
        <f t="shared" si="214"/>
        <v>2G</v>
      </c>
      <c r="BF315" s="127" t="str">
        <f t="shared" si="215"/>
        <v>2G</v>
      </c>
      <c r="BG315" s="127" t="str">
        <f t="shared" si="216"/>
        <v>2G</v>
      </c>
      <c r="BH315" s="127" t="str">
        <f t="shared" si="217"/>
        <v>3G</v>
      </c>
      <c r="BI315" s="127">
        <f t="shared" si="242"/>
        <v>2</v>
      </c>
      <c r="BJ315" s="127">
        <f t="shared" si="243"/>
        <v>3</v>
      </c>
      <c r="BK315" s="127">
        <f t="shared" si="244"/>
        <v>1</v>
      </c>
      <c r="BL315" s="127" t="str">
        <f t="shared" si="245"/>
        <v>231</v>
      </c>
      <c r="BS315"/>
      <c r="CL315" s="28">
        <v>149</v>
      </c>
      <c r="CM315" s="28">
        <v>140</v>
      </c>
      <c r="CO315"/>
    </row>
    <row r="316" spans="2:93" ht="16.5" hidden="1">
      <c r="B316" s="17">
        <v>312</v>
      </c>
      <c r="C316" s="363" t="s">
        <v>342</v>
      </c>
      <c r="D316" s="18">
        <v>15</v>
      </c>
      <c r="E316" s="20">
        <v>629017820</v>
      </c>
      <c r="F316" s="18">
        <v>58</v>
      </c>
      <c r="G316" s="20">
        <v>27112838</v>
      </c>
      <c r="H316" s="20">
        <v>2064</v>
      </c>
      <c r="I316" s="20">
        <v>761892</v>
      </c>
      <c r="J316" s="20">
        <v>91934</v>
      </c>
      <c r="K316" s="20">
        <v>34211</v>
      </c>
      <c r="L316" s="20">
        <v>1080450</v>
      </c>
      <c r="M316" s="20">
        <v>5000</v>
      </c>
      <c r="N316" s="167">
        <v>2</v>
      </c>
      <c r="O316" s="167">
        <v>3</v>
      </c>
      <c r="P316" s="167">
        <v>5</v>
      </c>
      <c r="Q316" s="167">
        <v>6</v>
      </c>
      <c r="R316" s="167">
        <v>12</v>
      </c>
      <c r="S316" s="167">
        <v>20</v>
      </c>
      <c r="T316" s="167">
        <v>25</v>
      </c>
      <c r="U316" s="28">
        <f t="shared" si="218"/>
        <v>48</v>
      </c>
      <c r="W316" s="32" t="str">
        <f t="shared" si="246"/>
        <v>짝수</v>
      </c>
      <c r="X316" s="32" t="str">
        <f t="shared" si="247"/>
        <v>홀수</v>
      </c>
      <c r="Y316" s="32" t="str">
        <f t="shared" si="248"/>
        <v>홀수</v>
      </c>
      <c r="Z316" s="32" t="str">
        <f t="shared" si="249"/>
        <v>짝수</v>
      </c>
      <c r="AA316" s="32" t="str">
        <f t="shared" si="250"/>
        <v>짝수</v>
      </c>
      <c r="AB316" s="32" t="str">
        <f t="shared" si="251"/>
        <v>짝수</v>
      </c>
      <c r="AC316" s="58" t="str">
        <f t="shared" si="252"/>
        <v>2 : 4</v>
      </c>
      <c r="AD316" s="32">
        <f t="shared" si="253"/>
        <v>2</v>
      </c>
      <c r="AE316" s="32">
        <f t="shared" si="254"/>
        <v>4</v>
      </c>
      <c r="AF316" s="66" t="str">
        <f t="shared" si="219"/>
        <v>저수</v>
      </c>
      <c r="AG316" s="66" t="str">
        <f t="shared" si="220"/>
        <v>저수</v>
      </c>
      <c r="AH316" s="66" t="str">
        <f t="shared" si="221"/>
        <v>저수</v>
      </c>
      <c r="AI316" s="66" t="str">
        <f t="shared" si="222"/>
        <v>저수</v>
      </c>
      <c r="AJ316" s="66" t="str">
        <f t="shared" si="223"/>
        <v>저수</v>
      </c>
      <c r="AK316" s="66" t="str">
        <f t="shared" si="224"/>
        <v>저수</v>
      </c>
      <c r="AL316" s="58" t="str">
        <f t="shared" si="225"/>
        <v>6 : 0</v>
      </c>
      <c r="AM316" s="66">
        <f t="shared" si="226"/>
        <v>6</v>
      </c>
      <c r="AN316" s="66">
        <f t="shared" si="227"/>
        <v>0</v>
      </c>
      <c r="AO316" s="66">
        <f t="shared" si="228"/>
        <v>18</v>
      </c>
      <c r="AP316" s="66" t="str">
        <f t="shared" si="229"/>
        <v>O</v>
      </c>
      <c r="AQ316" s="66" t="str">
        <f t="shared" si="230"/>
        <v>O</v>
      </c>
      <c r="AR316" s="66" t="str">
        <f t="shared" si="231"/>
        <v>O</v>
      </c>
      <c r="AS316" s="66" t="str">
        <f t="shared" si="232"/>
        <v>X</v>
      </c>
      <c r="AT316" s="66" t="str">
        <f t="shared" si="233"/>
        <v>X</v>
      </c>
      <c r="AU316" s="66" t="str">
        <f t="shared" si="234"/>
        <v>X</v>
      </c>
      <c r="AV316" s="66" t="str">
        <f t="shared" si="235"/>
        <v>X</v>
      </c>
      <c r="AW316" s="66" t="str">
        <f t="shared" si="236"/>
        <v>X</v>
      </c>
      <c r="AX316" s="66" t="str">
        <f t="shared" si="237"/>
        <v>X</v>
      </c>
      <c r="AY316" s="66" t="str">
        <f t="shared" si="238"/>
        <v>X</v>
      </c>
      <c r="AZ316" s="66" t="str">
        <f t="shared" si="239"/>
        <v>X</v>
      </c>
      <c r="BA316" s="66" t="str">
        <f t="shared" si="240"/>
        <v>X</v>
      </c>
      <c r="BB316" s="66">
        <f t="shared" si="241"/>
        <v>3</v>
      </c>
      <c r="BC316" s="127" t="str">
        <f t="shared" si="212"/>
        <v>1G</v>
      </c>
      <c r="BD316" s="127" t="str">
        <f t="shared" si="213"/>
        <v>1G</v>
      </c>
      <c r="BE316" s="127" t="str">
        <f t="shared" si="214"/>
        <v>1G</v>
      </c>
      <c r="BF316" s="127" t="str">
        <f t="shared" si="215"/>
        <v>1G</v>
      </c>
      <c r="BG316" s="127" t="str">
        <f t="shared" si="216"/>
        <v>1G</v>
      </c>
      <c r="BH316" s="127" t="str">
        <f t="shared" si="217"/>
        <v>2G</v>
      </c>
      <c r="BI316" s="127">
        <f t="shared" si="242"/>
        <v>5</v>
      </c>
      <c r="BJ316" s="127">
        <f t="shared" si="243"/>
        <v>1</v>
      </c>
      <c r="BK316" s="127">
        <f t="shared" si="244"/>
        <v>0</v>
      </c>
      <c r="BL316" s="127" t="str">
        <f t="shared" si="245"/>
        <v>510</v>
      </c>
      <c r="BS316"/>
      <c r="CL316" s="28">
        <v>149</v>
      </c>
      <c r="CM316" s="28">
        <v>140</v>
      </c>
      <c r="CO316"/>
    </row>
    <row r="317" spans="2:93" ht="16.5" hidden="1">
      <c r="B317" s="17">
        <v>313</v>
      </c>
      <c r="C317" s="363" t="s">
        <v>343</v>
      </c>
      <c r="D317" s="18">
        <v>6</v>
      </c>
      <c r="E317" s="20">
        <v>1715422800</v>
      </c>
      <c r="F317" s="18">
        <v>26</v>
      </c>
      <c r="G317" s="20">
        <v>65977800</v>
      </c>
      <c r="H317" s="20">
        <v>1120</v>
      </c>
      <c r="I317" s="20">
        <v>1531628</v>
      </c>
      <c r="J317" s="20">
        <v>55743</v>
      </c>
      <c r="K317" s="20">
        <v>61548</v>
      </c>
      <c r="L317" s="20">
        <v>936364</v>
      </c>
      <c r="M317" s="20">
        <v>5000</v>
      </c>
      <c r="N317" s="167">
        <v>9</v>
      </c>
      <c r="O317" s="167">
        <v>17</v>
      </c>
      <c r="P317" s="167">
        <v>34</v>
      </c>
      <c r="Q317" s="167">
        <v>35</v>
      </c>
      <c r="R317" s="167">
        <v>43</v>
      </c>
      <c r="S317" s="167">
        <v>45</v>
      </c>
      <c r="T317" s="167">
        <v>2</v>
      </c>
      <c r="U317" s="28">
        <f t="shared" si="218"/>
        <v>183</v>
      </c>
      <c r="W317" s="32" t="str">
        <f t="shared" si="246"/>
        <v>홀수</v>
      </c>
      <c r="X317" s="32" t="str">
        <f t="shared" si="247"/>
        <v>홀수</v>
      </c>
      <c r="Y317" s="32" t="str">
        <f t="shared" si="248"/>
        <v>짝수</v>
      </c>
      <c r="Z317" s="32" t="str">
        <f t="shared" si="249"/>
        <v>홀수</v>
      </c>
      <c r="AA317" s="32" t="str">
        <f t="shared" si="250"/>
        <v>홀수</v>
      </c>
      <c r="AB317" s="32" t="str">
        <f t="shared" si="251"/>
        <v>홀수</v>
      </c>
      <c r="AC317" s="58" t="str">
        <f t="shared" si="252"/>
        <v>5 : 1</v>
      </c>
      <c r="AD317" s="32">
        <f t="shared" si="253"/>
        <v>5</v>
      </c>
      <c r="AE317" s="32">
        <f t="shared" si="254"/>
        <v>1</v>
      </c>
      <c r="AF317" s="66" t="str">
        <f t="shared" si="219"/>
        <v>저수</v>
      </c>
      <c r="AG317" s="66" t="str">
        <f t="shared" si="220"/>
        <v>저수</v>
      </c>
      <c r="AH317" s="66" t="str">
        <f t="shared" si="221"/>
        <v>고수</v>
      </c>
      <c r="AI317" s="66" t="str">
        <f t="shared" si="222"/>
        <v>고수</v>
      </c>
      <c r="AJ317" s="66" t="str">
        <f t="shared" si="223"/>
        <v>고수</v>
      </c>
      <c r="AK317" s="66" t="str">
        <f t="shared" si="224"/>
        <v>고수</v>
      </c>
      <c r="AL317" s="58" t="str">
        <f t="shared" si="225"/>
        <v>2 : 4</v>
      </c>
      <c r="AM317" s="66">
        <f t="shared" si="226"/>
        <v>2</v>
      </c>
      <c r="AN317" s="66">
        <f t="shared" si="227"/>
        <v>4</v>
      </c>
      <c r="AO317" s="66">
        <f t="shared" si="228"/>
        <v>33</v>
      </c>
      <c r="AP317" s="66" t="str">
        <f t="shared" si="229"/>
        <v>X</v>
      </c>
      <c r="AQ317" s="66" t="str">
        <f t="shared" si="230"/>
        <v>O</v>
      </c>
      <c r="AR317" s="66" t="str">
        <f t="shared" si="231"/>
        <v>X</v>
      </c>
      <c r="AS317" s="66" t="str">
        <f t="shared" si="232"/>
        <v>X</v>
      </c>
      <c r="AT317" s="66" t="str">
        <f t="shared" si="233"/>
        <v>X</v>
      </c>
      <c r="AU317" s="66" t="str">
        <f t="shared" si="234"/>
        <v>X</v>
      </c>
      <c r="AV317" s="66" t="str">
        <f t="shared" si="235"/>
        <v>X</v>
      </c>
      <c r="AW317" s="66" t="str">
        <f t="shared" si="236"/>
        <v>X</v>
      </c>
      <c r="AX317" s="66" t="str">
        <f t="shared" si="237"/>
        <v>X</v>
      </c>
      <c r="AY317" s="66" t="str">
        <f t="shared" si="238"/>
        <v>X</v>
      </c>
      <c r="AZ317" s="66" t="str">
        <f t="shared" si="239"/>
        <v>O</v>
      </c>
      <c r="BA317" s="66" t="str">
        <f t="shared" si="240"/>
        <v>X</v>
      </c>
      <c r="BB317" s="66">
        <f t="shared" si="241"/>
        <v>2</v>
      </c>
      <c r="BC317" s="127" t="str">
        <f t="shared" si="212"/>
        <v>1G</v>
      </c>
      <c r="BD317" s="127" t="str">
        <f t="shared" si="213"/>
        <v>2G</v>
      </c>
      <c r="BE317" s="127" t="str">
        <f t="shared" si="214"/>
        <v>3G</v>
      </c>
      <c r="BF317" s="127" t="str">
        <f t="shared" si="215"/>
        <v>3G</v>
      </c>
      <c r="BG317" s="127" t="str">
        <f t="shared" si="216"/>
        <v>3G</v>
      </c>
      <c r="BH317" s="127" t="str">
        <f t="shared" si="217"/>
        <v>3G</v>
      </c>
      <c r="BI317" s="127">
        <f t="shared" si="242"/>
        <v>1</v>
      </c>
      <c r="BJ317" s="127">
        <f t="shared" si="243"/>
        <v>1</v>
      </c>
      <c r="BK317" s="127">
        <f t="shared" si="244"/>
        <v>4</v>
      </c>
      <c r="BL317" s="127" t="str">
        <f t="shared" si="245"/>
        <v>114</v>
      </c>
      <c r="BS317"/>
      <c r="CL317" s="28">
        <v>149</v>
      </c>
      <c r="CM317" s="28">
        <v>140</v>
      </c>
      <c r="CO317"/>
    </row>
    <row r="318" spans="2:93" ht="16.5" hidden="1">
      <c r="B318" s="17">
        <v>314</v>
      </c>
      <c r="C318" s="363" t="s">
        <v>344</v>
      </c>
      <c r="D318" s="18">
        <v>6</v>
      </c>
      <c r="E318" s="20">
        <v>1660512200</v>
      </c>
      <c r="F318" s="18">
        <v>24</v>
      </c>
      <c r="G318" s="20">
        <v>69188009</v>
      </c>
      <c r="H318" s="20">
        <v>1067</v>
      </c>
      <c r="I318" s="20">
        <v>1556244</v>
      </c>
      <c r="J318" s="20">
        <v>54892</v>
      </c>
      <c r="K318" s="20">
        <v>60502</v>
      </c>
      <c r="L318" s="20">
        <v>911785</v>
      </c>
      <c r="M318" s="20">
        <v>5000</v>
      </c>
      <c r="N318" s="167">
        <v>15</v>
      </c>
      <c r="O318" s="167">
        <v>17</v>
      </c>
      <c r="P318" s="167">
        <v>19</v>
      </c>
      <c r="Q318" s="167">
        <v>34</v>
      </c>
      <c r="R318" s="167">
        <v>38</v>
      </c>
      <c r="S318" s="167">
        <v>41</v>
      </c>
      <c r="T318" s="167">
        <v>2</v>
      </c>
      <c r="U318" s="28">
        <f t="shared" si="218"/>
        <v>164</v>
      </c>
      <c r="W318" s="32" t="str">
        <f t="shared" si="246"/>
        <v>홀수</v>
      </c>
      <c r="X318" s="32" t="str">
        <f t="shared" si="247"/>
        <v>홀수</v>
      </c>
      <c r="Y318" s="32" t="str">
        <f t="shared" si="248"/>
        <v>홀수</v>
      </c>
      <c r="Z318" s="32" t="str">
        <f t="shared" si="249"/>
        <v>짝수</v>
      </c>
      <c r="AA318" s="32" t="str">
        <f t="shared" si="250"/>
        <v>짝수</v>
      </c>
      <c r="AB318" s="32" t="str">
        <f t="shared" si="251"/>
        <v>홀수</v>
      </c>
      <c r="AC318" s="58" t="str">
        <f t="shared" si="252"/>
        <v>4 : 2</v>
      </c>
      <c r="AD318" s="32">
        <f t="shared" si="253"/>
        <v>4</v>
      </c>
      <c r="AE318" s="32">
        <f t="shared" si="254"/>
        <v>2</v>
      </c>
      <c r="AF318" s="66" t="str">
        <f t="shared" si="219"/>
        <v>저수</v>
      </c>
      <c r="AG318" s="66" t="str">
        <f t="shared" si="220"/>
        <v>저수</v>
      </c>
      <c r="AH318" s="66" t="str">
        <f t="shared" si="221"/>
        <v>저수</v>
      </c>
      <c r="AI318" s="66" t="str">
        <f t="shared" si="222"/>
        <v>고수</v>
      </c>
      <c r="AJ318" s="66" t="str">
        <f t="shared" si="223"/>
        <v>고수</v>
      </c>
      <c r="AK318" s="66" t="str">
        <f t="shared" si="224"/>
        <v>고수</v>
      </c>
      <c r="AL318" s="58" t="str">
        <f t="shared" si="225"/>
        <v>3 : 3</v>
      </c>
      <c r="AM318" s="66">
        <f t="shared" si="226"/>
        <v>3</v>
      </c>
      <c r="AN318" s="66">
        <f t="shared" si="227"/>
        <v>3</v>
      </c>
      <c r="AO318" s="66">
        <f t="shared" si="228"/>
        <v>34</v>
      </c>
      <c r="AP318" s="66" t="str">
        <f t="shared" si="229"/>
        <v>X</v>
      </c>
      <c r="AQ318" s="66" t="str">
        <f t="shared" si="230"/>
        <v>O</v>
      </c>
      <c r="AR318" s="66" t="str">
        <f t="shared" si="231"/>
        <v>O</v>
      </c>
      <c r="AS318" s="66" t="str">
        <f t="shared" si="232"/>
        <v>X</v>
      </c>
      <c r="AT318" s="66" t="str">
        <f t="shared" si="233"/>
        <v>X</v>
      </c>
      <c r="AU318" s="66" t="str">
        <f t="shared" si="234"/>
        <v>X</v>
      </c>
      <c r="AV318" s="66" t="str">
        <f t="shared" si="235"/>
        <v>X</v>
      </c>
      <c r="AW318" s="66" t="str">
        <f t="shared" si="236"/>
        <v>X</v>
      </c>
      <c r="AX318" s="66" t="str">
        <f t="shared" si="237"/>
        <v>X</v>
      </c>
      <c r="AY318" s="66" t="str">
        <f t="shared" si="238"/>
        <v>X</v>
      </c>
      <c r="AZ318" s="66" t="str">
        <f t="shared" si="239"/>
        <v>X</v>
      </c>
      <c r="BA318" s="66" t="str">
        <f t="shared" si="240"/>
        <v>O</v>
      </c>
      <c r="BB318" s="66">
        <f t="shared" si="241"/>
        <v>3</v>
      </c>
      <c r="BC318" s="127" t="str">
        <f t="shared" si="212"/>
        <v>1G</v>
      </c>
      <c r="BD318" s="127" t="str">
        <f t="shared" si="213"/>
        <v>2G</v>
      </c>
      <c r="BE318" s="127" t="str">
        <f t="shared" si="214"/>
        <v>2G</v>
      </c>
      <c r="BF318" s="127" t="str">
        <f t="shared" si="215"/>
        <v>3G</v>
      </c>
      <c r="BG318" s="127" t="str">
        <f t="shared" si="216"/>
        <v>3G</v>
      </c>
      <c r="BH318" s="127" t="str">
        <f t="shared" si="217"/>
        <v>3G</v>
      </c>
      <c r="BI318" s="127">
        <f t="shared" si="242"/>
        <v>1</v>
      </c>
      <c r="BJ318" s="127">
        <f t="shared" si="243"/>
        <v>2</v>
      </c>
      <c r="BK318" s="127">
        <f t="shared" si="244"/>
        <v>3</v>
      </c>
      <c r="BL318" s="127" t="str">
        <f t="shared" si="245"/>
        <v>123</v>
      </c>
      <c r="BS318"/>
      <c r="CL318" s="28">
        <v>150</v>
      </c>
      <c r="CM318" s="28">
        <v>150</v>
      </c>
      <c r="CO318"/>
    </row>
    <row r="319" spans="2:93" ht="16.5" hidden="1">
      <c r="B319" s="17">
        <v>315</v>
      </c>
      <c r="C319" s="363" t="s">
        <v>345</v>
      </c>
      <c r="D319" s="18">
        <v>8</v>
      </c>
      <c r="E319" s="20">
        <v>1308728625</v>
      </c>
      <c r="F319" s="18">
        <v>32</v>
      </c>
      <c r="G319" s="20">
        <v>54530360</v>
      </c>
      <c r="H319" s="20">
        <v>1063</v>
      </c>
      <c r="I319" s="20">
        <v>1641554</v>
      </c>
      <c r="J319" s="20">
        <v>56207</v>
      </c>
      <c r="K319" s="20">
        <v>62091</v>
      </c>
      <c r="L319" s="20">
        <v>943975</v>
      </c>
      <c r="M319" s="20">
        <v>5000</v>
      </c>
      <c r="N319" s="167">
        <v>1</v>
      </c>
      <c r="O319" s="167">
        <v>13</v>
      </c>
      <c r="P319" s="167">
        <v>33</v>
      </c>
      <c r="Q319" s="167">
        <v>35</v>
      </c>
      <c r="R319" s="167">
        <v>43</v>
      </c>
      <c r="S319" s="167">
        <v>45</v>
      </c>
      <c r="T319" s="167">
        <v>23</v>
      </c>
      <c r="U319" s="28">
        <f t="shared" si="218"/>
        <v>170</v>
      </c>
      <c r="W319" s="32" t="str">
        <f t="shared" si="246"/>
        <v>홀수</v>
      </c>
      <c r="X319" s="32" t="str">
        <f t="shared" si="247"/>
        <v>홀수</v>
      </c>
      <c r="Y319" s="32" t="str">
        <f t="shared" si="248"/>
        <v>홀수</v>
      </c>
      <c r="Z319" s="32" t="str">
        <f t="shared" si="249"/>
        <v>홀수</v>
      </c>
      <c r="AA319" s="32" t="str">
        <f t="shared" si="250"/>
        <v>홀수</v>
      </c>
      <c r="AB319" s="32" t="str">
        <f t="shared" si="251"/>
        <v>홀수</v>
      </c>
      <c r="AC319" s="58" t="str">
        <f t="shared" si="252"/>
        <v>6 : 0</v>
      </c>
      <c r="AD319" s="32">
        <f t="shared" si="253"/>
        <v>6</v>
      </c>
      <c r="AE319" s="32">
        <f t="shared" si="254"/>
        <v>0</v>
      </c>
      <c r="AF319" s="66" t="str">
        <f t="shared" si="219"/>
        <v>저수</v>
      </c>
      <c r="AG319" s="66" t="str">
        <f t="shared" si="220"/>
        <v>저수</v>
      </c>
      <c r="AH319" s="66" t="str">
        <f t="shared" si="221"/>
        <v>고수</v>
      </c>
      <c r="AI319" s="66" t="str">
        <f t="shared" si="222"/>
        <v>고수</v>
      </c>
      <c r="AJ319" s="66" t="str">
        <f t="shared" si="223"/>
        <v>고수</v>
      </c>
      <c r="AK319" s="66" t="str">
        <f t="shared" si="224"/>
        <v>고수</v>
      </c>
      <c r="AL319" s="58" t="str">
        <f t="shared" si="225"/>
        <v>2 : 4</v>
      </c>
      <c r="AM319" s="66">
        <f t="shared" si="226"/>
        <v>2</v>
      </c>
      <c r="AN319" s="66">
        <f t="shared" si="227"/>
        <v>4</v>
      </c>
      <c r="AO319" s="66">
        <f t="shared" si="228"/>
        <v>20</v>
      </c>
      <c r="AP319" s="66" t="str">
        <f t="shared" si="229"/>
        <v>X</v>
      </c>
      <c r="AQ319" s="66" t="str">
        <f t="shared" si="230"/>
        <v>O</v>
      </c>
      <c r="AR319" s="66" t="str">
        <f t="shared" si="231"/>
        <v>X</v>
      </c>
      <c r="AS319" s="66" t="str">
        <f t="shared" si="232"/>
        <v>X</v>
      </c>
      <c r="AT319" s="66" t="str">
        <f t="shared" si="233"/>
        <v>X</v>
      </c>
      <c r="AU319" s="66" t="str">
        <f t="shared" si="234"/>
        <v>X</v>
      </c>
      <c r="AV319" s="66" t="str">
        <f t="shared" si="235"/>
        <v>X</v>
      </c>
      <c r="AW319" s="66" t="str">
        <f t="shared" si="236"/>
        <v>X</v>
      </c>
      <c r="AX319" s="66" t="str">
        <f t="shared" si="237"/>
        <v>X</v>
      </c>
      <c r="AY319" s="66" t="str">
        <f t="shared" si="238"/>
        <v>X</v>
      </c>
      <c r="AZ319" s="66" t="str">
        <f t="shared" si="239"/>
        <v>O</v>
      </c>
      <c r="BA319" s="66" t="str">
        <f t="shared" si="240"/>
        <v>X</v>
      </c>
      <c r="BB319" s="66">
        <f t="shared" si="241"/>
        <v>2</v>
      </c>
      <c r="BC319" s="127" t="str">
        <f t="shared" si="212"/>
        <v>1G</v>
      </c>
      <c r="BD319" s="127" t="str">
        <f t="shared" si="213"/>
        <v>1G</v>
      </c>
      <c r="BE319" s="127" t="str">
        <f t="shared" si="214"/>
        <v>3G</v>
      </c>
      <c r="BF319" s="127" t="str">
        <f t="shared" si="215"/>
        <v>3G</v>
      </c>
      <c r="BG319" s="127" t="str">
        <f t="shared" si="216"/>
        <v>3G</v>
      </c>
      <c r="BH319" s="127" t="str">
        <f t="shared" si="217"/>
        <v>3G</v>
      </c>
      <c r="BI319" s="127">
        <f t="shared" si="242"/>
        <v>2</v>
      </c>
      <c r="BJ319" s="127">
        <f t="shared" si="243"/>
        <v>0</v>
      </c>
      <c r="BK319" s="127">
        <f t="shared" si="244"/>
        <v>4</v>
      </c>
      <c r="BL319" s="127" t="str">
        <f t="shared" si="245"/>
        <v>204</v>
      </c>
      <c r="BS319"/>
      <c r="CL319" s="28">
        <v>150</v>
      </c>
      <c r="CM319" s="28">
        <v>150</v>
      </c>
      <c r="CO319"/>
    </row>
    <row r="320" spans="2:93" ht="16.5" hidden="1">
      <c r="B320" s="17">
        <v>316</v>
      </c>
      <c r="C320" s="363" t="s">
        <v>346</v>
      </c>
      <c r="D320" s="18">
        <v>6</v>
      </c>
      <c r="E320" s="20">
        <v>1673586400</v>
      </c>
      <c r="F320" s="18">
        <v>29</v>
      </c>
      <c r="G320" s="20">
        <v>57709876</v>
      </c>
      <c r="H320" s="20">
        <v>1398</v>
      </c>
      <c r="I320" s="20">
        <v>1197130</v>
      </c>
      <c r="J320" s="20">
        <v>68356</v>
      </c>
      <c r="K320" s="20">
        <v>48967</v>
      </c>
      <c r="L320" s="20">
        <v>1060204</v>
      </c>
      <c r="M320" s="20">
        <v>5000</v>
      </c>
      <c r="N320" s="167">
        <v>10</v>
      </c>
      <c r="O320" s="167">
        <v>11</v>
      </c>
      <c r="P320" s="167">
        <v>21</v>
      </c>
      <c r="Q320" s="167">
        <v>27</v>
      </c>
      <c r="R320" s="167">
        <v>31</v>
      </c>
      <c r="S320" s="167">
        <v>39</v>
      </c>
      <c r="T320" s="167">
        <v>43</v>
      </c>
      <c r="U320" s="28">
        <f t="shared" si="218"/>
        <v>139</v>
      </c>
      <c r="W320" s="32" t="str">
        <f t="shared" si="246"/>
        <v>짝수</v>
      </c>
      <c r="X320" s="32" t="str">
        <f t="shared" si="247"/>
        <v>홀수</v>
      </c>
      <c r="Y320" s="32" t="str">
        <f t="shared" si="248"/>
        <v>홀수</v>
      </c>
      <c r="Z320" s="32" t="str">
        <f t="shared" si="249"/>
        <v>홀수</v>
      </c>
      <c r="AA320" s="32" t="str">
        <f t="shared" si="250"/>
        <v>홀수</v>
      </c>
      <c r="AB320" s="32" t="str">
        <f t="shared" si="251"/>
        <v>홀수</v>
      </c>
      <c r="AC320" s="58" t="str">
        <f t="shared" si="252"/>
        <v>5 : 1</v>
      </c>
      <c r="AD320" s="32">
        <f t="shared" si="253"/>
        <v>5</v>
      </c>
      <c r="AE320" s="32">
        <f t="shared" si="254"/>
        <v>1</v>
      </c>
      <c r="AF320" s="66" t="str">
        <f t="shared" si="219"/>
        <v>저수</v>
      </c>
      <c r="AG320" s="66" t="str">
        <f t="shared" si="220"/>
        <v>저수</v>
      </c>
      <c r="AH320" s="66" t="str">
        <f t="shared" si="221"/>
        <v>저수</v>
      </c>
      <c r="AI320" s="66" t="str">
        <f t="shared" si="222"/>
        <v>고수</v>
      </c>
      <c r="AJ320" s="66" t="str">
        <f t="shared" si="223"/>
        <v>고수</v>
      </c>
      <c r="AK320" s="66" t="str">
        <f t="shared" si="224"/>
        <v>고수</v>
      </c>
      <c r="AL320" s="58" t="str">
        <f t="shared" si="225"/>
        <v>3 : 3</v>
      </c>
      <c r="AM320" s="66">
        <f t="shared" si="226"/>
        <v>3</v>
      </c>
      <c r="AN320" s="66">
        <f t="shared" si="227"/>
        <v>3</v>
      </c>
      <c r="AO320" s="66">
        <f t="shared" si="228"/>
        <v>19</v>
      </c>
      <c r="AP320" s="66" t="str">
        <f t="shared" si="229"/>
        <v>X</v>
      </c>
      <c r="AQ320" s="66" t="str">
        <f t="shared" si="230"/>
        <v>O</v>
      </c>
      <c r="AR320" s="66" t="str">
        <f t="shared" si="231"/>
        <v>X</v>
      </c>
      <c r="AS320" s="66" t="str">
        <f t="shared" si="232"/>
        <v>X</v>
      </c>
      <c r="AT320" s="66" t="str">
        <f t="shared" si="233"/>
        <v>X</v>
      </c>
      <c r="AU320" s="66" t="str">
        <f t="shared" si="234"/>
        <v>X</v>
      </c>
      <c r="AV320" s="66" t="str">
        <f t="shared" si="235"/>
        <v>X</v>
      </c>
      <c r="AW320" s="66" t="str">
        <f t="shared" si="236"/>
        <v>X</v>
      </c>
      <c r="AX320" s="66" t="str">
        <f t="shared" si="237"/>
        <v>X</v>
      </c>
      <c r="AY320" s="66" t="str">
        <f t="shared" si="238"/>
        <v>X</v>
      </c>
      <c r="AZ320" s="66" t="str">
        <f t="shared" si="239"/>
        <v>O</v>
      </c>
      <c r="BA320" s="66" t="str">
        <f t="shared" si="240"/>
        <v>X</v>
      </c>
      <c r="BB320" s="66">
        <f t="shared" si="241"/>
        <v>2</v>
      </c>
      <c r="BC320" s="127" t="str">
        <f t="shared" si="212"/>
        <v>1G</v>
      </c>
      <c r="BD320" s="127" t="str">
        <f t="shared" si="213"/>
        <v>1G</v>
      </c>
      <c r="BE320" s="127" t="str">
        <f t="shared" si="214"/>
        <v>2G</v>
      </c>
      <c r="BF320" s="127" t="str">
        <f t="shared" si="215"/>
        <v>2G</v>
      </c>
      <c r="BG320" s="127" t="str">
        <f t="shared" si="216"/>
        <v>3G</v>
      </c>
      <c r="BH320" s="127" t="str">
        <f t="shared" si="217"/>
        <v>3G</v>
      </c>
      <c r="BI320" s="127">
        <f t="shared" si="242"/>
        <v>2</v>
      </c>
      <c r="BJ320" s="127">
        <f t="shared" si="243"/>
        <v>2</v>
      </c>
      <c r="BK320" s="127">
        <f t="shared" si="244"/>
        <v>2</v>
      </c>
      <c r="BL320" s="127" t="str">
        <f t="shared" si="245"/>
        <v>222</v>
      </c>
      <c r="BS320"/>
      <c r="CL320" s="28">
        <v>150</v>
      </c>
      <c r="CM320" s="28">
        <v>150</v>
      </c>
      <c r="CO320"/>
    </row>
    <row r="321" spans="1:93" ht="16.5" hidden="1">
      <c r="B321" s="17">
        <v>317</v>
      </c>
      <c r="C321" s="363" t="s">
        <v>347</v>
      </c>
      <c r="D321" s="18">
        <v>4</v>
      </c>
      <c r="E321" s="20">
        <v>2576258550</v>
      </c>
      <c r="F321" s="18">
        <v>25</v>
      </c>
      <c r="G321" s="20">
        <v>68700228</v>
      </c>
      <c r="H321" s="20">
        <v>1132</v>
      </c>
      <c r="I321" s="20">
        <v>1517232</v>
      </c>
      <c r="J321" s="20">
        <v>57565</v>
      </c>
      <c r="K321" s="20">
        <v>59672</v>
      </c>
      <c r="L321" s="20">
        <v>978500</v>
      </c>
      <c r="M321" s="20">
        <v>5000</v>
      </c>
      <c r="N321" s="167">
        <v>3</v>
      </c>
      <c r="O321" s="167">
        <v>10</v>
      </c>
      <c r="P321" s="167">
        <v>11</v>
      </c>
      <c r="Q321" s="167">
        <v>22</v>
      </c>
      <c r="R321" s="167">
        <v>36</v>
      </c>
      <c r="S321" s="167">
        <v>39</v>
      </c>
      <c r="T321" s="167">
        <v>8</v>
      </c>
      <c r="U321" s="28">
        <f t="shared" si="218"/>
        <v>121</v>
      </c>
      <c r="W321" s="32" t="str">
        <f t="shared" si="246"/>
        <v>홀수</v>
      </c>
      <c r="X321" s="32" t="str">
        <f t="shared" si="247"/>
        <v>짝수</v>
      </c>
      <c r="Y321" s="32" t="str">
        <f t="shared" si="248"/>
        <v>홀수</v>
      </c>
      <c r="Z321" s="32" t="str">
        <f t="shared" si="249"/>
        <v>짝수</v>
      </c>
      <c r="AA321" s="32" t="str">
        <f t="shared" si="250"/>
        <v>짝수</v>
      </c>
      <c r="AB321" s="32" t="str">
        <f t="shared" si="251"/>
        <v>홀수</v>
      </c>
      <c r="AC321" s="58" t="str">
        <f t="shared" si="252"/>
        <v>3 : 3</v>
      </c>
      <c r="AD321" s="32">
        <f t="shared" si="253"/>
        <v>3</v>
      </c>
      <c r="AE321" s="32">
        <f t="shared" si="254"/>
        <v>3</v>
      </c>
      <c r="AF321" s="66" t="str">
        <f t="shared" si="219"/>
        <v>저수</v>
      </c>
      <c r="AG321" s="66" t="str">
        <f t="shared" si="220"/>
        <v>저수</v>
      </c>
      <c r="AH321" s="66" t="str">
        <f t="shared" si="221"/>
        <v>저수</v>
      </c>
      <c r="AI321" s="66" t="str">
        <f t="shared" si="222"/>
        <v>저수</v>
      </c>
      <c r="AJ321" s="66" t="str">
        <f t="shared" si="223"/>
        <v>고수</v>
      </c>
      <c r="AK321" s="66" t="str">
        <f t="shared" si="224"/>
        <v>고수</v>
      </c>
      <c r="AL321" s="58" t="str">
        <f t="shared" si="225"/>
        <v>4 : 2</v>
      </c>
      <c r="AM321" s="66">
        <f t="shared" si="226"/>
        <v>4</v>
      </c>
      <c r="AN321" s="66">
        <f t="shared" si="227"/>
        <v>2</v>
      </c>
      <c r="AO321" s="66">
        <f t="shared" si="228"/>
        <v>21</v>
      </c>
      <c r="AP321" s="66" t="str">
        <f t="shared" si="229"/>
        <v>O</v>
      </c>
      <c r="AQ321" s="66" t="str">
        <f t="shared" si="230"/>
        <v>X</v>
      </c>
      <c r="AR321" s="66" t="str">
        <f t="shared" si="231"/>
        <v>O</v>
      </c>
      <c r="AS321" s="66" t="str">
        <f t="shared" si="232"/>
        <v>X</v>
      </c>
      <c r="AT321" s="66" t="str">
        <f t="shared" si="233"/>
        <v>X</v>
      </c>
      <c r="AU321" s="66" t="str">
        <f t="shared" si="234"/>
        <v>X</v>
      </c>
      <c r="AV321" s="66" t="str">
        <f t="shared" si="235"/>
        <v>X</v>
      </c>
      <c r="AW321" s="66" t="str">
        <f t="shared" si="236"/>
        <v>X</v>
      </c>
      <c r="AX321" s="66" t="str">
        <f t="shared" si="237"/>
        <v>X</v>
      </c>
      <c r="AY321" s="66" t="str">
        <f t="shared" si="238"/>
        <v>X</v>
      </c>
      <c r="AZ321" s="66" t="str">
        <f t="shared" si="239"/>
        <v>X</v>
      </c>
      <c r="BA321" s="66" t="str">
        <f t="shared" si="240"/>
        <v>X</v>
      </c>
      <c r="BB321" s="66">
        <f t="shared" si="241"/>
        <v>2</v>
      </c>
      <c r="BC321" s="127" t="str">
        <f t="shared" si="212"/>
        <v>1G</v>
      </c>
      <c r="BD321" s="127" t="str">
        <f t="shared" si="213"/>
        <v>1G</v>
      </c>
      <c r="BE321" s="127" t="str">
        <f t="shared" si="214"/>
        <v>1G</v>
      </c>
      <c r="BF321" s="127" t="str">
        <f t="shared" si="215"/>
        <v>2G</v>
      </c>
      <c r="BG321" s="127" t="str">
        <f t="shared" si="216"/>
        <v>3G</v>
      </c>
      <c r="BH321" s="127" t="str">
        <f t="shared" si="217"/>
        <v>3G</v>
      </c>
      <c r="BI321" s="127">
        <f t="shared" si="242"/>
        <v>3</v>
      </c>
      <c r="BJ321" s="127">
        <f t="shared" si="243"/>
        <v>1</v>
      </c>
      <c r="BK321" s="127">
        <f t="shared" si="244"/>
        <v>2</v>
      </c>
      <c r="BL321" s="127" t="str">
        <f t="shared" si="245"/>
        <v>312</v>
      </c>
      <c r="BS321"/>
      <c r="CL321" s="28">
        <v>150</v>
      </c>
      <c r="CM321" s="28">
        <v>150</v>
      </c>
      <c r="CO321"/>
    </row>
    <row r="322" spans="1:93" ht="16.5" hidden="1">
      <c r="A322" s="18">
        <v>2009</v>
      </c>
      <c r="B322" s="17">
        <v>318</v>
      </c>
      <c r="C322" s="363" t="s">
        <v>348</v>
      </c>
      <c r="D322" s="18">
        <v>9</v>
      </c>
      <c r="E322" s="20">
        <v>1207436600</v>
      </c>
      <c r="F322" s="18">
        <v>28</v>
      </c>
      <c r="G322" s="20">
        <v>64684104</v>
      </c>
      <c r="H322" s="20">
        <v>1381</v>
      </c>
      <c r="I322" s="20">
        <v>1311481</v>
      </c>
      <c r="J322" s="20">
        <v>64077</v>
      </c>
      <c r="K322" s="20">
        <v>56531</v>
      </c>
      <c r="L322" s="20">
        <v>1044063</v>
      </c>
      <c r="M322" s="20">
        <v>5000</v>
      </c>
      <c r="N322" s="167">
        <v>2</v>
      </c>
      <c r="O322" s="167">
        <v>17</v>
      </c>
      <c r="P322" s="167">
        <v>19</v>
      </c>
      <c r="Q322" s="167">
        <v>20</v>
      </c>
      <c r="R322" s="167">
        <v>34</v>
      </c>
      <c r="S322" s="167">
        <v>45</v>
      </c>
      <c r="T322" s="167">
        <v>21</v>
      </c>
      <c r="U322" s="28">
        <f t="shared" si="218"/>
        <v>137</v>
      </c>
      <c r="W322" s="32" t="str">
        <f t="shared" si="246"/>
        <v>짝수</v>
      </c>
      <c r="X322" s="32" t="str">
        <f t="shared" si="247"/>
        <v>홀수</v>
      </c>
      <c r="Y322" s="32" t="str">
        <f t="shared" si="248"/>
        <v>홀수</v>
      </c>
      <c r="Z322" s="32" t="str">
        <f t="shared" si="249"/>
        <v>짝수</v>
      </c>
      <c r="AA322" s="32" t="str">
        <f t="shared" si="250"/>
        <v>짝수</v>
      </c>
      <c r="AB322" s="32" t="str">
        <f t="shared" si="251"/>
        <v>홀수</v>
      </c>
      <c r="AC322" s="58" t="str">
        <f t="shared" si="252"/>
        <v>3 : 3</v>
      </c>
      <c r="AD322" s="32">
        <f t="shared" si="253"/>
        <v>3</v>
      </c>
      <c r="AE322" s="32">
        <f t="shared" si="254"/>
        <v>3</v>
      </c>
      <c r="AF322" s="66" t="str">
        <f t="shared" si="219"/>
        <v>저수</v>
      </c>
      <c r="AG322" s="66" t="str">
        <f t="shared" si="220"/>
        <v>저수</v>
      </c>
      <c r="AH322" s="66" t="str">
        <f t="shared" si="221"/>
        <v>저수</v>
      </c>
      <c r="AI322" s="66" t="str">
        <f t="shared" si="222"/>
        <v>저수</v>
      </c>
      <c r="AJ322" s="66" t="str">
        <f t="shared" si="223"/>
        <v>고수</v>
      </c>
      <c r="AK322" s="66" t="str">
        <f t="shared" si="224"/>
        <v>고수</v>
      </c>
      <c r="AL322" s="58" t="str">
        <f t="shared" si="225"/>
        <v>4 : 2</v>
      </c>
      <c r="AM322" s="66">
        <f t="shared" si="226"/>
        <v>4</v>
      </c>
      <c r="AN322" s="66">
        <f t="shared" si="227"/>
        <v>2</v>
      </c>
      <c r="AO322" s="66">
        <f t="shared" si="228"/>
        <v>27</v>
      </c>
      <c r="AP322" s="66" t="str">
        <f t="shared" si="229"/>
        <v>O</v>
      </c>
      <c r="AQ322" s="66" t="str">
        <f t="shared" si="230"/>
        <v>O</v>
      </c>
      <c r="AR322" s="66" t="str">
        <f t="shared" si="231"/>
        <v>O</v>
      </c>
      <c r="AS322" s="66" t="str">
        <f t="shared" si="232"/>
        <v>X</v>
      </c>
      <c r="AT322" s="66" t="str">
        <f t="shared" si="233"/>
        <v>X</v>
      </c>
      <c r="AU322" s="66" t="str">
        <f t="shared" si="234"/>
        <v>X</v>
      </c>
      <c r="AV322" s="66" t="str">
        <f t="shared" si="235"/>
        <v>X</v>
      </c>
      <c r="AW322" s="66" t="str">
        <f t="shared" si="236"/>
        <v>X</v>
      </c>
      <c r="AX322" s="66" t="str">
        <f t="shared" si="237"/>
        <v>X</v>
      </c>
      <c r="AY322" s="66" t="str">
        <f t="shared" si="238"/>
        <v>X</v>
      </c>
      <c r="AZ322" s="66" t="str">
        <f t="shared" si="239"/>
        <v>X</v>
      </c>
      <c r="BA322" s="66" t="str">
        <f t="shared" si="240"/>
        <v>X</v>
      </c>
      <c r="BB322" s="66">
        <f t="shared" si="241"/>
        <v>3</v>
      </c>
      <c r="BC322" s="127" t="str">
        <f t="shared" si="212"/>
        <v>1G</v>
      </c>
      <c r="BD322" s="127" t="str">
        <f t="shared" si="213"/>
        <v>2G</v>
      </c>
      <c r="BE322" s="127" t="str">
        <f t="shared" si="214"/>
        <v>2G</v>
      </c>
      <c r="BF322" s="127" t="str">
        <f t="shared" si="215"/>
        <v>2G</v>
      </c>
      <c r="BG322" s="127" t="str">
        <f t="shared" si="216"/>
        <v>3G</v>
      </c>
      <c r="BH322" s="127" t="str">
        <f t="shared" si="217"/>
        <v>3G</v>
      </c>
      <c r="BI322" s="127">
        <f t="shared" si="242"/>
        <v>1</v>
      </c>
      <c r="BJ322" s="127">
        <f t="shared" si="243"/>
        <v>3</v>
      </c>
      <c r="BK322" s="127">
        <f t="shared" si="244"/>
        <v>2</v>
      </c>
      <c r="BL322" s="127" t="str">
        <f t="shared" si="245"/>
        <v>132</v>
      </c>
      <c r="BS322"/>
      <c r="CL322" s="28">
        <v>150</v>
      </c>
      <c r="CM322" s="28">
        <v>150</v>
      </c>
      <c r="CO322"/>
    </row>
    <row r="323" spans="1:93" ht="16.5" hidden="1">
      <c r="B323" s="17">
        <v>319</v>
      </c>
      <c r="C323" s="363" t="s">
        <v>349</v>
      </c>
      <c r="D323" s="18">
        <v>5</v>
      </c>
      <c r="E323" s="20">
        <v>2135659380</v>
      </c>
      <c r="F323" s="18">
        <v>26</v>
      </c>
      <c r="G323" s="20">
        <v>68450622</v>
      </c>
      <c r="H323" s="20">
        <v>1151</v>
      </c>
      <c r="I323" s="20">
        <v>1546235</v>
      </c>
      <c r="J323" s="20">
        <v>59490</v>
      </c>
      <c r="K323" s="20">
        <v>59833</v>
      </c>
      <c r="L323" s="20">
        <v>984086</v>
      </c>
      <c r="M323" s="20">
        <v>5000</v>
      </c>
      <c r="N323" s="167">
        <v>5</v>
      </c>
      <c r="O323" s="167">
        <v>8</v>
      </c>
      <c r="P323" s="167">
        <v>22</v>
      </c>
      <c r="Q323" s="167">
        <v>28</v>
      </c>
      <c r="R323" s="167">
        <v>33</v>
      </c>
      <c r="S323" s="167">
        <v>42</v>
      </c>
      <c r="T323" s="167">
        <v>37</v>
      </c>
      <c r="U323" s="28">
        <f t="shared" si="218"/>
        <v>138</v>
      </c>
      <c r="W323" s="32" t="str">
        <f t="shared" si="246"/>
        <v>홀수</v>
      </c>
      <c r="X323" s="32" t="str">
        <f t="shared" si="247"/>
        <v>짝수</v>
      </c>
      <c r="Y323" s="32" t="str">
        <f t="shared" si="248"/>
        <v>짝수</v>
      </c>
      <c r="Z323" s="32" t="str">
        <f t="shared" si="249"/>
        <v>짝수</v>
      </c>
      <c r="AA323" s="32" t="str">
        <f t="shared" si="250"/>
        <v>홀수</v>
      </c>
      <c r="AB323" s="32" t="str">
        <f t="shared" si="251"/>
        <v>짝수</v>
      </c>
      <c r="AC323" s="58" t="str">
        <f t="shared" si="252"/>
        <v>2 : 4</v>
      </c>
      <c r="AD323" s="32">
        <f t="shared" si="253"/>
        <v>2</v>
      </c>
      <c r="AE323" s="32">
        <f t="shared" si="254"/>
        <v>4</v>
      </c>
      <c r="AF323" s="66" t="str">
        <f t="shared" si="219"/>
        <v>저수</v>
      </c>
      <c r="AG323" s="66" t="str">
        <f t="shared" si="220"/>
        <v>저수</v>
      </c>
      <c r="AH323" s="66" t="str">
        <f t="shared" si="221"/>
        <v>저수</v>
      </c>
      <c r="AI323" s="66" t="str">
        <f t="shared" si="222"/>
        <v>고수</v>
      </c>
      <c r="AJ323" s="66" t="str">
        <f t="shared" si="223"/>
        <v>고수</v>
      </c>
      <c r="AK323" s="66" t="str">
        <f t="shared" si="224"/>
        <v>고수</v>
      </c>
      <c r="AL323" s="58" t="str">
        <f t="shared" si="225"/>
        <v>3 : 3</v>
      </c>
      <c r="AM323" s="66">
        <f t="shared" si="226"/>
        <v>3</v>
      </c>
      <c r="AN323" s="66">
        <f t="shared" si="227"/>
        <v>3</v>
      </c>
      <c r="AO323" s="66">
        <f t="shared" si="228"/>
        <v>28</v>
      </c>
      <c r="AP323" s="66" t="str">
        <f t="shared" si="229"/>
        <v>O</v>
      </c>
      <c r="AQ323" s="66" t="str">
        <f t="shared" si="230"/>
        <v>X</v>
      </c>
      <c r="AR323" s="66" t="str">
        <f t="shared" si="231"/>
        <v>X</v>
      </c>
      <c r="AS323" s="66" t="str">
        <f t="shared" si="232"/>
        <v>X</v>
      </c>
      <c r="AT323" s="66" t="str">
        <f t="shared" si="233"/>
        <v>X</v>
      </c>
      <c r="AU323" s="66" t="str">
        <f t="shared" si="234"/>
        <v>X</v>
      </c>
      <c r="AV323" s="66" t="str">
        <f t="shared" si="235"/>
        <v>X</v>
      </c>
      <c r="AW323" s="66" t="str">
        <f t="shared" si="236"/>
        <v>X</v>
      </c>
      <c r="AX323" s="66" t="str">
        <f t="shared" si="237"/>
        <v>X</v>
      </c>
      <c r="AY323" s="66" t="str">
        <f t="shared" si="238"/>
        <v>X</v>
      </c>
      <c r="AZ323" s="66" t="str">
        <f t="shared" si="239"/>
        <v>X</v>
      </c>
      <c r="BA323" s="66" t="str">
        <f t="shared" si="240"/>
        <v>X</v>
      </c>
      <c r="BB323" s="66">
        <f t="shared" si="241"/>
        <v>1</v>
      </c>
      <c r="BC323" s="127" t="str">
        <f t="shared" si="212"/>
        <v>1G</v>
      </c>
      <c r="BD323" s="127" t="str">
        <f t="shared" si="213"/>
        <v>1G</v>
      </c>
      <c r="BE323" s="127" t="str">
        <f t="shared" si="214"/>
        <v>2G</v>
      </c>
      <c r="BF323" s="127" t="str">
        <f t="shared" si="215"/>
        <v>2G</v>
      </c>
      <c r="BG323" s="127" t="str">
        <f t="shared" si="216"/>
        <v>3G</v>
      </c>
      <c r="BH323" s="127" t="str">
        <f t="shared" si="217"/>
        <v>3G</v>
      </c>
      <c r="BI323" s="127">
        <f t="shared" si="242"/>
        <v>2</v>
      </c>
      <c r="BJ323" s="127">
        <f t="shared" si="243"/>
        <v>2</v>
      </c>
      <c r="BK323" s="127">
        <f t="shared" si="244"/>
        <v>2</v>
      </c>
      <c r="BL323" s="127" t="str">
        <f t="shared" si="245"/>
        <v>222</v>
      </c>
      <c r="BS323"/>
      <c r="CL323" s="28">
        <v>151</v>
      </c>
      <c r="CM323" s="28">
        <v>150</v>
      </c>
      <c r="CO323"/>
    </row>
    <row r="324" spans="1:93" ht="16.5" hidden="1">
      <c r="B324" s="17">
        <v>320</v>
      </c>
      <c r="C324" s="363" t="s">
        <v>350</v>
      </c>
      <c r="D324" s="18">
        <v>2</v>
      </c>
      <c r="E324" s="20">
        <v>5513067900</v>
      </c>
      <c r="F324" s="18">
        <v>25</v>
      </c>
      <c r="G324" s="20">
        <v>73507572</v>
      </c>
      <c r="H324" s="20">
        <v>1081</v>
      </c>
      <c r="I324" s="20">
        <v>1699991</v>
      </c>
      <c r="J324" s="20">
        <v>57061</v>
      </c>
      <c r="K324" s="20">
        <v>64412</v>
      </c>
      <c r="L324" s="20">
        <v>990610</v>
      </c>
      <c r="M324" s="20">
        <v>5000</v>
      </c>
      <c r="N324" s="167">
        <v>16</v>
      </c>
      <c r="O324" s="167">
        <v>19</v>
      </c>
      <c r="P324" s="167">
        <v>23</v>
      </c>
      <c r="Q324" s="167">
        <v>25</v>
      </c>
      <c r="R324" s="167">
        <v>41</v>
      </c>
      <c r="S324" s="167">
        <v>45</v>
      </c>
      <c r="T324" s="167">
        <v>3</v>
      </c>
      <c r="U324" s="28">
        <f t="shared" si="218"/>
        <v>169</v>
      </c>
      <c r="W324" s="32" t="str">
        <f t="shared" si="246"/>
        <v>짝수</v>
      </c>
      <c r="X324" s="32" t="str">
        <f t="shared" si="247"/>
        <v>홀수</v>
      </c>
      <c r="Y324" s="32" t="str">
        <f t="shared" si="248"/>
        <v>홀수</v>
      </c>
      <c r="Z324" s="32" t="str">
        <f t="shared" si="249"/>
        <v>홀수</v>
      </c>
      <c r="AA324" s="32" t="str">
        <f t="shared" si="250"/>
        <v>홀수</v>
      </c>
      <c r="AB324" s="32" t="str">
        <f t="shared" si="251"/>
        <v>홀수</v>
      </c>
      <c r="AC324" s="58" t="str">
        <f t="shared" si="252"/>
        <v>5 : 1</v>
      </c>
      <c r="AD324" s="32">
        <f t="shared" si="253"/>
        <v>5</v>
      </c>
      <c r="AE324" s="32">
        <f t="shared" si="254"/>
        <v>1</v>
      </c>
      <c r="AF324" s="66" t="str">
        <f t="shared" si="219"/>
        <v>저수</v>
      </c>
      <c r="AG324" s="66" t="str">
        <f t="shared" si="220"/>
        <v>저수</v>
      </c>
      <c r="AH324" s="66" t="str">
        <f t="shared" si="221"/>
        <v>고수</v>
      </c>
      <c r="AI324" s="66" t="str">
        <f t="shared" si="222"/>
        <v>고수</v>
      </c>
      <c r="AJ324" s="66" t="str">
        <f t="shared" si="223"/>
        <v>고수</v>
      </c>
      <c r="AK324" s="66" t="str">
        <f t="shared" si="224"/>
        <v>고수</v>
      </c>
      <c r="AL324" s="58" t="str">
        <f t="shared" si="225"/>
        <v>2 : 4</v>
      </c>
      <c r="AM324" s="66">
        <f t="shared" si="226"/>
        <v>2</v>
      </c>
      <c r="AN324" s="66">
        <f t="shared" si="227"/>
        <v>4</v>
      </c>
      <c r="AO324" s="66">
        <f t="shared" si="228"/>
        <v>29</v>
      </c>
      <c r="AP324" s="66" t="str">
        <f t="shared" si="229"/>
        <v>X</v>
      </c>
      <c r="AQ324" s="66" t="str">
        <f t="shared" si="230"/>
        <v>O</v>
      </c>
      <c r="AR324" s="66" t="str">
        <f t="shared" si="231"/>
        <v>X</v>
      </c>
      <c r="AS324" s="66" t="str">
        <f t="shared" si="232"/>
        <v>X</v>
      </c>
      <c r="AT324" s="66" t="str">
        <f t="shared" si="233"/>
        <v>X</v>
      </c>
      <c r="AU324" s="66" t="str">
        <f t="shared" si="234"/>
        <v>X</v>
      </c>
      <c r="AV324" s="66" t="str">
        <f t="shared" si="235"/>
        <v>X</v>
      </c>
      <c r="AW324" s="66" t="str">
        <f t="shared" si="236"/>
        <v>X</v>
      </c>
      <c r="AX324" s="66" t="str">
        <f t="shared" si="237"/>
        <v>O</v>
      </c>
      <c r="AY324" s="66" t="str">
        <f t="shared" si="238"/>
        <v>X</v>
      </c>
      <c r="AZ324" s="66" t="str">
        <f t="shared" si="239"/>
        <v>O</v>
      </c>
      <c r="BA324" s="66" t="str">
        <f t="shared" si="240"/>
        <v>X</v>
      </c>
      <c r="BB324" s="66">
        <f t="shared" si="241"/>
        <v>3</v>
      </c>
      <c r="BC324" s="127" t="str">
        <f t="shared" si="212"/>
        <v>2G</v>
      </c>
      <c r="BD324" s="127" t="str">
        <f t="shared" si="213"/>
        <v>2G</v>
      </c>
      <c r="BE324" s="127" t="str">
        <f t="shared" si="214"/>
        <v>2G</v>
      </c>
      <c r="BF324" s="127" t="str">
        <f t="shared" si="215"/>
        <v>2G</v>
      </c>
      <c r="BG324" s="127" t="str">
        <f t="shared" si="216"/>
        <v>3G</v>
      </c>
      <c r="BH324" s="127" t="str">
        <f t="shared" si="217"/>
        <v>3G</v>
      </c>
      <c r="BI324" s="127">
        <f t="shared" si="242"/>
        <v>0</v>
      </c>
      <c r="BJ324" s="127">
        <f t="shared" si="243"/>
        <v>4</v>
      </c>
      <c r="BK324" s="127">
        <f t="shared" si="244"/>
        <v>2</v>
      </c>
      <c r="BL324" s="127" t="str">
        <f t="shared" si="245"/>
        <v>042</v>
      </c>
      <c r="BS324"/>
      <c r="CL324" s="28">
        <v>151</v>
      </c>
      <c r="CM324" s="28">
        <v>150</v>
      </c>
      <c r="CO324"/>
    </row>
    <row r="325" spans="1:93" ht="16.5" hidden="1">
      <c r="B325" s="17">
        <v>321</v>
      </c>
      <c r="C325" s="363" t="s">
        <v>351</v>
      </c>
      <c r="D325" s="18">
        <v>6</v>
      </c>
      <c r="E325" s="20">
        <v>1959136100</v>
      </c>
      <c r="F325" s="18">
        <v>35</v>
      </c>
      <c r="G325" s="20">
        <v>55975318</v>
      </c>
      <c r="H325" s="20">
        <v>1276</v>
      </c>
      <c r="I325" s="20">
        <v>1535374</v>
      </c>
      <c r="J325" s="20">
        <v>68791</v>
      </c>
      <c r="K325" s="20">
        <v>56960</v>
      </c>
      <c r="L325" s="20">
        <v>1143526</v>
      </c>
      <c r="M325" s="20">
        <v>5000</v>
      </c>
      <c r="N325" s="167">
        <v>12</v>
      </c>
      <c r="O325" s="167">
        <v>18</v>
      </c>
      <c r="P325" s="167">
        <v>20</v>
      </c>
      <c r="Q325" s="167">
        <v>21</v>
      </c>
      <c r="R325" s="167">
        <v>25</v>
      </c>
      <c r="S325" s="167">
        <v>34</v>
      </c>
      <c r="T325" s="167">
        <v>42</v>
      </c>
      <c r="U325" s="28">
        <f t="shared" si="218"/>
        <v>130</v>
      </c>
      <c r="W325" s="32" t="str">
        <f t="shared" si="246"/>
        <v>짝수</v>
      </c>
      <c r="X325" s="32" t="str">
        <f t="shared" si="247"/>
        <v>짝수</v>
      </c>
      <c r="Y325" s="32" t="str">
        <f t="shared" si="248"/>
        <v>짝수</v>
      </c>
      <c r="Z325" s="32" t="str">
        <f t="shared" si="249"/>
        <v>홀수</v>
      </c>
      <c r="AA325" s="32" t="str">
        <f t="shared" si="250"/>
        <v>홀수</v>
      </c>
      <c r="AB325" s="32" t="str">
        <f t="shared" si="251"/>
        <v>짝수</v>
      </c>
      <c r="AC325" s="58" t="str">
        <f t="shared" si="252"/>
        <v>2 : 4</v>
      </c>
      <c r="AD325" s="32">
        <f t="shared" si="253"/>
        <v>2</v>
      </c>
      <c r="AE325" s="32">
        <f t="shared" si="254"/>
        <v>4</v>
      </c>
      <c r="AF325" s="66" t="str">
        <f t="shared" si="219"/>
        <v>저수</v>
      </c>
      <c r="AG325" s="66" t="str">
        <f t="shared" si="220"/>
        <v>저수</v>
      </c>
      <c r="AH325" s="66" t="str">
        <f t="shared" si="221"/>
        <v>저수</v>
      </c>
      <c r="AI325" s="66" t="str">
        <f t="shared" si="222"/>
        <v>저수</v>
      </c>
      <c r="AJ325" s="66" t="str">
        <f t="shared" si="223"/>
        <v>고수</v>
      </c>
      <c r="AK325" s="66" t="str">
        <f t="shared" si="224"/>
        <v>고수</v>
      </c>
      <c r="AL325" s="58" t="str">
        <f t="shared" si="225"/>
        <v>4 : 2</v>
      </c>
      <c r="AM325" s="66">
        <f t="shared" si="226"/>
        <v>4</v>
      </c>
      <c r="AN325" s="66">
        <f t="shared" si="227"/>
        <v>2</v>
      </c>
      <c r="AO325" s="66">
        <f t="shared" si="228"/>
        <v>20</v>
      </c>
      <c r="AP325" s="66" t="str">
        <f t="shared" si="229"/>
        <v>X</v>
      </c>
      <c r="AQ325" s="66" t="str">
        <f t="shared" si="230"/>
        <v>X</v>
      </c>
      <c r="AR325" s="66" t="str">
        <f t="shared" si="231"/>
        <v>X</v>
      </c>
      <c r="AS325" s="66" t="str">
        <f t="shared" si="232"/>
        <v>X</v>
      </c>
      <c r="AT325" s="66" t="str">
        <f t="shared" si="233"/>
        <v>X</v>
      </c>
      <c r="AU325" s="66" t="str">
        <f t="shared" si="234"/>
        <v>X</v>
      </c>
      <c r="AV325" s="66" t="str">
        <f t="shared" si="235"/>
        <v>X</v>
      </c>
      <c r="AW325" s="66" t="str">
        <f t="shared" si="236"/>
        <v>X</v>
      </c>
      <c r="AX325" s="66" t="str">
        <f t="shared" si="237"/>
        <v>X</v>
      </c>
      <c r="AY325" s="66" t="str">
        <f t="shared" si="238"/>
        <v>X</v>
      </c>
      <c r="AZ325" s="66" t="str">
        <f t="shared" si="239"/>
        <v>X</v>
      </c>
      <c r="BA325" s="66" t="str">
        <f t="shared" si="240"/>
        <v>X</v>
      </c>
      <c r="BB325" s="66">
        <f t="shared" si="241"/>
        <v>0</v>
      </c>
      <c r="BC325" s="127" t="str">
        <f t="shared" ref="BC325:BC388" si="255">VLOOKUP(N325,삼그룹,6,FALSE)</f>
        <v>1G</v>
      </c>
      <c r="BD325" s="127" t="str">
        <f t="shared" ref="BD325:BD388" si="256">VLOOKUP(O325,삼그룹,6,FALSE)</f>
        <v>2G</v>
      </c>
      <c r="BE325" s="127" t="str">
        <f t="shared" ref="BE325:BE388" si="257">VLOOKUP(P325,삼그룹,6,FALSE)</f>
        <v>2G</v>
      </c>
      <c r="BF325" s="127" t="str">
        <f t="shared" ref="BF325:BF388" si="258">VLOOKUP(Q325,삼그룹,6,FALSE)</f>
        <v>2G</v>
      </c>
      <c r="BG325" s="127" t="str">
        <f t="shared" ref="BG325:BG388" si="259">VLOOKUP(R325,삼그룹,6,FALSE)</f>
        <v>2G</v>
      </c>
      <c r="BH325" s="127" t="str">
        <f t="shared" ref="BH325:BH388" si="260">VLOOKUP(S325,삼그룹,6,FALSE)</f>
        <v>3G</v>
      </c>
      <c r="BI325" s="127">
        <f t="shared" si="242"/>
        <v>1</v>
      </c>
      <c r="BJ325" s="127">
        <f t="shared" si="243"/>
        <v>4</v>
      </c>
      <c r="BK325" s="127">
        <f t="shared" si="244"/>
        <v>1</v>
      </c>
      <c r="BL325" s="127" t="str">
        <f t="shared" si="245"/>
        <v>141</v>
      </c>
      <c r="BS325"/>
      <c r="CL325" s="28">
        <v>151</v>
      </c>
      <c r="CM325" s="28">
        <v>150</v>
      </c>
      <c r="CO325"/>
    </row>
    <row r="326" spans="1:93" ht="16.5" hidden="1">
      <c r="B326" s="17">
        <v>322</v>
      </c>
      <c r="C326" s="363" t="s">
        <v>352</v>
      </c>
      <c r="D326" s="18">
        <v>6</v>
      </c>
      <c r="E326" s="20">
        <v>1904544700</v>
      </c>
      <c r="F326" s="18">
        <v>29</v>
      </c>
      <c r="G326" s="20">
        <v>65673956</v>
      </c>
      <c r="H326" s="20">
        <v>1465</v>
      </c>
      <c r="I326" s="20">
        <v>1300031</v>
      </c>
      <c r="J326" s="20">
        <v>67829</v>
      </c>
      <c r="K326" s="20">
        <v>56158</v>
      </c>
      <c r="L326" s="20">
        <v>1085740</v>
      </c>
      <c r="M326" s="20">
        <v>5000</v>
      </c>
      <c r="N326" s="167">
        <v>9</v>
      </c>
      <c r="O326" s="167">
        <v>18</v>
      </c>
      <c r="P326" s="167">
        <v>29</v>
      </c>
      <c r="Q326" s="167">
        <v>32</v>
      </c>
      <c r="R326" s="167">
        <v>38</v>
      </c>
      <c r="S326" s="167">
        <v>43</v>
      </c>
      <c r="T326" s="167">
        <v>20</v>
      </c>
      <c r="U326" s="28">
        <f t="shared" ref="U326:U389" si="261">SUM(N326:S326)</f>
        <v>169</v>
      </c>
      <c r="W326" s="32" t="str">
        <f t="shared" si="246"/>
        <v>홀수</v>
      </c>
      <c r="X326" s="32" t="str">
        <f t="shared" si="247"/>
        <v>짝수</v>
      </c>
      <c r="Y326" s="32" t="str">
        <f t="shared" si="248"/>
        <v>홀수</v>
      </c>
      <c r="Z326" s="32" t="str">
        <f t="shared" si="249"/>
        <v>짝수</v>
      </c>
      <c r="AA326" s="32" t="str">
        <f t="shared" si="250"/>
        <v>짝수</v>
      </c>
      <c r="AB326" s="32" t="str">
        <f t="shared" si="251"/>
        <v>홀수</v>
      </c>
      <c r="AC326" s="58" t="str">
        <f t="shared" si="252"/>
        <v>3 : 3</v>
      </c>
      <c r="AD326" s="32">
        <f t="shared" si="253"/>
        <v>3</v>
      </c>
      <c r="AE326" s="32">
        <f t="shared" si="254"/>
        <v>3</v>
      </c>
      <c r="AF326" s="66" t="str">
        <f t="shared" ref="AF326:AF389" si="262">IF(N326&lt;23,"저수","고수")</f>
        <v>저수</v>
      </c>
      <c r="AG326" s="66" t="str">
        <f t="shared" ref="AG326:AG389" si="263">IF(O326&lt;23,"저수","고수")</f>
        <v>저수</v>
      </c>
      <c r="AH326" s="66" t="str">
        <f t="shared" ref="AH326:AH389" si="264">IF(P326&lt;23,"저수","고수")</f>
        <v>고수</v>
      </c>
      <c r="AI326" s="66" t="str">
        <f t="shared" ref="AI326:AI389" si="265">IF(Q326&lt;23,"저수","고수")</f>
        <v>고수</v>
      </c>
      <c r="AJ326" s="66" t="str">
        <f t="shared" ref="AJ326:AJ389" si="266">IF(R326&lt;23,"저수","고수")</f>
        <v>고수</v>
      </c>
      <c r="AK326" s="66" t="str">
        <f t="shared" ref="AK326:AK389" si="267">IF(S326&lt;23,"저수","고수")</f>
        <v>고수</v>
      </c>
      <c r="AL326" s="58" t="str">
        <f t="shared" ref="AL326:AL389" si="268">AM326&amp;" : "&amp;AN326</f>
        <v>2 : 4</v>
      </c>
      <c r="AM326" s="66">
        <f t="shared" ref="AM326:AM389" si="269">COUNTIF(AF326:AK326,"저수")</f>
        <v>2</v>
      </c>
      <c r="AN326" s="66">
        <f t="shared" ref="AN326:AN389" si="270">COUNTIF(AF326:AK326,"고수")</f>
        <v>4</v>
      </c>
      <c r="AO326" s="66">
        <f t="shared" ref="AO326:AO389" si="271">RIGHT(N326,1)+RIGHT(O326,1)+RIGHT(P326,1)+RIGHT(Q326,1)+RIGHT(R326,1)+RIGHT(S326,1)</f>
        <v>39</v>
      </c>
      <c r="AP326" s="66" t="str">
        <f t="shared" ref="AP326:AP389" si="272">IF(N326=2,"O",IF(N326=3,"O",IF(N326=5,"O",IF(N326=7,"O",IF(N326=11,"O",IF(N326=13,"O",IF(N326=17,"O",IF(N326=19,"O","X"))))))))</f>
        <v>X</v>
      </c>
      <c r="AQ326" s="66" t="str">
        <f t="shared" ref="AQ326:AQ389" si="273">IF(O326=2,"O",IF(O326=3,"O",IF(O326=5,"O",IF(O326=7,"O",IF(O326=11,"O",IF(O326=13,"O",IF(O326=17,"O",IF(O326=19,"O","X"))))))))</f>
        <v>X</v>
      </c>
      <c r="AR326" s="66" t="str">
        <f t="shared" ref="AR326:AR389" si="274">IF(P326=2,"O",IF(P326=3,"O",IF(P326=5,"O",IF(P326=7,"O",IF(P326=11,"O",IF(P326=13,"O",IF(P326=17,"O",IF(P326=19,"O","X"))))))))</f>
        <v>X</v>
      </c>
      <c r="AS326" s="66" t="str">
        <f t="shared" ref="AS326:AS389" si="275">IF(Q326=2,"O",IF(Q326=3,"O",IF(Q326=5,"O",IF(Q326=7,"O",IF(Q326=11,"O",IF(Q326=13,"O",IF(Q326=17,"O",IF(Q326=19,"O","X"))))))))</f>
        <v>X</v>
      </c>
      <c r="AT326" s="66" t="str">
        <f t="shared" ref="AT326:AT389" si="276">IF(R326=2,"O",IF(R326=3,"O",IF(R326=5,"O",IF(R326=7,"O",IF(R326=11,"O",IF(R326=13,"O",IF(R326=17,"O",IF(R326=19,"O","X"))))))))</f>
        <v>X</v>
      </c>
      <c r="AU326" s="66" t="str">
        <f t="shared" ref="AU326:AU389" si="277">IF(S326=2,"O",IF(S326=3,"O",IF(S326=5,"O",IF(S326=7,"O",IF(S326=11,"O",IF(S326=13,"O",IF(S326=17,"O",IF(S326=19,"O","X"))))))))</f>
        <v>X</v>
      </c>
      <c r="AV326" s="66" t="str">
        <f t="shared" ref="AV326:AV389" si="278">IF(N326=23,"O",IF(N326=29,"O",IF(N326=31,"O",IF(N326=37,"O",IF(N326=41,"O",IF(N326=43,"O","X"))))))</f>
        <v>X</v>
      </c>
      <c r="AW326" s="66" t="str">
        <f t="shared" ref="AW326:AW389" si="279">IF(O326=23,"O",IF(O326=29,"O",IF(O326=31,"O",IF(O326=37,"O",IF(O326=41,"O",IF(O326=43,"O","X"))))))</f>
        <v>X</v>
      </c>
      <c r="AX326" s="66" t="str">
        <f t="shared" ref="AX326:AX389" si="280">IF(P326=23,"O",IF(P326=29,"O",IF(P326=31,"O",IF(P326=37,"O",IF(P326=41,"O",IF(P326=43,"O","X"))))))</f>
        <v>O</v>
      </c>
      <c r="AY326" s="66" t="str">
        <f t="shared" ref="AY326:AY389" si="281">IF(Q326=23,"O",IF(Q326=29,"O",IF(Q326=31,"O",IF(Q326=37,"O",IF(Q326=41,"O",IF(Q326=43,"O","X"))))))</f>
        <v>X</v>
      </c>
      <c r="AZ326" s="66" t="str">
        <f t="shared" ref="AZ326:AZ389" si="282">IF(R326=23,"O",IF(R326=29,"O",IF(R326=31,"O",IF(R326=37,"O",IF(R326=41,"O",IF(R326=43,"O","X"))))))</f>
        <v>X</v>
      </c>
      <c r="BA326" s="66" t="str">
        <f t="shared" ref="BA326:BA389" si="283">IF(S326=23,"O",IF(S326=29,"O",IF(S326=31,"O",IF(S326=37,"O",IF(S326=41,"O",IF(S326=43,"O","X"))))))</f>
        <v>O</v>
      </c>
      <c r="BB326" s="66">
        <f t="shared" ref="BB326:BB389" si="284">COUNTIF(AP326:BA326,"O")</f>
        <v>2</v>
      </c>
      <c r="BC326" s="127" t="str">
        <f t="shared" si="255"/>
        <v>1G</v>
      </c>
      <c r="BD326" s="127" t="str">
        <f t="shared" si="256"/>
        <v>2G</v>
      </c>
      <c r="BE326" s="127" t="str">
        <f t="shared" si="257"/>
        <v>2G</v>
      </c>
      <c r="BF326" s="127" t="str">
        <f t="shared" si="258"/>
        <v>3G</v>
      </c>
      <c r="BG326" s="127" t="str">
        <f t="shared" si="259"/>
        <v>3G</v>
      </c>
      <c r="BH326" s="127" t="str">
        <f t="shared" si="260"/>
        <v>3G</v>
      </c>
      <c r="BI326" s="127">
        <f t="shared" ref="BI326:BI389" si="285">COUNTIF($BC326:$BH326,"1G")</f>
        <v>1</v>
      </c>
      <c r="BJ326" s="127">
        <f t="shared" ref="BJ326:BJ389" si="286">COUNTIF($BC326:$BH326,"2G")</f>
        <v>2</v>
      </c>
      <c r="BK326" s="127">
        <f t="shared" ref="BK326:BK389" si="287">COUNTIF($BC326:$BH326,"3G")</f>
        <v>3</v>
      </c>
      <c r="BL326" s="127" t="str">
        <f t="shared" ref="BL326:BL389" si="288">BI326&amp;BJ326&amp;BK326</f>
        <v>123</v>
      </c>
      <c r="BS326"/>
      <c r="CL326" s="28">
        <v>151</v>
      </c>
      <c r="CM326" s="28">
        <v>150</v>
      </c>
      <c r="CO326"/>
    </row>
    <row r="327" spans="1:93" ht="16.5" hidden="1">
      <c r="B327" s="17">
        <v>323</v>
      </c>
      <c r="C327" s="363" t="s">
        <v>353</v>
      </c>
      <c r="D327" s="18">
        <v>8</v>
      </c>
      <c r="E327" s="20">
        <v>1461025388</v>
      </c>
      <c r="F327" s="18">
        <v>27</v>
      </c>
      <c r="G327" s="20">
        <v>72149402</v>
      </c>
      <c r="H327" s="20">
        <v>1175</v>
      </c>
      <c r="I327" s="20">
        <v>1657902</v>
      </c>
      <c r="J327" s="20">
        <v>60796</v>
      </c>
      <c r="K327" s="20">
        <v>64085</v>
      </c>
      <c r="L327" s="20">
        <v>1024880</v>
      </c>
      <c r="M327" s="20">
        <v>5000</v>
      </c>
      <c r="N327" s="167">
        <v>10</v>
      </c>
      <c r="O327" s="167">
        <v>14</v>
      </c>
      <c r="P327" s="167">
        <v>15</v>
      </c>
      <c r="Q327" s="167">
        <v>32</v>
      </c>
      <c r="R327" s="167">
        <v>36</v>
      </c>
      <c r="S327" s="167">
        <v>42</v>
      </c>
      <c r="T327" s="167">
        <v>3</v>
      </c>
      <c r="U327" s="28">
        <f t="shared" si="261"/>
        <v>149</v>
      </c>
      <c r="W327" s="32" t="str">
        <f t="shared" si="246"/>
        <v>짝수</v>
      </c>
      <c r="X327" s="32" t="str">
        <f t="shared" si="247"/>
        <v>짝수</v>
      </c>
      <c r="Y327" s="32" t="str">
        <f t="shared" si="248"/>
        <v>홀수</v>
      </c>
      <c r="Z327" s="32" t="str">
        <f t="shared" si="249"/>
        <v>짝수</v>
      </c>
      <c r="AA327" s="32" t="str">
        <f t="shared" si="250"/>
        <v>짝수</v>
      </c>
      <c r="AB327" s="32" t="str">
        <f t="shared" si="251"/>
        <v>짝수</v>
      </c>
      <c r="AC327" s="58" t="str">
        <f t="shared" si="252"/>
        <v>1 : 5</v>
      </c>
      <c r="AD327" s="32">
        <f t="shared" si="253"/>
        <v>1</v>
      </c>
      <c r="AE327" s="32">
        <f t="shared" si="254"/>
        <v>5</v>
      </c>
      <c r="AF327" s="66" t="str">
        <f t="shared" si="262"/>
        <v>저수</v>
      </c>
      <c r="AG327" s="66" t="str">
        <f t="shared" si="263"/>
        <v>저수</v>
      </c>
      <c r="AH327" s="66" t="str">
        <f t="shared" si="264"/>
        <v>저수</v>
      </c>
      <c r="AI327" s="66" t="str">
        <f t="shared" si="265"/>
        <v>고수</v>
      </c>
      <c r="AJ327" s="66" t="str">
        <f t="shared" si="266"/>
        <v>고수</v>
      </c>
      <c r="AK327" s="66" t="str">
        <f t="shared" si="267"/>
        <v>고수</v>
      </c>
      <c r="AL327" s="58" t="str">
        <f t="shared" si="268"/>
        <v>3 : 3</v>
      </c>
      <c r="AM327" s="66">
        <f t="shared" si="269"/>
        <v>3</v>
      </c>
      <c r="AN327" s="66">
        <f t="shared" si="270"/>
        <v>3</v>
      </c>
      <c r="AO327" s="66">
        <f t="shared" si="271"/>
        <v>19</v>
      </c>
      <c r="AP327" s="66" t="str">
        <f t="shared" si="272"/>
        <v>X</v>
      </c>
      <c r="AQ327" s="66" t="str">
        <f t="shared" si="273"/>
        <v>X</v>
      </c>
      <c r="AR327" s="66" t="str">
        <f t="shared" si="274"/>
        <v>X</v>
      </c>
      <c r="AS327" s="66" t="str">
        <f t="shared" si="275"/>
        <v>X</v>
      </c>
      <c r="AT327" s="66" t="str">
        <f t="shared" si="276"/>
        <v>X</v>
      </c>
      <c r="AU327" s="66" t="str">
        <f t="shared" si="277"/>
        <v>X</v>
      </c>
      <c r="AV327" s="66" t="str">
        <f t="shared" si="278"/>
        <v>X</v>
      </c>
      <c r="AW327" s="66" t="str">
        <f t="shared" si="279"/>
        <v>X</v>
      </c>
      <c r="AX327" s="66" t="str">
        <f t="shared" si="280"/>
        <v>X</v>
      </c>
      <c r="AY327" s="66" t="str">
        <f t="shared" si="281"/>
        <v>X</v>
      </c>
      <c r="AZ327" s="66" t="str">
        <f t="shared" si="282"/>
        <v>X</v>
      </c>
      <c r="BA327" s="66" t="str">
        <f t="shared" si="283"/>
        <v>X</v>
      </c>
      <c r="BB327" s="66">
        <f t="shared" si="284"/>
        <v>0</v>
      </c>
      <c r="BC327" s="127" t="str">
        <f t="shared" si="255"/>
        <v>1G</v>
      </c>
      <c r="BD327" s="127" t="str">
        <f t="shared" si="256"/>
        <v>1G</v>
      </c>
      <c r="BE327" s="127" t="str">
        <f t="shared" si="257"/>
        <v>1G</v>
      </c>
      <c r="BF327" s="127" t="str">
        <f t="shared" si="258"/>
        <v>3G</v>
      </c>
      <c r="BG327" s="127" t="str">
        <f t="shared" si="259"/>
        <v>3G</v>
      </c>
      <c r="BH327" s="127" t="str">
        <f t="shared" si="260"/>
        <v>3G</v>
      </c>
      <c r="BI327" s="127">
        <f t="shared" si="285"/>
        <v>3</v>
      </c>
      <c r="BJ327" s="127">
        <f t="shared" si="286"/>
        <v>0</v>
      </c>
      <c r="BK327" s="127">
        <f t="shared" si="287"/>
        <v>3</v>
      </c>
      <c r="BL327" s="127" t="str">
        <f t="shared" si="288"/>
        <v>303</v>
      </c>
      <c r="BS327"/>
      <c r="CL327" s="28">
        <v>151</v>
      </c>
      <c r="CM327" s="28">
        <v>150</v>
      </c>
      <c r="CO327"/>
    </row>
    <row r="328" spans="1:93" ht="16.5" hidden="1">
      <c r="B328" s="17">
        <v>324</v>
      </c>
      <c r="C328" s="363" t="s">
        <v>354</v>
      </c>
      <c r="D328" s="18">
        <v>6</v>
      </c>
      <c r="E328" s="20">
        <v>1865130350</v>
      </c>
      <c r="F328" s="18">
        <v>40</v>
      </c>
      <c r="G328" s="20">
        <v>46628259</v>
      </c>
      <c r="H328" s="20">
        <v>1228</v>
      </c>
      <c r="I328" s="20">
        <v>1518836</v>
      </c>
      <c r="J328" s="20">
        <v>62473</v>
      </c>
      <c r="K328" s="20">
        <v>59710</v>
      </c>
      <c r="L328" s="20">
        <v>1068571</v>
      </c>
      <c r="M328" s="20">
        <v>5000</v>
      </c>
      <c r="N328" s="167">
        <v>2</v>
      </c>
      <c r="O328" s="167">
        <v>4</v>
      </c>
      <c r="P328" s="167">
        <v>21</v>
      </c>
      <c r="Q328" s="167">
        <v>25</v>
      </c>
      <c r="R328" s="167">
        <v>33</v>
      </c>
      <c r="S328" s="167">
        <v>36</v>
      </c>
      <c r="T328" s="167">
        <v>17</v>
      </c>
      <c r="U328" s="28">
        <f t="shared" si="261"/>
        <v>121</v>
      </c>
      <c r="W328" s="32" t="str">
        <f t="shared" si="246"/>
        <v>짝수</v>
      </c>
      <c r="X328" s="32" t="str">
        <f t="shared" si="247"/>
        <v>짝수</v>
      </c>
      <c r="Y328" s="32" t="str">
        <f t="shared" si="248"/>
        <v>홀수</v>
      </c>
      <c r="Z328" s="32" t="str">
        <f t="shared" si="249"/>
        <v>홀수</v>
      </c>
      <c r="AA328" s="32" t="str">
        <f t="shared" si="250"/>
        <v>홀수</v>
      </c>
      <c r="AB328" s="32" t="str">
        <f t="shared" si="251"/>
        <v>짝수</v>
      </c>
      <c r="AC328" s="58" t="str">
        <f t="shared" si="252"/>
        <v>3 : 3</v>
      </c>
      <c r="AD328" s="32">
        <f t="shared" si="253"/>
        <v>3</v>
      </c>
      <c r="AE328" s="32">
        <f t="shared" si="254"/>
        <v>3</v>
      </c>
      <c r="AF328" s="66" t="str">
        <f t="shared" si="262"/>
        <v>저수</v>
      </c>
      <c r="AG328" s="66" t="str">
        <f t="shared" si="263"/>
        <v>저수</v>
      </c>
      <c r="AH328" s="66" t="str">
        <f t="shared" si="264"/>
        <v>저수</v>
      </c>
      <c r="AI328" s="66" t="str">
        <f t="shared" si="265"/>
        <v>고수</v>
      </c>
      <c r="AJ328" s="66" t="str">
        <f t="shared" si="266"/>
        <v>고수</v>
      </c>
      <c r="AK328" s="66" t="str">
        <f t="shared" si="267"/>
        <v>고수</v>
      </c>
      <c r="AL328" s="58" t="str">
        <f t="shared" si="268"/>
        <v>3 : 3</v>
      </c>
      <c r="AM328" s="66">
        <f t="shared" si="269"/>
        <v>3</v>
      </c>
      <c r="AN328" s="66">
        <f t="shared" si="270"/>
        <v>3</v>
      </c>
      <c r="AO328" s="66">
        <f t="shared" si="271"/>
        <v>21</v>
      </c>
      <c r="AP328" s="66" t="str">
        <f t="shared" si="272"/>
        <v>O</v>
      </c>
      <c r="AQ328" s="66" t="str">
        <f t="shared" si="273"/>
        <v>X</v>
      </c>
      <c r="AR328" s="66" t="str">
        <f t="shared" si="274"/>
        <v>X</v>
      </c>
      <c r="AS328" s="66" t="str">
        <f t="shared" si="275"/>
        <v>X</v>
      </c>
      <c r="AT328" s="66" t="str">
        <f t="shared" si="276"/>
        <v>X</v>
      </c>
      <c r="AU328" s="66" t="str">
        <f t="shared" si="277"/>
        <v>X</v>
      </c>
      <c r="AV328" s="66" t="str">
        <f t="shared" si="278"/>
        <v>X</v>
      </c>
      <c r="AW328" s="66" t="str">
        <f t="shared" si="279"/>
        <v>X</v>
      </c>
      <c r="AX328" s="66" t="str">
        <f t="shared" si="280"/>
        <v>X</v>
      </c>
      <c r="AY328" s="66" t="str">
        <f t="shared" si="281"/>
        <v>X</v>
      </c>
      <c r="AZ328" s="66" t="str">
        <f t="shared" si="282"/>
        <v>X</v>
      </c>
      <c r="BA328" s="66" t="str">
        <f t="shared" si="283"/>
        <v>X</v>
      </c>
      <c r="BB328" s="66">
        <f t="shared" si="284"/>
        <v>1</v>
      </c>
      <c r="BC328" s="127" t="str">
        <f t="shared" si="255"/>
        <v>1G</v>
      </c>
      <c r="BD328" s="127" t="str">
        <f t="shared" si="256"/>
        <v>1G</v>
      </c>
      <c r="BE328" s="127" t="str">
        <f t="shared" si="257"/>
        <v>2G</v>
      </c>
      <c r="BF328" s="127" t="str">
        <f t="shared" si="258"/>
        <v>2G</v>
      </c>
      <c r="BG328" s="127" t="str">
        <f t="shared" si="259"/>
        <v>3G</v>
      </c>
      <c r="BH328" s="127" t="str">
        <f t="shared" si="260"/>
        <v>3G</v>
      </c>
      <c r="BI328" s="127">
        <f t="shared" si="285"/>
        <v>2</v>
      </c>
      <c r="BJ328" s="127">
        <f t="shared" si="286"/>
        <v>2</v>
      </c>
      <c r="BK328" s="127">
        <f t="shared" si="287"/>
        <v>2</v>
      </c>
      <c r="BL328" s="127" t="str">
        <f t="shared" si="288"/>
        <v>222</v>
      </c>
      <c r="BS328"/>
      <c r="CL328" s="28">
        <v>151</v>
      </c>
      <c r="CM328" s="28">
        <v>150</v>
      </c>
      <c r="CO328"/>
    </row>
    <row r="329" spans="1:93" ht="16.5" hidden="1">
      <c r="B329" s="17">
        <v>325</v>
      </c>
      <c r="C329" s="363" t="s">
        <v>355</v>
      </c>
      <c r="D329" s="18">
        <v>6</v>
      </c>
      <c r="E329" s="20">
        <v>1806122450</v>
      </c>
      <c r="F329" s="18">
        <v>33</v>
      </c>
      <c r="G329" s="20">
        <v>54730984</v>
      </c>
      <c r="H329" s="20">
        <v>1258</v>
      </c>
      <c r="I329" s="20">
        <v>1435710</v>
      </c>
      <c r="J329" s="20">
        <v>62629</v>
      </c>
      <c r="K329" s="20">
        <v>57677</v>
      </c>
      <c r="L329" s="20">
        <v>1051453</v>
      </c>
      <c r="M329" s="20">
        <v>5000</v>
      </c>
      <c r="N329" s="167">
        <v>7</v>
      </c>
      <c r="O329" s="167">
        <v>17</v>
      </c>
      <c r="P329" s="167">
        <v>20</v>
      </c>
      <c r="Q329" s="167">
        <v>32</v>
      </c>
      <c r="R329" s="167">
        <v>44</v>
      </c>
      <c r="S329" s="167">
        <v>45</v>
      </c>
      <c r="T329" s="167">
        <v>33</v>
      </c>
      <c r="U329" s="28">
        <f t="shared" si="261"/>
        <v>165</v>
      </c>
      <c r="W329" s="32" t="str">
        <f t="shared" si="246"/>
        <v>홀수</v>
      </c>
      <c r="X329" s="32" t="str">
        <f t="shared" si="247"/>
        <v>홀수</v>
      </c>
      <c r="Y329" s="32" t="str">
        <f t="shared" si="248"/>
        <v>짝수</v>
      </c>
      <c r="Z329" s="32" t="str">
        <f t="shared" si="249"/>
        <v>짝수</v>
      </c>
      <c r="AA329" s="32" t="str">
        <f t="shared" si="250"/>
        <v>짝수</v>
      </c>
      <c r="AB329" s="32" t="str">
        <f t="shared" si="251"/>
        <v>홀수</v>
      </c>
      <c r="AC329" s="58" t="str">
        <f t="shared" si="252"/>
        <v>3 : 3</v>
      </c>
      <c r="AD329" s="32">
        <f t="shared" si="253"/>
        <v>3</v>
      </c>
      <c r="AE329" s="32">
        <f t="shared" si="254"/>
        <v>3</v>
      </c>
      <c r="AF329" s="66" t="str">
        <f t="shared" si="262"/>
        <v>저수</v>
      </c>
      <c r="AG329" s="66" t="str">
        <f t="shared" si="263"/>
        <v>저수</v>
      </c>
      <c r="AH329" s="66" t="str">
        <f t="shared" si="264"/>
        <v>저수</v>
      </c>
      <c r="AI329" s="66" t="str">
        <f t="shared" si="265"/>
        <v>고수</v>
      </c>
      <c r="AJ329" s="66" t="str">
        <f t="shared" si="266"/>
        <v>고수</v>
      </c>
      <c r="AK329" s="66" t="str">
        <f t="shared" si="267"/>
        <v>고수</v>
      </c>
      <c r="AL329" s="58" t="str">
        <f t="shared" si="268"/>
        <v>3 : 3</v>
      </c>
      <c r="AM329" s="66">
        <f t="shared" si="269"/>
        <v>3</v>
      </c>
      <c r="AN329" s="66">
        <f t="shared" si="270"/>
        <v>3</v>
      </c>
      <c r="AO329" s="66">
        <f t="shared" si="271"/>
        <v>25</v>
      </c>
      <c r="AP329" s="66" t="str">
        <f t="shared" si="272"/>
        <v>O</v>
      </c>
      <c r="AQ329" s="66" t="str">
        <f t="shared" si="273"/>
        <v>O</v>
      </c>
      <c r="AR329" s="66" t="str">
        <f t="shared" si="274"/>
        <v>X</v>
      </c>
      <c r="AS329" s="66" t="str">
        <f t="shared" si="275"/>
        <v>X</v>
      </c>
      <c r="AT329" s="66" t="str">
        <f t="shared" si="276"/>
        <v>X</v>
      </c>
      <c r="AU329" s="66" t="str">
        <f t="shared" si="277"/>
        <v>X</v>
      </c>
      <c r="AV329" s="66" t="str">
        <f t="shared" si="278"/>
        <v>X</v>
      </c>
      <c r="AW329" s="66" t="str">
        <f t="shared" si="279"/>
        <v>X</v>
      </c>
      <c r="AX329" s="66" t="str">
        <f t="shared" si="280"/>
        <v>X</v>
      </c>
      <c r="AY329" s="66" t="str">
        <f t="shared" si="281"/>
        <v>X</v>
      </c>
      <c r="AZ329" s="66" t="str">
        <f t="shared" si="282"/>
        <v>X</v>
      </c>
      <c r="BA329" s="66" t="str">
        <f t="shared" si="283"/>
        <v>X</v>
      </c>
      <c r="BB329" s="66">
        <f t="shared" si="284"/>
        <v>2</v>
      </c>
      <c r="BC329" s="127" t="str">
        <f t="shared" si="255"/>
        <v>1G</v>
      </c>
      <c r="BD329" s="127" t="str">
        <f t="shared" si="256"/>
        <v>2G</v>
      </c>
      <c r="BE329" s="127" t="str">
        <f t="shared" si="257"/>
        <v>2G</v>
      </c>
      <c r="BF329" s="127" t="str">
        <f t="shared" si="258"/>
        <v>3G</v>
      </c>
      <c r="BG329" s="127" t="str">
        <f t="shared" si="259"/>
        <v>3G</v>
      </c>
      <c r="BH329" s="127" t="str">
        <f t="shared" si="260"/>
        <v>3G</v>
      </c>
      <c r="BI329" s="127">
        <f t="shared" si="285"/>
        <v>1</v>
      </c>
      <c r="BJ329" s="127">
        <f t="shared" si="286"/>
        <v>2</v>
      </c>
      <c r="BK329" s="127">
        <f t="shared" si="287"/>
        <v>3</v>
      </c>
      <c r="BL329" s="127" t="str">
        <f t="shared" si="288"/>
        <v>123</v>
      </c>
      <c r="BS329"/>
      <c r="CL329" s="28">
        <v>152</v>
      </c>
      <c r="CM329" s="28">
        <v>150</v>
      </c>
      <c r="CO329"/>
    </row>
    <row r="330" spans="1:93" ht="16.5" hidden="1">
      <c r="B330" s="17">
        <v>326</v>
      </c>
      <c r="C330" s="363" t="s">
        <v>356</v>
      </c>
      <c r="D330" s="18">
        <v>6</v>
      </c>
      <c r="E330" s="20">
        <v>1832134550</v>
      </c>
      <c r="F330" s="18">
        <v>31</v>
      </c>
      <c r="G330" s="20">
        <v>59101115</v>
      </c>
      <c r="H330" s="20">
        <v>1335</v>
      </c>
      <c r="I330" s="20">
        <v>1372386</v>
      </c>
      <c r="J330" s="20">
        <v>64087</v>
      </c>
      <c r="K330" s="20">
        <v>57177</v>
      </c>
      <c r="L330" s="20">
        <v>1058186</v>
      </c>
      <c r="M330" s="20">
        <v>5000</v>
      </c>
      <c r="N330" s="167">
        <v>16</v>
      </c>
      <c r="O330" s="167">
        <v>23</v>
      </c>
      <c r="P330" s="167">
        <v>25</v>
      </c>
      <c r="Q330" s="167">
        <v>33</v>
      </c>
      <c r="R330" s="167">
        <v>36</v>
      </c>
      <c r="S330" s="167">
        <v>39</v>
      </c>
      <c r="T330" s="167">
        <v>40</v>
      </c>
      <c r="U330" s="28">
        <f t="shared" si="261"/>
        <v>172</v>
      </c>
      <c r="W330" s="32" t="str">
        <f t="shared" si="246"/>
        <v>짝수</v>
      </c>
      <c r="X330" s="32" t="str">
        <f t="shared" si="247"/>
        <v>홀수</v>
      </c>
      <c r="Y330" s="32" t="str">
        <f t="shared" si="248"/>
        <v>홀수</v>
      </c>
      <c r="Z330" s="32" t="str">
        <f t="shared" si="249"/>
        <v>홀수</v>
      </c>
      <c r="AA330" s="32" t="str">
        <f t="shared" si="250"/>
        <v>짝수</v>
      </c>
      <c r="AB330" s="32" t="str">
        <f t="shared" si="251"/>
        <v>홀수</v>
      </c>
      <c r="AC330" s="58" t="str">
        <f t="shared" si="252"/>
        <v>4 : 2</v>
      </c>
      <c r="AD330" s="32">
        <f t="shared" si="253"/>
        <v>4</v>
      </c>
      <c r="AE330" s="32">
        <f t="shared" si="254"/>
        <v>2</v>
      </c>
      <c r="AF330" s="66" t="str">
        <f t="shared" si="262"/>
        <v>저수</v>
      </c>
      <c r="AG330" s="66" t="str">
        <f t="shared" si="263"/>
        <v>고수</v>
      </c>
      <c r="AH330" s="66" t="str">
        <f t="shared" si="264"/>
        <v>고수</v>
      </c>
      <c r="AI330" s="66" t="str">
        <f t="shared" si="265"/>
        <v>고수</v>
      </c>
      <c r="AJ330" s="66" t="str">
        <f t="shared" si="266"/>
        <v>고수</v>
      </c>
      <c r="AK330" s="66" t="str">
        <f t="shared" si="267"/>
        <v>고수</v>
      </c>
      <c r="AL330" s="58" t="str">
        <f t="shared" si="268"/>
        <v>1 : 5</v>
      </c>
      <c r="AM330" s="66">
        <f t="shared" si="269"/>
        <v>1</v>
      </c>
      <c r="AN330" s="66">
        <f t="shared" si="270"/>
        <v>5</v>
      </c>
      <c r="AO330" s="66">
        <f t="shared" si="271"/>
        <v>32</v>
      </c>
      <c r="AP330" s="66" t="str">
        <f t="shared" si="272"/>
        <v>X</v>
      </c>
      <c r="AQ330" s="66" t="str">
        <f t="shared" si="273"/>
        <v>X</v>
      </c>
      <c r="AR330" s="66" t="str">
        <f t="shared" si="274"/>
        <v>X</v>
      </c>
      <c r="AS330" s="66" t="str">
        <f t="shared" si="275"/>
        <v>X</v>
      </c>
      <c r="AT330" s="66" t="str">
        <f t="shared" si="276"/>
        <v>X</v>
      </c>
      <c r="AU330" s="66" t="str">
        <f t="shared" si="277"/>
        <v>X</v>
      </c>
      <c r="AV330" s="66" t="str">
        <f t="shared" si="278"/>
        <v>X</v>
      </c>
      <c r="AW330" s="66" t="str">
        <f t="shared" si="279"/>
        <v>O</v>
      </c>
      <c r="AX330" s="66" t="str">
        <f t="shared" si="280"/>
        <v>X</v>
      </c>
      <c r="AY330" s="66" t="str">
        <f t="shared" si="281"/>
        <v>X</v>
      </c>
      <c r="AZ330" s="66" t="str">
        <f t="shared" si="282"/>
        <v>X</v>
      </c>
      <c r="BA330" s="66" t="str">
        <f t="shared" si="283"/>
        <v>X</v>
      </c>
      <c r="BB330" s="66">
        <f t="shared" si="284"/>
        <v>1</v>
      </c>
      <c r="BC330" s="127" t="str">
        <f t="shared" si="255"/>
        <v>2G</v>
      </c>
      <c r="BD330" s="127" t="str">
        <f t="shared" si="256"/>
        <v>2G</v>
      </c>
      <c r="BE330" s="127" t="str">
        <f t="shared" si="257"/>
        <v>2G</v>
      </c>
      <c r="BF330" s="127" t="str">
        <f t="shared" si="258"/>
        <v>3G</v>
      </c>
      <c r="BG330" s="127" t="str">
        <f t="shared" si="259"/>
        <v>3G</v>
      </c>
      <c r="BH330" s="127" t="str">
        <f t="shared" si="260"/>
        <v>3G</v>
      </c>
      <c r="BI330" s="127">
        <f t="shared" si="285"/>
        <v>0</v>
      </c>
      <c r="BJ330" s="127">
        <f t="shared" si="286"/>
        <v>3</v>
      </c>
      <c r="BK330" s="127">
        <f t="shared" si="287"/>
        <v>3</v>
      </c>
      <c r="BL330" s="127" t="str">
        <f t="shared" si="288"/>
        <v>033</v>
      </c>
      <c r="BS330"/>
      <c r="CL330" s="28">
        <v>152</v>
      </c>
      <c r="CM330" s="28">
        <v>150</v>
      </c>
      <c r="CO330"/>
    </row>
    <row r="331" spans="1:93" ht="16.5" hidden="1">
      <c r="B331" s="17">
        <v>327</v>
      </c>
      <c r="C331" s="363" t="s">
        <v>357</v>
      </c>
      <c r="D331" s="18">
        <v>12</v>
      </c>
      <c r="E331" s="20">
        <v>882674750</v>
      </c>
      <c r="F331" s="18">
        <v>39</v>
      </c>
      <c r="G331" s="20">
        <v>45265372</v>
      </c>
      <c r="H331" s="20">
        <v>1242</v>
      </c>
      <c r="I331" s="20">
        <v>1421377</v>
      </c>
      <c r="J331" s="20">
        <v>63599</v>
      </c>
      <c r="K331" s="20">
        <v>55515</v>
      </c>
      <c r="L331" s="20">
        <v>1048457</v>
      </c>
      <c r="M331" s="20">
        <v>5000</v>
      </c>
      <c r="N331" s="167">
        <v>6</v>
      </c>
      <c r="O331" s="167">
        <v>12</v>
      </c>
      <c r="P331" s="167">
        <v>13</v>
      </c>
      <c r="Q331" s="167">
        <v>17</v>
      </c>
      <c r="R331" s="167">
        <v>32</v>
      </c>
      <c r="S331" s="167">
        <v>44</v>
      </c>
      <c r="T331" s="167">
        <v>24</v>
      </c>
      <c r="U331" s="28">
        <f t="shared" si="261"/>
        <v>124</v>
      </c>
      <c r="W331" s="32" t="str">
        <f t="shared" si="246"/>
        <v>짝수</v>
      </c>
      <c r="X331" s="32" t="str">
        <f t="shared" si="247"/>
        <v>짝수</v>
      </c>
      <c r="Y331" s="32" t="str">
        <f t="shared" si="248"/>
        <v>홀수</v>
      </c>
      <c r="Z331" s="32" t="str">
        <f t="shared" si="249"/>
        <v>홀수</v>
      </c>
      <c r="AA331" s="32" t="str">
        <f t="shared" si="250"/>
        <v>짝수</v>
      </c>
      <c r="AB331" s="32" t="str">
        <f t="shared" si="251"/>
        <v>짝수</v>
      </c>
      <c r="AC331" s="58" t="str">
        <f t="shared" si="252"/>
        <v>2 : 4</v>
      </c>
      <c r="AD331" s="32">
        <f t="shared" si="253"/>
        <v>2</v>
      </c>
      <c r="AE331" s="32">
        <f t="shared" si="254"/>
        <v>4</v>
      </c>
      <c r="AF331" s="66" t="str">
        <f t="shared" si="262"/>
        <v>저수</v>
      </c>
      <c r="AG331" s="66" t="str">
        <f t="shared" si="263"/>
        <v>저수</v>
      </c>
      <c r="AH331" s="66" t="str">
        <f t="shared" si="264"/>
        <v>저수</v>
      </c>
      <c r="AI331" s="66" t="str">
        <f t="shared" si="265"/>
        <v>저수</v>
      </c>
      <c r="AJ331" s="66" t="str">
        <f t="shared" si="266"/>
        <v>고수</v>
      </c>
      <c r="AK331" s="66" t="str">
        <f t="shared" si="267"/>
        <v>고수</v>
      </c>
      <c r="AL331" s="58" t="str">
        <f t="shared" si="268"/>
        <v>4 : 2</v>
      </c>
      <c r="AM331" s="66">
        <f t="shared" si="269"/>
        <v>4</v>
      </c>
      <c r="AN331" s="66">
        <f t="shared" si="270"/>
        <v>2</v>
      </c>
      <c r="AO331" s="66">
        <f t="shared" si="271"/>
        <v>24</v>
      </c>
      <c r="AP331" s="66" t="str">
        <f t="shared" si="272"/>
        <v>X</v>
      </c>
      <c r="AQ331" s="66" t="str">
        <f t="shared" si="273"/>
        <v>X</v>
      </c>
      <c r="AR331" s="66" t="str">
        <f t="shared" si="274"/>
        <v>O</v>
      </c>
      <c r="AS331" s="66" t="str">
        <f t="shared" si="275"/>
        <v>O</v>
      </c>
      <c r="AT331" s="66" t="str">
        <f t="shared" si="276"/>
        <v>X</v>
      </c>
      <c r="AU331" s="66" t="str">
        <f t="shared" si="277"/>
        <v>X</v>
      </c>
      <c r="AV331" s="66" t="str">
        <f t="shared" si="278"/>
        <v>X</v>
      </c>
      <c r="AW331" s="66" t="str">
        <f t="shared" si="279"/>
        <v>X</v>
      </c>
      <c r="AX331" s="66" t="str">
        <f t="shared" si="280"/>
        <v>X</v>
      </c>
      <c r="AY331" s="66" t="str">
        <f t="shared" si="281"/>
        <v>X</v>
      </c>
      <c r="AZ331" s="66" t="str">
        <f t="shared" si="282"/>
        <v>X</v>
      </c>
      <c r="BA331" s="66" t="str">
        <f t="shared" si="283"/>
        <v>X</v>
      </c>
      <c r="BB331" s="66">
        <f t="shared" si="284"/>
        <v>2</v>
      </c>
      <c r="BC331" s="127" t="str">
        <f t="shared" si="255"/>
        <v>1G</v>
      </c>
      <c r="BD331" s="127" t="str">
        <f t="shared" si="256"/>
        <v>1G</v>
      </c>
      <c r="BE331" s="127" t="str">
        <f t="shared" si="257"/>
        <v>1G</v>
      </c>
      <c r="BF331" s="127" t="str">
        <f t="shared" si="258"/>
        <v>2G</v>
      </c>
      <c r="BG331" s="127" t="str">
        <f t="shared" si="259"/>
        <v>3G</v>
      </c>
      <c r="BH331" s="127" t="str">
        <f t="shared" si="260"/>
        <v>3G</v>
      </c>
      <c r="BI331" s="127">
        <f t="shared" si="285"/>
        <v>3</v>
      </c>
      <c r="BJ331" s="127">
        <f t="shared" si="286"/>
        <v>1</v>
      </c>
      <c r="BK331" s="127">
        <f t="shared" si="287"/>
        <v>2</v>
      </c>
      <c r="BL331" s="127" t="str">
        <f t="shared" si="288"/>
        <v>312</v>
      </c>
      <c r="BS331"/>
      <c r="CL331" s="28">
        <v>152</v>
      </c>
      <c r="CM331" s="28">
        <v>150</v>
      </c>
      <c r="CO331"/>
    </row>
    <row r="332" spans="1:93" ht="16.5" hidden="1">
      <c r="B332" s="17">
        <v>328</v>
      </c>
      <c r="C332" s="363" t="s">
        <v>358</v>
      </c>
      <c r="D332" s="18">
        <v>6</v>
      </c>
      <c r="E332" s="20">
        <v>1819795900</v>
      </c>
      <c r="F332" s="18">
        <v>30</v>
      </c>
      <c r="G332" s="20">
        <v>60659864</v>
      </c>
      <c r="H332" s="20">
        <v>1380</v>
      </c>
      <c r="I332" s="20">
        <v>1318693</v>
      </c>
      <c r="J332" s="20">
        <v>66590</v>
      </c>
      <c r="K332" s="20">
        <v>54657</v>
      </c>
      <c r="L332" s="20">
        <v>1092107</v>
      </c>
      <c r="M332" s="20">
        <v>5000</v>
      </c>
      <c r="N332" s="167">
        <v>1</v>
      </c>
      <c r="O332" s="167">
        <v>6</v>
      </c>
      <c r="P332" s="167">
        <v>9</v>
      </c>
      <c r="Q332" s="167">
        <v>16</v>
      </c>
      <c r="R332" s="167">
        <v>17</v>
      </c>
      <c r="S332" s="167">
        <v>28</v>
      </c>
      <c r="T332" s="167">
        <v>24</v>
      </c>
      <c r="U332" s="28">
        <f t="shared" si="261"/>
        <v>77</v>
      </c>
      <c r="W332" s="32" t="str">
        <f t="shared" si="246"/>
        <v>홀수</v>
      </c>
      <c r="X332" s="32" t="str">
        <f t="shared" si="247"/>
        <v>짝수</v>
      </c>
      <c r="Y332" s="32" t="str">
        <f t="shared" si="248"/>
        <v>홀수</v>
      </c>
      <c r="Z332" s="32" t="str">
        <f t="shared" si="249"/>
        <v>짝수</v>
      </c>
      <c r="AA332" s="32" t="str">
        <f t="shared" si="250"/>
        <v>홀수</v>
      </c>
      <c r="AB332" s="32" t="str">
        <f t="shared" si="251"/>
        <v>짝수</v>
      </c>
      <c r="AC332" s="58" t="str">
        <f t="shared" si="252"/>
        <v>3 : 3</v>
      </c>
      <c r="AD332" s="32">
        <f t="shared" si="253"/>
        <v>3</v>
      </c>
      <c r="AE332" s="32">
        <f t="shared" si="254"/>
        <v>3</v>
      </c>
      <c r="AF332" s="66" t="str">
        <f t="shared" si="262"/>
        <v>저수</v>
      </c>
      <c r="AG332" s="66" t="str">
        <f t="shared" si="263"/>
        <v>저수</v>
      </c>
      <c r="AH332" s="66" t="str">
        <f t="shared" si="264"/>
        <v>저수</v>
      </c>
      <c r="AI332" s="66" t="str">
        <f t="shared" si="265"/>
        <v>저수</v>
      </c>
      <c r="AJ332" s="66" t="str">
        <f t="shared" si="266"/>
        <v>저수</v>
      </c>
      <c r="AK332" s="66" t="str">
        <f t="shared" si="267"/>
        <v>고수</v>
      </c>
      <c r="AL332" s="58" t="str">
        <f t="shared" si="268"/>
        <v>5 : 1</v>
      </c>
      <c r="AM332" s="66">
        <f t="shared" si="269"/>
        <v>5</v>
      </c>
      <c r="AN332" s="66">
        <f t="shared" si="270"/>
        <v>1</v>
      </c>
      <c r="AO332" s="66">
        <f t="shared" si="271"/>
        <v>37</v>
      </c>
      <c r="AP332" s="66" t="str">
        <f t="shared" si="272"/>
        <v>X</v>
      </c>
      <c r="AQ332" s="66" t="str">
        <f t="shared" si="273"/>
        <v>X</v>
      </c>
      <c r="AR332" s="66" t="str">
        <f t="shared" si="274"/>
        <v>X</v>
      </c>
      <c r="AS332" s="66" t="str">
        <f t="shared" si="275"/>
        <v>X</v>
      </c>
      <c r="AT332" s="66" t="str">
        <f t="shared" si="276"/>
        <v>O</v>
      </c>
      <c r="AU332" s="66" t="str">
        <f t="shared" si="277"/>
        <v>X</v>
      </c>
      <c r="AV332" s="66" t="str">
        <f t="shared" si="278"/>
        <v>X</v>
      </c>
      <c r="AW332" s="66" t="str">
        <f t="shared" si="279"/>
        <v>X</v>
      </c>
      <c r="AX332" s="66" t="str">
        <f t="shared" si="280"/>
        <v>X</v>
      </c>
      <c r="AY332" s="66" t="str">
        <f t="shared" si="281"/>
        <v>X</v>
      </c>
      <c r="AZ332" s="66" t="str">
        <f t="shared" si="282"/>
        <v>X</v>
      </c>
      <c r="BA332" s="66" t="str">
        <f t="shared" si="283"/>
        <v>X</v>
      </c>
      <c r="BB332" s="66">
        <f t="shared" si="284"/>
        <v>1</v>
      </c>
      <c r="BC332" s="127" t="str">
        <f t="shared" si="255"/>
        <v>1G</v>
      </c>
      <c r="BD332" s="127" t="str">
        <f t="shared" si="256"/>
        <v>1G</v>
      </c>
      <c r="BE332" s="127" t="str">
        <f t="shared" si="257"/>
        <v>1G</v>
      </c>
      <c r="BF332" s="127" t="str">
        <f t="shared" si="258"/>
        <v>2G</v>
      </c>
      <c r="BG332" s="127" t="str">
        <f t="shared" si="259"/>
        <v>2G</v>
      </c>
      <c r="BH332" s="127" t="str">
        <f t="shared" si="260"/>
        <v>2G</v>
      </c>
      <c r="BI332" s="127">
        <f t="shared" si="285"/>
        <v>3</v>
      </c>
      <c r="BJ332" s="127">
        <f t="shared" si="286"/>
        <v>3</v>
      </c>
      <c r="BK332" s="127">
        <f t="shared" si="287"/>
        <v>0</v>
      </c>
      <c r="BL332" s="127" t="str">
        <f t="shared" si="288"/>
        <v>330</v>
      </c>
      <c r="BS332"/>
      <c r="CL332" s="28">
        <v>152</v>
      </c>
      <c r="CM332" s="28">
        <v>150</v>
      </c>
      <c r="CO332"/>
    </row>
    <row r="333" spans="1:93" ht="16.5" hidden="1">
      <c r="B333" s="17">
        <v>329</v>
      </c>
      <c r="C333" s="363" t="s">
        <v>359</v>
      </c>
      <c r="D333" s="18">
        <v>6</v>
      </c>
      <c r="E333" s="20">
        <v>1830391200</v>
      </c>
      <c r="F333" s="18">
        <v>33</v>
      </c>
      <c r="G333" s="20">
        <v>55466400</v>
      </c>
      <c r="H333" s="20">
        <v>1215</v>
      </c>
      <c r="I333" s="20">
        <v>1506495</v>
      </c>
      <c r="J333" s="20">
        <v>62711</v>
      </c>
      <c r="K333" s="20">
        <v>58376</v>
      </c>
      <c r="L333" s="20">
        <v>1059068</v>
      </c>
      <c r="M333" s="20">
        <v>5000</v>
      </c>
      <c r="N333" s="167">
        <v>9</v>
      </c>
      <c r="O333" s="167">
        <v>17</v>
      </c>
      <c r="P333" s="167">
        <v>19</v>
      </c>
      <c r="Q333" s="167">
        <v>30</v>
      </c>
      <c r="R333" s="167">
        <v>35</v>
      </c>
      <c r="S333" s="167">
        <v>42</v>
      </c>
      <c r="T333" s="167">
        <v>4</v>
      </c>
      <c r="U333" s="28">
        <f t="shared" si="261"/>
        <v>152</v>
      </c>
      <c r="W333" s="32" t="str">
        <f t="shared" si="246"/>
        <v>홀수</v>
      </c>
      <c r="X333" s="32" t="str">
        <f t="shared" si="247"/>
        <v>홀수</v>
      </c>
      <c r="Y333" s="32" t="str">
        <f t="shared" si="248"/>
        <v>홀수</v>
      </c>
      <c r="Z333" s="32" t="str">
        <f t="shared" si="249"/>
        <v>짝수</v>
      </c>
      <c r="AA333" s="32" t="str">
        <f t="shared" si="250"/>
        <v>홀수</v>
      </c>
      <c r="AB333" s="32" t="str">
        <f t="shared" si="251"/>
        <v>짝수</v>
      </c>
      <c r="AC333" s="58" t="str">
        <f t="shared" si="252"/>
        <v>4 : 2</v>
      </c>
      <c r="AD333" s="32">
        <f t="shared" si="253"/>
        <v>4</v>
      </c>
      <c r="AE333" s="32">
        <f t="shared" si="254"/>
        <v>2</v>
      </c>
      <c r="AF333" s="66" t="str">
        <f t="shared" si="262"/>
        <v>저수</v>
      </c>
      <c r="AG333" s="66" t="str">
        <f t="shared" si="263"/>
        <v>저수</v>
      </c>
      <c r="AH333" s="66" t="str">
        <f t="shared" si="264"/>
        <v>저수</v>
      </c>
      <c r="AI333" s="66" t="str">
        <f t="shared" si="265"/>
        <v>고수</v>
      </c>
      <c r="AJ333" s="66" t="str">
        <f t="shared" si="266"/>
        <v>고수</v>
      </c>
      <c r="AK333" s="66" t="str">
        <f t="shared" si="267"/>
        <v>고수</v>
      </c>
      <c r="AL333" s="58" t="str">
        <f t="shared" si="268"/>
        <v>3 : 3</v>
      </c>
      <c r="AM333" s="66">
        <f t="shared" si="269"/>
        <v>3</v>
      </c>
      <c r="AN333" s="66">
        <f t="shared" si="270"/>
        <v>3</v>
      </c>
      <c r="AO333" s="66">
        <f t="shared" si="271"/>
        <v>32</v>
      </c>
      <c r="AP333" s="66" t="str">
        <f t="shared" si="272"/>
        <v>X</v>
      </c>
      <c r="AQ333" s="66" t="str">
        <f t="shared" si="273"/>
        <v>O</v>
      </c>
      <c r="AR333" s="66" t="str">
        <f t="shared" si="274"/>
        <v>O</v>
      </c>
      <c r="AS333" s="66" t="str">
        <f t="shared" si="275"/>
        <v>X</v>
      </c>
      <c r="AT333" s="66" t="str">
        <f t="shared" si="276"/>
        <v>X</v>
      </c>
      <c r="AU333" s="66" t="str">
        <f t="shared" si="277"/>
        <v>X</v>
      </c>
      <c r="AV333" s="66" t="str">
        <f t="shared" si="278"/>
        <v>X</v>
      </c>
      <c r="AW333" s="66" t="str">
        <f t="shared" si="279"/>
        <v>X</v>
      </c>
      <c r="AX333" s="66" t="str">
        <f t="shared" si="280"/>
        <v>X</v>
      </c>
      <c r="AY333" s="66" t="str">
        <f t="shared" si="281"/>
        <v>X</v>
      </c>
      <c r="AZ333" s="66" t="str">
        <f t="shared" si="282"/>
        <v>X</v>
      </c>
      <c r="BA333" s="66" t="str">
        <f t="shared" si="283"/>
        <v>X</v>
      </c>
      <c r="BB333" s="66">
        <f t="shared" si="284"/>
        <v>2</v>
      </c>
      <c r="BC333" s="127" t="str">
        <f t="shared" si="255"/>
        <v>1G</v>
      </c>
      <c r="BD333" s="127" t="str">
        <f t="shared" si="256"/>
        <v>2G</v>
      </c>
      <c r="BE333" s="127" t="str">
        <f t="shared" si="257"/>
        <v>2G</v>
      </c>
      <c r="BF333" s="127" t="str">
        <f t="shared" si="258"/>
        <v>2G</v>
      </c>
      <c r="BG333" s="127" t="str">
        <f t="shared" si="259"/>
        <v>3G</v>
      </c>
      <c r="BH333" s="127" t="str">
        <f t="shared" si="260"/>
        <v>3G</v>
      </c>
      <c r="BI333" s="127">
        <f t="shared" si="285"/>
        <v>1</v>
      </c>
      <c r="BJ333" s="127">
        <f t="shared" si="286"/>
        <v>3</v>
      </c>
      <c r="BK333" s="127">
        <f t="shared" si="287"/>
        <v>2</v>
      </c>
      <c r="BL333" s="127" t="str">
        <f t="shared" si="288"/>
        <v>132</v>
      </c>
      <c r="BS333"/>
      <c r="CL333" s="28">
        <v>153</v>
      </c>
      <c r="CM333" s="28">
        <v>150</v>
      </c>
      <c r="CO333"/>
    </row>
    <row r="334" spans="1:93" ht="16.5" hidden="1">
      <c r="B334" s="17">
        <v>330</v>
      </c>
      <c r="C334" s="363" t="s">
        <v>360</v>
      </c>
      <c r="D334" s="18">
        <v>9</v>
      </c>
      <c r="E334" s="20">
        <v>1162280200</v>
      </c>
      <c r="F334" s="18">
        <v>32</v>
      </c>
      <c r="G334" s="20">
        <v>54481885</v>
      </c>
      <c r="H334" s="20">
        <v>1431</v>
      </c>
      <c r="I334" s="20">
        <v>1218324</v>
      </c>
      <c r="J334" s="20">
        <v>69225</v>
      </c>
      <c r="K334" s="20">
        <v>50370</v>
      </c>
      <c r="L334" s="20">
        <v>1099109</v>
      </c>
      <c r="M334" s="20">
        <v>5000</v>
      </c>
      <c r="N334" s="167">
        <v>3</v>
      </c>
      <c r="O334" s="167">
        <v>4</v>
      </c>
      <c r="P334" s="167">
        <v>16</v>
      </c>
      <c r="Q334" s="167">
        <v>17</v>
      </c>
      <c r="R334" s="167">
        <v>19</v>
      </c>
      <c r="S334" s="167">
        <v>20</v>
      </c>
      <c r="T334" s="167">
        <v>23</v>
      </c>
      <c r="U334" s="28">
        <f t="shared" si="261"/>
        <v>79</v>
      </c>
      <c r="W334" s="32" t="str">
        <f t="shared" si="246"/>
        <v>홀수</v>
      </c>
      <c r="X334" s="32" t="str">
        <f t="shared" si="247"/>
        <v>짝수</v>
      </c>
      <c r="Y334" s="32" t="str">
        <f t="shared" si="248"/>
        <v>짝수</v>
      </c>
      <c r="Z334" s="32" t="str">
        <f t="shared" si="249"/>
        <v>홀수</v>
      </c>
      <c r="AA334" s="32" t="str">
        <f t="shared" si="250"/>
        <v>홀수</v>
      </c>
      <c r="AB334" s="32" t="str">
        <f t="shared" si="251"/>
        <v>짝수</v>
      </c>
      <c r="AC334" s="58" t="str">
        <f t="shared" si="252"/>
        <v>3 : 3</v>
      </c>
      <c r="AD334" s="32">
        <f t="shared" si="253"/>
        <v>3</v>
      </c>
      <c r="AE334" s="32">
        <f t="shared" si="254"/>
        <v>3</v>
      </c>
      <c r="AF334" s="66" t="str">
        <f t="shared" si="262"/>
        <v>저수</v>
      </c>
      <c r="AG334" s="66" t="str">
        <f t="shared" si="263"/>
        <v>저수</v>
      </c>
      <c r="AH334" s="66" t="str">
        <f t="shared" si="264"/>
        <v>저수</v>
      </c>
      <c r="AI334" s="66" t="str">
        <f t="shared" si="265"/>
        <v>저수</v>
      </c>
      <c r="AJ334" s="66" t="str">
        <f t="shared" si="266"/>
        <v>저수</v>
      </c>
      <c r="AK334" s="66" t="str">
        <f t="shared" si="267"/>
        <v>저수</v>
      </c>
      <c r="AL334" s="58" t="str">
        <f t="shared" si="268"/>
        <v>6 : 0</v>
      </c>
      <c r="AM334" s="66">
        <f t="shared" si="269"/>
        <v>6</v>
      </c>
      <c r="AN334" s="66">
        <f t="shared" si="270"/>
        <v>0</v>
      </c>
      <c r="AO334" s="66">
        <f t="shared" si="271"/>
        <v>29</v>
      </c>
      <c r="AP334" s="66" t="str">
        <f t="shared" si="272"/>
        <v>O</v>
      </c>
      <c r="AQ334" s="66" t="str">
        <f t="shared" si="273"/>
        <v>X</v>
      </c>
      <c r="AR334" s="66" t="str">
        <f t="shared" si="274"/>
        <v>X</v>
      </c>
      <c r="AS334" s="66" t="str">
        <f t="shared" si="275"/>
        <v>O</v>
      </c>
      <c r="AT334" s="66" t="str">
        <f t="shared" si="276"/>
        <v>O</v>
      </c>
      <c r="AU334" s="66" t="str">
        <f t="shared" si="277"/>
        <v>X</v>
      </c>
      <c r="AV334" s="66" t="str">
        <f t="shared" si="278"/>
        <v>X</v>
      </c>
      <c r="AW334" s="66" t="str">
        <f t="shared" si="279"/>
        <v>X</v>
      </c>
      <c r="AX334" s="66" t="str">
        <f t="shared" si="280"/>
        <v>X</v>
      </c>
      <c r="AY334" s="66" t="str">
        <f t="shared" si="281"/>
        <v>X</v>
      </c>
      <c r="AZ334" s="66" t="str">
        <f t="shared" si="282"/>
        <v>X</v>
      </c>
      <c r="BA334" s="66" t="str">
        <f t="shared" si="283"/>
        <v>X</v>
      </c>
      <c r="BB334" s="66">
        <f t="shared" si="284"/>
        <v>3</v>
      </c>
      <c r="BC334" s="127" t="str">
        <f t="shared" si="255"/>
        <v>1G</v>
      </c>
      <c r="BD334" s="127" t="str">
        <f t="shared" si="256"/>
        <v>1G</v>
      </c>
      <c r="BE334" s="127" t="str">
        <f t="shared" si="257"/>
        <v>2G</v>
      </c>
      <c r="BF334" s="127" t="str">
        <f t="shared" si="258"/>
        <v>2G</v>
      </c>
      <c r="BG334" s="127" t="str">
        <f t="shared" si="259"/>
        <v>2G</v>
      </c>
      <c r="BH334" s="127" t="str">
        <f t="shared" si="260"/>
        <v>2G</v>
      </c>
      <c r="BI334" s="127">
        <f t="shared" si="285"/>
        <v>2</v>
      </c>
      <c r="BJ334" s="127">
        <f t="shared" si="286"/>
        <v>4</v>
      </c>
      <c r="BK334" s="127">
        <f t="shared" si="287"/>
        <v>0</v>
      </c>
      <c r="BL334" s="127" t="str">
        <f t="shared" si="288"/>
        <v>240</v>
      </c>
      <c r="BS334"/>
      <c r="CL334" s="28">
        <v>153</v>
      </c>
      <c r="CM334" s="28">
        <v>150</v>
      </c>
      <c r="CO334"/>
    </row>
    <row r="335" spans="1:93" ht="16.5" hidden="1">
      <c r="B335" s="17">
        <v>331</v>
      </c>
      <c r="C335" s="363" t="s">
        <v>361</v>
      </c>
      <c r="D335" s="18">
        <v>5</v>
      </c>
      <c r="E335" s="20">
        <v>2165902620</v>
      </c>
      <c r="F335" s="18">
        <v>45</v>
      </c>
      <c r="G335" s="20">
        <v>40109308</v>
      </c>
      <c r="H335" s="20">
        <v>1365</v>
      </c>
      <c r="I335" s="20">
        <v>1322285</v>
      </c>
      <c r="J335" s="20">
        <v>64617</v>
      </c>
      <c r="K335" s="20">
        <v>55866</v>
      </c>
      <c r="L335" s="20">
        <v>1054309</v>
      </c>
      <c r="M335" s="20">
        <v>5000</v>
      </c>
      <c r="N335" s="167">
        <v>4</v>
      </c>
      <c r="O335" s="167">
        <v>9</v>
      </c>
      <c r="P335" s="167">
        <v>14</v>
      </c>
      <c r="Q335" s="167">
        <v>26</v>
      </c>
      <c r="R335" s="167">
        <v>31</v>
      </c>
      <c r="S335" s="167">
        <v>44</v>
      </c>
      <c r="T335" s="167">
        <v>39</v>
      </c>
      <c r="U335" s="28">
        <f t="shared" si="261"/>
        <v>128</v>
      </c>
      <c r="W335" s="32" t="str">
        <f t="shared" si="246"/>
        <v>짝수</v>
      </c>
      <c r="X335" s="32" t="str">
        <f t="shared" si="247"/>
        <v>홀수</v>
      </c>
      <c r="Y335" s="32" t="str">
        <f t="shared" si="248"/>
        <v>짝수</v>
      </c>
      <c r="Z335" s="32" t="str">
        <f t="shared" si="249"/>
        <v>짝수</v>
      </c>
      <c r="AA335" s="32" t="str">
        <f t="shared" si="250"/>
        <v>홀수</v>
      </c>
      <c r="AB335" s="32" t="str">
        <f t="shared" si="251"/>
        <v>짝수</v>
      </c>
      <c r="AC335" s="58" t="str">
        <f t="shared" si="252"/>
        <v>2 : 4</v>
      </c>
      <c r="AD335" s="32">
        <f t="shared" si="253"/>
        <v>2</v>
      </c>
      <c r="AE335" s="32">
        <f t="shared" si="254"/>
        <v>4</v>
      </c>
      <c r="AF335" s="66" t="str">
        <f t="shared" si="262"/>
        <v>저수</v>
      </c>
      <c r="AG335" s="66" t="str">
        <f t="shared" si="263"/>
        <v>저수</v>
      </c>
      <c r="AH335" s="66" t="str">
        <f t="shared" si="264"/>
        <v>저수</v>
      </c>
      <c r="AI335" s="66" t="str">
        <f t="shared" si="265"/>
        <v>고수</v>
      </c>
      <c r="AJ335" s="66" t="str">
        <f t="shared" si="266"/>
        <v>고수</v>
      </c>
      <c r="AK335" s="66" t="str">
        <f t="shared" si="267"/>
        <v>고수</v>
      </c>
      <c r="AL335" s="58" t="str">
        <f t="shared" si="268"/>
        <v>3 : 3</v>
      </c>
      <c r="AM335" s="66">
        <f t="shared" si="269"/>
        <v>3</v>
      </c>
      <c r="AN335" s="66">
        <f t="shared" si="270"/>
        <v>3</v>
      </c>
      <c r="AO335" s="66">
        <f t="shared" si="271"/>
        <v>28</v>
      </c>
      <c r="AP335" s="66" t="str">
        <f t="shared" si="272"/>
        <v>X</v>
      </c>
      <c r="AQ335" s="66" t="str">
        <f t="shared" si="273"/>
        <v>X</v>
      </c>
      <c r="AR335" s="66" t="str">
        <f t="shared" si="274"/>
        <v>X</v>
      </c>
      <c r="AS335" s="66" t="str">
        <f t="shared" si="275"/>
        <v>X</v>
      </c>
      <c r="AT335" s="66" t="str">
        <f t="shared" si="276"/>
        <v>X</v>
      </c>
      <c r="AU335" s="66" t="str">
        <f t="shared" si="277"/>
        <v>X</v>
      </c>
      <c r="AV335" s="66" t="str">
        <f t="shared" si="278"/>
        <v>X</v>
      </c>
      <c r="AW335" s="66" t="str">
        <f t="shared" si="279"/>
        <v>X</v>
      </c>
      <c r="AX335" s="66" t="str">
        <f t="shared" si="280"/>
        <v>X</v>
      </c>
      <c r="AY335" s="66" t="str">
        <f t="shared" si="281"/>
        <v>X</v>
      </c>
      <c r="AZ335" s="66" t="str">
        <f t="shared" si="282"/>
        <v>O</v>
      </c>
      <c r="BA335" s="66" t="str">
        <f t="shared" si="283"/>
        <v>X</v>
      </c>
      <c r="BB335" s="66">
        <f t="shared" si="284"/>
        <v>1</v>
      </c>
      <c r="BC335" s="127" t="str">
        <f t="shared" si="255"/>
        <v>1G</v>
      </c>
      <c r="BD335" s="127" t="str">
        <f t="shared" si="256"/>
        <v>1G</v>
      </c>
      <c r="BE335" s="127" t="str">
        <f t="shared" si="257"/>
        <v>1G</v>
      </c>
      <c r="BF335" s="127" t="str">
        <f t="shared" si="258"/>
        <v>2G</v>
      </c>
      <c r="BG335" s="127" t="str">
        <f t="shared" si="259"/>
        <v>3G</v>
      </c>
      <c r="BH335" s="127" t="str">
        <f t="shared" si="260"/>
        <v>3G</v>
      </c>
      <c r="BI335" s="127">
        <f t="shared" si="285"/>
        <v>3</v>
      </c>
      <c r="BJ335" s="127">
        <f t="shared" si="286"/>
        <v>1</v>
      </c>
      <c r="BK335" s="127">
        <f t="shared" si="287"/>
        <v>2</v>
      </c>
      <c r="BL335" s="127" t="str">
        <f t="shared" si="288"/>
        <v>312</v>
      </c>
      <c r="BS335"/>
      <c r="CL335" s="28">
        <v>153</v>
      </c>
      <c r="CM335" s="28">
        <v>150</v>
      </c>
      <c r="CO335"/>
    </row>
    <row r="336" spans="1:93" ht="16.5" hidden="1">
      <c r="B336" s="17">
        <v>332</v>
      </c>
      <c r="C336" s="363" t="s">
        <v>362</v>
      </c>
      <c r="D336" s="18">
        <v>8</v>
      </c>
      <c r="E336" s="20">
        <v>1359448388</v>
      </c>
      <c r="F336" s="18">
        <v>37</v>
      </c>
      <c r="G336" s="20">
        <v>48989132</v>
      </c>
      <c r="H336" s="20">
        <v>1098</v>
      </c>
      <c r="I336" s="20">
        <v>1650818</v>
      </c>
      <c r="J336" s="20">
        <v>59833</v>
      </c>
      <c r="K336" s="20">
        <v>60589</v>
      </c>
      <c r="L336" s="20">
        <v>979060</v>
      </c>
      <c r="M336" s="20">
        <v>5000</v>
      </c>
      <c r="N336" s="167">
        <v>16</v>
      </c>
      <c r="O336" s="167">
        <v>17</v>
      </c>
      <c r="P336" s="167">
        <v>34</v>
      </c>
      <c r="Q336" s="167">
        <v>36</v>
      </c>
      <c r="R336" s="167">
        <v>42</v>
      </c>
      <c r="S336" s="167">
        <v>45</v>
      </c>
      <c r="T336" s="167">
        <v>3</v>
      </c>
      <c r="U336" s="28">
        <f t="shared" si="261"/>
        <v>190</v>
      </c>
      <c r="W336" s="32" t="str">
        <f t="shared" si="246"/>
        <v>짝수</v>
      </c>
      <c r="X336" s="32" t="str">
        <f t="shared" si="247"/>
        <v>홀수</v>
      </c>
      <c r="Y336" s="32" t="str">
        <f t="shared" si="248"/>
        <v>짝수</v>
      </c>
      <c r="Z336" s="32" t="str">
        <f t="shared" si="249"/>
        <v>짝수</v>
      </c>
      <c r="AA336" s="32" t="str">
        <f t="shared" si="250"/>
        <v>짝수</v>
      </c>
      <c r="AB336" s="32" t="str">
        <f t="shared" si="251"/>
        <v>홀수</v>
      </c>
      <c r="AC336" s="58" t="str">
        <f t="shared" si="252"/>
        <v>2 : 4</v>
      </c>
      <c r="AD336" s="32">
        <f t="shared" si="253"/>
        <v>2</v>
      </c>
      <c r="AE336" s="32">
        <f t="shared" si="254"/>
        <v>4</v>
      </c>
      <c r="AF336" s="66" t="str">
        <f t="shared" si="262"/>
        <v>저수</v>
      </c>
      <c r="AG336" s="66" t="str">
        <f t="shared" si="263"/>
        <v>저수</v>
      </c>
      <c r="AH336" s="66" t="str">
        <f t="shared" si="264"/>
        <v>고수</v>
      </c>
      <c r="AI336" s="66" t="str">
        <f t="shared" si="265"/>
        <v>고수</v>
      </c>
      <c r="AJ336" s="66" t="str">
        <f t="shared" si="266"/>
        <v>고수</v>
      </c>
      <c r="AK336" s="66" t="str">
        <f t="shared" si="267"/>
        <v>고수</v>
      </c>
      <c r="AL336" s="58" t="str">
        <f t="shared" si="268"/>
        <v>2 : 4</v>
      </c>
      <c r="AM336" s="66">
        <f t="shared" si="269"/>
        <v>2</v>
      </c>
      <c r="AN336" s="66">
        <f t="shared" si="270"/>
        <v>4</v>
      </c>
      <c r="AO336" s="66">
        <f t="shared" si="271"/>
        <v>30</v>
      </c>
      <c r="AP336" s="66" t="str">
        <f t="shared" si="272"/>
        <v>X</v>
      </c>
      <c r="AQ336" s="66" t="str">
        <f t="shared" si="273"/>
        <v>O</v>
      </c>
      <c r="AR336" s="66" t="str">
        <f t="shared" si="274"/>
        <v>X</v>
      </c>
      <c r="AS336" s="66" t="str">
        <f t="shared" si="275"/>
        <v>X</v>
      </c>
      <c r="AT336" s="66" t="str">
        <f t="shared" si="276"/>
        <v>X</v>
      </c>
      <c r="AU336" s="66" t="str">
        <f t="shared" si="277"/>
        <v>X</v>
      </c>
      <c r="AV336" s="66" t="str">
        <f t="shared" si="278"/>
        <v>X</v>
      </c>
      <c r="AW336" s="66" t="str">
        <f t="shared" si="279"/>
        <v>X</v>
      </c>
      <c r="AX336" s="66" t="str">
        <f t="shared" si="280"/>
        <v>X</v>
      </c>
      <c r="AY336" s="66" t="str">
        <f t="shared" si="281"/>
        <v>X</v>
      </c>
      <c r="AZ336" s="66" t="str">
        <f t="shared" si="282"/>
        <v>X</v>
      </c>
      <c r="BA336" s="66" t="str">
        <f t="shared" si="283"/>
        <v>X</v>
      </c>
      <c r="BB336" s="66">
        <f t="shared" si="284"/>
        <v>1</v>
      </c>
      <c r="BC336" s="127" t="str">
        <f t="shared" si="255"/>
        <v>2G</v>
      </c>
      <c r="BD336" s="127" t="str">
        <f t="shared" si="256"/>
        <v>2G</v>
      </c>
      <c r="BE336" s="127" t="str">
        <f t="shared" si="257"/>
        <v>3G</v>
      </c>
      <c r="BF336" s="127" t="str">
        <f t="shared" si="258"/>
        <v>3G</v>
      </c>
      <c r="BG336" s="127" t="str">
        <f t="shared" si="259"/>
        <v>3G</v>
      </c>
      <c r="BH336" s="127" t="str">
        <f t="shared" si="260"/>
        <v>3G</v>
      </c>
      <c r="BI336" s="127">
        <f t="shared" si="285"/>
        <v>0</v>
      </c>
      <c r="BJ336" s="127">
        <f t="shared" si="286"/>
        <v>2</v>
      </c>
      <c r="BK336" s="127">
        <f t="shared" si="287"/>
        <v>4</v>
      </c>
      <c r="BL336" s="127" t="str">
        <f t="shared" si="288"/>
        <v>024</v>
      </c>
      <c r="BS336"/>
      <c r="CL336" s="28">
        <v>154</v>
      </c>
      <c r="CM336" s="28">
        <v>150</v>
      </c>
      <c r="CO336"/>
    </row>
    <row r="337" spans="2:93" ht="16.5" hidden="1">
      <c r="B337" s="17">
        <v>333</v>
      </c>
      <c r="C337" s="363" t="s">
        <v>363</v>
      </c>
      <c r="D337" s="18">
        <v>7</v>
      </c>
      <c r="E337" s="20">
        <v>1550987143</v>
      </c>
      <c r="F337" s="18">
        <v>36</v>
      </c>
      <c r="G337" s="20">
        <v>50263473</v>
      </c>
      <c r="H337" s="20">
        <v>1365</v>
      </c>
      <c r="I337" s="20">
        <v>1325631</v>
      </c>
      <c r="J337" s="20">
        <v>59991</v>
      </c>
      <c r="K337" s="20">
        <v>60326</v>
      </c>
      <c r="L337" s="20">
        <v>982937</v>
      </c>
      <c r="M337" s="20">
        <v>5000</v>
      </c>
      <c r="N337" s="167">
        <v>5</v>
      </c>
      <c r="O337" s="167">
        <v>14</v>
      </c>
      <c r="P337" s="167">
        <v>27</v>
      </c>
      <c r="Q337" s="167">
        <v>30</v>
      </c>
      <c r="R337" s="167">
        <v>39</v>
      </c>
      <c r="S337" s="167">
        <v>43</v>
      </c>
      <c r="T337" s="167">
        <v>35</v>
      </c>
      <c r="U337" s="28">
        <f t="shared" si="261"/>
        <v>158</v>
      </c>
      <c r="W337" s="32" t="str">
        <f t="shared" si="246"/>
        <v>홀수</v>
      </c>
      <c r="X337" s="32" t="str">
        <f t="shared" si="247"/>
        <v>짝수</v>
      </c>
      <c r="Y337" s="32" t="str">
        <f t="shared" si="248"/>
        <v>홀수</v>
      </c>
      <c r="Z337" s="32" t="str">
        <f t="shared" si="249"/>
        <v>짝수</v>
      </c>
      <c r="AA337" s="32" t="str">
        <f t="shared" si="250"/>
        <v>홀수</v>
      </c>
      <c r="AB337" s="32" t="str">
        <f t="shared" si="251"/>
        <v>홀수</v>
      </c>
      <c r="AC337" s="58" t="str">
        <f t="shared" si="252"/>
        <v>4 : 2</v>
      </c>
      <c r="AD337" s="32">
        <f t="shared" si="253"/>
        <v>4</v>
      </c>
      <c r="AE337" s="32">
        <f t="shared" si="254"/>
        <v>2</v>
      </c>
      <c r="AF337" s="66" t="str">
        <f t="shared" si="262"/>
        <v>저수</v>
      </c>
      <c r="AG337" s="66" t="str">
        <f t="shared" si="263"/>
        <v>저수</v>
      </c>
      <c r="AH337" s="66" t="str">
        <f t="shared" si="264"/>
        <v>고수</v>
      </c>
      <c r="AI337" s="66" t="str">
        <f t="shared" si="265"/>
        <v>고수</v>
      </c>
      <c r="AJ337" s="66" t="str">
        <f t="shared" si="266"/>
        <v>고수</v>
      </c>
      <c r="AK337" s="66" t="str">
        <f t="shared" si="267"/>
        <v>고수</v>
      </c>
      <c r="AL337" s="58" t="str">
        <f t="shared" si="268"/>
        <v>2 : 4</v>
      </c>
      <c r="AM337" s="66">
        <f t="shared" si="269"/>
        <v>2</v>
      </c>
      <c r="AN337" s="66">
        <f t="shared" si="270"/>
        <v>4</v>
      </c>
      <c r="AO337" s="66">
        <f t="shared" si="271"/>
        <v>28</v>
      </c>
      <c r="AP337" s="66" t="str">
        <f t="shared" si="272"/>
        <v>O</v>
      </c>
      <c r="AQ337" s="66" t="str">
        <f t="shared" si="273"/>
        <v>X</v>
      </c>
      <c r="AR337" s="66" t="str">
        <f t="shared" si="274"/>
        <v>X</v>
      </c>
      <c r="AS337" s="66" t="str">
        <f t="shared" si="275"/>
        <v>X</v>
      </c>
      <c r="AT337" s="66" t="str">
        <f t="shared" si="276"/>
        <v>X</v>
      </c>
      <c r="AU337" s="66" t="str">
        <f t="shared" si="277"/>
        <v>X</v>
      </c>
      <c r="AV337" s="66" t="str">
        <f t="shared" si="278"/>
        <v>X</v>
      </c>
      <c r="AW337" s="66" t="str">
        <f t="shared" si="279"/>
        <v>X</v>
      </c>
      <c r="AX337" s="66" t="str">
        <f t="shared" si="280"/>
        <v>X</v>
      </c>
      <c r="AY337" s="66" t="str">
        <f t="shared" si="281"/>
        <v>X</v>
      </c>
      <c r="AZ337" s="66" t="str">
        <f t="shared" si="282"/>
        <v>X</v>
      </c>
      <c r="BA337" s="66" t="str">
        <f t="shared" si="283"/>
        <v>O</v>
      </c>
      <c r="BB337" s="66">
        <f t="shared" si="284"/>
        <v>2</v>
      </c>
      <c r="BC337" s="127" t="str">
        <f t="shared" si="255"/>
        <v>1G</v>
      </c>
      <c r="BD337" s="127" t="str">
        <f t="shared" si="256"/>
        <v>1G</v>
      </c>
      <c r="BE337" s="127" t="str">
        <f t="shared" si="257"/>
        <v>2G</v>
      </c>
      <c r="BF337" s="127" t="str">
        <f t="shared" si="258"/>
        <v>2G</v>
      </c>
      <c r="BG337" s="127" t="str">
        <f t="shared" si="259"/>
        <v>3G</v>
      </c>
      <c r="BH337" s="127" t="str">
        <f t="shared" si="260"/>
        <v>3G</v>
      </c>
      <c r="BI337" s="127">
        <f t="shared" si="285"/>
        <v>2</v>
      </c>
      <c r="BJ337" s="127">
        <f t="shared" si="286"/>
        <v>2</v>
      </c>
      <c r="BK337" s="127">
        <f t="shared" si="287"/>
        <v>2</v>
      </c>
      <c r="BL337" s="127" t="str">
        <f t="shared" si="288"/>
        <v>222</v>
      </c>
      <c r="BS337"/>
      <c r="CL337" s="28">
        <v>154</v>
      </c>
      <c r="CM337" s="28">
        <v>150</v>
      </c>
      <c r="CO337"/>
    </row>
    <row r="338" spans="2:93" ht="16.5" hidden="1">
      <c r="B338" s="17">
        <v>334</v>
      </c>
      <c r="C338" s="363" t="s">
        <v>364</v>
      </c>
      <c r="D338" s="18">
        <v>7</v>
      </c>
      <c r="E338" s="20">
        <v>1523002972</v>
      </c>
      <c r="F338" s="18">
        <v>31</v>
      </c>
      <c r="G338" s="20">
        <v>57317317</v>
      </c>
      <c r="H338" s="20">
        <v>1055</v>
      </c>
      <c r="I338" s="20">
        <v>1684206</v>
      </c>
      <c r="J338" s="20">
        <v>52311</v>
      </c>
      <c r="K338" s="20">
        <v>67934</v>
      </c>
      <c r="L338" s="20">
        <v>890292</v>
      </c>
      <c r="M338" s="20">
        <v>5000</v>
      </c>
      <c r="N338" s="167">
        <v>13</v>
      </c>
      <c r="O338" s="167">
        <v>15</v>
      </c>
      <c r="P338" s="167">
        <v>21</v>
      </c>
      <c r="Q338" s="167">
        <v>29</v>
      </c>
      <c r="R338" s="167">
        <v>39</v>
      </c>
      <c r="S338" s="167">
        <v>43</v>
      </c>
      <c r="T338" s="167">
        <v>33</v>
      </c>
      <c r="U338" s="28">
        <f t="shared" si="261"/>
        <v>160</v>
      </c>
      <c r="W338" s="32" t="str">
        <f t="shared" si="246"/>
        <v>홀수</v>
      </c>
      <c r="X338" s="32" t="str">
        <f t="shared" si="247"/>
        <v>홀수</v>
      </c>
      <c r="Y338" s="32" t="str">
        <f t="shared" si="248"/>
        <v>홀수</v>
      </c>
      <c r="Z338" s="32" t="str">
        <f t="shared" si="249"/>
        <v>홀수</v>
      </c>
      <c r="AA338" s="32" t="str">
        <f t="shared" si="250"/>
        <v>홀수</v>
      </c>
      <c r="AB338" s="32" t="str">
        <f t="shared" si="251"/>
        <v>홀수</v>
      </c>
      <c r="AC338" s="58" t="str">
        <f t="shared" si="252"/>
        <v>6 : 0</v>
      </c>
      <c r="AD338" s="32">
        <f t="shared" si="253"/>
        <v>6</v>
      </c>
      <c r="AE338" s="32">
        <f t="shared" si="254"/>
        <v>0</v>
      </c>
      <c r="AF338" s="66" t="str">
        <f t="shared" si="262"/>
        <v>저수</v>
      </c>
      <c r="AG338" s="66" t="str">
        <f t="shared" si="263"/>
        <v>저수</v>
      </c>
      <c r="AH338" s="66" t="str">
        <f t="shared" si="264"/>
        <v>저수</v>
      </c>
      <c r="AI338" s="66" t="str">
        <f t="shared" si="265"/>
        <v>고수</v>
      </c>
      <c r="AJ338" s="66" t="str">
        <f t="shared" si="266"/>
        <v>고수</v>
      </c>
      <c r="AK338" s="66" t="str">
        <f t="shared" si="267"/>
        <v>고수</v>
      </c>
      <c r="AL338" s="58" t="str">
        <f t="shared" si="268"/>
        <v>3 : 3</v>
      </c>
      <c r="AM338" s="66">
        <f t="shared" si="269"/>
        <v>3</v>
      </c>
      <c r="AN338" s="66">
        <f t="shared" si="270"/>
        <v>3</v>
      </c>
      <c r="AO338" s="66">
        <f t="shared" si="271"/>
        <v>30</v>
      </c>
      <c r="AP338" s="66" t="str">
        <f t="shared" si="272"/>
        <v>O</v>
      </c>
      <c r="AQ338" s="66" t="str">
        <f t="shared" si="273"/>
        <v>X</v>
      </c>
      <c r="AR338" s="66" t="str">
        <f t="shared" si="274"/>
        <v>X</v>
      </c>
      <c r="AS338" s="66" t="str">
        <f t="shared" si="275"/>
        <v>X</v>
      </c>
      <c r="AT338" s="66" t="str">
        <f t="shared" si="276"/>
        <v>X</v>
      </c>
      <c r="AU338" s="66" t="str">
        <f t="shared" si="277"/>
        <v>X</v>
      </c>
      <c r="AV338" s="66" t="str">
        <f t="shared" si="278"/>
        <v>X</v>
      </c>
      <c r="AW338" s="66" t="str">
        <f t="shared" si="279"/>
        <v>X</v>
      </c>
      <c r="AX338" s="66" t="str">
        <f t="shared" si="280"/>
        <v>X</v>
      </c>
      <c r="AY338" s="66" t="str">
        <f t="shared" si="281"/>
        <v>O</v>
      </c>
      <c r="AZ338" s="66" t="str">
        <f t="shared" si="282"/>
        <v>X</v>
      </c>
      <c r="BA338" s="66" t="str">
        <f t="shared" si="283"/>
        <v>O</v>
      </c>
      <c r="BB338" s="66">
        <f t="shared" si="284"/>
        <v>3</v>
      </c>
      <c r="BC338" s="127" t="str">
        <f t="shared" si="255"/>
        <v>1G</v>
      </c>
      <c r="BD338" s="127" t="str">
        <f t="shared" si="256"/>
        <v>1G</v>
      </c>
      <c r="BE338" s="127" t="str">
        <f t="shared" si="257"/>
        <v>2G</v>
      </c>
      <c r="BF338" s="127" t="str">
        <f t="shared" si="258"/>
        <v>2G</v>
      </c>
      <c r="BG338" s="127" t="str">
        <f t="shared" si="259"/>
        <v>3G</v>
      </c>
      <c r="BH338" s="127" t="str">
        <f t="shared" si="260"/>
        <v>3G</v>
      </c>
      <c r="BI338" s="127">
        <f t="shared" si="285"/>
        <v>2</v>
      </c>
      <c r="BJ338" s="127">
        <f t="shared" si="286"/>
        <v>2</v>
      </c>
      <c r="BK338" s="127">
        <f t="shared" si="287"/>
        <v>2</v>
      </c>
      <c r="BL338" s="127" t="str">
        <f t="shared" si="288"/>
        <v>222</v>
      </c>
      <c r="BS338"/>
      <c r="CL338" s="28">
        <v>154</v>
      </c>
      <c r="CM338" s="28">
        <v>150</v>
      </c>
      <c r="CO338"/>
    </row>
    <row r="339" spans="2:93" ht="16.5" hidden="1">
      <c r="B339" s="17">
        <v>335</v>
      </c>
      <c r="C339" s="363" t="s">
        <v>365</v>
      </c>
      <c r="D339" s="18">
        <v>5</v>
      </c>
      <c r="E339" s="20">
        <v>2037492480</v>
      </c>
      <c r="F339" s="18">
        <v>28</v>
      </c>
      <c r="G339" s="20">
        <v>60639658</v>
      </c>
      <c r="H339" s="20">
        <v>1222</v>
      </c>
      <c r="I339" s="20">
        <v>1389453</v>
      </c>
      <c r="J339" s="20">
        <v>60578</v>
      </c>
      <c r="K339" s="20">
        <v>56057</v>
      </c>
      <c r="L339" s="20">
        <v>1001927</v>
      </c>
      <c r="M339" s="20">
        <v>5000</v>
      </c>
      <c r="N339" s="167">
        <v>5</v>
      </c>
      <c r="O339" s="167">
        <v>9</v>
      </c>
      <c r="P339" s="167">
        <v>16</v>
      </c>
      <c r="Q339" s="167">
        <v>23</v>
      </c>
      <c r="R339" s="167">
        <v>26</v>
      </c>
      <c r="S339" s="167">
        <v>45</v>
      </c>
      <c r="T339" s="167">
        <v>21</v>
      </c>
      <c r="U339" s="28">
        <f t="shared" si="261"/>
        <v>124</v>
      </c>
      <c r="W339" s="32" t="str">
        <f t="shared" si="246"/>
        <v>홀수</v>
      </c>
      <c r="X339" s="32" t="str">
        <f t="shared" si="247"/>
        <v>홀수</v>
      </c>
      <c r="Y339" s="32" t="str">
        <f t="shared" si="248"/>
        <v>짝수</v>
      </c>
      <c r="Z339" s="32" t="str">
        <f t="shared" si="249"/>
        <v>홀수</v>
      </c>
      <c r="AA339" s="32" t="str">
        <f t="shared" si="250"/>
        <v>짝수</v>
      </c>
      <c r="AB339" s="32" t="str">
        <f t="shared" si="251"/>
        <v>홀수</v>
      </c>
      <c r="AC339" s="58" t="str">
        <f t="shared" si="252"/>
        <v>4 : 2</v>
      </c>
      <c r="AD339" s="32">
        <f t="shared" si="253"/>
        <v>4</v>
      </c>
      <c r="AE339" s="32">
        <f t="shared" si="254"/>
        <v>2</v>
      </c>
      <c r="AF339" s="66" t="str">
        <f t="shared" si="262"/>
        <v>저수</v>
      </c>
      <c r="AG339" s="66" t="str">
        <f t="shared" si="263"/>
        <v>저수</v>
      </c>
      <c r="AH339" s="66" t="str">
        <f t="shared" si="264"/>
        <v>저수</v>
      </c>
      <c r="AI339" s="66" t="str">
        <f t="shared" si="265"/>
        <v>고수</v>
      </c>
      <c r="AJ339" s="66" t="str">
        <f t="shared" si="266"/>
        <v>고수</v>
      </c>
      <c r="AK339" s="66" t="str">
        <f t="shared" si="267"/>
        <v>고수</v>
      </c>
      <c r="AL339" s="58" t="str">
        <f t="shared" si="268"/>
        <v>3 : 3</v>
      </c>
      <c r="AM339" s="66">
        <f t="shared" si="269"/>
        <v>3</v>
      </c>
      <c r="AN339" s="66">
        <f t="shared" si="270"/>
        <v>3</v>
      </c>
      <c r="AO339" s="66">
        <f t="shared" si="271"/>
        <v>34</v>
      </c>
      <c r="AP339" s="66" t="str">
        <f t="shared" si="272"/>
        <v>O</v>
      </c>
      <c r="AQ339" s="66" t="str">
        <f t="shared" si="273"/>
        <v>X</v>
      </c>
      <c r="AR339" s="66" t="str">
        <f t="shared" si="274"/>
        <v>X</v>
      </c>
      <c r="AS339" s="66" t="str">
        <f t="shared" si="275"/>
        <v>X</v>
      </c>
      <c r="AT339" s="66" t="str">
        <f t="shared" si="276"/>
        <v>X</v>
      </c>
      <c r="AU339" s="66" t="str">
        <f t="shared" si="277"/>
        <v>X</v>
      </c>
      <c r="AV339" s="66" t="str">
        <f t="shared" si="278"/>
        <v>X</v>
      </c>
      <c r="AW339" s="66" t="str">
        <f t="shared" si="279"/>
        <v>X</v>
      </c>
      <c r="AX339" s="66" t="str">
        <f t="shared" si="280"/>
        <v>X</v>
      </c>
      <c r="AY339" s="66" t="str">
        <f t="shared" si="281"/>
        <v>O</v>
      </c>
      <c r="AZ339" s="66" t="str">
        <f t="shared" si="282"/>
        <v>X</v>
      </c>
      <c r="BA339" s="66" t="str">
        <f t="shared" si="283"/>
        <v>X</v>
      </c>
      <c r="BB339" s="66">
        <f t="shared" si="284"/>
        <v>2</v>
      </c>
      <c r="BC339" s="127" t="str">
        <f t="shared" si="255"/>
        <v>1G</v>
      </c>
      <c r="BD339" s="127" t="str">
        <f t="shared" si="256"/>
        <v>1G</v>
      </c>
      <c r="BE339" s="127" t="str">
        <f t="shared" si="257"/>
        <v>2G</v>
      </c>
      <c r="BF339" s="127" t="str">
        <f t="shared" si="258"/>
        <v>2G</v>
      </c>
      <c r="BG339" s="127" t="str">
        <f t="shared" si="259"/>
        <v>2G</v>
      </c>
      <c r="BH339" s="127" t="str">
        <f t="shared" si="260"/>
        <v>3G</v>
      </c>
      <c r="BI339" s="127">
        <f t="shared" si="285"/>
        <v>2</v>
      </c>
      <c r="BJ339" s="127">
        <f t="shared" si="286"/>
        <v>3</v>
      </c>
      <c r="BK339" s="127">
        <f t="shared" si="287"/>
        <v>1</v>
      </c>
      <c r="BL339" s="127" t="str">
        <f t="shared" si="288"/>
        <v>231</v>
      </c>
      <c r="BS339"/>
      <c r="CL339" s="28">
        <v>155</v>
      </c>
      <c r="CM339" s="28">
        <v>150</v>
      </c>
      <c r="CO339"/>
    </row>
    <row r="340" spans="2:93" ht="16.5" hidden="1">
      <c r="B340" s="17">
        <v>336</v>
      </c>
      <c r="C340" s="363" t="s">
        <v>366</v>
      </c>
      <c r="D340" s="18">
        <v>6</v>
      </c>
      <c r="E340" s="20">
        <v>1685632650</v>
      </c>
      <c r="F340" s="18">
        <v>30</v>
      </c>
      <c r="G340" s="20">
        <v>56187755</v>
      </c>
      <c r="H340" s="18">
        <v>989</v>
      </c>
      <c r="I340" s="20">
        <v>1704381</v>
      </c>
      <c r="J340" s="20">
        <v>54887</v>
      </c>
      <c r="K340" s="20">
        <v>61422</v>
      </c>
      <c r="L340" s="20">
        <v>935668</v>
      </c>
      <c r="M340" s="20">
        <v>5000</v>
      </c>
      <c r="N340" s="167">
        <v>3</v>
      </c>
      <c r="O340" s="167">
        <v>5</v>
      </c>
      <c r="P340" s="167">
        <v>20</v>
      </c>
      <c r="Q340" s="167">
        <v>34</v>
      </c>
      <c r="R340" s="167">
        <v>35</v>
      </c>
      <c r="S340" s="167">
        <v>44</v>
      </c>
      <c r="T340" s="167">
        <v>16</v>
      </c>
      <c r="U340" s="28">
        <f t="shared" si="261"/>
        <v>141</v>
      </c>
      <c r="W340" s="32" t="str">
        <f t="shared" si="246"/>
        <v>홀수</v>
      </c>
      <c r="X340" s="32" t="str">
        <f t="shared" si="247"/>
        <v>홀수</v>
      </c>
      <c r="Y340" s="32" t="str">
        <f t="shared" si="248"/>
        <v>짝수</v>
      </c>
      <c r="Z340" s="32" t="str">
        <f t="shared" si="249"/>
        <v>짝수</v>
      </c>
      <c r="AA340" s="32" t="str">
        <f t="shared" si="250"/>
        <v>홀수</v>
      </c>
      <c r="AB340" s="32" t="str">
        <f t="shared" si="251"/>
        <v>짝수</v>
      </c>
      <c r="AC340" s="58" t="str">
        <f t="shared" si="252"/>
        <v>3 : 3</v>
      </c>
      <c r="AD340" s="32">
        <f t="shared" si="253"/>
        <v>3</v>
      </c>
      <c r="AE340" s="32">
        <f t="shared" si="254"/>
        <v>3</v>
      </c>
      <c r="AF340" s="66" t="str">
        <f t="shared" si="262"/>
        <v>저수</v>
      </c>
      <c r="AG340" s="66" t="str">
        <f t="shared" si="263"/>
        <v>저수</v>
      </c>
      <c r="AH340" s="66" t="str">
        <f t="shared" si="264"/>
        <v>저수</v>
      </c>
      <c r="AI340" s="66" t="str">
        <f t="shared" si="265"/>
        <v>고수</v>
      </c>
      <c r="AJ340" s="66" t="str">
        <f t="shared" si="266"/>
        <v>고수</v>
      </c>
      <c r="AK340" s="66" t="str">
        <f t="shared" si="267"/>
        <v>고수</v>
      </c>
      <c r="AL340" s="58" t="str">
        <f t="shared" si="268"/>
        <v>3 : 3</v>
      </c>
      <c r="AM340" s="66">
        <f t="shared" si="269"/>
        <v>3</v>
      </c>
      <c r="AN340" s="66">
        <f t="shared" si="270"/>
        <v>3</v>
      </c>
      <c r="AO340" s="66">
        <f t="shared" si="271"/>
        <v>21</v>
      </c>
      <c r="AP340" s="66" t="str">
        <f t="shared" si="272"/>
        <v>O</v>
      </c>
      <c r="AQ340" s="66" t="str">
        <f t="shared" si="273"/>
        <v>O</v>
      </c>
      <c r="AR340" s="66" t="str">
        <f t="shared" si="274"/>
        <v>X</v>
      </c>
      <c r="AS340" s="66" t="str">
        <f t="shared" si="275"/>
        <v>X</v>
      </c>
      <c r="AT340" s="66" t="str">
        <f t="shared" si="276"/>
        <v>X</v>
      </c>
      <c r="AU340" s="66" t="str">
        <f t="shared" si="277"/>
        <v>X</v>
      </c>
      <c r="AV340" s="66" t="str">
        <f t="shared" si="278"/>
        <v>X</v>
      </c>
      <c r="AW340" s="66" t="str">
        <f t="shared" si="279"/>
        <v>X</v>
      </c>
      <c r="AX340" s="66" t="str">
        <f t="shared" si="280"/>
        <v>X</v>
      </c>
      <c r="AY340" s="66" t="str">
        <f t="shared" si="281"/>
        <v>X</v>
      </c>
      <c r="AZ340" s="66" t="str">
        <f t="shared" si="282"/>
        <v>X</v>
      </c>
      <c r="BA340" s="66" t="str">
        <f t="shared" si="283"/>
        <v>X</v>
      </c>
      <c r="BB340" s="66">
        <f t="shared" si="284"/>
        <v>2</v>
      </c>
      <c r="BC340" s="127" t="str">
        <f t="shared" si="255"/>
        <v>1G</v>
      </c>
      <c r="BD340" s="127" t="str">
        <f t="shared" si="256"/>
        <v>1G</v>
      </c>
      <c r="BE340" s="127" t="str">
        <f t="shared" si="257"/>
        <v>2G</v>
      </c>
      <c r="BF340" s="127" t="str">
        <f t="shared" si="258"/>
        <v>3G</v>
      </c>
      <c r="BG340" s="127" t="str">
        <f t="shared" si="259"/>
        <v>3G</v>
      </c>
      <c r="BH340" s="127" t="str">
        <f t="shared" si="260"/>
        <v>3G</v>
      </c>
      <c r="BI340" s="127">
        <f t="shared" si="285"/>
        <v>2</v>
      </c>
      <c r="BJ340" s="127">
        <f t="shared" si="286"/>
        <v>1</v>
      </c>
      <c r="BK340" s="127">
        <f t="shared" si="287"/>
        <v>3</v>
      </c>
      <c r="BL340" s="127" t="str">
        <f t="shared" si="288"/>
        <v>213</v>
      </c>
      <c r="BS340"/>
      <c r="CL340" s="28">
        <v>155</v>
      </c>
      <c r="CM340" s="28">
        <v>150</v>
      </c>
      <c r="CO340"/>
    </row>
    <row r="341" spans="2:93" ht="16.5" hidden="1">
      <c r="B341" s="17">
        <v>337</v>
      </c>
      <c r="C341" s="363" t="s">
        <v>367</v>
      </c>
      <c r="D341" s="18">
        <v>8</v>
      </c>
      <c r="E341" s="20">
        <v>1257500513</v>
      </c>
      <c r="F341" s="18">
        <v>33</v>
      </c>
      <c r="G341" s="20">
        <v>50808102</v>
      </c>
      <c r="H341" s="20">
        <v>1194</v>
      </c>
      <c r="I341" s="20">
        <v>1404245</v>
      </c>
      <c r="J341" s="20">
        <v>59392</v>
      </c>
      <c r="K341" s="20">
        <v>56462</v>
      </c>
      <c r="L341" s="20">
        <v>989912</v>
      </c>
      <c r="M341" s="20">
        <v>5000</v>
      </c>
      <c r="N341" s="167">
        <v>1</v>
      </c>
      <c r="O341" s="167">
        <v>5</v>
      </c>
      <c r="P341" s="167">
        <v>14</v>
      </c>
      <c r="Q341" s="167">
        <v>18</v>
      </c>
      <c r="R341" s="167">
        <v>32</v>
      </c>
      <c r="S341" s="167">
        <v>37</v>
      </c>
      <c r="T341" s="167">
        <v>4</v>
      </c>
      <c r="U341" s="28">
        <f t="shared" si="261"/>
        <v>107</v>
      </c>
      <c r="W341" s="32" t="str">
        <f t="shared" si="246"/>
        <v>홀수</v>
      </c>
      <c r="X341" s="32" t="str">
        <f t="shared" si="247"/>
        <v>홀수</v>
      </c>
      <c r="Y341" s="32" t="str">
        <f t="shared" si="248"/>
        <v>짝수</v>
      </c>
      <c r="Z341" s="32" t="str">
        <f t="shared" si="249"/>
        <v>짝수</v>
      </c>
      <c r="AA341" s="32" t="str">
        <f t="shared" si="250"/>
        <v>짝수</v>
      </c>
      <c r="AB341" s="32" t="str">
        <f t="shared" si="251"/>
        <v>홀수</v>
      </c>
      <c r="AC341" s="58" t="str">
        <f t="shared" si="252"/>
        <v>3 : 3</v>
      </c>
      <c r="AD341" s="32">
        <f t="shared" si="253"/>
        <v>3</v>
      </c>
      <c r="AE341" s="32">
        <f t="shared" si="254"/>
        <v>3</v>
      </c>
      <c r="AF341" s="66" t="str">
        <f t="shared" si="262"/>
        <v>저수</v>
      </c>
      <c r="AG341" s="66" t="str">
        <f t="shared" si="263"/>
        <v>저수</v>
      </c>
      <c r="AH341" s="66" t="str">
        <f t="shared" si="264"/>
        <v>저수</v>
      </c>
      <c r="AI341" s="66" t="str">
        <f t="shared" si="265"/>
        <v>저수</v>
      </c>
      <c r="AJ341" s="66" t="str">
        <f t="shared" si="266"/>
        <v>고수</v>
      </c>
      <c r="AK341" s="66" t="str">
        <f t="shared" si="267"/>
        <v>고수</v>
      </c>
      <c r="AL341" s="58" t="str">
        <f t="shared" si="268"/>
        <v>4 : 2</v>
      </c>
      <c r="AM341" s="66">
        <f t="shared" si="269"/>
        <v>4</v>
      </c>
      <c r="AN341" s="66">
        <f t="shared" si="270"/>
        <v>2</v>
      </c>
      <c r="AO341" s="66">
        <f t="shared" si="271"/>
        <v>27</v>
      </c>
      <c r="AP341" s="66" t="str">
        <f t="shared" si="272"/>
        <v>X</v>
      </c>
      <c r="AQ341" s="66" t="str">
        <f t="shared" si="273"/>
        <v>O</v>
      </c>
      <c r="AR341" s="66" t="str">
        <f t="shared" si="274"/>
        <v>X</v>
      </c>
      <c r="AS341" s="66" t="str">
        <f t="shared" si="275"/>
        <v>X</v>
      </c>
      <c r="AT341" s="66" t="str">
        <f t="shared" si="276"/>
        <v>X</v>
      </c>
      <c r="AU341" s="66" t="str">
        <f t="shared" si="277"/>
        <v>X</v>
      </c>
      <c r="AV341" s="66" t="str">
        <f t="shared" si="278"/>
        <v>X</v>
      </c>
      <c r="AW341" s="66" t="str">
        <f t="shared" si="279"/>
        <v>X</v>
      </c>
      <c r="AX341" s="66" t="str">
        <f t="shared" si="280"/>
        <v>X</v>
      </c>
      <c r="AY341" s="66" t="str">
        <f t="shared" si="281"/>
        <v>X</v>
      </c>
      <c r="AZ341" s="66" t="str">
        <f t="shared" si="282"/>
        <v>X</v>
      </c>
      <c r="BA341" s="66" t="str">
        <f t="shared" si="283"/>
        <v>O</v>
      </c>
      <c r="BB341" s="66">
        <f t="shared" si="284"/>
        <v>2</v>
      </c>
      <c r="BC341" s="127" t="str">
        <f t="shared" si="255"/>
        <v>1G</v>
      </c>
      <c r="BD341" s="127" t="str">
        <f t="shared" si="256"/>
        <v>1G</v>
      </c>
      <c r="BE341" s="127" t="str">
        <f t="shared" si="257"/>
        <v>1G</v>
      </c>
      <c r="BF341" s="127" t="str">
        <f t="shared" si="258"/>
        <v>2G</v>
      </c>
      <c r="BG341" s="127" t="str">
        <f t="shared" si="259"/>
        <v>3G</v>
      </c>
      <c r="BH341" s="127" t="str">
        <f t="shared" si="260"/>
        <v>3G</v>
      </c>
      <c r="BI341" s="127">
        <f t="shared" si="285"/>
        <v>3</v>
      </c>
      <c r="BJ341" s="127">
        <f t="shared" si="286"/>
        <v>1</v>
      </c>
      <c r="BK341" s="127">
        <f t="shared" si="287"/>
        <v>2</v>
      </c>
      <c r="BL341" s="127" t="str">
        <f t="shared" si="288"/>
        <v>312</v>
      </c>
      <c r="BS341"/>
      <c r="CL341" s="28">
        <v>155</v>
      </c>
      <c r="CM341" s="28">
        <v>150</v>
      </c>
      <c r="CO341"/>
    </row>
    <row r="342" spans="2:93" ht="16.5" hidden="1">
      <c r="B342" s="17">
        <v>338</v>
      </c>
      <c r="C342" s="363" t="s">
        <v>368</v>
      </c>
      <c r="D342" s="18">
        <v>3</v>
      </c>
      <c r="E342" s="20">
        <v>3383431000</v>
      </c>
      <c r="F342" s="18">
        <v>39</v>
      </c>
      <c r="G342" s="20">
        <v>43377321</v>
      </c>
      <c r="H342" s="20">
        <v>1123</v>
      </c>
      <c r="I342" s="20">
        <v>1506426</v>
      </c>
      <c r="J342" s="20">
        <v>54492</v>
      </c>
      <c r="K342" s="20">
        <v>62091</v>
      </c>
      <c r="L342" s="20">
        <v>930171</v>
      </c>
      <c r="M342" s="20">
        <v>5000</v>
      </c>
      <c r="N342" s="167">
        <v>2</v>
      </c>
      <c r="O342" s="167">
        <v>13</v>
      </c>
      <c r="P342" s="167">
        <v>34</v>
      </c>
      <c r="Q342" s="167">
        <v>38</v>
      </c>
      <c r="R342" s="167">
        <v>42</v>
      </c>
      <c r="S342" s="167">
        <v>45</v>
      </c>
      <c r="T342" s="167">
        <v>16</v>
      </c>
      <c r="U342" s="28">
        <f t="shared" si="261"/>
        <v>174</v>
      </c>
      <c r="W342" s="32" t="str">
        <f t="shared" si="246"/>
        <v>짝수</v>
      </c>
      <c r="X342" s="32" t="str">
        <f t="shared" si="247"/>
        <v>홀수</v>
      </c>
      <c r="Y342" s="32" t="str">
        <f t="shared" si="248"/>
        <v>짝수</v>
      </c>
      <c r="Z342" s="32" t="str">
        <f t="shared" si="249"/>
        <v>짝수</v>
      </c>
      <c r="AA342" s="32" t="str">
        <f t="shared" si="250"/>
        <v>짝수</v>
      </c>
      <c r="AB342" s="32" t="str">
        <f t="shared" si="251"/>
        <v>홀수</v>
      </c>
      <c r="AC342" s="58" t="str">
        <f t="shared" si="252"/>
        <v>2 : 4</v>
      </c>
      <c r="AD342" s="32">
        <f t="shared" si="253"/>
        <v>2</v>
      </c>
      <c r="AE342" s="32">
        <f t="shared" si="254"/>
        <v>4</v>
      </c>
      <c r="AF342" s="66" t="str">
        <f t="shared" si="262"/>
        <v>저수</v>
      </c>
      <c r="AG342" s="66" t="str">
        <f t="shared" si="263"/>
        <v>저수</v>
      </c>
      <c r="AH342" s="66" t="str">
        <f t="shared" si="264"/>
        <v>고수</v>
      </c>
      <c r="AI342" s="66" t="str">
        <f t="shared" si="265"/>
        <v>고수</v>
      </c>
      <c r="AJ342" s="66" t="str">
        <f t="shared" si="266"/>
        <v>고수</v>
      </c>
      <c r="AK342" s="66" t="str">
        <f t="shared" si="267"/>
        <v>고수</v>
      </c>
      <c r="AL342" s="58" t="str">
        <f t="shared" si="268"/>
        <v>2 : 4</v>
      </c>
      <c r="AM342" s="66">
        <f t="shared" si="269"/>
        <v>2</v>
      </c>
      <c r="AN342" s="66">
        <f t="shared" si="270"/>
        <v>4</v>
      </c>
      <c r="AO342" s="66">
        <f t="shared" si="271"/>
        <v>24</v>
      </c>
      <c r="AP342" s="66" t="str">
        <f t="shared" si="272"/>
        <v>O</v>
      </c>
      <c r="AQ342" s="66" t="str">
        <f t="shared" si="273"/>
        <v>O</v>
      </c>
      <c r="AR342" s="66" t="str">
        <f t="shared" si="274"/>
        <v>X</v>
      </c>
      <c r="AS342" s="66" t="str">
        <f t="shared" si="275"/>
        <v>X</v>
      </c>
      <c r="AT342" s="66" t="str">
        <f t="shared" si="276"/>
        <v>X</v>
      </c>
      <c r="AU342" s="66" t="str">
        <f t="shared" si="277"/>
        <v>X</v>
      </c>
      <c r="AV342" s="66" t="str">
        <f t="shared" si="278"/>
        <v>X</v>
      </c>
      <c r="AW342" s="66" t="str">
        <f t="shared" si="279"/>
        <v>X</v>
      </c>
      <c r="AX342" s="66" t="str">
        <f t="shared" si="280"/>
        <v>X</v>
      </c>
      <c r="AY342" s="66" t="str">
        <f t="shared" si="281"/>
        <v>X</v>
      </c>
      <c r="AZ342" s="66" t="str">
        <f t="shared" si="282"/>
        <v>X</v>
      </c>
      <c r="BA342" s="66" t="str">
        <f t="shared" si="283"/>
        <v>X</v>
      </c>
      <c r="BB342" s="66">
        <f t="shared" si="284"/>
        <v>2</v>
      </c>
      <c r="BC342" s="127" t="str">
        <f t="shared" si="255"/>
        <v>1G</v>
      </c>
      <c r="BD342" s="127" t="str">
        <f t="shared" si="256"/>
        <v>1G</v>
      </c>
      <c r="BE342" s="127" t="str">
        <f t="shared" si="257"/>
        <v>3G</v>
      </c>
      <c r="BF342" s="127" t="str">
        <f t="shared" si="258"/>
        <v>3G</v>
      </c>
      <c r="BG342" s="127" t="str">
        <f t="shared" si="259"/>
        <v>3G</v>
      </c>
      <c r="BH342" s="127" t="str">
        <f t="shared" si="260"/>
        <v>3G</v>
      </c>
      <c r="BI342" s="127">
        <f t="shared" si="285"/>
        <v>2</v>
      </c>
      <c r="BJ342" s="127">
        <f t="shared" si="286"/>
        <v>0</v>
      </c>
      <c r="BK342" s="127">
        <f t="shared" si="287"/>
        <v>4</v>
      </c>
      <c r="BL342" s="127" t="str">
        <f t="shared" si="288"/>
        <v>204</v>
      </c>
      <c r="BS342"/>
      <c r="CL342" s="28">
        <v>155</v>
      </c>
      <c r="CM342" s="28">
        <v>150</v>
      </c>
      <c r="CO342"/>
    </row>
    <row r="343" spans="2:93" ht="16.5" hidden="1">
      <c r="B343" s="17">
        <v>339</v>
      </c>
      <c r="C343" s="363" t="s">
        <v>369</v>
      </c>
      <c r="D343" s="18">
        <v>9</v>
      </c>
      <c r="E343" s="20">
        <v>1096778334</v>
      </c>
      <c r="F343" s="18">
        <v>32</v>
      </c>
      <c r="G343" s="20">
        <v>51411485</v>
      </c>
      <c r="H343" s="20">
        <v>1107</v>
      </c>
      <c r="I343" s="20">
        <v>1486150</v>
      </c>
      <c r="J343" s="20">
        <v>54545</v>
      </c>
      <c r="K343" s="20">
        <v>60324</v>
      </c>
      <c r="L343" s="20">
        <v>913229</v>
      </c>
      <c r="M343" s="20">
        <v>5000</v>
      </c>
      <c r="N343" s="167">
        <v>6</v>
      </c>
      <c r="O343" s="167">
        <v>8</v>
      </c>
      <c r="P343" s="167">
        <v>14</v>
      </c>
      <c r="Q343" s="167">
        <v>21</v>
      </c>
      <c r="R343" s="167">
        <v>30</v>
      </c>
      <c r="S343" s="167">
        <v>37</v>
      </c>
      <c r="T343" s="167">
        <v>45</v>
      </c>
      <c r="U343" s="28">
        <f t="shared" si="261"/>
        <v>116</v>
      </c>
      <c r="W343" s="32" t="str">
        <f t="shared" si="246"/>
        <v>짝수</v>
      </c>
      <c r="X343" s="32" t="str">
        <f t="shared" si="247"/>
        <v>짝수</v>
      </c>
      <c r="Y343" s="32" t="str">
        <f t="shared" si="248"/>
        <v>짝수</v>
      </c>
      <c r="Z343" s="32" t="str">
        <f t="shared" si="249"/>
        <v>홀수</v>
      </c>
      <c r="AA343" s="32" t="str">
        <f t="shared" si="250"/>
        <v>짝수</v>
      </c>
      <c r="AB343" s="32" t="str">
        <f t="shared" si="251"/>
        <v>홀수</v>
      </c>
      <c r="AC343" s="58" t="str">
        <f t="shared" si="252"/>
        <v>2 : 4</v>
      </c>
      <c r="AD343" s="32">
        <f t="shared" si="253"/>
        <v>2</v>
      </c>
      <c r="AE343" s="32">
        <f t="shared" si="254"/>
        <v>4</v>
      </c>
      <c r="AF343" s="66" t="str">
        <f t="shared" si="262"/>
        <v>저수</v>
      </c>
      <c r="AG343" s="66" t="str">
        <f t="shared" si="263"/>
        <v>저수</v>
      </c>
      <c r="AH343" s="66" t="str">
        <f t="shared" si="264"/>
        <v>저수</v>
      </c>
      <c r="AI343" s="66" t="str">
        <f t="shared" si="265"/>
        <v>저수</v>
      </c>
      <c r="AJ343" s="66" t="str">
        <f t="shared" si="266"/>
        <v>고수</v>
      </c>
      <c r="AK343" s="66" t="str">
        <f t="shared" si="267"/>
        <v>고수</v>
      </c>
      <c r="AL343" s="58" t="str">
        <f t="shared" si="268"/>
        <v>4 : 2</v>
      </c>
      <c r="AM343" s="66">
        <f t="shared" si="269"/>
        <v>4</v>
      </c>
      <c r="AN343" s="66">
        <f t="shared" si="270"/>
        <v>2</v>
      </c>
      <c r="AO343" s="66">
        <f t="shared" si="271"/>
        <v>26</v>
      </c>
      <c r="AP343" s="66" t="str">
        <f t="shared" si="272"/>
        <v>X</v>
      </c>
      <c r="AQ343" s="66" t="str">
        <f t="shared" si="273"/>
        <v>X</v>
      </c>
      <c r="AR343" s="66" t="str">
        <f t="shared" si="274"/>
        <v>X</v>
      </c>
      <c r="AS343" s="66" t="str">
        <f t="shared" si="275"/>
        <v>X</v>
      </c>
      <c r="AT343" s="66" t="str">
        <f t="shared" si="276"/>
        <v>X</v>
      </c>
      <c r="AU343" s="66" t="str">
        <f t="shared" si="277"/>
        <v>X</v>
      </c>
      <c r="AV343" s="66" t="str">
        <f t="shared" si="278"/>
        <v>X</v>
      </c>
      <c r="AW343" s="66" t="str">
        <f t="shared" si="279"/>
        <v>X</v>
      </c>
      <c r="AX343" s="66" t="str">
        <f t="shared" si="280"/>
        <v>X</v>
      </c>
      <c r="AY343" s="66" t="str">
        <f t="shared" si="281"/>
        <v>X</v>
      </c>
      <c r="AZ343" s="66" t="str">
        <f t="shared" si="282"/>
        <v>X</v>
      </c>
      <c r="BA343" s="66" t="str">
        <f t="shared" si="283"/>
        <v>O</v>
      </c>
      <c r="BB343" s="66">
        <f t="shared" si="284"/>
        <v>1</v>
      </c>
      <c r="BC343" s="127" t="str">
        <f t="shared" si="255"/>
        <v>1G</v>
      </c>
      <c r="BD343" s="127" t="str">
        <f t="shared" si="256"/>
        <v>1G</v>
      </c>
      <c r="BE343" s="127" t="str">
        <f t="shared" si="257"/>
        <v>1G</v>
      </c>
      <c r="BF343" s="127" t="str">
        <f t="shared" si="258"/>
        <v>2G</v>
      </c>
      <c r="BG343" s="127" t="str">
        <f t="shared" si="259"/>
        <v>2G</v>
      </c>
      <c r="BH343" s="127" t="str">
        <f t="shared" si="260"/>
        <v>3G</v>
      </c>
      <c r="BI343" s="127">
        <f t="shared" si="285"/>
        <v>3</v>
      </c>
      <c r="BJ343" s="127">
        <f t="shared" si="286"/>
        <v>2</v>
      </c>
      <c r="BK343" s="127">
        <f t="shared" si="287"/>
        <v>1</v>
      </c>
      <c r="BL343" s="127" t="str">
        <f t="shared" si="288"/>
        <v>321</v>
      </c>
      <c r="BS343"/>
      <c r="CL343" s="28">
        <v>155</v>
      </c>
      <c r="CM343" s="28">
        <v>150</v>
      </c>
      <c r="CO343"/>
    </row>
    <row r="344" spans="2:93" ht="16.5" hidden="1">
      <c r="B344" s="17">
        <v>340</v>
      </c>
      <c r="C344" s="363" t="s">
        <v>370</v>
      </c>
      <c r="D344" s="18">
        <v>7</v>
      </c>
      <c r="E344" s="20">
        <v>1439393186</v>
      </c>
      <c r="F344" s="18">
        <v>35</v>
      </c>
      <c r="G344" s="20">
        <v>47979773</v>
      </c>
      <c r="H344" s="20">
        <v>1125</v>
      </c>
      <c r="I344" s="20">
        <v>1492705</v>
      </c>
      <c r="J344" s="20">
        <v>56209</v>
      </c>
      <c r="K344" s="20">
        <v>59752</v>
      </c>
      <c r="L344" s="20">
        <v>930628</v>
      </c>
      <c r="M344" s="20">
        <v>5000</v>
      </c>
      <c r="N344" s="167">
        <v>18</v>
      </c>
      <c r="O344" s="167">
        <v>24</v>
      </c>
      <c r="P344" s="167">
        <v>26</v>
      </c>
      <c r="Q344" s="167">
        <v>29</v>
      </c>
      <c r="R344" s="167">
        <v>34</v>
      </c>
      <c r="S344" s="167">
        <v>38</v>
      </c>
      <c r="T344" s="167">
        <v>32</v>
      </c>
      <c r="U344" s="28">
        <f t="shared" si="261"/>
        <v>169</v>
      </c>
      <c r="W344" s="32" t="str">
        <f t="shared" si="246"/>
        <v>짝수</v>
      </c>
      <c r="X344" s="32" t="str">
        <f t="shared" si="247"/>
        <v>짝수</v>
      </c>
      <c r="Y344" s="32" t="str">
        <f t="shared" si="248"/>
        <v>짝수</v>
      </c>
      <c r="Z344" s="32" t="str">
        <f t="shared" si="249"/>
        <v>홀수</v>
      </c>
      <c r="AA344" s="32" t="str">
        <f t="shared" si="250"/>
        <v>짝수</v>
      </c>
      <c r="AB344" s="32" t="str">
        <f t="shared" si="251"/>
        <v>짝수</v>
      </c>
      <c r="AC344" s="58" t="str">
        <f t="shared" si="252"/>
        <v>1 : 5</v>
      </c>
      <c r="AD344" s="32">
        <f t="shared" si="253"/>
        <v>1</v>
      </c>
      <c r="AE344" s="32">
        <f t="shared" si="254"/>
        <v>5</v>
      </c>
      <c r="AF344" s="66" t="str">
        <f t="shared" si="262"/>
        <v>저수</v>
      </c>
      <c r="AG344" s="66" t="str">
        <f t="shared" si="263"/>
        <v>고수</v>
      </c>
      <c r="AH344" s="66" t="str">
        <f t="shared" si="264"/>
        <v>고수</v>
      </c>
      <c r="AI344" s="66" t="str">
        <f t="shared" si="265"/>
        <v>고수</v>
      </c>
      <c r="AJ344" s="66" t="str">
        <f t="shared" si="266"/>
        <v>고수</v>
      </c>
      <c r="AK344" s="66" t="str">
        <f t="shared" si="267"/>
        <v>고수</v>
      </c>
      <c r="AL344" s="58" t="str">
        <f t="shared" si="268"/>
        <v>1 : 5</v>
      </c>
      <c r="AM344" s="66">
        <f t="shared" si="269"/>
        <v>1</v>
      </c>
      <c r="AN344" s="66">
        <f t="shared" si="270"/>
        <v>5</v>
      </c>
      <c r="AO344" s="66">
        <f t="shared" si="271"/>
        <v>39</v>
      </c>
      <c r="AP344" s="66" t="str">
        <f t="shared" si="272"/>
        <v>X</v>
      </c>
      <c r="AQ344" s="66" t="str">
        <f t="shared" si="273"/>
        <v>X</v>
      </c>
      <c r="AR344" s="66" t="str">
        <f t="shared" si="274"/>
        <v>X</v>
      </c>
      <c r="AS344" s="66" t="str">
        <f t="shared" si="275"/>
        <v>X</v>
      </c>
      <c r="AT344" s="66" t="str">
        <f t="shared" si="276"/>
        <v>X</v>
      </c>
      <c r="AU344" s="66" t="str">
        <f t="shared" si="277"/>
        <v>X</v>
      </c>
      <c r="AV344" s="66" t="str">
        <f t="shared" si="278"/>
        <v>X</v>
      </c>
      <c r="AW344" s="66" t="str">
        <f t="shared" si="279"/>
        <v>X</v>
      </c>
      <c r="AX344" s="66" t="str">
        <f t="shared" si="280"/>
        <v>X</v>
      </c>
      <c r="AY344" s="66" t="str">
        <f t="shared" si="281"/>
        <v>O</v>
      </c>
      <c r="AZ344" s="66" t="str">
        <f t="shared" si="282"/>
        <v>X</v>
      </c>
      <c r="BA344" s="66" t="str">
        <f t="shared" si="283"/>
        <v>X</v>
      </c>
      <c r="BB344" s="66">
        <f t="shared" si="284"/>
        <v>1</v>
      </c>
      <c r="BC344" s="127" t="str">
        <f t="shared" si="255"/>
        <v>2G</v>
      </c>
      <c r="BD344" s="127" t="str">
        <f t="shared" si="256"/>
        <v>2G</v>
      </c>
      <c r="BE344" s="127" t="str">
        <f t="shared" si="257"/>
        <v>2G</v>
      </c>
      <c r="BF344" s="127" t="str">
        <f t="shared" si="258"/>
        <v>2G</v>
      </c>
      <c r="BG344" s="127" t="str">
        <f t="shared" si="259"/>
        <v>3G</v>
      </c>
      <c r="BH344" s="127" t="str">
        <f t="shared" si="260"/>
        <v>3G</v>
      </c>
      <c r="BI344" s="127">
        <f t="shared" si="285"/>
        <v>0</v>
      </c>
      <c r="BJ344" s="127">
        <f t="shared" si="286"/>
        <v>4</v>
      </c>
      <c r="BK344" s="127">
        <f t="shared" si="287"/>
        <v>2</v>
      </c>
      <c r="BL344" s="127" t="str">
        <f t="shared" si="288"/>
        <v>042</v>
      </c>
      <c r="BS344"/>
      <c r="CL344" s="28">
        <v>156</v>
      </c>
      <c r="CM344" s="28">
        <v>150</v>
      </c>
      <c r="CO344"/>
    </row>
    <row r="345" spans="2:93" ht="16.5" hidden="1">
      <c r="B345" s="17">
        <v>341</v>
      </c>
      <c r="C345" s="363" t="s">
        <v>371</v>
      </c>
      <c r="D345" s="18">
        <v>7</v>
      </c>
      <c r="E345" s="20">
        <v>1497207772</v>
      </c>
      <c r="F345" s="18">
        <v>33</v>
      </c>
      <c r="G345" s="20">
        <v>52931588</v>
      </c>
      <c r="H345" s="20">
        <v>1235</v>
      </c>
      <c r="I345" s="20">
        <v>1414367</v>
      </c>
      <c r="J345" s="20">
        <v>58756</v>
      </c>
      <c r="K345" s="20">
        <v>59458</v>
      </c>
      <c r="L345" s="20">
        <v>978760</v>
      </c>
      <c r="M345" s="20">
        <v>5000</v>
      </c>
      <c r="N345" s="167">
        <v>1</v>
      </c>
      <c r="O345" s="167">
        <v>8</v>
      </c>
      <c r="P345" s="167">
        <v>19</v>
      </c>
      <c r="Q345" s="167">
        <v>34</v>
      </c>
      <c r="R345" s="167">
        <v>39</v>
      </c>
      <c r="S345" s="167">
        <v>43</v>
      </c>
      <c r="T345" s="167">
        <v>41</v>
      </c>
      <c r="U345" s="28">
        <f t="shared" si="261"/>
        <v>144</v>
      </c>
      <c r="W345" s="32" t="str">
        <f t="shared" si="246"/>
        <v>홀수</v>
      </c>
      <c r="X345" s="32" t="str">
        <f t="shared" si="247"/>
        <v>짝수</v>
      </c>
      <c r="Y345" s="32" t="str">
        <f t="shared" si="248"/>
        <v>홀수</v>
      </c>
      <c r="Z345" s="32" t="str">
        <f t="shared" si="249"/>
        <v>짝수</v>
      </c>
      <c r="AA345" s="32" t="str">
        <f t="shared" si="250"/>
        <v>홀수</v>
      </c>
      <c r="AB345" s="32" t="str">
        <f t="shared" si="251"/>
        <v>홀수</v>
      </c>
      <c r="AC345" s="58" t="str">
        <f t="shared" si="252"/>
        <v>4 : 2</v>
      </c>
      <c r="AD345" s="32">
        <f t="shared" si="253"/>
        <v>4</v>
      </c>
      <c r="AE345" s="32">
        <f t="shared" si="254"/>
        <v>2</v>
      </c>
      <c r="AF345" s="66" t="str">
        <f t="shared" si="262"/>
        <v>저수</v>
      </c>
      <c r="AG345" s="66" t="str">
        <f t="shared" si="263"/>
        <v>저수</v>
      </c>
      <c r="AH345" s="66" t="str">
        <f t="shared" si="264"/>
        <v>저수</v>
      </c>
      <c r="AI345" s="66" t="str">
        <f t="shared" si="265"/>
        <v>고수</v>
      </c>
      <c r="AJ345" s="66" t="str">
        <f t="shared" si="266"/>
        <v>고수</v>
      </c>
      <c r="AK345" s="66" t="str">
        <f t="shared" si="267"/>
        <v>고수</v>
      </c>
      <c r="AL345" s="58" t="str">
        <f t="shared" si="268"/>
        <v>3 : 3</v>
      </c>
      <c r="AM345" s="66">
        <f t="shared" si="269"/>
        <v>3</v>
      </c>
      <c r="AN345" s="66">
        <f t="shared" si="270"/>
        <v>3</v>
      </c>
      <c r="AO345" s="66">
        <f t="shared" si="271"/>
        <v>34</v>
      </c>
      <c r="AP345" s="66" t="str">
        <f t="shared" si="272"/>
        <v>X</v>
      </c>
      <c r="AQ345" s="66" t="str">
        <f t="shared" si="273"/>
        <v>X</v>
      </c>
      <c r="AR345" s="66" t="str">
        <f t="shared" si="274"/>
        <v>O</v>
      </c>
      <c r="AS345" s="66" t="str">
        <f t="shared" si="275"/>
        <v>X</v>
      </c>
      <c r="AT345" s="66" t="str">
        <f t="shared" si="276"/>
        <v>X</v>
      </c>
      <c r="AU345" s="66" t="str">
        <f t="shared" si="277"/>
        <v>X</v>
      </c>
      <c r="AV345" s="66" t="str">
        <f t="shared" si="278"/>
        <v>X</v>
      </c>
      <c r="AW345" s="66" t="str">
        <f t="shared" si="279"/>
        <v>X</v>
      </c>
      <c r="AX345" s="66" t="str">
        <f t="shared" si="280"/>
        <v>X</v>
      </c>
      <c r="AY345" s="66" t="str">
        <f t="shared" si="281"/>
        <v>X</v>
      </c>
      <c r="AZ345" s="66" t="str">
        <f t="shared" si="282"/>
        <v>X</v>
      </c>
      <c r="BA345" s="66" t="str">
        <f t="shared" si="283"/>
        <v>O</v>
      </c>
      <c r="BB345" s="66">
        <f t="shared" si="284"/>
        <v>2</v>
      </c>
      <c r="BC345" s="127" t="str">
        <f t="shared" si="255"/>
        <v>1G</v>
      </c>
      <c r="BD345" s="127" t="str">
        <f t="shared" si="256"/>
        <v>1G</v>
      </c>
      <c r="BE345" s="127" t="str">
        <f t="shared" si="257"/>
        <v>2G</v>
      </c>
      <c r="BF345" s="127" t="str">
        <f t="shared" si="258"/>
        <v>3G</v>
      </c>
      <c r="BG345" s="127" t="str">
        <f t="shared" si="259"/>
        <v>3G</v>
      </c>
      <c r="BH345" s="127" t="str">
        <f t="shared" si="260"/>
        <v>3G</v>
      </c>
      <c r="BI345" s="127">
        <f t="shared" si="285"/>
        <v>2</v>
      </c>
      <c r="BJ345" s="127">
        <f t="shared" si="286"/>
        <v>1</v>
      </c>
      <c r="BK345" s="127">
        <f t="shared" si="287"/>
        <v>3</v>
      </c>
      <c r="BL345" s="127" t="str">
        <f t="shared" si="288"/>
        <v>213</v>
      </c>
      <c r="BS345"/>
      <c r="CL345" s="28">
        <v>156</v>
      </c>
      <c r="CM345" s="28">
        <v>150</v>
      </c>
      <c r="CO345"/>
    </row>
    <row r="346" spans="2:93" ht="16.5" hidden="1">
      <c r="B346" s="17">
        <v>342</v>
      </c>
      <c r="C346" s="363" t="s">
        <v>372</v>
      </c>
      <c r="D346" s="18">
        <v>3</v>
      </c>
      <c r="E346" s="20">
        <v>3454095800</v>
      </c>
      <c r="F346" s="18">
        <v>29</v>
      </c>
      <c r="G346" s="20">
        <v>59553376</v>
      </c>
      <c r="H346" s="20">
        <v>1177</v>
      </c>
      <c r="I346" s="20">
        <v>1467331</v>
      </c>
      <c r="J346" s="20">
        <v>56149</v>
      </c>
      <c r="K346" s="20">
        <v>61517</v>
      </c>
      <c r="L346" s="20">
        <v>924123</v>
      </c>
      <c r="M346" s="20">
        <v>5000</v>
      </c>
      <c r="N346" s="167">
        <v>1</v>
      </c>
      <c r="O346" s="167">
        <v>13</v>
      </c>
      <c r="P346" s="167">
        <v>14</v>
      </c>
      <c r="Q346" s="167">
        <v>33</v>
      </c>
      <c r="R346" s="167">
        <v>34</v>
      </c>
      <c r="S346" s="167">
        <v>43</v>
      </c>
      <c r="T346" s="167">
        <v>25</v>
      </c>
      <c r="U346" s="28">
        <f t="shared" si="261"/>
        <v>138</v>
      </c>
      <c r="W346" s="32" t="str">
        <f t="shared" si="246"/>
        <v>홀수</v>
      </c>
      <c r="X346" s="32" t="str">
        <f t="shared" si="247"/>
        <v>홀수</v>
      </c>
      <c r="Y346" s="32" t="str">
        <f t="shared" si="248"/>
        <v>짝수</v>
      </c>
      <c r="Z346" s="32" t="str">
        <f t="shared" si="249"/>
        <v>홀수</v>
      </c>
      <c r="AA346" s="32" t="str">
        <f t="shared" si="250"/>
        <v>짝수</v>
      </c>
      <c r="AB346" s="32" t="str">
        <f t="shared" si="251"/>
        <v>홀수</v>
      </c>
      <c r="AC346" s="58" t="str">
        <f t="shared" si="252"/>
        <v>4 : 2</v>
      </c>
      <c r="AD346" s="32">
        <f t="shared" si="253"/>
        <v>4</v>
      </c>
      <c r="AE346" s="32">
        <f t="shared" si="254"/>
        <v>2</v>
      </c>
      <c r="AF346" s="66" t="str">
        <f t="shared" si="262"/>
        <v>저수</v>
      </c>
      <c r="AG346" s="66" t="str">
        <f t="shared" si="263"/>
        <v>저수</v>
      </c>
      <c r="AH346" s="66" t="str">
        <f t="shared" si="264"/>
        <v>저수</v>
      </c>
      <c r="AI346" s="66" t="str">
        <f t="shared" si="265"/>
        <v>고수</v>
      </c>
      <c r="AJ346" s="66" t="str">
        <f t="shared" si="266"/>
        <v>고수</v>
      </c>
      <c r="AK346" s="66" t="str">
        <f t="shared" si="267"/>
        <v>고수</v>
      </c>
      <c r="AL346" s="58" t="str">
        <f t="shared" si="268"/>
        <v>3 : 3</v>
      </c>
      <c r="AM346" s="66">
        <f t="shared" si="269"/>
        <v>3</v>
      </c>
      <c r="AN346" s="66">
        <f t="shared" si="270"/>
        <v>3</v>
      </c>
      <c r="AO346" s="66">
        <f t="shared" si="271"/>
        <v>18</v>
      </c>
      <c r="AP346" s="66" t="str">
        <f t="shared" si="272"/>
        <v>X</v>
      </c>
      <c r="AQ346" s="66" t="str">
        <f t="shared" si="273"/>
        <v>O</v>
      </c>
      <c r="AR346" s="66" t="str">
        <f t="shared" si="274"/>
        <v>X</v>
      </c>
      <c r="AS346" s="66" t="str">
        <f t="shared" si="275"/>
        <v>X</v>
      </c>
      <c r="AT346" s="66" t="str">
        <f t="shared" si="276"/>
        <v>X</v>
      </c>
      <c r="AU346" s="66" t="str">
        <f t="shared" si="277"/>
        <v>X</v>
      </c>
      <c r="AV346" s="66" t="str">
        <f t="shared" si="278"/>
        <v>X</v>
      </c>
      <c r="AW346" s="66" t="str">
        <f t="shared" si="279"/>
        <v>X</v>
      </c>
      <c r="AX346" s="66" t="str">
        <f t="shared" si="280"/>
        <v>X</v>
      </c>
      <c r="AY346" s="66" t="str">
        <f t="shared" si="281"/>
        <v>X</v>
      </c>
      <c r="AZ346" s="66" t="str">
        <f t="shared" si="282"/>
        <v>X</v>
      </c>
      <c r="BA346" s="66" t="str">
        <f t="shared" si="283"/>
        <v>O</v>
      </c>
      <c r="BB346" s="66">
        <f t="shared" si="284"/>
        <v>2</v>
      </c>
      <c r="BC346" s="127" t="str">
        <f t="shared" si="255"/>
        <v>1G</v>
      </c>
      <c r="BD346" s="127" t="str">
        <f t="shared" si="256"/>
        <v>1G</v>
      </c>
      <c r="BE346" s="127" t="str">
        <f t="shared" si="257"/>
        <v>1G</v>
      </c>
      <c r="BF346" s="127" t="str">
        <f t="shared" si="258"/>
        <v>3G</v>
      </c>
      <c r="BG346" s="127" t="str">
        <f t="shared" si="259"/>
        <v>3G</v>
      </c>
      <c r="BH346" s="127" t="str">
        <f t="shared" si="260"/>
        <v>3G</v>
      </c>
      <c r="BI346" s="127">
        <f t="shared" si="285"/>
        <v>3</v>
      </c>
      <c r="BJ346" s="127">
        <f t="shared" si="286"/>
        <v>0</v>
      </c>
      <c r="BK346" s="127">
        <f t="shared" si="287"/>
        <v>3</v>
      </c>
      <c r="BL346" s="127" t="str">
        <f t="shared" si="288"/>
        <v>303</v>
      </c>
      <c r="BS346"/>
      <c r="CL346" s="28">
        <v>156</v>
      </c>
      <c r="CM346" s="28">
        <v>150</v>
      </c>
      <c r="CO346"/>
    </row>
    <row r="347" spans="2:93" ht="16.5" hidden="1">
      <c r="B347" s="17">
        <v>343</v>
      </c>
      <c r="C347" s="363" t="s">
        <v>373</v>
      </c>
      <c r="D347" s="18">
        <v>6</v>
      </c>
      <c r="E347" s="20">
        <v>1717153000</v>
      </c>
      <c r="F347" s="18">
        <v>29</v>
      </c>
      <c r="G347" s="20">
        <v>59212173</v>
      </c>
      <c r="H347" s="20">
        <v>1096</v>
      </c>
      <c r="I347" s="20">
        <v>1566746</v>
      </c>
      <c r="J347" s="20">
        <v>53794</v>
      </c>
      <c r="K347" s="20">
        <v>63842</v>
      </c>
      <c r="L347" s="20">
        <v>931340</v>
      </c>
      <c r="M347" s="20">
        <v>5000</v>
      </c>
      <c r="N347" s="167">
        <v>1</v>
      </c>
      <c r="O347" s="167">
        <v>10</v>
      </c>
      <c r="P347" s="167">
        <v>17</v>
      </c>
      <c r="Q347" s="167">
        <v>29</v>
      </c>
      <c r="R347" s="167">
        <v>31</v>
      </c>
      <c r="S347" s="167">
        <v>43</v>
      </c>
      <c r="T347" s="167">
        <v>15</v>
      </c>
      <c r="U347" s="28">
        <f t="shared" si="261"/>
        <v>131</v>
      </c>
      <c r="W347" s="32" t="str">
        <f t="shared" si="246"/>
        <v>홀수</v>
      </c>
      <c r="X347" s="32" t="str">
        <f t="shared" si="247"/>
        <v>짝수</v>
      </c>
      <c r="Y347" s="32" t="str">
        <f t="shared" si="248"/>
        <v>홀수</v>
      </c>
      <c r="Z347" s="32" t="str">
        <f t="shared" si="249"/>
        <v>홀수</v>
      </c>
      <c r="AA347" s="32" t="str">
        <f t="shared" si="250"/>
        <v>홀수</v>
      </c>
      <c r="AB347" s="32" t="str">
        <f t="shared" si="251"/>
        <v>홀수</v>
      </c>
      <c r="AC347" s="58" t="str">
        <f t="shared" si="252"/>
        <v>5 : 1</v>
      </c>
      <c r="AD347" s="32">
        <f t="shared" si="253"/>
        <v>5</v>
      </c>
      <c r="AE347" s="32">
        <f t="shared" si="254"/>
        <v>1</v>
      </c>
      <c r="AF347" s="66" t="str">
        <f t="shared" si="262"/>
        <v>저수</v>
      </c>
      <c r="AG347" s="66" t="str">
        <f t="shared" si="263"/>
        <v>저수</v>
      </c>
      <c r="AH347" s="66" t="str">
        <f t="shared" si="264"/>
        <v>저수</v>
      </c>
      <c r="AI347" s="66" t="str">
        <f t="shared" si="265"/>
        <v>고수</v>
      </c>
      <c r="AJ347" s="66" t="str">
        <f t="shared" si="266"/>
        <v>고수</v>
      </c>
      <c r="AK347" s="66" t="str">
        <f t="shared" si="267"/>
        <v>고수</v>
      </c>
      <c r="AL347" s="58" t="str">
        <f t="shared" si="268"/>
        <v>3 : 3</v>
      </c>
      <c r="AM347" s="66">
        <f t="shared" si="269"/>
        <v>3</v>
      </c>
      <c r="AN347" s="66">
        <f t="shared" si="270"/>
        <v>3</v>
      </c>
      <c r="AO347" s="66">
        <f t="shared" si="271"/>
        <v>21</v>
      </c>
      <c r="AP347" s="66" t="str">
        <f t="shared" si="272"/>
        <v>X</v>
      </c>
      <c r="AQ347" s="66" t="str">
        <f t="shared" si="273"/>
        <v>X</v>
      </c>
      <c r="AR347" s="66" t="str">
        <f t="shared" si="274"/>
        <v>O</v>
      </c>
      <c r="AS347" s="66" t="str">
        <f t="shared" si="275"/>
        <v>X</v>
      </c>
      <c r="AT347" s="66" t="str">
        <f t="shared" si="276"/>
        <v>X</v>
      </c>
      <c r="AU347" s="66" t="str">
        <f t="shared" si="277"/>
        <v>X</v>
      </c>
      <c r="AV347" s="66" t="str">
        <f t="shared" si="278"/>
        <v>X</v>
      </c>
      <c r="AW347" s="66" t="str">
        <f t="shared" si="279"/>
        <v>X</v>
      </c>
      <c r="AX347" s="66" t="str">
        <f t="shared" si="280"/>
        <v>X</v>
      </c>
      <c r="AY347" s="66" t="str">
        <f t="shared" si="281"/>
        <v>O</v>
      </c>
      <c r="AZ347" s="66" t="str">
        <f t="shared" si="282"/>
        <v>O</v>
      </c>
      <c r="BA347" s="66" t="str">
        <f t="shared" si="283"/>
        <v>O</v>
      </c>
      <c r="BB347" s="66">
        <f t="shared" si="284"/>
        <v>4</v>
      </c>
      <c r="BC347" s="127" t="str">
        <f t="shared" si="255"/>
        <v>1G</v>
      </c>
      <c r="BD347" s="127" t="str">
        <f t="shared" si="256"/>
        <v>1G</v>
      </c>
      <c r="BE347" s="127" t="str">
        <f t="shared" si="257"/>
        <v>2G</v>
      </c>
      <c r="BF347" s="127" t="str">
        <f t="shared" si="258"/>
        <v>2G</v>
      </c>
      <c r="BG347" s="127" t="str">
        <f t="shared" si="259"/>
        <v>3G</v>
      </c>
      <c r="BH347" s="127" t="str">
        <f t="shared" si="260"/>
        <v>3G</v>
      </c>
      <c r="BI347" s="127">
        <f t="shared" si="285"/>
        <v>2</v>
      </c>
      <c r="BJ347" s="127">
        <f t="shared" si="286"/>
        <v>2</v>
      </c>
      <c r="BK347" s="127">
        <f t="shared" si="287"/>
        <v>2</v>
      </c>
      <c r="BL347" s="127" t="str">
        <f t="shared" si="288"/>
        <v>222</v>
      </c>
      <c r="BS347"/>
      <c r="CL347" s="28">
        <v>156</v>
      </c>
      <c r="CM347" s="28">
        <v>150</v>
      </c>
      <c r="CO347"/>
    </row>
    <row r="348" spans="2:93" ht="16.5" hidden="1">
      <c r="B348" s="17">
        <v>344</v>
      </c>
      <c r="C348" s="363" t="s">
        <v>374</v>
      </c>
      <c r="D348" s="18">
        <v>7</v>
      </c>
      <c r="E348" s="20">
        <v>1467106543</v>
      </c>
      <c r="F348" s="18">
        <v>23</v>
      </c>
      <c r="G348" s="20">
        <v>74418448</v>
      </c>
      <c r="H348" s="20">
        <v>1106</v>
      </c>
      <c r="I348" s="20">
        <v>1547581</v>
      </c>
      <c r="J348" s="20">
        <v>56496</v>
      </c>
      <c r="K348" s="20">
        <v>60593</v>
      </c>
      <c r="L348" s="20">
        <v>960640</v>
      </c>
      <c r="M348" s="20">
        <v>5000</v>
      </c>
      <c r="N348" s="167">
        <v>1</v>
      </c>
      <c r="O348" s="167">
        <v>2</v>
      </c>
      <c r="P348" s="167">
        <v>15</v>
      </c>
      <c r="Q348" s="167">
        <v>28</v>
      </c>
      <c r="R348" s="167">
        <v>34</v>
      </c>
      <c r="S348" s="167">
        <v>45</v>
      </c>
      <c r="T348" s="167">
        <v>38</v>
      </c>
      <c r="U348" s="28">
        <f t="shared" si="261"/>
        <v>125</v>
      </c>
      <c r="W348" s="32" t="str">
        <f t="shared" si="246"/>
        <v>홀수</v>
      </c>
      <c r="X348" s="32" t="str">
        <f t="shared" si="247"/>
        <v>짝수</v>
      </c>
      <c r="Y348" s="32" t="str">
        <f t="shared" si="248"/>
        <v>홀수</v>
      </c>
      <c r="Z348" s="32" t="str">
        <f t="shared" si="249"/>
        <v>짝수</v>
      </c>
      <c r="AA348" s="32" t="str">
        <f t="shared" si="250"/>
        <v>짝수</v>
      </c>
      <c r="AB348" s="32" t="str">
        <f t="shared" si="251"/>
        <v>홀수</v>
      </c>
      <c r="AC348" s="58" t="str">
        <f t="shared" si="252"/>
        <v>3 : 3</v>
      </c>
      <c r="AD348" s="32">
        <f t="shared" si="253"/>
        <v>3</v>
      </c>
      <c r="AE348" s="32">
        <f t="shared" si="254"/>
        <v>3</v>
      </c>
      <c r="AF348" s="66" t="str">
        <f t="shared" si="262"/>
        <v>저수</v>
      </c>
      <c r="AG348" s="66" t="str">
        <f t="shared" si="263"/>
        <v>저수</v>
      </c>
      <c r="AH348" s="66" t="str">
        <f t="shared" si="264"/>
        <v>저수</v>
      </c>
      <c r="AI348" s="66" t="str">
        <f t="shared" si="265"/>
        <v>고수</v>
      </c>
      <c r="AJ348" s="66" t="str">
        <f t="shared" si="266"/>
        <v>고수</v>
      </c>
      <c r="AK348" s="66" t="str">
        <f t="shared" si="267"/>
        <v>고수</v>
      </c>
      <c r="AL348" s="58" t="str">
        <f t="shared" si="268"/>
        <v>3 : 3</v>
      </c>
      <c r="AM348" s="66">
        <f t="shared" si="269"/>
        <v>3</v>
      </c>
      <c r="AN348" s="66">
        <f t="shared" si="270"/>
        <v>3</v>
      </c>
      <c r="AO348" s="66">
        <f t="shared" si="271"/>
        <v>25</v>
      </c>
      <c r="AP348" s="66" t="str">
        <f t="shared" si="272"/>
        <v>X</v>
      </c>
      <c r="AQ348" s="66" t="str">
        <f t="shared" si="273"/>
        <v>O</v>
      </c>
      <c r="AR348" s="66" t="str">
        <f t="shared" si="274"/>
        <v>X</v>
      </c>
      <c r="AS348" s="66" t="str">
        <f t="shared" si="275"/>
        <v>X</v>
      </c>
      <c r="AT348" s="66" t="str">
        <f t="shared" si="276"/>
        <v>X</v>
      </c>
      <c r="AU348" s="66" t="str">
        <f t="shared" si="277"/>
        <v>X</v>
      </c>
      <c r="AV348" s="66" t="str">
        <f t="shared" si="278"/>
        <v>X</v>
      </c>
      <c r="AW348" s="66" t="str">
        <f t="shared" si="279"/>
        <v>X</v>
      </c>
      <c r="AX348" s="66" t="str">
        <f t="shared" si="280"/>
        <v>X</v>
      </c>
      <c r="AY348" s="66" t="str">
        <f t="shared" si="281"/>
        <v>X</v>
      </c>
      <c r="AZ348" s="66" t="str">
        <f t="shared" si="282"/>
        <v>X</v>
      </c>
      <c r="BA348" s="66" t="str">
        <f t="shared" si="283"/>
        <v>X</v>
      </c>
      <c r="BB348" s="66">
        <f t="shared" si="284"/>
        <v>1</v>
      </c>
      <c r="BC348" s="127" t="str">
        <f t="shared" si="255"/>
        <v>1G</v>
      </c>
      <c r="BD348" s="127" t="str">
        <f t="shared" si="256"/>
        <v>1G</v>
      </c>
      <c r="BE348" s="127" t="str">
        <f t="shared" si="257"/>
        <v>1G</v>
      </c>
      <c r="BF348" s="127" t="str">
        <f t="shared" si="258"/>
        <v>2G</v>
      </c>
      <c r="BG348" s="127" t="str">
        <f t="shared" si="259"/>
        <v>3G</v>
      </c>
      <c r="BH348" s="127" t="str">
        <f t="shared" si="260"/>
        <v>3G</v>
      </c>
      <c r="BI348" s="127">
        <f t="shared" si="285"/>
        <v>3</v>
      </c>
      <c r="BJ348" s="127">
        <f t="shared" si="286"/>
        <v>1</v>
      </c>
      <c r="BK348" s="127">
        <f t="shared" si="287"/>
        <v>2</v>
      </c>
      <c r="BL348" s="127" t="str">
        <f t="shared" si="288"/>
        <v>312</v>
      </c>
      <c r="BS348"/>
      <c r="CL348" s="28">
        <v>156</v>
      </c>
      <c r="CM348" s="28">
        <v>150</v>
      </c>
      <c r="CO348"/>
    </row>
    <row r="349" spans="2:93" ht="16.5" hidden="1">
      <c r="B349" s="17">
        <v>345</v>
      </c>
      <c r="C349" s="363" t="s">
        <v>375</v>
      </c>
      <c r="D349" s="18">
        <v>2</v>
      </c>
      <c r="E349" s="20">
        <v>5203577550</v>
      </c>
      <c r="F349" s="18">
        <v>38</v>
      </c>
      <c r="G349" s="20">
        <v>45645418</v>
      </c>
      <c r="H349" s="20">
        <v>1028</v>
      </c>
      <c r="I349" s="20">
        <v>1687282</v>
      </c>
      <c r="J349" s="20">
        <v>50722</v>
      </c>
      <c r="K349" s="20">
        <v>68394</v>
      </c>
      <c r="L349" s="20">
        <v>884042</v>
      </c>
      <c r="M349" s="20">
        <v>5000</v>
      </c>
      <c r="N349" s="167">
        <v>15</v>
      </c>
      <c r="O349" s="167">
        <v>20</v>
      </c>
      <c r="P349" s="167">
        <v>23</v>
      </c>
      <c r="Q349" s="167">
        <v>29</v>
      </c>
      <c r="R349" s="167">
        <v>39</v>
      </c>
      <c r="S349" s="167">
        <v>42</v>
      </c>
      <c r="T349" s="167">
        <v>2</v>
      </c>
      <c r="U349" s="28">
        <f t="shared" si="261"/>
        <v>168</v>
      </c>
      <c r="W349" s="32" t="str">
        <f t="shared" si="246"/>
        <v>홀수</v>
      </c>
      <c r="X349" s="32" t="str">
        <f t="shared" si="247"/>
        <v>짝수</v>
      </c>
      <c r="Y349" s="32" t="str">
        <f t="shared" si="248"/>
        <v>홀수</v>
      </c>
      <c r="Z349" s="32" t="str">
        <f t="shared" si="249"/>
        <v>홀수</v>
      </c>
      <c r="AA349" s="32" t="str">
        <f t="shared" si="250"/>
        <v>홀수</v>
      </c>
      <c r="AB349" s="32" t="str">
        <f t="shared" si="251"/>
        <v>짝수</v>
      </c>
      <c r="AC349" s="58" t="str">
        <f t="shared" si="252"/>
        <v>4 : 2</v>
      </c>
      <c r="AD349" s="32">
        <f t="shared" si="253"/>
        <v>4</v>
      </c>
      <c r="AE349" s="32">
        <f t="shared" si="254"/>
        <v>2</v>
      </c>
      <c r="AF349" s="66" t="str">
        <f t="shared" si="262"/>
        <v>저수</v>
      </c>
      <c r="AG349" s="66" t="str">
        <f t="shared" si="263"/>
        <v>저수</v>
      </c>
      <c r="AH349" s="66" t="str">
        <f t="shared" si="264"/>
        <v>고수</v>
      </c>
      <c r="AI349" s="66" t="str">
        <f t="shared" si="265"/>
        <v>고수</v>
      </c>
      <c r="AJ349" s="66" t="str">
        <f t="shared" si="266"/>
        <v>고수</v>
      </c>
      <c r="AK349" s="66" t="str">
        <f t="shared" si="267"/>
        <v>고수</v>
      </c>
      <c r="AL349" s="58" t="str">
        <f t="shared" si="268"/>
        <v>2 : 4</v>
      </c>
      <c r="AM349" s="66">
        <f t="shared" si="269"/>
        <v>2</v>
      </c>
      <c r="AN349" s="66">
        <f t="shared" si="270"/>
        <v>4</v>
      </c>
      <c r="AO349" s="66">
        <f t="shared" si="271"/>
        <v>28</v>
      </c>
      <c r="AP349" s="66" t="str">
        <f t="shared" si="272"/>
        <v>X</v>
      </c>
      <c r="AQ349" s="66" t="str">
        <f t="shared" si="273"/>
        <v>X</v>
      </c>
      <c r="AR349" s="66" t="str">
        <f t="shared" si="274"/>
        <v>X</v>
      </c>
      <c r="AS349" s="66" t="str">
        <f t="shared" si="275"/>
        <v>X</v>
      </c>
      <c r="AT349" s="66" t="str">
        <f t="shared" si="276"/>
        <v>X</v>
      </c>
      <c r="AU349" s="66" t="str">
        <f t="shared" si="277"/>
        <v>X</v>
      </c>
      <c r="AV349" s="66" t="str">
        <f t="shared" si="278"/>
        <v>X</v>
      </c>
      <c r="AW349" s="66" t="str">
        <f t="shared" si="279"/>
        <v>X</v>
      </c>
      <c r="AX349" s="66" t="str">
        <f t="shared" si="280"/>
        <v>O</v>
      </c>
      <c r="AY349" s="66" t="str">
        <f t="shared" si="281"/>
        <v>O</v>
      </c>
      <c r="AZ349" s="66" t="str">
        <f t="shared" si="282"/>
        <v>X</v>
      </c>
      <c r="BA349" s="66" t="str">
        <f t="shared" si="283"/>
        <v>X</v>
      </c>
      <c r="BB349" s="66">
        <f t="shared" si="284"/>
        <v>2</v>
      </c>
      <c r="BC349" s="127" t="str">
        <f t="shared" si="255"/>
        <v>1G</v>
      </c>
      <c r="BD349" s="127" t="str">
        <f t="shared" si="256"/>
        <v>2G</v>
      </c>
      <c r="BE349" s="127" t="str">
        <f t="shared" si="257"/>
        <v>2G</v>
      </c>
      <c r="BF349" s="127" t="str">
        <f t="shared" si="258"/>
        <v>2G</v>
      </c>
      <c r="BG349" s="127" t="str">
        <f t="shared" si="259"/>
        <v>3G</v>
      </c>
      <c r="BH349" s="127" t="str">
        <f t="shared" si="260"/>
        <v>3G</v>
      </c>
      <c r="BI349" s="127">
        <f t="shared" si="285"/>
        <v>1</v>
      </c>
      <c r="BJ349" s="127">
        <f t="shared" si="286"/>
        <v>3</v>
      </c>
      <c r="BK349" s="127">
        <f t="shared" si="287"/>
        <v>2</v>
      </c>
      <c r="BL349" s="127" t="str">
        <f t="shared" si="288"/>
        <v>132</v>
      </c>
      <c r="BS349"/>
      <c r="CL349" s="28">
        <v>157</v>
      </c>
      <c r="CM349" s="28">
        <v>150</v>
      </c>
      <c r="CO349"/>
    </row>
    <row r="350" spans="2:93" ht="16.5" hidden="1">
      <c r="B350" s="17">
        <v>346</v>
      </c>
      <c r="C350" s="363" t="s">
        <v>376</v>
      </c>
      <c r="D350" s="18">
        <v>5</v>
      </c>
      <c r="E350" s="20">
        <v>2017727340</v>
      </c>
      <c r="F350" s="18">
        <v>26</v>
      </c>
      <c r="G350" s="20">
        <v>64670749</v>
      </c>
      <c r="H350" s="20">
        <v>1146</v>
      </c>
      <c r="I350" s="20">
        <v>1467225</v>
      </c>
      <c r="J350" s="20">
        <v>54509</v>
      </c>
      <c r="K350" s="20">
        <v>61695</v>
      </c>
      <c r="L350" s="20">
        <v>923360</v>
      </c>
      <c r="M350" s="20">
        <v>5000</v>
      </c>
      <c r="N350" s="167">
        <v>5</v>
      </c>
      <c r="O350" s="167">
        <v>13</v>
      </c>
      <c r="P350" s="167">
        <v>14</v>
      </c>
      <c r="Q350" s="167">
        <v>22</v>
      </c>
      <c r="R350" s="167">
        <v>44</v>
      </c>
      <c r="S350" s="167">
        <v>45</v>
      </c>
      <c r="T350" s="167">
        <v>33</v>
      </c>
      <c r="U350" s="28">
        <f t="shared" si="261"/>
        <v>143</v>
      </c>
      <c r="W350" s="32" t="str">
        <f t="shared" si="246"/>
        <v>홀수</v>
      </c>
      <c r="X350" s="32" t="str">
        <f t="shared" si="247"/>
        <v>홀수</v>
      </c>
      <c r="Y350" s="32" t="str">
        <f t="shared" si="248"/>
        <v>짝수</v>
      </c>
      <c r="Z350" s="32" t="str">
        <f t="shared" si="249"/>
        <v>짝수</v>
      </c>
      <c r="AA350" s="32" t="str">
        <f t="shared" si="250"/>
        <v>짝수</v>
      </c>
      <c r="AB350" s="32" t="str">
        <f t="shared" si="251"/>
        <v>홀수</v>
      </c>
      <c r="AC350" s="58" t="str">
        <f t="shared" si="252"/>
        <v>3 : 3</v>
      </c>
      <c r="AD350" s="32">
        <f t="shared" si="253"/>
        <v>3</v>
      </c>
      <c r="AE350" s="32">
        <f t="shared" si="254"/>
        <v>3</v>
      </c>
      <c r="AF350" s="66" t="str">
        <f t="shared" si="262"/>
        <v>저수</v>
      </c>
      <c r="AG350" s="66" t="str">
        <f t="shared" si="263"/>
        <v>저수</v>
      </c>
      <c r="AH350" s="66" t="str">
        <f t="shared" si="264"/>
        <v>저수</v>
      </c>
      <c r="AI350" s="66" t="str">
        <f t="shared" si="265"/>
        <v>저수</v>
      </c>
      <c r="AJ350" s="66" t="str">
        <f t="shared" si="266"/>
        <v>고수</v>
      </c>
      <c r="AK350" s="66" t="str">
        <f t="shared" si="267"/>
        <v>고수</v>
      </c>
      <c r="AL350" s="58" t="str">
        <f t="shared" si="268"/>
        <v>4 : 2</v>
      </c>
      <c r="AM350" s="66">
        <f t="shared" si="269"/>
        <v>4</v>
      </c>
      <c r="AN350" s="66">
        <f t="shared" si="270"/>
        <v>2</v>
      </c>
      <c r="AO350" s="66">
        <f t="shared" si="271"/>
        <v>23</v>
      </c>
      <c r="AP350" s="66" t="str">
        <f t="shared" si="272"/>
        <v>O</v>
      </c>
      <c r="AQ350" s="66" t="str">
        <f t="shared" si="273"/>
        <v>O</v>
      </c>
      <c r="AR350" s="66" t="str">
        <f t="shared" si="274"/>
        <v>X</v>
      </c>
      <c r="AS350" s="66" t="str">
        <f t="shared" si="275"/>
        <v>X</v>
      </c>
      <c r="AT350" s="66" t="str">
        <f t="shared" si="276"/>
        <v>X</v>
      </c>
      <c r="AU350" s="66" t="str">
        <f t="shared" si="277"/>
        <v>X</v>
      </c>
      <c r="AV350" s="66" t="str">
        <f t="shared" si="278"/>
        <v>X</v>
      </c>
      <c r="AW350" s="66" t="str">
        <f t="shared" si="279"/>
        <v>X</v>
      </c>
      <c r="AX350" s="66" t="str">
        <f t="shared" si="280"/>
        <v>X</v>
      </c>
      <c r="AY350" s="66" t="str">
        <f t="shared" si="281"/>
        <v>X</v>
      </c>
      <c r="AZ350" s="66" t="str">
        <f t="shared" si="282"/>
        <v>X</v>
      </c>
      <c r="BA350" s="66" t="str">
        <f t="shared" si="283"/>
        <v>X</v>
      </c>
      <c r="BB350" s="66">
        <f t="shared" si="284"/>
        <v>2</v>
      </c>
      <c r="BC350" s="127" t="str">
        <f t="shared" si="255"/>
        <v>1G</v>
      </c>
      <c r="BD350" s="127" t="str">
        <f t="shared" si="256"/>
        <v>1G</v>
      </c>
      <c r="BE350" s="127" t="str">
        <f t="shared" si="257"/>
        <v>1G</v>
      </c>
      <c r="BF350" s="127" t="str">
        <f t="shared" si="258"/>
        <v>2G</v>
      </c>
      <c r="BG350" s="127" t="str">
        <f t="shared" si="259"/>
        <v>3G</v>
      </c>
      <c r="BH350" s="127" t="str">
        <f t="shared" si="260"/>
        <v>3G</v>
      </c>
      <c r="BI350" s="127">
        <f t="shared" si="285"/>
        <v>3</v>
      </c>
      <c r="BJ350" s="127">
        <f t="shared" si="286"/>
        <v>1</v>
      </c>
      <c r="BK350" s="127">
        <f t="shared" si="287"/>
        <v>2</v>
      </c>
      <c r="BL350" s="127" t="str">
        <f t="shared" si="288"/>
        <v>312</v>
      </c>
      <c r="BS350"/>
      <c r="CL350" s="28">
        <v>157</v>
      </c>
      <c r="CM350" s="28">
        <v>150</v>
      </c>
      <c r="CO350"/>
    </row>
    <row r="351" spans="2:93" ht="16.5" hidden="1">
      <c r="B351" s="17">
        <v>347</v>
      </c>
      <c r="C351" s="363" t="s">
        <v>377</v>
      </c>
      <c r="D351" s="18">
        <v>7</v>
      </c>
      <c r="E351" s="20">
        <v>1456624286</v>
      </c>
      <c r="F351" s="18">
        <v>38</v>
      </c>
      <c r="G351" s="20">
        <v>44720922</v>
      </c>
      <c r="H351" s="20">
        <v>1399</v>
      </c>
      <c r="I351" s="20">
        <v>1214722</v>
      </c>
      <c r="J351" s="20">
        <v>63761</v>
      </c>
      <c r="K351" s="20">
        <v>53306</v>
      </c>
      <c r="L351" s="20">
        <v>1023184</v>
      </c>
      <c r="M351" s="20">
        <v>5000</v>
      </c>
      <c r="N351" s="167">
        <v>3</v>
      </c>
      <c r="O351" s="167">
        <v>8</v>
      </c>
      <c r="P351" s="167">
        <v>13</v>
      </c>
      <c r="Q351" s="167">
        <v>27</v>
      </c>
      <c r="R351" s="167">
        <v>32</v>
      </c>
      <c r="S351" s="167">
        <v>42</v>
      </c>
      <c r="T351" s="167">
        <v>10</v>
      </c>
      <c r="U351" s="28">
        <f t="shared" si="261"/>
        <v>125</v>
      </c>
      <c r="W351" s="32" t="str">
        <f t="shared" si="246"/>
        <v>홀수</v>
      </c>
      <c r="X351" s="32" t="str">
        <f t="shared" si="247"/>
        <v>짝수</v>
      </c>
      <c r="Y351" s="32" t="str">
        <f t="shared" si="248"/>
        <v>홀수</v>
      </c>
      <c r="Z351" s="32" t="str">
        <f t="shared" si="249"/>
        <v>홀수</v>
      </c>
      <c r="AA351" s="32" t="str">
        <f t="shared" si="250"/>
        <v>짝수</v>
      </c>
      <c r="AB351" s="32" t="str">
        <f t="shared" si="251"/>
        <v>짝수</v>
      </c>
      <c r="AC351" s="58" t="str">
        <f t="shared" si="252"/>
        <v>3 : 3</v>
      </c>
      <c r="AD351" s="32">
        <f t="shared" si="253"/>
        <v>3</v>
      </c>
      <c r="AE351" s="32">
        <f t="shared" si="254"/>
        <v>3</v>
      </c>
      <c r="AF351" s="66" t="str">
        <f t="shared" si="262"/>
        <v>저수</v>
      </c>
      <c r="AG351" s="66" t="str">
        <f t="shared" si="263"/>
        <v>저수</v>
      </c>
      <c r="AH351" s="66" t="str">
        <f t="shared" si="264"/>
        <v>저수</v>
      </c>
      <c r="AI351" s="66" t="str">
        <f t="shared" si="265"/>
        <v>고수</v>
      </c>
      <c r="AJ351" s="66" t="str">
        <f t="shared" si="266"/>
        <v>고수</v>
      </c>
      <c r="AK351" s="66" t="str">
        <f t="shared" si="267"/>
        <v>고수</v>
      </c>
      <c r="AL351" s="58" t="str">
        <f t="shared" si="268"/>
        <v>3 : 3</v>
      </c>
      <c r="AM351" s="66">
        <f t="shared" si="269"/>
        <v>3</v>
      </c>
      <c r="AN351" s="66">
        <f t="shared" si="270"/>
        <v>3</v>
      </c>
      <c r="AO351" s="66">
        <f t="shared" si="271"/>
        <v>25</v>
      </c>
      <c r="AP351" s="66" t="str">
        <f t="shared" si="272"/>
        <v>O</v>
      </c>
      <c r="AQ351" s="66" t="str">
        <f t="shared" si="273"/>
        <v>X</v>
      </c>
      <c r="AR351" s="66" t="str">
        <f t="shared" si="274"/>
        <v>O</v>
      </c>
      <c r="AS351" s="66" t="str">
        <f t="shared" si="275"/>
        <v>X</v>
      </c>
      <c r="AT351" s="66" t="str">
        <f t="shared" si="276"/>
        <v>X</v>
      </c>
      <c r="AU351" s="66" t="str">
        <f t="shared" si="277"/>
        <v>X</v>
      </c>
      <c r="AV351" s="66" t="str">
        <f t="shared" si="278"/>
        <v>X</v>
      </c>
      <c r="AW351" s="66" t="str">
        <f t="shared" si="279"/>
        <v>X</v>
      </c>
      <c r="AX351" s="66" t="str">
        <f t="shared" si="280"/>
        <v>X</v>
      </c>
      <c r="AY351" s="66" t="str">
        <f t="shared" si="281"/>
        <v>X</v>
      </c>
      <c r="AZ351" s="66" t="str">
        <f t="shared" si="282"/>
        <v>X</v>
      </c>
      <c r="BA351" s="66" t="str">
        <f t="shared" si="283"/>
        <v>X</v>
      </c>
      <c r="BB351" s="66">
        <f t="shared" si="284"/>
        <v>2</v>
      </c>
      <c r="BC351" s="127" t="str">
        <f t="shared" si="255"/>
        <v>1G</v>
      </c>
      <c r="BD351" s="127" t="str">
        <f t="shared" si="256"/>
        <v>1G</v>
      </c>
      <c r="BE351" s="127" t="str">
        <f t="shared" si="257"/>
        <v>1G</v>
      </c>
      <c r="BF351" s="127" t="str">
        <f t="shared" si="258"/>
        <v>2G</v>
      </c>
      <c r="BG351" s="127" t="str">
        <f t="shared" si="259"/>
        <v>3G</v>
      </c>
      <c r="BH351" s="127" t="str">
        <f t="shared" si="260"/>
        <v>3G</v>
      </c>
      <c r="BI351" s="127">
        <f t="shared" si="285"/>
        <v>3</v>
      </c>
      <c r="BJ351" s="127">
        <f t="shared" si="286"/>
        <v>1</v>
      </c>
      <c r="BK351" s="127">
        <f t="shared" si="287"/>
        <v>2</v>
      </c>
      <c r="BL351" s="127" t="str">
        <f t="shared" si="288"/>
        <v>312</v>
      </c>
      <c r="BS351"/>
      <c r="CL351" s="28">
        <v>158</v>
      </c>
      <c r="CM351" s="28">
        <v>150</v>
      </c>
      <c r="CO351"/>
    </row>
    <row r="352" spans="2:93" ht="16.5" hidden="1">
      <c r="B352" s="17">
        <v>348</v>
      </c>
      <c r="C352" s="363" t="s">
        <v>378</v>
      </c>
      <c r="D352" s="18">
        <v>3</v>
      </c>
      <c r="E352" s="20">
        <v>3299994000</v>
      </c>
      <c r="F352" s="18">
        <v>37</v>
      </c>
      <c r="G352" s="20">
        <v>44594514</v>
      </c>
      <c r="H352" s="20">
        <v>1222</v>
      </c>
      <c r="I352" s="20">
        <v>1350244</v>
      </c>
      <c r="J352" s="20">
        <v>65694</v>
      </c>
      <c r="K352" s="20">
        <v>50233</v>
      </c>
      <c r="L352" s="20">
        <v>978637</v>
      </c>
      <c r="M352" s="20">
        <v>5000</v>
      </c>
      <c r="N352" s="167">
        <v>3</v>
      </c>
      <c r="O352" s="167">
        <v>14</v>
      </c>
      <c r="P352" s="167">
        <v>17</v>
      </c>
      <c r="Q352" s="167">
        <v>20</v>
      </c>
      <c r="R352" s="167">
        <v>24</v>
      </c>
      <c r="S352" s="167">
        <v>31</v>
      </c>
      <c r="T352" s="167">
        <v>34</v>
      </c>
      <c r="U352" s="28">
        <f t="shared" si="261"/>
        <v>109</v>
      </c>
      <c r="W352" s="32" t="str">
        <f t="shared" si="246"/>
        <v>홀수</v>
      </c>
      <c r="X352" s="32" t="str">
        <f t="shared" si="247"/>
        <v>짝수</v>
      </c>
      <c r="Y352" s="32" t="str">
        <f t="shared" si="248"/>
        <v>홀수</v>
      </c>
      <c r="Z352" s="32" t="str">
        <f t="shared" si="249"/>
        <v>짝수</v>
      </c>
      <c r="AA352" s="32" t="str">
        <f t="shared" si="250"/>
        <v>짝수</v>
      </c>
      <c r="AB352" s="32" t="str">
        <f t="shared" si="251"/>
        <v>홀수</v>
      </c>
      <c r="AC352" s="58" t="str">
        <f t="shared" si="252"/>
        <v>3 : 3</v>
      </c>
      <c r="AD352" s="32">
        <f t="shared" si="253"/>
        <v>3</v>
      </c>
      <c r="AE352" s="32">
        <f t="shared" si="254"/>
        <v>3</v>
      </c>
      <c r="AF352" s="66" t="str">
        <f t="shared" si="262"/>
        <v>저수</v>
      </c>
      <c r="AG352" s="66" t="str">
        <f t="shared" si="263"/>
        <v>저수</v>
      </c>
      <c r="AH352" s="66" t="str">
        <f t="shared" si="264"/>
        <v>저수</v>
      </c>
      <c r="AI352" s="66" t="str">
        <f t="shared" si="265"/>
        <v>저수</v>
      </c>
      <c r="AJ352" s="66" t="str">
        <f t="shared" si="266"/>
        <v>고수</v>
      </c>
      <c r="AK352" s="66" t="str">
        <f t="shared" si="267"/>
        <v>고수</v>
      </c>
      <c r="AL352" s="58" t="str">
        <f t="shared" si="268"/>
        <v>4 : 2</v>
      </c>
      <c r="AM352" s="66">
        <f t="shared" si="269"/>
        <v>4</v>
      </c>
      <c r="AN352" s="66">
        <f t="shared" si="270"/>
        <v>2</v>
      </c>
      <c r="AO352" s="66">
        <f t="shared" si="271"/>
        <v>19</v>
      </c>
      <c r="AP352" s="66" t="str">
        <f t="shared" si="272"/>
        <v>O</v>
      </c>
      <c r="AQ352" s="66" t="str">
        <f t="shared" si="273"/>
        <v>X</v>
      </c>
      <c r="AR352" s="66" t="str">
        <f t="shared" si="274"/>
        <v>O</v>
      </c>
      <c r="AS352" s="66" t="str">
        <f t="shared" si="275"/>
        <v>X</v>
      </c>
      <c r="AT352" s="66" t="str">
        <f t="shared" si="276"/>
        <v>X</v>
      </c>
      <c r="AU352" s="66" t="str">
        <f t="shared" si="277"/>
        <v>X</v>
      </c>
      <c r="AV352" s="66" t="str">
        <f t="shared" si="278"/>
        <v>X</v>
      </c>
      <c r="AW352" s="66" t="str">
        <f t="shared" si="279"/>
        <v>X</v>
      </c>
      <c r="AX352" s="66" t="str">
        <f t="shared" si="280"/>
        <v>X</v>
      </c>
      <c r="AY352" s="66" t="str">
        <f t="shared" si="281"/>
        <v>X</v>
      </c>
      <c r="AZ352" s="66" t="str">
        <f t="shared" si="282"/>
        <v>X</v>
      </c>
      <c r="BA352" s="66" t="str">
        <f t="shared" si="283"/>
        <v>O</v>
      </c>
      <c r="BB352" s="66">
        <f t="shared" si="284"/>
        <v>3</v>
      </c>
      <c r="BC352" s="127" t="str">
        <f t="shared" si="255"/>
        <v>1G</v>
      </c>
      <c r="BD352" s="127" t="str">
        <f t="shared" si="256"/>
        <v>1G</v>
      </c>
      <c r="BE352" s="127" t="str">
        <f t="shared" si="257"/>
        <v>2G</v>
      </c>
      <c r="BF352" s="127" t="str">
        <f t="shared" si="258"/>
        <v>2G</v>
      </c>
      <c r="BG352" s="127" t="str">
        <f t="shared" si="259"/>
        <v>2G</v>
      </c>
      <c r="BH352" s="127" t="str">
        <f t="shared" si="260"/>
        <v>3G</v>
      </c>
      <c r="BI352" s="127">
        <f t="shared" si="285"/>
        <v>2</v>
      </c>
      <c r="BJ352" s="127">
        <f t="shared" si="286"/>
        <v>3</v>
      </c>
      <c r="BK352" s="127">
        <f t="shared" si="287"/>
        <v>1</v>
      </c>
      <c r="BL352" s="127" t="str">
        <f t="shared" si="288"/>
        <v>231</v>
      </c>
      <c r="BS352"/>
      <c r="CL352" s="28">
        <v>158</v>
      </c>
      <c r="CM352" s="28">
        <v>150</v>
      </c>
      <c r="CO352"/>
    </row>
    <row r="353" spans="2:93" ht="16.5" hidden="1">
      <c r="B353" s="17">
        <v>349</v>
      </c>
      <c r="C353" s="363" t="s">
        <v>379</v>
      </c>
      <c r="D353" s="18">
        <v>3</v>
      </c>
      <c r="E353" s="20">
        <v>3353209000</v>
      </c>
      <c r="F353" s="18">
        <v>37</v>
      </c>
      <c r="G353" s="20">
        <v>45313636</v>
      </c>
      <c r="H353" s="20">
        <v>1168</v>
      </c>
      <c r="I353" s="20">
        <v>1435450</v>
      </c>
      <c r="J353" s="20">
        <v>59338</v>
      </c>
      <c r="K353" s="20">
        <v>56511</v>
      </c>
      <c r="L353" s="20">
        <v>990178</v>
      </c>
      <c r="M353" s="20">
        <v>5000</v>
      </c>
      <c r="N353" s="167">
        <v>5</v>
      </c>
      <c r="O353" s="167">
        <v>13</v>
      </c>
      <c r="P353" s="167">
        <v>14</v>
      </c>
      <c r="Q353" s="167">
        <v>20</v>
      </c>
      <c r="R353" s="167">
        <v>24</v>
      </c>
      <c r="S353" s="167">
        <v>25</v>
      </c>
      <c r="T353" s="167">
        <v>36</v>
      </c>
      <c r="U353" s="28">
        <f t="shared" si="261"/>
        <v>101</v>
      </c>
      <c r="W353" s="32" t="str">
        <f t="shared" si="246"/>
        <v>홀수</v>
      </c>
      <c r="X353" s="32" t="str">
        <f t="shared" si="247"/>
        <v>홀수</v>
      </c>
      <c r="Y353" s="32" t="str">
        <f t="shared" si="248"/>
        <v>짝수</v>
      </c>
      <c r="Z353" s="32" t="str">
        <f t="shared" si="249"/>
        <v>짝수</v>
      </c>
      <c r="AA353" s="32" t="str">
        <f t="shared" si="250"/>
        <v>짝수</v>
      </c>
      <c r="AB353" s="32" t="str">
        <f t="shared" si="251"/>
        <v>홀수</v>
      </c>
      <c r="AC353" s="58" t="str">
        <f t="shared" si="252"/>
        <v>3 : 3</v>
      </c>
      <c r="AD353" s="32">
        <f t="shared" si="253"/>
        <v>3</v>
      </c>
      <c r="AE353" s="32">
        <f t="shared" si="254"/>
        <v>3</v>
      </c>
      <c r="AF353" s="66" t="str">
        <f t="shared" si="262"/>
        <v>저수</v>
      </c>
      <c r="AG353" s="66" t="str">
        <f t="shared" si="263"/>
        <v>저수</v>
      </c>
      <c r="AH353" s="66" t="str">
        <f t="shared" si="264"/>
        <v>저수</v>
      </c>
      <c r="AI353" s="66" t="str">
        <f t="shared" si="265"/>
        <v>저수</v>
      </c>
      <c r="AJ353" s="66" t="str">
        <f t="shared" si="266"/>
        <v>고수</v>
      </c>
      <c r="AK353" s="66" t="str">
        <f t="shared" si="267"/>
        <v>고수</v>
      </c>
      <c r="AL353" s="58" t="str">
        <f t="shared" si="268"/>
        <v>4 : 2</v>
      </c>
      <c r="AM353" s="66">
        <f t="shared" si="269"/>
        <v>4</v>
      </c>
      <c r="AN353" s="66">
        <f t="shared" si="270"/>
        <v>2</v>
      </c>
      <c r="AO353" s="66">
        <f t="shared" si="271"/>
        <v>21</v>
      </c>
      <c r="AP353" s="66" t="str">
        <f t="shared" si="272"/>
        <v>O</v>
      </c>
      <c r="AQ353" s="66" t="str">
        <f t="shared" si="273"/>
        <v>O</v>
      </c>
      <c r="AR353" s="66" t="str">
        <f t="shared" si="274"/>
        <v>X</v>
      </c>
      <c r="AS353" s="66" t="str">
        <f t="shared" si="275"/>
        <v>X</v>
      </c>
      <c r="AT353" s="66" t="str">
        <f t="shared" si="276"/>
        <v>X</v>
      </c>
      <c r="AU353" s="66" t="str">
        <f t="shared" si="277"/>
        <v>X</v>
      </c>
      <c r="AV353" s="66" t="str">
        <f t="shared" si="278"/>
        <v>X</v>
      </c>
      <c r="AW353" s="66" t="str">
        <f t="shared" si="279"/>
        <v>X</v>
      </c>
      <c r="AX353" s="66" t="str">
        <f t="shared" si="280"/>
        <v>X</v>
      </c>
      <c r="AY353" s="66" t="str">
        <f t="shared" si="281"/>
        <v>X</v>
      </c>
      <c r="AZ353" s="66" t="str">
        <f t="shared" si="282"/>
        <v>X</v>
      </c>
      <c r="BA353" s="66" t="str">
        <f t="shared" si="283"/>
        <v>X</v>
      </c>
      <c r="BB353" s="66">
        <f t="shared" si="284"/>
        <v>2</v>
      </c>
      <c r="BC353" s="127" t="str">
        <f t="shared" si="255"/>
        <v>1G</v>
      </c>
      <c r="BD353" s="127" t="str">
        <f t="shared" si="256"/>
        <v>1G</v>
      </c>
      <c r="BE353" s="127" t="str">
        <f t="shared" si="257"/>
        <v>1G</v>
      </c>
      <c r="BF353" s="127" t="str">
        <f t="shared" si="258"/>
        <v>2G</v>
      </c>
      <c r="BG353" s="127" t="str">
        <f t="shared" si="259"/>
        <v>2G</v>
      </c>
      <c r="BH353" s="127" t="str">
        <f t="shared" si="260"/>
        <v>2G</v>
      </c>
      <c r="BI353" s="127">
        <f t="shared" si="285"/>
        <v>3</v>
      </c>
      <c r="BJ353" s="127">
        <f t="shared" si="286"/>
        <v>3</v>
      </c>
      <c r="BK353" s="127">
        <f t="shared" si="287"/>
        <v>0</v>
      </c>
      <c r="BL353" s="127" t="str">
        <f t="shared" si="288"/>
        <v>330</v>
      </c>
      <c r="BS353"/>
      <c r="CL353" s="28">
        <v>158</v>
      </c>
      <c r="CM353" s="28">
        <v>150</v>
      </c>
      <c r="CO353"/>
    </row>
    <row r="354" spans="2:93" ht="16.5" hidden="1">
      <c r="B354" s="17">
        <v>350</v>
      </c>
      <c r="C354" s="363" t="s">
        <v>380</v>
      </c>
      <c r="D354" s="18">
        <v>9</v>
      </c>
      <c r="E354" s="20">
        <v>1101052467</v>
      </c>
      <c r="F354" s="18">
        <v>23</v>
      </c>
      <c r="G354" s="20">
        <v>71807770</v>
      </c>
      <c r="H354" s="20">
        <v>1197</v>
      </c>
      <c r="I354" s="20">
        <v>1379765</v>
      </c>
      <c r="J354" s="20">
        <v>57420</v>
      </c>
      <c r="K354" s="20">
        <v>57527</v>
      </c>
      <c r="L354" s="20">
        <v>964952</v>
      </c>
      <c r="M354" s="20">
        <v>5000</v>
      </c>
      <c r="N354" s="167">
        <v>1</v>
      </c>
      <c r="O354" s="167">
        <v>8</v>
      </c>
      <c r="P354" s="167">
        <v>18</v>
      </c>
      <c r="Q354" s="167">
        <v>24</v>
      </c>
      <c r="R354" s="167">
        <v>29</v>
      </c>
      <c r="S354" s="167">
        <v>33</v>
      </c>
      <c r="T354" s="167">
        <v>35</v>
      </c>
      <c r="U354" s="28">
        <f t="shared" si="261"/>
        <v>113</v>
      </c>
      <c r="W354" s="32" t="str">
        <f t="shared" si="246"/>
        <v>홀수</v>
      </c>
      <c r="X354" s="32" t="str">
        <f t="shared" si="247"/>
        <v>짝수</v>
      </c>
      <c r="Y354" s="32" t="str">
        <f t="shared" si="248"/>
        <v>짝수</v>
      </c>
      <c r="Z354" s="32" t="str">
        <f t="shared" si="249"/>
        <v>짝수</v>
      </c>
      <c r="AA354" s="32" t="str">
        <f t="shared" si="250"/>
        <v>홀수</v>
      </c>
      <c r="AB354" s="32" t="str">
        <f t="shared" si="251"/>
        <v>홀수</v>
      </c>
      <c r="AC354" s="58" t="str">
        <f t="shared" si="252"/>
        <v>3 : 3</v>
      </c>
      <c r="AD354" s="32">
        <f t="shared" si="253"/>
        <v>3</v>
      </c>
      <c r="AE354" s="32">
        <f t="shared" si="254"/>
        <v>3</v>
      </c>
      <c r="AF354" s="66" t="str">
        <f t="shared" si="262"/>
        <v>저수</v>
      </c>
      <c r="AG354" s="66" t="str">
        <f t="shared" si="263"/>
        <v>저수</v>
      </c>
      <c r="AH354" s="66" t="str">
        <f t="shared" si="264"/>
        <v>저수</v>
      </c>
      <c r="AI354" s="66" t="str">
        <f t="shared" si="265"/>
        <v>고수</v>
      </c>
      <c r="AJ354" s="66" t="str">
        <f t="shared" si="266"/>
        <v>고수</v>
      </c>
      <c r="AK354" s="66" t="str">
        <f t="shared" si="267"/>
        <v>고수</v>
      </c>
      <c r="AL354" s="58" t="str">
        <f t="shared" si="268"/>
        <v>3 : 3</v>
      </c>
      <c r="AM354" s="66">
        <f t="shared" si="269"/>
        <v>3</v>
      </c>
      <c r="AN354" s="66">
        <f t="shared" si="270"/>
        <v>3</v>
      </c>
      <c r="AO354" s="66">
        <f t="shared" si="271"/>
        <v>33</v>
      </c>
      <c r="AP354" s="66" t="str">
        <f t="shared" si="272"/>
        <v>X</v>
      </c>
      <c r="AQ354" s="66" t="str">
        <f t="shared" si="273"/>
        <v>X</v>
      </c>
      <c r="AR354" s="66" t="str">
        <f t="shared" si="274"/>
        <v>X</v>
      </c>
      <c r="AS354" s="66" t="str">
        <f t="shared" si="275"/>
        <v>X</v>
      </c>
      <c r="AT354" s="66" t="str">
        <f t="shared" si="276"/>
        <v>X</v>
      </c>
      <c r="AU354" s="66" t="str">
        <f t="shared" si="277"/>
        <v>X</v>
      </c>
      <c r="AV354" s="66" t="str">
        <f t="shared" si="278"/>
        <v>X</v>
      </c>
      <c r="AW354" s="66" t="str">
        <f t="shared" si="279"/>
        <v>X</v>
      </c>
      <c r="AX354" s="66" t="str">
        <f t="shared" si="280"/>
        <v>X</v>
      </c>
      <c r="AY354" s="66" t="str">
        <f t="shared" si="281"/>
        <v>X</v>
      </c>
      <c r="AZ354" s="66" t="str">
        <f t="shared" si="282"/>
        <v>O</v>
      </c>
      <c r="BA354" s="66" t="str">
        <f t="shared" si="283"/>
        <v>X</v>
      </c>
      <c r="BB354" s="66">
        <f t="shared" si="284"/>
        <v>1</v>
      </c>
      <c r="BC354" s="127" t="str">
        <f t="shared" si="255"/>
        <v>1G</v>
      </c>
      <c r="BD354" s="127" t="str">
        <f t="shared" si="256"/>
        <v>1G</v>
      </c>
      <c r="BE354" s="127" t="str">
        <f t="shared" si="257"/>
        <v>2G</v>
      </c>
      <c r="BF354" s="127" t="str">
        <f t="shared" si="258"/>
        <v>2G</v>
      </c>
      <c r="BG354" s="127" t="str">
        <f t="shared" si="259"/>
        <v>2G</v>
      </c>
      <c r="BH354" s="127" t="str">
        <f t="shared" si="260"/>
        <v>3G</v>
      </c>
      <c r="BI354" s="127">
        <f t="shared" si="285"/>
        <v>2</v>
      </c>
      <c r="BJ354" s="127">
        <f t="shared" si="286"/>
        <v>3</v>
      </c>
      <c r="BK354" s="127">
        <f t="shared" si="287"/>
        <v>1</v>
      </c>
      <c r="BL354" s="127" t="str">
        <f t="shared" si="288"/>
        <v>231</v>
      </c>
      <c r="BS354"/>
      <c r="CL354" s="28">
        <v>158</v>
      </c>
      <c r="CM354" s="28">
        <v>150</v>
      </c>
      <c r="CO354"/>
    </row>
    <row r="355" spans="2:93" ht="16.5" hidden="1">
      <c r="B355" s="17">
        <v>351</v>
      </c>
      <c r="C355" s="363" t="s">
        <v>381</v>
      </c>
      <c r="D355" s="18">
        <v>4</v>
      </c>
      <c r="E355" s="20">
        <v>2583357150</v>
      </c>
      <c r="F355" s="18">
        <v>29</v>
      </c>
      <c r="G355" s="20">
        <v>59387521</v>
      </c>
      <c r="H355" s="20">
        <v>1137</v>
      </c>
      <c r="I355" s="20">
        <v>1514722</v>
      </c>
      <c r="J355" s="20">
        <v>55472</v>
      </c>
      <c r="K355" s="20">
        <v>62094</v>
      </c>
      <c r="L355" s="20">
        <v>950273</v>
      </c>
      <c r="M355" s="20">
        <v>5000</v>
      </c>
      <c r="N355" s="167">
        <v>5</v>
      </c>
      <c r="O355" s="167">
        <v>25</v>
      </c>
      <c r="P355" s="167">
        <v>27</v>
      </c>
      <c r="Q355" s="167">
        <v>29</v>
      </c>
      <c r="R355" s="167">
        <v>34</v>
      </c>
      <c r="S355" s="167">
        <v>36</v>
      </c>
      <c r="T355" s="167">
        <v>33</v>
      </c>
      <c r="U355" s="28">
        <f t="shared" si="261"/>
        <v>156</v>
      </c>
      <c r="W355" s="32" t="str">
        <f t="shared" si="246"/>
        <v>홀수</v>
      </c>
      <c r="X355" s="32" t="str">
        <f t="shared" si="247"/>
        <v>홀수</v>
      </c>
      <c r="Y355" s="32" t="str">
        <f t="shared" si="248"/>
        <v>홀수</v>
      </c>
      <c r="Z355" s="32" t="str">
        <f t="shared" si="249"/>
        <v>홀수</v>
      </c>
      <c r="AA355" s="32" t="str">
        <f t="shared" si="250"/>
        <v>짝수</v>
      </c>
      <c r="AB355" s="32" t="str">
        <f t="shared" si="251"/>
        <v>짝수</v>
      </c>
      <c r="AC355" s="58" t="str">
        <f t="shared" si="252"/>
        <v>4 : 2</v>
      </c>
      <c r="AD355" s="32">
        <f t="shared" si="253"/>
        <v>4</v>
      </c>
      <c r="AE355" s="32">
        <f t="shared" si="254"/>
        <v>2</v>
      </c>
      <c r="AF355" s="66" t="str">
        <f t="shared" si="262"/>
        <v>저수</v>
      </c>
      <c r="AG355" s="66" t="str">
        <f t="shared" si="263"/>
        <v>고수</v>
      </c>
      <c r="AH355" s="66" t="str">
        <f t="shared" si="264"/>
        <v>고수</v>
      </c>
      <c r="AI355" s="66" t="str">
        <f t="shared" si="265"/>
        <v>고수</v>
      </c>
      <c r="AJ355" s="66" t="str">
        <f t="shared" si="266"/>
        <v>고수</v>
      </c>
      <c r="AK355" s="66" t="str">
        <f t="shared" si="267"/>
        <v>고수</v>
      </c>
      <c r="AL355" s="58" t="str">
        <f t="shared" si="268"/>
        <v>1 : 5</v>
      </c>
      <c r="AM355" s="66">
        <f t="shared" si="269"/>
        <v>1</v>
      </c>
      <c r="AN355" s="66">
        <f t="shared" si="270"/>
        <v>5</v>
      </c>
      <c r="AO355" s="66">
        <f t="shared" si="271"/>
        <v>36</v>
      </c>
      <c r="AP355" s="66" t="str">
        <f t="shared" si="272"/>
        <v>O</v>
      </c>
      <c r="AQ355" s="66" t="str">
        <f t="shared" si="273"/>
        <v>X</v>
      </c>
      <c r="AR355" s="66" t="str">
        <f t="shared" si="274"/>
        <v>X</v>
      </c>
      <c r="AS355" s="66" t="str">
        <f t="shared" si="275"/>
        <v>X</v>
      </c>
      <c r="AT355" s="66" t="str">
        <f t="shared" si="276"/>
        <v>X</v>
      </c>
      <c r="AU355" s="66" t="str">
        <f t="shared" si="277"/>
        <v>X</v>
      </c>
      <c r="AV355" s="66" t="str">
        <f t="shared" si="278"/>
        <v>X</v>
      </c>
      <c r="AW355" s="66" t="str">
        <f t="shared" si="279"/>
        <v>X</v>
      </c>
      <c r="AX355" s="66" t="str">
        <f t="shared" si="280"/>
        <v>X</v>
      </c>
      <c r="AY355" s="66" t="str">
        <f t="shared" si="281"/>
        <v>O</v>
      </c>
      <c r="AZ355" s="66" t="str">
        <f t="shared" si="282"/>
        <v>X</v>
      </c>
      <c r="BA355" s="66" t="str">
        <f t="shared" si="283"/>
        <v>X</v>
      </c>
      <c r="BB355" s="66">
        <f t="shared" si="284"/>
        <v>2</v>
      </c>
      <c r="BC355" s="127" t="str">
        <f t="shared" si="255"/>
        <v>1G</v>
      </c>
      <c r="BD355" s="127" t="str">
        <f t="shared" si="256"/>
        <v>2G</v>
      </c>
      <c r="BE355" s="127" t="str">
        <f t="shared" si="257"/>
        <v>2G</v>
      </c>
      <c r="BF355" s="127" t="str">
        <f t="shared" si="258"/>
        <v>2G</v>
      </c>
      <c r="BG355" s="127" t="str">
        <f t="shared" si="259"/>
        <v>3G</v>
      </c>
      <c r="BH355" s="127" t="str">
        <f t="shared" si="260"/>
        <v>3G</v>
      </c>
      <c r="BI355" s="127">
        <f t="shared" si="285"/>
        <v>1</v>
      </c>
      <c r="BJ355" s="127">
        <f t="shared" si="286"/>
        <v>3</v>
      </c>
      <c r="BK355" s="127">
        <f t="shared" si="287"/>
        <v>2</v>
      </c>
      <c r="BL355" s="127" t="str">
        <f t="shared" si="288"/>
        <v>132</v>
      </c>
      <c r="BS355"/>
      <c r="CL355" s="28">
        <v>159</v>
      </c>
      <c r="CM355" s="28">
        <v>150</v>
      </c>
      <c r="CO355"/>
    </row>
    <row r="356" spans="2:93" ht="16.5" hidden="1">
      <c r="B356" s="17">
        <v>352</v>
      </c>
      <c r="C356" s="363" t="s">
        <v>382</v>
      </c>
      <c r="D356" s="18">
        <v>6</v>
      </c>
      <c r="E356" s="20">
        <v>1732858250</v>
      </c>
      <c r="F356" s="18">
        <v>29</v>
      </c>
      <c r="G356" s="20">
        <v>59753733</v>
      </c>
      <c r="H356" s="20">
        <v>1166</v>
      </c>
      <c r="I356" s="20">
        <v>1486157</v>
      </c>
      <c r="J356" s="20">
        <v>58931</v>
      </c>
      <c r="K356" s="20">
        <v>58810</v>
      </c>
      <c r="L356" s="20">
        <v>1006238</v>
      </c>
      <c r="M356" s="20">
        <v>5000</v>
      </c>
      <c r="N356" s="167">
        <v>5</v>
      </c>
      <c r="O356" s="167">
        <v>16</v>
      </c>
      <c r="P356" s="167">
        <v>17</v>
      </c>
      <c r="Q356" s="167">
        <v>20</v>
      </c>
      <c r="R356" s="167">
        <v>26</v>
      </c>
      <c r="S356" s="167">
        <v>41</v>
      </c>
      <c r="T356" s="167">
        <v>24</v>
      </c>
      <c r="U356" s="28">
        <f t="shared" si="261"/>
        <v>125</v>
      </c>
      <c r="W356" s="32" t="str">
        <f t="shared" si="246"/>
        <v>홀수</v>
      </c>
      <c r="X356" s="32" t="str">
        <f t="shared" si="247"/>
        <v>짝수</v>
      </c>
      <c r="Y356" s="32" t="str">
        <f t="shared" si="248"/>
        <v>홀수</v>
      </c>
      <c r="Z356" s="32" t="str">
        <f t="shared" si="249"/>
        <v>짝수</v>
      </c>
      <c r="AA356" s="32" t="str">
        <f t="shared" si="250"/>
        <v>짝수</v>
      </c>
      <c r="AB356" s="32" t="str">
        <f t="shared" si="251"/>
        <v>홀수</v>
      </c>
      <c r="AC356" s="58" t="str">
        <f t="shared" si="252"/>
        <v>3 : 3</v>
      </c>
      <c r="AD356" s="32">
        <f t="shared" si="253"/>
        <v>3</v>
      </c>
      <c r="AE356" s="32">
        <f t="shared" si="254"/>
        <v>3</v>
      </c>
      <c r="AF356" s="66" t="str">
        <f t="shared" si="262"/>
        <v>저수</v>
      </c>
      <c r="AG356" s="66" t="str">
        <f t="shared" si="263"/>
        <v>저수</v>
      </c>
      <c r="AH356" s="66" t="str">
        <f t="shared" si="264"/>
        <v>저수</v>
      </c>
      <c r="AI356" s="66" t="str">
        <f t="shared" si="265"/>
        <v>저수</v>
      </c>
      <c r="AJ356" s="66" t="str">
        <f t="shared" si="266"/>
        <v>고수</v>
      </c>
      <c r="AK356" s="66" t="str">
        <f t="shared" si="267"/>
        <v>고수</v>
      </c>
      <c r="AL356" s="58" t="str">
        <f t="shared" si="268"/>
        <v>4 : 2</v>
      </c>
      <c r="AM356" s="66">
        <f t="shared" si="269"/>
        <v>4</v>
      </c>
      <c r="AN356" s="66">
        <f t="shared" si="270"/>
        <v>2</v>
      </c>
      <c r="AO356" s="66">
        <f t="shared" si="271"/>
        <v>25</v>
      </c>
      <c r="AP356" s="66" t="str">
        <f t="shared" si="272"/>
        <v>O</v>
      </c>
      <c r="AQ356" s="66" t="str">
        <f t="shared" si="273"/>
        <v>X</v>
      </c>
      <c r="AR356" s="66" t="str">
        <f t="shared" si="274"/>
        <v>O</v>
      </c>
      <c r="AS356" s="66" t="str">
        <f t="shared" si="275"/>
        <v>X</v>
      </c>
      <c r="AT356" s="66" t="str">
        <f t="shared" si="276"/>
        <v>X</v>
      </c>
      <c r="AU356" s="66" t="str">
        <f t="shared" si="277"/>
        <v>X</v>
      </c>
      <c r="AV356" s="66" t="str">
        <f t="shared" si="278"/>
        <v>X</v>
      </c>
      <c r="AW356" s="66" t="str">
        <f t="shared" si="279"/>
        <v>X</v>
      </c>
      <c r="AX356" s="66" t="str">
        <f t="shared" si="280"/>
        <v>X</v>
      </c>
      <c r="AY356" s="66" t="str">
        <f t="shared" si="281"/>
        <v>X</v>
      </c>
      <c r="AZ356" s="66" t="str">
        <f t="shared" si="282"/>
        <v>X</v>
      </c>
      <c r="BA356" s="66" t="str">
        <f t="shared" si="283"/>
        <v>O</v>
      </c>
      <c r="BB356" s="66">
        <f t="shared" si="284"/>
        <v>3</v>
      </c>
      <c r="BC356" s="127" t="str">
        <f t="shared" si="255"/>
        <v>1G</v>
      </c>
      <c r="BD356" s="127" t="str">
        <f t="shared" si="256"/>
        <v>2G</v>
      </c>
      <c r="BE356" s="127" t="str">
        <f t="shared" si="257"/>
        <v>2G</v>
      </c>
      <c r="BF356" s="127" t="str">
        <f t="shared" si="258"/>
        <v>2G</v>
      </c>
      <c r="BG356" s="127" t="str">
        <f t="shared" si="259"/>
        <v>2G</v>
      </c>
      <c r="BH356" s="127" t="str">
        <f t="shared" si="260"/>
        <v>3G</v>
      </c>
      <c r="BI356" s="127">
        <f t="shared" si="285"/>
        <v>1</v>
      </c>
      <c r="BJ356" s="127">
        <f t="shared" si="286"/>
        <v>4</v>
      </c>
      <c r="BK356" s="127">
        <f t="shared" si="287"/>
        <v>1</v>
      </c>
      <c r="BL356" s="127" t="str">
        <f t="shared" si="288"/>
        <v>141</v>
      </c>
      <c r="BS356"/>
      <c r="CL356" s="28">
        <v>159</v>
      </c>
      <c r="CM356" s="28">
        <v>150</v>
      </c>
      <c r="CO356"/>
    </row>
    <row r="357" spans="2:93" ht="16.5" hidden="1">
      <c r="B357" s="17">
        <v>353</v>
      </c>
      <c r="C357" s="363" t="s">
        <v>383</v>
      </c>
      <c r="D357" s="18">
        <v>2</v>
      </c>
      <c r="E357" s="20">
        <v>5290838250</v>
      </c>
      <c r="F357" s="18">
        <v>29</v>
      </c>
      <c r="G357" s="20">
        <v>60814233</v>
      </c>
      <c r="H357" s="20">
        <v>1042</v>
      </c>
      <c r="I357" s="20">
        <v>1692527</v>
      </c>
      <c r="J357" s="20">
        <v>54217</v>
      </c>
      <c r="K357" s="20">
        <v>65058</v>
      </c>
      <c r="L357" s="20">
        <v>928067</v>
      </c>
      <c r="M357" s="20">
        <v>5000</v>
      </c>
      <c r="N357" s="167">
        <v>11</v>
      </c>
      <c r="O357" s="167">
        <v>16</v>
      </c>
      <c r="P357" s="167">
        <v>19</v>
      </c>
      <c r="Q357" s="167">
        <v>22</v>
      </c>
      <c r="R357" s="167">
        <v>29</v>
      </c>
      <c r="S357" s="167">
        <v>36</v>
      </c>
      <c r="T357" s="167">
        <v>26</v>
      </c>
      <c r="U357" s="28">
        <f t="shared" si="261"/>
        <v>133</v>
      </c>
      <c r="W357" s="32" t="str">
        <f t="shared" si="246"/>
        <v>홀수</v>
      </c>
      <c r="X357" s="32" t="str">
        <f t="shared" si="247"/>
        <v>짝수</v>
      </c>
      <c r="Y357" s="32" t="str">
        <f t="shared" si="248"/>
        <v>홀수</v>
      </c>
      <c r="Z357" s="32" t="str">
        <f t="shared" si="249"/>
        <v>짝수</v>
      </c>
      <c r="AA357" s="32" t="str">
        <f t="shared" si="250"/>
        <v>홀수</v>
      </c>
      <c r="AB357" s="32" t="str">
        <f t="shared" si="251"/>
        <v>짝수</v>
      </c>
      <c r="AC357" s="58" t="str">
        <f t="shared" si="252"/>
        <v>3 : 3</v>
      </c>
      <c r="AD357" s="32">
        <f t="shared" si="253"/>
        <v>3</v>
      </c>
      <c r="AE357" s="32">
        <f t="shared" si="254"/>
        <v>3</v>
      </c>
      <c r="AF357" s="66" t="str">
        <f t="shared" si="262"/>
        <v>저수</v>
      </c>
      <c r="AG357" s="66" t="str">
        <f t="shared" si="263"/>
        <v>저수</v>
      </c>
      <c r="AH357" s="66" t="str">
        <f t="shared" si="264"/>
        <v>저수</v>
      </c>
      <c r="AI357" s="66" t="str">
        <f t="shared" si="265"/>
        <v>저수</v>
      </c>
      <c r="AJ357" s="66" t="str">
        <f t="shared" si="266"/>
        <v>고수</v>
      </c>
      <c r="AK357" s="66" t="str">
        <f t="shared" si="267"/>
        <v>고수</v>
      </c>
      <c r="AL357" s="58" t="str">
        <f t="shared" si="268"/>
        <v>4 : 2</v>
      </c>
      <c r="AM357" s="66">
        <f t="shared" si="269"/>
        <v>4</v>
      </c>
      <c r="AN357" s="66">
        <f t="shared" si="270"/>
        <v>2</v>
      </c>
      <c r="AO357" s="66">
        <f t="shared" si="271"/>
        <v>33</v>
      </c>
      <c r="AP357" s="66" t="str">
        <f t="shared" si="272"/>
        <v>O</v>
      </c>
      <c r="AQ357" s="66" t="str">
        <f t="shared" si="273"/>
        <v>X</v>
      </c>
      <c r="AR357" s="66" t="str">
        <f t="shared" si="274"/>
        <v>O</v>
      </c>
      <c r="AS357" s="66" t="str">
        <f t="shared" si="275"/>
        <v>X</v>
      </c>
      <c r="AT357" s="66" t="str">
        <f t="shared" si="276"/>
        <v>X</v>
      </c>
      <c r="AU357" s="66" t="str">
        <f t="shared" si="277"/>
        <v>X</v>
      </c>
      <c r="AV357" s="66" t="str">
        <f t="shared" si="278"/>
        <v>X</v>
      </c>
      <c r="AW357" s="66" t="str">
        <f t="shared" si="279"/>
        <v>X</v>
      </c>
      <c r="AX357" s="66" t="str">
        <f t="shared" si="280"/>
        <v>X</v>
      </c>
      <c r="AY357" s="66" t="str">
        <f t="shared" si="281"/>
        <v>X</v>
      </c>
      <c r="AZ357" s="66" t="str">
        <f t="shared" si="282"/>
        <v>O</v>
      </c>
      <c r="BA357" s="66" t="str">
        <f t="shared" si="283"/>
        <v>X</v>
      </c>
      <c r="BB357" s="66">
        <f t="shared" si="284"/>
        <v>3</v>
      </c>
      <c r="BC357" s="127" t="str">
        <f t="shared" si="255"/>
        <v>1G</v>
      </c>
      <c r="BD357" s="127" t="str">
        <f t="shared" si="256"/>
        <v>2G</v>
      </c>
      <c r="BE357" s="127" t="str">
        <f t="shared" si="257"/>
        <v>2G</v>
      </c>
      <c r="BF357" s="127" t="str">
        <f t="shared" si="258"/>
        <v>2G</v>
      </c>
      <c r="BG357" s="127" t="str">
        <f t="shared" si="259"/>
        <v>2G</v>
      </c>
      <c r="BH357" s="127" t="str">
        <f t="shared" si="260"/>
        <v>3G</v>
      </c>
      <c r="BI357" s="127">
        <f t="shared" si="285"/>
        <v>1</v>
      </c>
      <c r="BJ357" s="127">
        <f t="shared" si="286"/>
        <v>4</v>
      </c>
      <c r="BK357" s="127">
        <f t="shared" si="287"/>
        <v>1</v>
      </c>
      <c r="BL357" s="127" t="str">
        <f t="shared" si="288"/>
        <v>141</v>
      </c>
      <c r="BS357"/>
      <c r="CL357" s="28">
        <v>159</v>
      </c>
      <c r="CM357" s="28">
        <v>150</v>
      </c>
      <c r="CO357"/>
    </row>
    <row r="358" spans="2:93" ht="16.5" hidden="1">
      <c r="B358" s="17">
        <v>354</v>
      </c>
      <c r="C358" s="363" t="s">
        <v>384</v>
      </c>
      <c r="D358" s="18">
        <v>5</v>
      </c>
      <c r="E358" s="20">
        <v>2124464340</v>
      </c>
      <c r="F358" s="18">
        <v>34</v>
      </c>
      <c r="G358" s="20">
        <v>52070205</v>
      </c>
      <c r="H358" s="20">
        <v>1014</v>
      </c>
      <c r="I358" s="20">
        <v>1745944</v>
      </c>
      <c r="J358" s="20">
        <v>54318</v>
      </c>
      <c r="K358" s="20">
        <v>65187</v>
      </c>
      <c r="L358" s="20">
        <v>930195</v>
      </c>
      <c r="M358" s="20">
        <v>5000</v>
      </c>
      <c r="N358" s="167">
        <v>14</v>
      </c>
      <c r="O358" s="167">
        <v>19</v>
      </c>
      <c r="P358" s="167">
        <v>36</v>
      </c>
      <c r="Q358" s="167">
        <v>43</v>
      </c>
      <c r="R358" s="167">
        <v>44</v>
      </c>
      <c r="S358" s="167">
        <v>45</v>
      </c>
      <c r="T358" s="167">
        <v>1</v>
      </c>
      <c r="U358" s="28">
        <f t="shared" si="261"/>
        <v>201</v>
      </c>
      <c r="W358" s="32" t="str">
        <f t="shared" si="246"/>
        <v>짝수</v>
      </c>
      <c r="X358" s="32" t="str">
        <f t="shared" si="247"/>
        <v>홀수</v>
      </c>
      <c r="Y358" s="32" t="str">
        <f t="shared" si="248"/>
        <v>짝수</v>
      </c>
      <c r="Z358" s="32" t="str">
        <f t="shared" si="249"/>
        <v>홀수</v>
      </c>
      <c r="AA358" s="32" t="str">
        <f t="shared" si="250"/>
        <v>짝수</v>
      </c>
      <c r="AB358" s="32" t="str">
        <f t="shared" si="251"/>
        <v>홀수</v>
      </c>
      <c r="AC358" s="58" t="str">
        <f t="shared" si="252"/>
        <v>3 : 3</v>
      </c>
      <c r="AD358" s="32">
        <f t="shared" si="253"/>
        <v>3</v>
      </c>
      <c r="AE358" s="32">
        <f t="shared" si="254"/>
        <v>3</v>
      </c>
      <c r="AF358" s="66" t="str">
        <f t="shared" si="262"/>
        <v>저수</v>
      </c>
      <c r="AG358" s="66" t="str">
        <f t="shared" si="263"/>
        <v>저수</v>
      </c>
      <c r="AH358" s="66" t="str">
        <f t="shared" si="264"/>
        <v>고수</v>
      </c>
      <c r="AI358" s="66" t="str">
        <f t="shared" si="265"/>
        <v>고수</v>
      </c>
      <c r="AJ358" s="66" t="str">
        <f t="shared" si="266"/>
        <v>고수</v>
      </c>
      <c r="AK358" s="66" t="str">
        <f t="shared" si="267"/>
        <v>고수</v>
      </c>
      <c r="AL358" s="58" t="str">
        <f t="shared" si="268"/>
        <v>2 : 4</v>
      </c>
      <c r="AM358" s="66">
        <f t="shared" si="269"/>
        <v>2</v>
      </c>
      <c r="AN358" s="66">
        <f t="shared" si="270"/>
        <v>4</v>
      </c>
      <c r="AO358" s="66">
        <f t="shared" si="271"/>
        <v>31</v>
      </c>
      <c r="AP358" s="66" t="str">
        <f t="shared" si="272"/>
        <v>X</v>
      </c>
      <c r="AQ358" s="66" t="str">
        <f t="shared" si="273"/>
        <v>O</v>
      </c>
      <c r="AR358" s="66" t="str">
        <f t="shared" si="274"/>
        <v>X</v>
      </c>
      <c r="AS358" s="66" t="str">
        <f t="shared" si="275"/>
        <v>X</v>
      </c>
      <c r="AT358" s="66" t="str">
        <f t="shared" si="276"/>
        <v>X</v>
      </c>
      <c r="AU358" s="66" t="str">
        <f t="shared" si="277"/>
        <v>X</v>
      </c>
      <c r="AV358" s="66" t="str">
        <f t="shared" si="278"/>
        <v>X</v>
      </c>
      <c r="AW358" s="66" t="str">
        <f t="shared" si="279"/>
        <v>X</v>
      </c>
      <c r="AX358" s="66" t="str">
        <f t="shared" si="280"/>
        <v>X</v>
      </c>
      <c r="AY358" s="66" t="str">
        <f t="shared" si="281"/>
        <v>O</v>
      </c>
      <c r="AZ358" s="66" t="str">
        <f t="shared" si="282"/>
        <v>X</v>
      </c>
      <c r="BA358" s="66" t="str">
        <f t="shared" si="283"/>
        <v>X</v>
      </c>
      <c r="BB358" s="66">
        <f t="shared" si="284"/>
        <v>2</v>
      </c>
      <c r="BC358" s="127" t="str">
        <f t="shared" si="255"/>
        <v>1G</v>
      </c>
      <c r="BD358" s="127" t="str">
        <f t="shared" si="256"/>
        <v>2G</v>
      </c>
      <c r="BE358" s="127" t="str">
        <f t="shared" si="257"/>
        <v>3G</v>
      </c>
      <c r="BF358" s="127" t="str">
        <f t="shared" si="258"/>
        <v>3G</v>
      </c>
      <c r="BG358" s="127" t="str">
        <f t="shared" si="259"/>
        <v>3G</v>
      </c>
      <c r="BH358" s="127" t="str">
        <f t="shared" si="260"/>
        <v>3G</v>
      </c>
      <c r="BI358" s="127">
        <f t="shared" si="285"/>
        <v>1</v>
      </c>
      <c r="BJ358" s="127">
        <f t="shared" si="286"/>
        <v>1</v>
      </c>
      <c r="BK358" s="127">
        <f t="shared" si="287"/>
        <v>4</v>
      </c>
      <c r="BL358" s="127" t="str">
        <f t="shared" si="288"/>
        <v>114</v>
      </c>
      <c r="BS358"/>
      <c r="CL358" s="28">
        <v>160</v>
      </c>
      <c r="CM358" s="28">
        <v>160</v>
      </c>
      <c r="CO358"/>
    </row>
    <row r="359" spans="2:93" ht="16.5" hidden="1">
      <c r="B359" s="17">
        <v>355</v>
      </c>
      <c r="C359" s="363" t="s">
        <v>385</v>
      </c>
      <c r="D359" s="18">
        <v>5</v>
      </c>
      <c r="E359" s="20">
        <v>2145424800</v>
      </c>
      <c r="F359" s="18">
        <v>24</v>
      </c>
      <c r="G359" s="20">
        <v>74493917</v>
      </c>
      <c r="H359" s="20">
        <v>1094</v>
      </c>
      <c r="I359" s="20">
        <v>1634236</v>
      </c>
      <c r="J359" s="20">
        <v>54130</v>
      </c>
      <c r="K359" s="20">
        <v>66058</v>
      </c>
      <c r="L359" s="20">
        <v>925997</v>
      </c>
      <c r="M359" s="20">
        <v>5000</v>
      </c>
      <c r="N359" s="167">
        <v>5</v>
      </c>
      <c r="O359" s="167">
        <v>8</v>
      </c>
      <c r="P359" s="167">
        <v>29</v>
      </c>
      <c r="Q359" s="167">
        <v>30</v>
      </c>
      <c r="R359" s="167">
        <v>35</v>
      </c>
      <c r="S359" s="167">
        <v>44</v>
      </c>
      <c r="T359" s="167">
        <v>38</v>
      </c>
      <c r="U359" s="28">
        <f t="shared" si="261"/>
        <v>151</v>
      </c>
      <c r="W359" s="32" t="str">
        <f t="shared" si="246"/>
        <v>홀수</v>
      </c>
      <c r="X359" s="32" t="str">
        <f t="shared" si="247"/>
        <v>짝수</v>
      </c>
      <c r="Y359" s="32" t="str">
        <f t="shared" si="248"/>
        <v>홀수</v>
      </c>
      <c r="Z359" s="32" t="str">
        <f t="shared" si="249"/>
        <v>짝수</v>
      </c>
      <c r="AA359" s="32" t="str">
        <f t="shared" si="250"/>
        <v>홀수</v>
      </c>
      <c r="AB359" s="32" t="str">
        <f t="shared" si="251"/>
        <v>짝수</v>
      </c>
      <c r="AC359" s="58" t="str">
        <f t="shared" si="252"/>
        <v>3 : 3</v>
      </c>
      <c r="AD359" s="32">
        <f t="shared" si="253"/>
        <v>3</v>
      </c>
      <c r="AE359" s="32">
        <f t="shared" si="254"/>
        <v>3</v>
      </c>
      <c r="AF359" s="66" t="str">
        <f t="shared" si="262"/>
        <v>저수</v>
      </c>
      <c r="AG359" s="66" t="str">
        <f t="shared" si="263"/>
        <v>저수</v>
      </c>
      <c r="AH359" s="66" t="str">
        <f t="shared" si="264"/>
        <v>고수</v>
      </c>
      <c r="AI359" s="66" t="str">
        <f t="shared" si="265"/>
        <v>고수</v>
      </c>
      <c r="AJ359" s="66" t="str">
        <f t="shared" si="266"/>
        <v>고수</v>
      </c>
      <c r="AK359" s="66" t="str">
        <f t="shared" si="267"/>
        <v>고수</v>
      </c>
      <c r="AL359" s="58" t="str">
        <f t="shared" si="268"/>
        <v>2 : 4</v>
      </c>
      <c r="AM359" s="66">
        <f t="shared" si="269"/>
        <v>2</v>
      </c>
      <c r="AN359" s="66">
        <f t="shared" si="270"/>
        <v>4</v>
      </c>
      <c r="AO359" s="66">
        <f t="shared" si="271"/>
        <v>31</v>
      </c>
      <c r="AP359" s="66" t="str">
        <f t="shared" si="272"/>
        <v>O</v>
      </c>
      <c r="AQ359" s="66" t="str">
        <f t="shared" si="273"/>
        <v>X</v>
      </c>
      <c r="AR359" s="66" t="str">
        <f t="shared" si="274"/>
        <v>X</v>
      </c>
      <c r="AS359" s="66" t="str">
        <f t="shared" si="275"/>
        <v>X</v>
      </c>
      <c r="AT359" s="66" t="str">
        <f t="shared" si="276"/>
        <v>X</v>
      </c>
      <c r="AU359" s="66" t="str">
        <f t="shared" si="277"/>
        <v>X</v>
      </c>
      <c r="AV359" s="66" t="str">
        <f t="shared" si="278"/>
        <v>X</v>
      </c>
      <c r="AW359" s="66" t="str">
        <f t="shared" si="279"/>
        <v>X</v>
      </c>
      <c r="AX359" s="66" t="str">
        <f t="shared" si="280"/>
        <v>O</v>
      </c>
      <c r="AY359" s="66" t="str">
        <f t="shared" si="281"/>
        <v>X</v>
      </c>
      <c r="AZ359" s="66" t="str">
        <f t="shared" si="282"/>
        <v>X</v>
      </c>
      <c r="BA359" s="66" t="str">
        <f t="shared" si="283"/>
        <v>X</v>
      </c>
      <c r="BB359" s="66">
        <f t="shared" si="284"/>
        <v>2</v>
      </c>
      <c r="BC359" s="127" t="str">
        <f t="shared" si="255"/>
        <v>1G</v>
      </c>
      <c r="BD359" s="127" t="str">
        <f t="shared" si="256"/>
        <v>1G</v>
      </c>
      <c r="BE359" s="127" t="str">
        <f t="shared" si="257"/>
        <v>2G</v>
      </c>
      <c r="BF359" s="127" t="str">
        <f t="shared" si="258"/>
        <v>2G</v>
      </c>
      <c r="BG359" s="127" t="str">
        <f t="shared" si="259"/>
        <v>3G</v>
      </c>
      <c r="BH359" s="127" t="str">
        <f t="shared" si="260"/>
        <v>3G</v>
      </c>
      <c r="BI359" s="127">
        <f t="shared" si="285"/>
        <v>2</v>
      </c>
      <c r="BJ359" s="127">
        <f t="shared" si="286"/>
        <v>2</v>
      </c>
      <c r="BK359" s="127">
        <f t="shared" si="287"/>
        <v>2</v>
      </c>
      <c r="BL359" s="127" t="str">
        <f t="shared" si="288"/>
        <v>222</v>
      </c>
      <c r="BS359"/>
      <c r="CL359" s="28">
        <v>160</v>
      </c>
      <c r="CM359" s="28">
        <v>160</v>
      </c>
      <c r="CO359"/>
    </row>
    <row r="360" spans="2:93" ht="16.5" hidden="1">
      <c r="B360" s="17">
        <v>356</v>
      </c>
      <c r="C360" s="363" t="s">
        <v>386</v>
      </c>
      <c r="D360" s="18">
        <v>9</v>
      </c>
      <c r="E360" s="20">
        <v>1157185267</v>
      </c>
      <c r="F360" s="18">
        <v>37</v>
      </c>
      <c r="G360" s="20">
        <v>46912917</v>
      </c>
      <c r="H360" s="20">
        <v>1263</v>
      </c>
      <c r="I360" s="20">
        <v>1374330</v>
      </c>
      <c r="J360" s="20">
        <v>61162</v>
      </c>
      <c r="K360" s="20">
        <v>56761</v>
      </c>
      <c r="L360" s="20">
        <v>996940</v>
      </c>
      <c r="M360" s="20">
        <v>5000</v>
      </c>
      <c r="N360" s="167">
        <v>2</v>
      </c>
      <c r="O360" s="167">
        <v>8</v>
      </c>
      <c r="P360" s="167">
        <v>14</v>
      </c>
      <c r="Q360" s="167">
        <v>25</v>
      </c>
      <c r="R360" s="167">
        <v>29</v>
      </c>
      <c r="S360" s="167">
        <v>45</v>
      </c>
      <c r="T360" s="167">
        <v>24</v>
      </c>
      <c r="U360" s="28">
        <f t="shared" si="261"/>
        <v>123</v>
      </c>
      <c r="W360" s="32" t="str">
        <f t="shared" si="246"/>
        <v>짝수</v>
      </c>
      <c r="X360" s="32" t="str">
        <f t="shared" si="247"/>
        <v>짝수</v>
      </c>
      <c r="Y360" s="32" t="str">
        <f t="shared" si="248"/>
        <v>짝수</v>
      </c>
      <c r="Z360" s="32" t="str">
        <f t="shared" si="249"/>
        <v>홀수</v>
      </c>
      <c r="AA360" s="32" t="str">
        <f t="shared" si="250"/>
        <v>홀수</v>
      </c>
      <c r="AB360" s="32" t="str">
        <f t="shared" si="251"/>
        <v>홀수</v>
      </c>
      <c r="AC360" s="58" t="str">
        <f t="shared" si="252"/>
        <v>3 : 3</v>
      </c>
      <c r="AD360" s="32">
        <f t="shared" si="253"/>
        <v>3</v>
      </c>
      <c r="AE360" s="32">
        <f t="shared" si="254"/>
        <v>3</v>
      </c>
      <c r="AF360" s="66" t="str">
        <f t="shared" si="262"/>
        <v>저수</v>
      </c>
      <c r="AG360" s="66" t="str">
        <f t="shared" si="263"/>
        <v>저수</v>
      </c>
      <c r="AH360" s="66" t="str">
        <f t="shared" si="264"/>
        <v>저수</v>
      </c>
      <c r="AI360" s="66" t="str">
        <f t="shared" si="265"/>
        <v>고수</v>
      </c>
      <c r="AJ360" s="66" t="str">
        <f t="shared" si="266"/>
        <v>고수</v>
      </c>
      <c r="AK360" s="66" t="str">
        <f t="shared" si="267"/>
        <v>고수</v>
      </c>
      <c r="AL360" s="58" t="str">
        <f t="shared" si="268"/>
        <v>3 : 3</v>
      </c>
      <c r="AM360" s="66">
        <f t="shared" si="269"/>
        <v>3</v>
      </c>
      <c r="AN360" s="66">
        <f t="shared" si="270"/>
        <v>3</v>
      </c>
      <c r="AO360" s="66">
        <f t="shared" si="271"/>
        <v>33</v>
      </c>
      <c r="AP360" s="66" t="str">
        <f t="shared" si="272"/>
        <v>O</v>
      </c>
      <c r="AQ360" s="66" t="str">
        <f t="shared" si="273"/>
        <v>X</v>
      </c>
      <c r="AR360" s="66" t="str">
        <f t="shared" si="274"/>
        <v>X</v>
      </c>
      <c r="AS360" s="66" t="str">
        <f t="shared" si="275"/>
        <v>X</v>
      </c>
      <c r="AT360" s="66" t="str">
        <f t="shared" si="276"/>
        <v>X</v>
      </c>
      <c r="AU360" s="66" t="str">
        <f t="shared" si="277"/>
        <v>X</v>
      </c>
      <c r="AV360" s="66" t="str">
        <f t="shared" si="278"/>
        <v>X</v>
      </c>
      <c r="AW360" s="66" t="str">
        <f t="shared" si="279"/>
        <v>X</v>
      </c>
      <c r="AX360" s="66" t="str">
        <f t="shared" si="280"/>
        <v>X</v>
      </c>
      <c r="AY360" s="66" t="str">
        <f t="shared" si="281"/>
        <v>X</v>
      </c>
      <c r="AZ360" s="66" t="str">
        <f t="shared" si="282"/>
        <v>O</v>
      </c>
      <c r="BA360" s="66" t="str">
        <f t="shared" si="283"/>
        <v>X</v>
      </c>
      <c r="BB360" s="66">
        <f t="shared" si="284"/>
        <v>2</v>
      </c>
      <c r="BC360" s="127" t="str">
        <f t="shared" si="255"/>
        <v>1G</v>
      </c>
      <c r="BD360" s="127" t="str">
        <f t="shared" si="256"/>
        <v>1G</v>
      </c>
      <c r="BE360" s="127" t="str">
        <f t="shared" si="257"/>
        <v>1G</v>
      </c>
      <c r="BF360" s="127" t="str">
        <f t="shared" si="258"/>
        <v>2G</v>
      </c>
      <c r="BG360" s="127" t="str">
        <f t="shared" si="259"/>
        <v>2G</v>
      </c>
      <c r="BH360" s="127" t="str">
        <f t="shared" si="260"/>
        <v>3G</v>
      </c>
      <c r="BI360" s="127">
        <f t="shared" si="285"/>
        <v>3</v>
      </c>
      <c r="BJ360" s="127">
        <f t="shared" si="286"/>
        <v>2</v>
      </c>
      <c r="BK360" s="127">
        <f t="shared" si="287"/>
        <v>1</v>
      </c>
      <c r="BL360" s="127" t="str">
        <f t="shared" si="288"/>
        <v>321</v>
      </c>
      <c r="BS360"/>
      <c r="CL360" s="28">
        <v>160</v>
      </c>
      <c r="CM360" s="28">
        <v>160</v>
      </c>
      <c r="CO360"/>
    </row>
    <row r="361" spans="2:93" ht="16.5" hidden="1">
      <c r="B361" s="17">
        <v>357</v>
      </c>
      <c r="C361" s="363" t="s">
        <v>387</v>
      </c>
      <c r="D361" s="18">
        <v>2</v>
      </c>
      <c r="E361" s="20">
        <v>5313394350</v>
      </c>
      <c r="F361" s="18">
        <v>27</v>
      </c>
      <c r="G361" s="20">
        <v>65597462</v>
      </c>
      <c r="H361" s="20">
        <v>1116</v>
      </c>
      <c r="I361" s="20">
        <v>1587036</v>
      </c>
      <c r="J361" s="20">
        <v>56547</v>
      </c>
      <c r="K361" s="20">
        <v>62643</v>
      </c>
      <c r="L361" s="20">
        <v>980978</v>
      </c>
      <c r="M361" s="20">
        <v>5000</v>
      </c>
      <c r="N361" s="167">
        <v>10</v>
      </c>
      <c r="O361" s="167">
        <v>14</v>
      </c>
      <c r="P361" s="167">
        <v>18</v>
      </c>
      <c r="Q361" s="167">
        <v>21</v>
      </c>
      <c r="R361" s="167">
        <v>36</v>
      </c>
      <c r="S361" s="167">
        <v>37</v>
      </c>
      <c r="T361" s="167">
        <v>5</v>
      </c>
      <c r="U361" s="28">
        <f t="shared" si="261"/>
        <v>136</v>
      </c>
      <c r="W361" s="32" t="str">
        <f t="shared" si="246"/>
        <v>짝수</v>
      </c>
      <c r="X361" s="32" t="str">
        <f t="shared" si="247"/>
        <v>짝수</v>
      </c>
      <c r="Y361" s="32" t="str">
        <f t="shared" si="248"/>
        <v>짝수</v>
      </c>
      <c r="Z361" s="32" t="str">
        <f t="shared" si="249"/>
        <v>홀수</v>
      </c>
      <c r="AA361" s="32" t="str">
        <f t="shared" si="250"/>
        <v>짝수</v>
      </c>
      <c r="AB361" s="32" t="str">
        <f t="shared" si="251"/>
        <v>홀수</v>
      </c>
      <c r="AC361" s="58" t="str">
        <f t="shared" si="252"/>
        <v>2 : 4</v>
      </c>
      <c r="AD361" s="32">
        <f t="shared" si="253"/>
        <v>2</v>
      </c>
      <c r="AE361" s="32">
        <f t="shared" si="254"/>
        <v>4</v>
      </c>
      <c r="AF361" s="66" t="str">
        <f t="shared" si="262"/>
        <v>저수</v>
      </c>
      <c r="AG361" s="66" t="str">
        <f t="shared" si="263"/>
        <v>저수</v>
      </c>
      <c r="AH361" s="66" t="str">
        <f t="shared" si="264"/>
        <v>저수</v>
      </c>
      <c r="AI361" s="66" t="str">
        <f t="shared" si="265"/>
        <v>저수</v>
      </c>
      <c r="AJ361" s="66" t="str">
        <f t="shared" si="266"/>
        <v>고수</v>
      </c>
      <c r="AK361" s="66" t="str">
        <f t="shared" si="267"/>
        <v>고수</v>
      </c>
      <c r="AL361" s="58" t="str">
        <f t="shared" si="268"/>
        <v>4 : 2</v>
      </c>
      <c r="AM361" s="66">
        <f t="shared" si="269"/>
        <v>4</v>
      </c>
      <c r="AN361" s="66">
        <f t="shared" si="270"/>
        <v>2</v>
      </c>
      <c r="AO361" s="66">
        <f t="shared" si="271"/>
        <v>26</v>
      </c>
      <c r="AP361" s="66" t="str">
        <f t="shared" si="272"/>
        <v>X</v>
      </c>
      <c r="AQ361" s="66" t="str">
        <f t="shared" si="273"/>
        <v>X</v>
      </c>
      <c r="AR361" s="66" t="str">
        <f t="shared" si="274"/>
        <v>X</v>
      </c>
      <c r="AS361" s="66" t="str">
        <f t="shared" si="275"/>
        <v>X</v>
      </c>
      <c r="AT361" s="66" t="str">
        <f t="shared" si="276"/>
        <v>X</v>
      </c>
      <c r="AU361" s="66" t="str">
        <f t="shared" si="277"/>
        <v>X</v>
      </c>
      <c r="AV361" s="66" t="str">
        <f t="shared" si="278"/>
        <v>X</v>
      </c>
      <c r="AW361" s="66" t="str">
        <f t="shared" si="279"/>
        <v>X</v>
      </c>
      <c r="AX361" s="66" t="str">
        <f t="shared" si="280"/>
        <v>X</v>
      </c>
      <c r="AY361" s="66" t="str">
        <f t="shared" si="281"/>
        <v>X</v>
      </c>
      <c r="AZ361" s="66" t="str">
        <f t="shared" si="282"/>
        <v>X</v>
      </c>
      <c r="BA361" s="66" t="str">
        <f t="shared" si="283"/>
        <v>O</v>
      </c>
      <c r="BB361" s="66">
        <f t="shared" si="284"/>
        <v>1</v>
      </c>
      <c r="BC361" s="127" t="str">
        <f t="shared" si="255"/>
        <v>1G</v>
      </c>
      <c r="BD361" s="127" t="str">
        <f t="shared" si="256"/>
        <v>1G</v>
      </c>
      <c r="BE361" s="127" t="str">
        <f t="shared" si="257"/>
        <v>2G</v>
      </c>
      <c r="BF361" s="127" t="str">
        <f t="shared" si="258"/>
        <v>2G</v>
      </c>
      <c r="BG361" s="127" t="str">
        <f t="shared" si="259"/>
        <v>3G</v>
      </c>
      <c r="BH361" s="127" t="str">
        <f t="shared" si="260"/>
        <v>3G</v>
      </c>
      <c r="BI361" s="127">
        <f t="shared" si="285"/>
        <v>2</v>
      </c>
      <c r="BJ361" s="127">
        <f t="shared" si="286"/>
        <v>2</v>
      </c>
      <c r="BK361" s="127">
        <f t="shared" si="287"/>
        <v>2</v>
      </c>
      <c r="BL361" s="127" t="str">
        <f t="shared" si="288"/>
        <v>222</v>
      </c>
      <c r="BS361"/>
      <c r="CL361" s="28">
        <v>160</v>
      </c>
      <c r="CM361" s="28">
        <v>160</v>
      </c>
      <c r="CO361"/>
    </row>
    <row r="362" spans="2:93" ht="16.5" hidden="1">
      <c r="B362" s="17">
        <v>358</v>
      </c>
      <c r="C362" s="363" t="s">
        <v>388</v>
      </c>
      <c r="D362" s="18">
        <v>3</v>
      </c>
      <c r="E362" s="20">
        <v>3472654900</v>
      </c>
      <c r="F362" s="18">
        <v>44</v>
      </c>
      <c r="G362" s="20">
        <v>39461988</v>
      </c>
      <c r="H362" s="20">
        <v>1382</v>
      </c>
      <c r="I362" s="20">
        <v>1256388</v>
      </c>
      <c r="J362" s="20">
        <v>68247</v>
      </c>
      <c r="K362" s="20">
        <v>50884</v>
      </c>
      <c r="L362" s="20">
        <v>1092528</v>
      </c>
      <c r="M362" s="20">
        <v>5000</v>
      </c>
      <c r="N362" s="167">
        <v>1</v>
      </c>
      <c r="O362" s="167">
        <v>9</v>
      </c>
      <c r="P362" s="167">
        <v>10</v>
      </c>
      <c r="Q362" s="167">
        <v>12</v>
      </c>
      <c r="R362" s="167">
        <v>21</v>
      </c>
      <c r="S362" s="167">
        <v>40</v>
      </c>
      <c r="T362" s="167">
        <v>37</v>
      </c>
      <c r="U362" s="28">
        <f t="shared" si="261"/>
        <v>93</v>
      </c>
      <c r="W362" s="32" t="str">
        <f t="shared" si="246"/>
        <v>홀수</v>
      </c>
      <c r="X362" s="32" t="str">
        <f t="shared" si="247"/>
        <v>홀수</v>
      </c>
      <c r="Y362" s="32" t="str">
        <f t="shared" si="248"/>
        <v>짝수</v>
      </c>
      <c r="Z362" s="32" t="str">
        <f t="shared" si="249"/>
        <v>짝수</v>
      </c>
      <c r="AA362" s="32" t="str">
        <f t="shared" si="250"/>
        <v>홀수</v>
      </c>
      <c r="AB362" s="32" t="str">
        <f t="shared" si="251"/>
        <v>짝수</v>
      </c>
      <c r="AC362" s="58" t="str">
        <f t="shared" si="252"/>
        <v>3 : 3</v>
      </c>
      <c r="AD362" s="32">
        <f t="shared" si="253"/>
        <v>3</v>
      </c>
      <c r="AE362" s="32">
        <f t="shared" si="254"/>
        <v>3</v>
      </c>
      <c r="AF362" s="66" t="str">
        <f t="shared" si="262"/>
        <v>저수</v>
      </c>
      <c r="AG362" s="66" t="str">
        <f t="shared" si="263"/>
        <v>저수</v>
      </c>
      <c r="AH362" s="66" t="str">
        <f t="shared" si="264"/>
        <v>저수</v>
      </c>
      <c r="AI362" s="66" t="str">
        <f t="shared" si="265"/>
        <v>저수</v>
      </c>
      <c r="AJ362" s="66" t="str">
        <f t="shared" si="266"/>
        <v>저수</v>
      </c>
      <c r="AK362" s="66" t="str">
        <f t="shared" si="267"/>
        <v>고수</v>
      </c>
      <c r="AL362" s="58" t="str">
        <f t="shared" si="268"/>
        <v>5 : 1</v>
      </c>
      <c r="AM362" s="66">
        <f t="shared" si="269"/>
        <v>5</v>
      </c>
      <c r="AN362" s="66">
        <f t="shared" si="270"/>
        <v>1</v>
      </c>
      <c r="AO362" s="66">
        <f t="shared" si="271"/>
        <v>13</v>
      </c>
      <c r="AP362" s="66" t="str">
        <f t="shared" si="272"/>
        <v>X</v>
      </c>
      <c r="AQ362" s="66" t="str">
        <f t="shared" si="273"/>
        <v>X</v>
      </c>
      <c r="AR362" s="66" t="str">
        <f t="shared" si="274"/>
        <v>X</v>
      </c>
      <c r="AS362" s="66" t="str">
        <f t="shared" si="275"/>
        <v>X</v>
      </c>
      <c r="AT362" s="66" t="str">
        <f t="shared" si="276"/>
        <v>X</v>
      </c>
      <c r="AU362" s="66" t="str">
        <f t="shared" si="277"/>
        <v>X</v>
      </c>
      <c r="AV362" s="66" t="str">
        <f t="shared" si="278"/>
        <v>X</v>
      </c>
      <c r="AW362" s="66" t="str">
        <f t="shared" si="279"/>
        <v>X</v>
      </c>
      <c r="AX362" s="66" t="str">
        <f t="shared" si="280"/>
        <v>X</v>
      </c>
      <c r="AY362" s="66" t="str">
        <f t="shared" si="281"/>
        <v>X</v>
      </c>
      <c r="AZ362" s="66" t="str">
        <f t="shared" si="282"/>
        <v>X</v>
      </c>
      <c r="BA362" s="66" t="str">
        <f t="shared" si="283"/>
        <v>X</v>
      </c>
      <c r="BB362" s="66">
        <f t="shared" si="284"/>
        <v>0</v>
      </c>
      <c r="BC362" s="127" t="str">
        <f t="shared" si="255"/>
        <v>1G</v>
      </c>
      <c r="BD362" s="127" t="str">
        <f t="shared" si="256"/>
        <v>1G</v>
      </c>
      <c r="BE362" s="127" t="str">
        <f t="shared" si="257"/>
        <v>1G</v>
      </c>
      <c r="BF362" s="127" t="str">
        <f t="shared" si="258"/>
        <v>1G</v>
      </c>
      <c r="BG362" s="127" t="str">
        <f t="shared" si="259"/>
        <v>2G</v>
      </c>
      <c r="BH362" s="127" t="str">
        <f t="shared" si="260"/>
        <v>3G</v>
      </c>
      <c r="BI362" s="127">
        <f t="shared" si="285"/>
        <v>4</v>
      </c>
      <c r="BJ362" s="127">
        <f t="shared" si="286"/>
        <v>1</v>
      </c>
      <c r="BK362" s="127">
        <f t="shared" si="287"/>
        <v>1</v>
      </c>
      <c r="BL362" s="127" t="str">
        <f t="shared" si="288"/>
        <v>411</v>
      </c>
      <c r="BS362"/>
      <c r="CL362" s="28">
        <v>160</v>
      </c>
      <c r="CM362" s="28">
        <v>160</v>
      </c>
      <c r="CO362"/>
    </row>
    <row r="363" spans="2:93" ht="16.5" hidden="1">
      <c r="B363" s="17">
        <v>359</v>
      </c>
      <c r="C363" s="363" t="s">
        <v>389</v>
      </c>
      <c r="D363" s="18">
        <v>8</v>
      </c>
      <c r="E363" s="20">
        <v>1286712600</v>
      </c>
      <c r="F363" s="18">
        <v>37</v>
      </c>
      <c r="G363" s="20">
        <v>46368022</v>
      </c>
      <c r="H363" s="20">
        <v>1656</v>
      </c>
      <c r="I363" s="20">
        <v>1036001</v>
      </c>
      <c r="J363" s="20">
        <v>73283</v>
      </c>
      <c r="K363" s="20">
        <v>46822</v>
      </c>
      <c r="L363" s="20">
        <v>1097592</v>
      </c>
      <c r="M363" s="20">
        <v>5000</v>
      </c>
      <c r="N363" s="167">
        <v>1</v>
      </c>
      <c r="O363" s="167">
        <v>10</v>
      </c>
      <c r="P363" s="167">
        <v>19</v>
      </c>
      <c r="Q363" s="167">
        <v>20</v>
      </c>
      <c r="R363" s="167">
        <v>24</v>
      </c>
      <c r="S363" s="167">
        <v>40</v>
      </c>
      <c r="T363" s="167">
        <v>23</v>
      </c>
      <c r="U363" s="28">
        <f t="shared" si="261"/>
        <v>114</v>
      </c>
      <c r="W363" s="32" t="str">
        <f t="shared" si="246"/>
        <v>홀수</v>
      </c>
      <c r="X363" s="32" t="str">
        <f t="shared" si="247"/>
        <v>짝수</v>
      </c>
      <c r="Y363" s="32" t="str">
        <f t="shared" si="248"/>
        <v>홀수</v>
      </c>
      <c r="Z363" s="32" t="str">
        <f t="shared" si="249"/>
        <v>짝수</v>
      </c>
      <c r="AA363" s="32" t="str">
        <f t="shared" si="250"/>
        <v>짝수</v>
      </c>
      <c r="AB363" s="32" t="str">
        <f t="shared" si="251"/>
        <v>짝수</v>
      </c>
      <c r="AC363" s="58" t="str">
        <f t="shared" si="252"/>
        <v>2 : 4</v>
      </c>
      <c r="AD363" s="32">
        <f t="shared" si="253"/>
        <v>2</v>
      </c>
      <c r="AE363" s="32">
        <f t="shared" si="254"/>
        <v>4</v>
      </c>
      <c r="AF363" s="66" t="str">
        <f t="shared" si="262"/>
        <v>저수</v>
      </c>
      <c r="AG363" s="66" t="str">
        <f t="shared" si="263"/>
        <v>저수</v>
      </c>
      <c r="AH363" s="66" t="str">
        <f t="shared" si="264"/>
        <v>저수</v>
      </c>
      <c r="AI363" s="66" t="str">
        <f t="shared" si="265"/>
        <v>저수</v>
      </c>
      <c r="AJ363" s="66" t="str">
        <f t="shared" si="266"/>
        <v>고수</v>
      </c>
      <c r="AK363" s="66" t="str">
        <f t="shared" si="267"/>
        <v>고수</v>
      </c>
      <c r="AL363" s="58" t="str">
        <f t="shared" si="268"/>
        <v>4 : 2</v>
      </c>
      <c r="AM363" s="66">
        <f t="shared" si="269"/>
        <v>4</v>
      </c>
      <c r="AN363" s="66">
        <f t="shared" si="270"/>
        <v>2</v>
      </c>
      <c r="AO363" s="66">
        <f t="shared" si="271"/>
        <v>14</v>
      </c>
      <c r="AP363" s="66" t="str">
        <f t="shared" si="272"/>
        <v>X</v>
      </c>
      <c r="AQ363" s="66" t="str">
        <f t="shared" si="273"/>
        <v>X</v>
      </c>
      <c r="AR363" s="66" t="str">
        <f t="shared" si="274"/>
        <v>O</v>
      </c>
      <c r="AS363" s="66" t="str">
        <f t="shared" si="275"/>
        <v>X</v>
      </c>
      <c r="AT363" s="66" t="str">
        <f t="shared" si="276"/>
        <v>X</v>
      </c>
      <c r="AU363" s="66" t="str">
        <f t="shared" si="277"/>
        <v>X</v>
      </c>
      <c r="AV363" s="66" t="str">
        <f t="shared" si="278"/>
        <v>X</v>
      </c>
      <c r="AW363" s="66" t="str">
        <f t="shared" si="279"/>
        <v>X</v>
      </c>
      <c r="AX363" s="66" t="str">
        <f t="shared" si="280"/>
        <v>X</v>
      </c>
      <c r="AY363" s="66" t="str">
        <f t="shared" si="281"/>
        <v>X</v>
      </c>
      <c r="AZ363" s="66" t="str">
        <f t="shared" si="282"/>
        <v>X</v>
      </c>
      <c r="BA363" s="66" t="str">
        <f t="shared" si="283"/>
        <v>X</v>
      </c>
      <c r="BB363" s="66">
        <f t="shared" si="284"/>
        <v>1</v>
      </c>
      <c r="BC363" s="127" t="str">
        <f t="shared" si="255"/>
        <v>1G</v>
      </c>
      <c r="BD363" s="127" t="str">
        <f t="shared" si="256"/>
        <v>1G</v>
      </c>
      <c r="BE363" s="127" t="str">
        <f t="shared" si="257"/>
        <v>2G</v>
      </c>
      <c r="BF363" s="127" t="str">
        <f t="shared" si="258"/>
        <v>2G</v>
      </c>
      <c r="BG363" s="127" t="str">
        <f t="shared" si="259"/>
        <v>2G</v>
      </c>
      <c r="BH363" s="127" t="str">
        <f t="shared" si="260"/>
        <v>3G</v>
      </c>
      <c r="BI363" s="127">
        <f t="shared" si="285"/>
        <v>2</v>
      </c>
      <c r="BJ363" s="127">
        <f t="shared" si="286"/>
        <v>3</v>
      </c>
      <c r="BK363" s="127">
        <f t="shared" si="287"/>
        <v>1</v>
      </c>
      <c r="BL363" s="127" t="str">
        <f t="shared" si="288"/>
        <v>231</v>
      </c>
      <c r="BS363"/>
      <c r="CL363" s="28">
        <v>160</v>
      </c>
      <c r="CM363" s="28">
        <v>160</v>
      </c>
      <c r="CO363"/>
    </row>
    <row r="364" spans="2:93" ht="16.5" hidden="1">
      <c r="B364" s="17">
        <v>360</v>
      </c>
      <c r="C364" s="363" t="s">
        <v>390</v>
      </c>
      <c r="D364" s="18">
        <v>3</v>
      </c>
      <c r="E364" s="20">
        <v>3566716200</v>
      </c>
      <c r="F364" s="18">
        <v>33</v>
      </c>
      <c r="G364" s="20">
        <v>54041155</v>
      </c>
      <c r="H364" s="20">
        <v>1208</v>
      </c>
      <c r="I364" s="20">
        <v>1476290</v>
      </c>
      <c r="J364" s="20">
        <v>60311</v>
      </c>
      <c r="K364" s="20">
        <v>59139</v>
      </c>
      <c r="L364" s="20">
        <v>1005187</v>
      </c>
      <c r="M364" s="20">
        <v>5000</v>
      </c>
      <c r="N364" s="167">
        <v>4</v>
      </c>
      <c r="O364" s="167">
        <v>16</v>
      </c>
      <c r="P364" s="167">
        <v>23</v>
      </c>
      <c r="Q364" s="167">
        <v>25</v>
      </c>
      <c r="R364" s="167">
        <v>35</v>
      </c>
      <c r="S364" s="167">
        <v>40</v>
      </c>
      <c r="T364" s="167">
        <v>27</v>
      </c>
      <c r="U364" s="28">
        <f t="shared" si="261"/>
        <v>143</v>
      </c>
      <c r="W364" s="32" t="str">
        <f t="shared" si="246"/>
        <v>짝수</v>
      </c>
      <c r="X364" s="32" t="str">
        <f t="shared" si="247"/>
        <v>짝수</v>
      </c>
      <c r="Y364" s="32" t="str">
        <f t="shared" si="248"/>
        <v>홀수</v>
      </c>
      <c r="Z364" s="32" t="str">
        <f t="shared" si="249"/>
        <v>홀수</v>
      </c>
      <c r="AA364" s="32" t="str">
        <f t="shared" si="250"/>
        <v>홀수</v>
      </c>
      <c r="AB364" s="32" t="str">
        <f t="shared" si="251"/>
        <v>짝수</v>
      </c>
      <c r="AC364" s="58" t="str">
        <f t="shared" si="252"/>
        <v>3 : 3</v>
      </c>
      <c r="AD364" s="32">
        <f t="shared" si="253"/>
        <v>3</v>
      </c>
      <c r="AE364" s="32">
        <f t="shared" si="254"/>
        <v>3</v>
      </c>
      <c r="AF364" s="66" t="str">
        <f t="shared" si="262"/>
        <v>저수</v>
      </c>
      <c r="AG364" s="66" t="str">
        <f t="shared" si="263"/>
        <v>저수</v>
      </c>
      <c r="AH364" s="66" t="str">
        <f t="shared" si="264"/>
        <v>고수</v>
      </c>
      <c r="AI364" s="66" t="str">
        <f t="shared" si="265"/>
        <v>고수</v>
      </c>
      <c r="AJ364" s="66" t="str">
        <f t="shared" si="266"/>
        <v>고수</v>
      </c>
      <c r="AK364" s="66" t="str">
        <f t="shared" si="267"/>
        <v>고수</v>
      </c>
      <c r="AL364" s="58" t="str">
        <f t="shared" si="268"/>
        <v>2 : 4</v>
      </c>
      <c r="AM364" s="66">
        <f t="shared" si="269"/>
        <v>2</v>
      </c>
      <c r="AN364" s="66">
        <f t="shared" si="270"/>
        <v>4</v>
      </c>
      <c r="AO364" s="66">
        <f t="shared" si="271"/>
        <v>23</v>
      </c>
      <c r="AP364" s="66" t="str">
        <f t="shared" si="272"/>
        <v>X</v>
      </c>
      <c r="AQ364" s="66" t="str">
        <f t="shared" si="273"/>
        <v>X</v>
      </c>
      <c r="AR364" s="66" t="str">
        <f t="shared" si="274"/>
        <v>X</v>
      </c>
      <c r="AS364" s="66" t="str">
        <f t="shared" si="275"/>
        <v>X</v>
      </c>
      <c r="AT364" s="66" t="str">
        <f t="shared" si="276"/>
        <v>X</v>
      </c>
      <c r="AU364" s="66" t="str">
        <f t="shared" si="277"/>
        <v>X</v>
      </c>
      <c r="AV364" s="66" t="str">
        <f t="shared" si="278"/>
        <v>X</v>
      </c>
      <c r="AW364" s="66" t="str">
        <f t="shared" si="279"/>
        <v>X</v>
      </c>
      <c r="AX364" s="66" t="str">
        <f t="shared" si="280"/>
        <v>O</v>
      </c>
      <c r="AY364" s="66" t="str">
        <f t="shared" si="281"/>
        <v>X</v>
      </c>
      <c r="AZ364" s="66" t="str">
        <f t="shared" si="282"/>
        <v>X</v>
      </c>
      <c r="BA364" s="66" t="str">
        <f t="shared" si="283"/>
        <v>X</v>
      </c>
      <c r="BB364" s="66">
        <f t="shared" si="284"/>
        <v>1</v>
      </c>
      <c r="BC364" s="127" t="str">
        <f t="shared" si="255"/>
        <v>1G</v>
      </c>
      <c r="BD364" s="127" t="str">
        <f t="shared" si="256"/>
        <v>2G</v>
      </c>
      <c r="BE364" s="127" t="str">
        <f t="shared" si="257"/>
        <v>2G</v>
      </c>
      <c r="BF364" s="127" t="str">
        <f t="shared" si="258"/>
        <v>2G</v>
      </c>
      <c r="BG364" s="127" t="str">
        <f t="shared" si="259"/>
        <v>3G</v>
      </c>
      <c r="BH364" s="127" t="str">
        <f t="shared" si="260"/>
        <v>3G</v>
      </c>
      <c r="BI364" s="127">
        <f t="shared" si="285"/>
        <v>1</v>
      </c>
      <c r="BJ364" s="127">
        <f t="shared" si="286"/>
        <v>3</v>
      </c>
      <c r="BK364" s="127">
        <f t="shared" si="287"/>
        <v>2</v>
      </c>
      <c r="BL364" s="127" t="str">
        <f t="shared" si="288"/>
        <v>132</v>
      </c>
      <c r="BS364"/>
      <c r="CL364" s="28">
        <v>160</v>
      </c>
      <c r="CM364" s="28">
        <v>160</v>
      </c>
      <c r="CO364"/>
    </row>
    <row r="365" spans="2:93" ht="16.5" hidden="1">
      <c r="B365" s="17">
        <v>361</v>
      </c>
      <c r="C365" s="363" t="s">
        <v>391</v>
      </c>
      <c r="D365" s="18">
        <v>7</v>
      </c>
      <c r="E365" s="20">
        <v>1473115115</v>
      </c>
      <c r="F365" s="18">
        <v>34</v>
      </c>
      <c r="G365" s="20">
        <v>50548068</v>
      </c>
      <c r="H365" s="20">
        <v>1463</v>
      </c>
      <c r="I365" s="20">
        <v>1174733</v>
      </c>
      <c r="J365" s="20">
        <v>67347</v>
      </c>
      <c r="K365" s="20">
        <v>51039</v>
      </c>
      <c r="L365" s="20">
        <v>1068999</v>
      </c>
      <c r="M365" s="20">
        <v>5000</v>
      </c>
      <c r="N365" s="167">
        <v>5</v>
      </c>
      <c r="O365" s="167">
        <v>10</v>
      </c>
      <c r="P365" s="167">
        <v>16</v>
      </c>
      <c r="Q365" s="167">
        <v>24</v>
      </c>
      <c r="R365" s="167">
        <v>27</v>
      </c>
      <c r="S365" s="167">
        <v>35</v>
      </c>
      <c r="T365" s="167">
        <v>33</v>
      </c>
      <c r="U365" s="28">
        <f t="shared" si="261"/>
        <v>117</v>
      </c>
      <c r="W365" s="32" t="str">
        <f t="shared" si="246"/>
        <v>홀수</v>
      </c>
      <c r="X365" s="32" t="str">
        <f t="shared" si="247"/>
        <v>짝수</v>
      </c>
      <c r="Y365" s="32" t="str">
        <f t="shared" si="248"/>
        <v>짝수</v>
      </c>
      <c r="Z365" s="32" t="str">
        <f t="shared" si="249"/>
        <v>짝수</v>
      </c>
      <c r="AA365" s="32" t="str">
        <f t="shared" si="250"/>
        <v>홀수</v>
      </c>
      <c r="AB365" s="32" t="str">
        <f t="shared" si="251"/>
        <v>홀수</v>
      </c>
      <c r="AC365" s="58" t="str">
        <f t="shared" si="252"/>
        <v>3 : 3</v>
      </c>
      <c r="AD365" s="32">
        <f t="shared" si="253"/>
        <v>3</v>
      </c>
      <c r="AE365" s="32">
        <f t="shared" si="254"/>
        <v>3</v>
      </c>
      <c r="AF365" s="66" t="str">
        <f t="shared" si="262"/>
        <v>저수</v>
      </c>
      <c r="AG365" s="66" t="str">
        <f t="shared" si="263"/>
        <v>저수</v>
      </c>
      <c r="AH365" s="66" t="str">
        <f t="shared" si="264"/>
        <v>저수</v>
      </c>
      <c r="AI365" s="66" t="str">
        <f t="shared" si="265"/>
        <v>고수</v>
      </c>
      <c r="AJ365" s="66" t="str">
        <f t="shared" si="266"/>
        <v>고수</v>
      </c>
      <c r="AK365" s="66" t="str">
        <f t="shared" si="267"/>
        <v>고수</v>
      </c>
      <c r="AL365" s="58" t="str">
        <f t="shared" si="268"/>
        <v>3 : 3</v>
      </c>
      <c r="AM365" s="66">
        <f t="shared" si="269"/>
        <v>3</v>
      </c>
      <c r="AN365" s="66">
        <f t="shared" si="270"/>
        <v>3</v>
      </c>
      <c r="AO365" s="66">
        <f t="shared" si="271"/>
        <v>27</v>
      </c>
      <c r="AP365" s="66" t="str">
        <f t="shared" si="272"/>
        <v>O</v>
      </c>
      <c r="AQ365" s="66" t="str">
        <f t="shared" si="273"/>
        <v>X</v>
      </c>
      <c r="AR365" s="66" t="str">
        <f t="shared" si="274"/>
        <v>X</v>
      </c>
      <c r="AS365" s="66" t="str">
        <f t="shared" si="275"/>
        <v>X</v>
      </c>
      <c r="AT365" s="66" t="str">
        <f t="shared" si="276"/>
        <v>X</v>
      </c>
      <c r="AU365" s="66" t="str">
        <f t="shared" si="277"/>
        <v>X</v>
      </c>
      <c r="AV365" s="66" t="str">
        <f t="shared" si="278"/>
        <v>X</v>
      </c>
      <c r="AW365" s="66" t="str">
        <f t="shared" si="279"/>
        <v>X</v>
      </c>
      <c r="AX365" s="66" t="str">
        <f t="shared" si="280"/>
        <v>X</v>
      </c>
      <c r="AY365" s="66" t="str">
        <f t="shared" si="281"/>
        <v>X</v>
      </c>
      <c r="AZ365" s="66" t="str">
        <f t="shared" si="282"/>
        <v>X</v>
      </c>
      <c r="BA365" s="66" t="str">
        <f t="shared" si="283"/>
        <v>X</v>
      </c>
      <c r="BB365" s="66">
        <f t="shared" si="284"/>
        <v>1</v>
      </c>
      <c r="BC365" s="127" t="str">
        <f t="shared" si="255"/>
        <v>1G</v>
      </c>
      <c r="BD365" s="127" t="str">
        <f t="shared" si="256"/>
        <v>1G</v>
      </c>
      <c r="BE365" s="127" t="str">
        <f t="shared" si="257"/>
        <v>2G</v>
      </c>
      <c r="BF365" s="127" t="str">
        <f t="shared" si="258"/>
        <v>2G</v>
      </c>
      <c r="BG365" s="127" t="str">
        <f t="shared" si="259"/>
        <v>2G</v>
      </c>
      <c r="BH365" s="127" t="str">
        <f t="shared" si="260"/>
        <v>3G</v>
      </c>
      <c r="BI365" s="127">
        <f t="shared" si="285"/>
        <v>2</v>
      </c>
      <c r="BJ365" s="127">
        <f t="shared" si="286"/>
        <v>3</v>
      </c>
      <c r="BK365" s="127">
        <f t="shared" si="287"/>
        <v>1</v>
      </c>
      <c r="BL365" s="127" t="str">
        <f t="shared" si="288"/>
        <v>231</v>
      </c>
      <c r="BS365"/>
      <c r="CL365" s="28">
        <v>161</v>
      </c>
      <c r="CM365" s="28">
        <v>160</v>
      </c>
      <c r="CO365"/>
    </row>
    <row r="366" spans="2:93" ht="16.5" hidden="1">
      <c r="B366" s="17">
        <v>362</v>
      </c>
      <c r="C366" s="363" t="s">
        <v>392</v>
      </c>
      <c r="D366" s="18">
        <v>6</v>
      </c>
      <c r="E366" s="20">
        <v>1729424650</v>
      </c>
      <c r="F366" s="18">
        <v>26</v>
      </c>
      <c r="G366" s="20">
        <v>66516333</v>
      </c>
      <c r="H366" s="20">
        <v>1173</v>
      </c>
      <c r="I366" s="20">
        <v>1474361</v>
      </c>
      <c r="J366" s="20">
        <v>56798</v>
      </c>
      <c r="K366" s="20">
        <v>60898</v>
      </c>
      <c r="L366" s="20">
        <v>974787</v>
      </c>
      <c r="M366" s="20">
        <v>5000</v>
      </c>
      <c r="N366" s="167">
        <v>2</v>
      </c>
      <c r="O366" s="167">
        <v>3</v>
      </c>
      <c r="P366" s="167">
        <v>22</v>
      </c>
      <c r="Q366" s="167">
        <v>27</v>
      </c>
      <c r="R366" s="167">
        <v>30</v>
      </c>
      <c r="S366" s="167">
        <v>40</v>
      </c>
      <c r="T366" s="167">
        <v>29</v>
      </c>
      <c r="U366" s="28">
        <f t="shared" si="261"/>
        <v>124</v>
      </c>
      <c r="W366" s="32" t="str">
        <f t="shared" si="246"/>
        <v>짝수</v>
      </c>
      <c r="X366" s="32" t="str">
        <f t="shared" si="247"/>
        <v>홀수</v>
      </c>
      <c r="Y366" s="32" t="str">
        <f t="shared" si="248"/>
        <v>짝수</v>
      </c>
      <c r="Z366" s="32" t="str">
        <f t="shared" si="249"/>
        <v>홀수</v>
      </c>
      <c r="AA366" s="32" t="str">
        <f t="shared" si="250"/>
        <v>짝수</v>
      </c>
      <c r="AB366" s="32" t="str">
        <f t="shared" si="251"/>
        <v>짝수</v>
      </c>
      <c r="AC366" s="58" t="str">
        <f t="shared" si="252"/>
        <v>2 : 4</v>
      </c>
      <c r="AD366" s="32">
        <f t="shared" si="253"/>
        <v>2</v>
      </c>
      <c r="AE366" s="32">
        <f t="shared" si="254"/>
        <v>4</v>
      </c>
      <c r="AF366" s="66" t="str">
        <f t="shared" si="262"/>
        <v>저수</v>
      </c>
      <c r="AG366" s="66" t="str">
        <f t="shared" si="263"/>
        <v>저수</v>
      </c>
      <c r="AH366" s="66" t="str">
        <f t="shared" si="264"/>
        <v>저수</v>
      </c>
      <c r="AI366" s="66" t="str">
        <f t="shared" si="265"/>
        <v>고수</v>
      </c>
      <c r="AJ366" s="66" t="str">
        <f t="shared" si="266"/>
        <v>고수</v>
      </c>
      <c r="AK366" s="66" t="str">
        <f t="shared" si="267"/>
        <v>고수</v>
      </c>
      <c r="AL366" s="58" t="str">
        <f t="shared" si="268"/>
        <v>3 : 3</v>
      </c>
      <c r="AM366" s="66">
        <f t="shared" si="269"/>
        <v>3</v>
      </c>
      <c r="AN366" s="66">
        <f t="shared" si="270"/>
        <v>3</v>
      </c>
      <c r="AO366" s="66">
        <f t="shared" si="271"/>
        <v>14</v>
      </c>
      <c r="AP366" s="66" t="str">
        <f t="shared" si="272"/>
        <v>O</v>
      </c>
      <c r="AQ366" s="66" t="str">
        <f t="shared" si="273"/>
        <v>O</v>
      </c>
      <c r="AR366" s="66" t="str">
        <f t="shared" si="274"/>
        <v>X</v>
      </c>
      <c r="AS366" s="66" t="str">
        <f t="shared" si="275"/>
        <v>X</v>
      </c>
      <c r="AT366" s="66" t="str">
        <f t="shared" si="276"/>
        <v>X</v>
      </c>
      <c r="AU366" s="66" t="str">
        <f t="shared" si="277"/>
        <v>X</v>
      </c>
      <c r="AV366" s="66" t="str">
        <f t="shared" si="278"/>
        <v>X</v>
      </c>
      <c r="AW366" s="66" t="str">
        <f t="shared" si="279"/>
        <v>X</v>
      </c>
      <c r="AX366" s="66" t="str">
        <f t="shared" si="280"/>
        <v>X</v>
      </c>
      <c r="AY366" s="66" t="str">
        <f t="shared" si="281"/>
        <v>X</v>
      </c>
      <c r="AZ366" s="66" t="str">
        <f t="shared" si="282"/>
        <v>X</v>
      </c>
      <c r="BA366" s="66" t="str">
        <f t="shared" si="283"/>
        <v>X</v>
      </c>
      <c r="BB366" s="66">
        <f t="shared" si="284"/>
        <v>2</v>
      </c>
      <c r="BC366" s="127" t="str">
        <f t="shared" si="255"/>
        <v>1G</v>
      </c>
      <c r="BD366" s="127" t="str">
        <f t="shared" si="256"/>
        <v>1G</v>
      </c>
      <c r="BE366" s="127" t="str">
        <f t="shared" si="257"/>
        <v>2G</v>
      </c>
      <c r="BF366" s="127" t="str">
        <f t="shared" si="258"/>
        <v>2G</v>
      </c>
      <c r="BG366" s="127" t="str">
        <f t="shared" si="259"/>
        <v>2G</v>
      </c>
      <c r="BH366" s="127" t="str">
        <f t="shared" si="260"/>
        <v>3G</v>
      </c>
      <c r="BI366" s="127">
        <f t="shared" si="285"/>
        <v>2</v>
      </c>
      <c r="BJ366" s="127">
        <f t="shared" si="286"/>
        <v>3</v>
      </c>
      <c r="BK366" s="127">
        <f t="shared" si="287"/>
        <v>1</v>
      </c>
      <c r="BL366" s="127" t="str">
        <f t="shared" si="288"/>
        <v>231</v>
      </c>
      <c r="BS366"/>
      <c r="CL366" s="28">
        <v>161</v>
      </c>
      <c r="CM366" s="28">
        <v>160</v>
      </c>
      <c r="CO366"/>
    </row>
    <row r="367" spans="2:93" ht="16.5" hidden="1">
      <c r="B367" s="17">
        <v>363</v>
      </c>
      <c r="C367" s="363" t="s">
        <v>393</v>
      </c>
      <c r="D367" s="18">
        <v>4</v>
      </c>
      <c r="E367" s="20">
        <v>2615910600</v>
      </c>
      <c r="F367" s="18">
        <v>33</v>
      </c>
      <c r="G367" s="20">
        <v>52846679</v>
      </c>
      <c r="H367" s="20">
        <v>1216</v>
      </c>
      <c r="I367" s="20">
        <v>1434162</v>
      </c>
      <c r="J367" s="20">
        <v>59672</v>
      </c>
      <c r="K367" s="20">
        <v>58451</v>
      </c>
      <c r="L367" s="20">
        <v>998514</v>
      </c>
      <c r="M367" s="20">
        <v>5000</v>
      </c>
      <c r="N367" s="167">
        <v>11</v>
      </c>
      <c r="O367" s="167">
        <v>12</v>
      </c>
      <c r="P367" s="167">
        <v>14</v>
      </c>
      <c r="Q367" s="167">
        <v>21</v>
      </c>
      <c r="R367" s="167">
        <v>32</v>
      </c>
      <c r="S367" s="167">
        <v>38</v>
      </c>
      <c r="T367" s="167">
        <v>6</v>
      </c>
      <c r="U367" s="28">
        <f t="shared" si="261"/>
        <v>128</v>
      </c>
      <c r="W367" s="32" t="str">
        <f t="shared" si="246"/>
        <v>홀수</v>
      </c>
      <c r="X367" s="32" t="str">
        <f t="shared" si="247"/>
        <v>짝수</v>
      </c>
      <c r="Y367" s="32" t="str">
        <f t="shared" si="248"/>
        <v>짝수</v>
      </c>
      <c r="Z367" s="32" t="str">
        <f t="shared" si="249"/>
        <v>홀수</v>
      </c>
      <c r="AA367" s="32" t="str">
        <f t="shared" si="250"/>
        <v>짝수</v>
      </c>
      <c r="AB367" s="32" t="str">
        <f t="shared" si="251"/>
        <v>짝수</v>
      </c>
      <c r="AC367" s="58" t="str">
        <f t="shared" si="252"/>
        <v>2 : 4</v>
      </c>
      <c r="AD367" s="32">
        <f t="shared" si="253"/>
        <v>2</v>
      </c>
      <c r="AE367" s="32">
        <f t="shared" si="254"/>
        <v>4</v>
      </c>
      <c r="AF367" s="66" t="str">
        <f t="shared" si="262"/>
        <v>저수</v>
      </c>
      <c r="AG367" s="66" t="str">
        <f t="shared" si="263"/>
        <v>저수</v>
      </c>
      <c r="AH367" s="66" t="str">
        <f t="shared" si="264"/>
        <v>저수</v>
      </c>
      <c r="AI367" s="66" t="str">
        <f t="shared" si="265"/>
        <v>저수</v>
      </c>
      <c r="AJ367" s="66" t="str">
        <f t="shared" si="266"/>
        <v>고수</v>
      </c>
      <c r="AK367" s="66" t="str">
        <f t="shared" si="267"/>
        <v>고수</v>
      </c>
      <c r="AL367" s="58" t="str">
        <f t="shared" si="268"/>
        <v>4 : 2</v>
      </c>
      <c r="AM367" s="66">
        <f t="shared" si="269"/>
        <v>4</v>
      </c>
      <c r="AN367" s="66">
        <f t="shared" si="270"/>
        <v>2</v>
      </c>
      <c r="AO367" s="66">
        <f t="shared" si="271"/>
        <v>18</v>
      </c>
      <c r="AP367" s="66" t="str">
        <f t="shared" si="272"/>
        <v>O</v>
      </c>
      <c r="AQ367" s="66" t="str">
        <f t="shared" si="273"/>
        <v>X</v>
      </c>
      <c r="AR367" s="66" t="str">
        <f t="shared" si="274"/>
        <v>X</v>
      </c>
      <c r="AS367" s="66" t="str">
        <f t="shared" si="275"/>
        <v>X</v>
      </c>
      <c r="AT367" s="66" t="str">
        <f t="shared" si="276"/>
        <v>X</v>
      </c>
      <c r="AU367" s="66" t="str">
        <f t="shared" si="277"/>
        <v>X</v>
      </c>
      <c r="AV367" s="66" t="str">
        <f t="shared" si="278"/>
        <v>X</v>
      </c>
      <c r="AW367" s="66" t="str">
        <f t="shared" si="279"/>
        <v>X</v>
      </c>
      <c r="AX367" s="66" t="str">
        <f t="shared" si="280"/>
        <v>X</v>
      </c>
      <c r="AY367" s="66" t="str">
        <f t="shared" si="281"/>
        <v>X</v>
      </c>
      <c r="AZ367" s="66" t="str">
        <f t="shared" si="282"/>
        <v>X</v>
      </c>
      <c r="BA367" s="66" t="str">
        <f t="shared" si="283"/>
        <v>X</v>
      </c>
      <c r="BB367" s="66">
        <f t="shared" si="284"/>
        <v>1</v>
      </c>
      <c r="BC367" s="127" t="str">
        <f t="shared" si="255"/>
        <v>1G</v>
      </c>
      <c r="BD367" s="127" t="str">
        <f t="shared" si="256"/>
        <v>1G</v>
      </c>
      <c r="BE367" s="127" t="str">
        <f t="shared" si="257"/>
        <v>1G</v>
      </c>
      <c r="BF367" s="127" t="str">
        <f t="shared" si="258"/>
        <v>2G</v>
      </c>
      <c r="BG367" s="127" t="str">
        <f t="shared" si="259"/>
        <v>3G</v>
      </c>
      <c r="BH367" s="127" t="str">
        <f t="shared" si="260"/>
        <v>3G</v>
      </c>
      <c r="BI367" s="127">
        <f t="shared" si="285"/>
        <v>3</v>
      </c>
      <c r="BJ367" s="127">
        <f t="shared" si="286"/>
        <v>1</v>
      </c>
      <c r="BK367" s="127">
        <f t="shared" si="287"/>
        <v>2</v>
      </c>
      <c r="BL367" s="127" t="str">
        <f t="shared" si="288"/>
        <v>312</v>
      </c>
      <c r="BS367"/>
      <c r="CL367" s="28">
        <v>161</v>
      </c>
      <c r="CM367" s="28">
        <v>160</v>
      </c>
      <c r="CO367"/>
    </row>
    <row r="368" spans="2:93" ht="16.5" hidden="1">
      <c r="B368" s="17">
        <v>364</v>
      </c>
      <c r="C368" s="363" t="s">
        <v>394</v>
      </c>
      <c r="D368" s="18">
        <v>4</v>
      </c>
      <c r="E368" s="20">
        <v>2531914800</v>
      </c>
      <c r="F368" s="18">
        <v>37</v>
      </c>
      <c r="G368" s="20">
        <v>45620087</v>
      </c>
      <c r="H368" s="20">
        <v>1259</v>
      </c>
      <c r="I368" s="20">
        <v>1340702</v>
      </c>
      <c r="J368" s="20">
        <v>63195</v>
      </c>
      <c r="K368" s="20">
        <v>53421</v>
      </c>
      <c r="L368" s="20">
        <v>1043314</v>
      </c>
      <c r="M368" s="20">
        <v>5000</v>
      </c>
      <c r="N368" s="167">
        <v>2</v>
      </c>
      <c r="O368" s="167">
        <v>5</v>
      </c>
      <c r="P368" s="167">
        <v>7</v>
      </c>
      <c r="Q368" s="167">
        <v>14</v>
      </c>
      <c r="R368" s="167">
        <v>16</v>
      </c>
      <c r="S368" s="167">
        <v>40</v>
      </c>
      <c r="T368" s="167">
        <v>4</v>
      </c>
      <c r="U368" s="28">
        <f t="shared" si="261"/>
        <v>84</v>
      </c>
      <c r="W368" s="32" t="str">
        <f t="shared" si="246"/>
        <v>짝수</v>
      </c>
      <c r="X368" s="32" t="str">
        <f t="shared" si="247"/>
        <v>홀수</v>
      </c>
      <c r="Y368" s="32" t="str">
        <f t="shared" si="248"/>
        <v>홀수</v>
      </c>
      <c r="Z368" s="32" t="str">
        <f t="shared" si="249"/>
        <v>짝수</v>
      </c>
      <c r="AA368" s="32" t="str">
        <f t="shared" si="250"/>
        <v>짝수</v>
      </c>
      <c r="AB368" s="32" t="str">
        <f t="shared" si="251"/>
        <v>짝수</v>
      </c>
      <c r="AC368" s="58" t="str">
        <f t="shared" si="252"/>
        <v>2 : 4</v>
      </c>
      <c r="AD368" s="32">
        <f t="shared" si="253"/>
        <v>2</v>
      </c>
      <c r="AE368" s="32">
        <f t="shared" si="254"/>
        <v>4</v>
      </c>
      <c r="AF368" s="66" t="str">
        <f t="shared" si="262"/>
        <v>저수</v>
      </c>
      <c r="AG368" s="66" t="str">
        <f t="shared" si="263"/>
        <v>저수</v>
      </c>
      <c r="AH368" s="66" t="str">
        <f t="shared" si="264"/>
        <v>저수</v>
      </c>
      <c r="AI368" s="66" t="str">
        <f t="shared" si="265"/>
        <v>저수</v>
      </c>
      <c r="AJ368" s="66" t="str">
        <f t="shared" si="266"/>
        <v>저수</v>
      </c>
      <c r="AK368" s="66" t="str">
        <f t="shared" si="267"/>
        <v>고수</v>
      </c>
      <c r="AL368" s="58" t="str">
        <f t="shared" si="268"/>
        <v>5 : 1</v>
      </c>
      <c r="AM368" s="66">
        <f t="shared" si="269"/>
        <v>5</v>
      </c>
      <c r="AN368" s="66">
        <f t="shared" si="270"/>
        <v>1</v>
      </c>
      <c r="AO368" s="66">
        <f t="shared" si="271"/>
        <v>24</v>
      </c>
      <c r="AP368" s="66" t="str">
        <f t="shared" si="272"/>
        <v>O</v>
      </c>
      <c r="AQ368" s="66" t="str">
        <f t="shared" si="273"/>
        <v>O</v>
      </c>
      <c r="AR368" s="66" t="str">
        <f t="shared" si="274"/>
        <v>O</v>
      </c>
      <c r="AS368" s="66" t="str">
        <f t="shared" si="275"/>
        <v>X</v>
      </c>
      <c r="AT368" s="66" t="str">
        <f t="shared" si="276"/>
        <v>X</v>
      </c>
      <c r="AU368" s="66" t="str">
        <f t="shared" si="277"/>
        <v>X</v>
      </c>
      <c r="AV368" s="66" t="str">
        <f t="shared" si="278"/>
        <v>X</v>
      </c>
      <c r="AW368" s="66" t="str">
        <f t="shared" si="279"/>
        <v>X</v>
      </c>
      <c r="AX368" s="66" t="str">
        <f t="shared" si="280"/>
        <v>X</v>
      </c>
      <c r="AY368" s="66" t="str">
        <f t="shared" si="281"/>
        <v>X</v>
      </c>
      <c r="AZ368" s="66" t="str">
        <f t="shared" si="282"/>
        <v>X</v>
      </c>
      <c r="BA368" s="66" t="str">
        <f t="shared" si="283"/>
        <v>X</v>
      </c>
      <c r="BB368" s="66">
        <f t="shared" si="284"/>
        <v>3</v>
      </c>
      <c r="BC368" s="127" t="str">
        <f t="shared" si="255"/>
        <v>1G</v>
      </c>
      <c r="BD368" s="127" t="str">
        <f t="shared" si="256"/>
        <v>1G</v>
      </c>
      <c r="BE368" s="127" t="str">
        <f t="shared" si="257"/>
        <v>1G</v>
      </c>
      <c r="BF368" s="127" t="str">
        <f t="shared" si="258"/>
        <v>1G</v>
      </c>
      <c r="BG368" s="127" t="str">
        <f t="shared" si="259"/>
        <v>2G</v>
      </c>
      <c r="BH368" s="127" t="str">
        <f t="shared" si="260"/>
        <v>3G</v>
      </c>
      <c r="BI368" s="127">
        <f t="shared" si="285"/>
        <v>4</v>
      </c>
      <c r="BJ368" s="127">
        <f t="shared" si="286"/>
        <v>1</v>
      </c>
      <c r="BK368" s="127">
        <f t="shared" si="287"/>
        <v>1</v>
      </c>
      <c r="BL368" s="127" t="str">
        <f t="shared" si="288"/>
        <v>411</v>
      </c>
      <c r="BS368"/>
      <c r="CL368" s="28">
        <v>162</v>
      </c>
      <c r="CM368" s="28">
        <v>160</v>
      </c>
      <c r="CO368"/>
    </row>
    <row r="369" spans="1:93" ht="16.5" hidden="1">
      <c r="B369" s="17">
        <v>365</v>
      </c>
      <c r="C369" s="363" t="s">
        <v>395</v>
      </c>
      <c r="D369" s="18">
        <v>1</v>
      </c>
      <c r="E369" s="20">
        <v>10697716800</v>
      </c>
      <c r="F369" s="18">
        <v>35</v>
      </c>
      <c r="G369" s="20">
        <v>50941509</v>
      </c>
      <c r="H369" s="20">
        <v>1181</v>
      </c>
      <c r="I369" s="20">
        <v>1509698</v>
      </c>
      <c r="J369" s="20">
        <v>62472</v>
      </c>
      <c r="K369" s="20">
        <v>57081</v>
      </c>
      <c r="L369" s="20">
        <v>1014701</v>
      </c>
      <c r="M369" s="20">
        <v>5000</v>
      </c>
      <c r="N369" s="167">
        <v>5</v>
      </c>
      <c r="O369" s="167">
        <v>15</v>
      </c>
      <c r="P369" s="167">
        <v>21</v>
      </c>
      <c r="Q369" s="167">
        <v>25</v>
      </c>
      <c r="R369" s="167">
        <v>26</v>
      </c>
      <c r="S369" s="167">
        <v>30</v>
      </c>
      <c r="T369" s="167">
        <v>31</v>
      </c>
      <c r="U369" s="28">
        <f t="shared" si="261"/>
        <v>122</v>
      </c>
      <c r="W369" s="32" t="str">
        <f t="shared" si="246"/>
        <v>홀수</v>
      </c>
      <c r="X369" s="32" t="str">
        <f t="shared" si="247"/>
        <v>홀수</v>
      </c>
      <c r="Y369" s="32" t="str">
        <f t="shared" si="248"/>
        <v>홀수</v>
      </c>
      <c r="Z369" s="32" t="str">
        <f t="shared" si="249"/>
        <v>홀수</v>
      </c>
      <c r="AA369" s="32" t="str">
        <f t="shared" si="250"/>
        <v>짝수</v>
      </c>
      <c r="AB369" s="32" t="str">
        <f t="shared" si="251"/>
        <v>짝수</v>
      </c>
      <c r="AC369" s="58" t="str">
        <f t="shared" si="252"/>
        <v>4 : 2</v>
      </c>
      <c r="AD369" s="32">
        <f t="shared" si="253"/>
        <v>4</v>
      </c>
      <c r="AE369" s="32">
        <f t="shared" si="254"/>
        <v>2</v>
      </c>
      <c r="AF369" s="66" t="str">
        <f t="shared" si="262"/>
        <v>저수</v>
      </c>
      <c r="AG369" s="66" t="str">
        <f t="shared" si="263"/>
        <v>저수</v>
      </c>
      <c r="AH369" s="66" t="str">
        <f t="shared" si="264"/>
        <v>저수</v>
      </c>
      <c r="AI369" s="66" t="str">
        <f t="shared" si="265"/>
        <v>고수</v>
      </c>
      <c r="AJ369" s="66" t="str">
        <f t="shared" si="266"/>
        <v>고수</v>
      </c>
      <c r="AK369" s="66" t="str">
        <f t="shared" si="267"/>
        <v>고수</v>
      </c>
      <c r="AL369" s="58" t="str">
        <f t="shared" si="268"/>
        <v>3 : 3</v>
      </c>
      <c r="AM369" s="66">
        <f t="shared" si="269"/>
        <v>3</v>
      </c>
      <c r="AN369" s="66">
        <f t="shared" si="270"/>
        <v>3</v>
      </c>
      <c r="AO369" s="66">
        <f t="shared" si="271"/>
        <v>22</v>
      </c>
      <c r="AP369" s="66" t="str">
        <f t="shared" si="272"/>
        <v>O</v>
      </c>
      <c r="AQ369" s="66" t="str">
        <f t="shared" si="273"/>
        <v>X</v>
      </c>
      <c r="AR369" s="66" t="str">
        <f t="shared" si="274"/>
        <v>X</v>
      </c>
      <c r="AS369" s="66" t="str">
        <f t="shared" si="275"/>
        <v>X</v>
      </c>
      <c r="AT369" s="66" t="str">
        <f t="shared" si="276"/>
        <v>X</v>
      </c>
      <c r="AU369" s="66" t="str">
        <f t="shared" si="277"/>
        <v>X</v>
      </c>
      <c r="AV369" s="66" t="str">
        <f t="shared" si="278"/>
        <v>X</v>
      </c>
      <c r="AW369" s="66" t="str">
        <f t="shared" si="279"/>
        <v>X</v>
      </c>
      <c r="AX369" s="66" t="str">
        <f t="shared" si="280"/>
        <v>X</v>
      </c>
      <c r="AY369" s="66" t="str">
        <f t="shared" si="281"/>
        <v>X</v>
      </c>
      <c r="AZ369" s="66" t="str">
        <f t="shared" si="282"/>
        <v>X</v>
      </c>
      <c r="BA369" s="66" t="str">
        <f t="shared" si="283"/>
        <v>X</v>
      </c>
      <c r="BB369" s="66">
        <f t="shared" si="284"/>
        <v>1</v>
      </c>
      <c r="BC369" s="127" t="str">
        <f t="shared" si="255"/>
        <v>1G</v>
      </c>
      <c r="BD369" s="127" t="str">
        <f t="shared" si="256"/>
        <v>1G</v>
      </c>
      <c r="BE369" s="127" t="str">
        <f t="shared" si="257"/>
        <v>2G</v>
      </c>
      <c r="BF369" s="127" t="str">
        <f t="shared" si="258"/>
        <v>2G</v>
      </c>
      <c r="BG369" s="127" t="str">
        <f t="shared" si="259"/>
        <v>2G</v>
      </c>
      <c r="BH369" s="127" t="str">
        <f t="shared" si="260"/>
        <v>2G</v>
      </c>
      <c r="BI369" s="127">
        <f t="shared" si="285"/>
        <v>2</v>
      </c>
      <c r="BJ369" s="127">
        <f t="shared" si="286"/>
        <v>4</v>
      </c>
      <c r="BK369" s="127">
        <f t="shared" si="287"/>
        <v>0</v>
      </c>
      <c r="BL369" s="127" t="str">
        <f t="shared" si="288"/>
        <v>240</v>
      </c>
      <c r="BS369"/>
      <c r="CL369" s="28">
        <v>162</v>
      </c>
      <c r="CM369" s="28">
        <v>160</v>
      </c>
      <c r="CO369"/>
    </row>
    <row r="370" spans="1:93" ht="16.5" hidden="1">
      <c r="B370" s="17">
        <v>366</v>
      </c>
      <c r="C370" s="363" t="s">
        <v>396</v>
      </c>
      <c r="D370" s="18">
        <v>2</v>
      </c>
      <c r="E370" s="20">
        <v>5351553900</v>
      </c>
      <c r="F370" s="18">
        <v>39</v>
      </c>
      <c r="G370" s="20">
        <v>45739777</v>
      </c>
      <c r="H370" s="20">
        <v>1617</v>
      </c>
      <c r="I370" s="20">
        <v>1103186</v>
      </c>
      <c r="J370" s="20">
        <v>71467</v>
      </c>
      <c r="K370" s="20">
        <v>49921</v>
      </c>
      <c r="L370" s="20">
        <v>1028514</v>
      </c>
      <c r="M370" s="20">
        <v>5000</v>
      </c>
      <c r="N370" s="167">
        <v>5</v>
      </c>
      <c r="O370" s="167">
        <v>12</v>
      </c>
      <c r="P370" s="167">
        <v>19</v>
      </c>
      <c r="Q370" s="167">
        <v>26</v>
      </c>
      <c r="R370" s="167">
        <v>27</v>
      </c>
      <c r="S370" s="167">
        <v>44</v>
      </c>
      <c r="T370" s="167">
        <v>38</v>
      </c>
      <c r="U370" s="28">
        <f t="shared" si="261"/>
        <v>133</v>
      </c>
      <c r="W370" s="32" t="str">
        <f t="shared" si="246"/>
        <v>홀수</v>
      </c>
      <c r="X370" s="32" t="str">
        <f t="shared" si="247"/>
        <v>짝수</v>
      </c>
      <c r="Y370" s="32" t="str">
        <f t="shared" si="248"/>
        <v>홀수</v>
      </c>
      <c r="Z370" s="32" t="str">
        <f t="shared" si="249"/>
        <v>짝수</v>
      </c>
      <c r="AA370" s="32" t="str">
        <f t="shared" si="250"/>
        <v>홀수</v>
      </c>
      <c r="AB370" s="32" t="str">
        <f t="shared" si="251"/>
        <v>짝수</v>
      </c>
      <c r="AC370" s="58" t="str">
        <f t="shared" si="252"/>
        <v>3 : 3</v>
      </c>
      <c r="AD370" s="32">
        <f t="shared" si="253"/>
        <v>3</v>
      </c>
      <c r="AE370" s="32">
        <f t="shared" si="254"/>
        <v>3</v>
      </c>
      <c r="AF370" s="66" t="str">
        <f t="shared" si="262"/>
        <v>저수</v>
      </c>
      <c r="AG370" s="66" t="str">
        <f t="shared" si="263"/>
        <v>저수</v>
      </c>
      <c r="AH370" s="66" t="str">
        <f t="shared" si="264"/>
        <v>저수</v>
      </c>
      <c r="AI370" s="66" t="str">
        <f t="shared" si="265"/>
        <v>고수</v>
      </c>
      <c r="AJ370" s="66" t="str">
        <f t="shared" si="266"/>
        <v>고수</v>
      </c>
      <c r="AK370" s="66" t="str">
        <f t="shared" si="267"/>
        <v>고수</v>
      </c>
      <c r="AL370" s="58" t="str">
        <f t="shared" si="268"/>
        <v>3 : 3</v>
      </c>
      <c r="AM370" s="66">
        <f t="shared" si="269"/>
        <v>3</v>
      </c>
      <c r="AN370" s="66">
        <f t="shared" si="270"/>
        <v>3</v>
      </c>
      <c r="AO370" s="66">
        <f t="shared" si="271"/>
        <v>33</v>
      </c>
      <c r="AP370" s="66" t="str">
        <f t="shared" si="272"/>
        <v>O</v>
      </c>
      <c r="AQ370" s="66" t="str">
        <f t="shared" si="273"/>
        <v>X</v>
      </c>
      <c r="AR370" s="66" t="str">
        <f t="shared" si="274"/>
        <v>O</v>
      </c>
      <c r="AS370" s="66" t="str">
        <f t="shared" si="275"/>
        <v>X</v>
      </c>
      <c r="AT370" s="66" t="str">
        <f t="shared" si="276"/>
        <v>X</v>
      </c>
      <c r="AU370" s="66" t="str">
        <f t="shared" si="277"/>
        <v>X</v>
      </c>
      <c r="AV370" s="66" t="str">
        <f t="shared" si="278"/>
        <v>X</v>
      </c>
      <c r="AW370" s="66" t="str">
        <f t="shared" si="279"/>
        <v>X</v>
      </c>
      <c r="AX370" s="66" t="str">
        <f t="shared" si="280"/>
        <v>X</v>
      </c>
      <c r="AY370" s="66" t="str">
        <f t="shared" si="281"/>
        <v>X</v>
      </c>
      <c r="AZ370" s="66" t="str">
        <f t="shared" si="282"/>
        <v>X</v>
      </c>
      <c r="BA370" s="66" t="str">
        <f t="shared" si="283"/>
        <v>X</v>
      </c>
      <c r="BB370" s="66">
        <f t="shared" si="284"/>
        <v>2</v>
      </c>
      <c r="BC370" s="127" t="str">
        <f t="shared" si="255"/>
        <v>1G</v>
      </c>
      <c r="BD370" s="127" t="str">
        <f t="shared" si="256"/>
        <v>1G</v>
      </c>
      <c r="BE370" s="127" t="str">
        <f t="shared" si="257"/>
        <v>2G</v>
      </c>
      <c r="BF370" s="127" t="str">
        <f t="shared" si="258"/>
        <v>2G</v>
      </c>
      <c r="BG370" s="127" t="str">
        <f t="shared" si="259"/>
        <v>2G</v>
      </c>
      <c r="BH370" s="127" t="str">
        <f t="shared" si="260"/>
        <v>3G</v>
      </c>
      <c r="BI370" s="127">
        <f t="shared" si="285"/>
        <v>2</v>
      </c>
      <c r="BJ370" s="127">
        <f t="shared" si="286"/>
        <v>3</v>
      </c>
      <c r="BK370" s="127">
        <f t="shared" si="287"/>
        <v>1</v>
      </c>
      <c r="BL370" s="127" t="str">
        <f t="shared" si="288"/>
        <v>231</v>
      </c>
      <c r="BS370"/>
      <c r="CL370" s="28">
        <v>162</v>
      </c>
      <c r="CM370" s="28">
        <v>160</v>
      </c>
      <c r="CO370"/>
    </row>
    <row r="371" spans="1:93" ht="16.5" hidden="1">
      <c r="B371" s="17">
        <v>367</v>
      </c>
      <c r="C371" s="363" t="s">
        <v>397</v>
      </c>
      <c r="D371" s="18">
        <v>7</v>
      </c>
      <c r="E371" s="20">
        <v>1581736586</v>
      </c>
      <c r="F371" s="18">
        <v>37</v>
      </c>
      <c r="G371" s="20">
        <v>49874578</v>
      </c>
      <c r="H371" s="20">
        <v>1049</v>
      </c>
      <c r="I371" s="20">
        <v>1759161</v>
      </c>
      <c r="J371" s="20">
        <v>55158</v>
      </c>
      <c r="K371" s="20">
        <v>66912</v>
      </c>
      <c r="L371" s="20">
        <v>955212</v>
      </c>
      <c r="M371" s="20">
        <v>5000</v>
      </c>
      <c r="N371" s="167">
        <v>3</v>
      </c>
      <c r="O371" s="167">
        <v>22</v>
      </c>
      <c r="P371" s="167">
        <v>25</v>
      </c>
      <c r="Q371" s="167">
        <v>29</v>
      </c>
      <c r="R371" s="167">
        <v>32</v>
      </c>
      <c r="S371" s="167">
        <v>44</v>
      </c>
      <c r="T371" s="167">
        <v>19</v>
      </c>
      <c r="U371" s="28">
        <f t="shared" si="261"/>
        <v>155</v>
      </c>
      <c r="W371" s="32" t="str">
        <f t="shared" si="246"/>
        <v>홀수</v>
      </c>
      <c r="X371" s="32" t="str">
        <f t="shared" si="247"/>
        <v>짝수</v>
      </c>
      <c r="Y371" s="32" t="str">
        <f t="shared" si="248"/>
        <v>홀수</v>
      </c>
      <c r="Z371" s="32" t="str">
        <f t="shared" si="249"/>
        <v>홀수</v>
      </c>
      <c r="AA371" s="32" t="str">
        <f t="shared" si="250"/>
        <v>짝수</v>
      </c>
      <c r="AB371" s="32" t="str">
        <f t="shared" si="251"/>
        <v>짝수</v>
      </c>
      <c r="AC371" s="58" t="str">
        <f t="shared" si="252"/>
        <v>3 : 3</v>
      </c>
      <c r="AD371" s="32">
        <f t="shared" si="253"/>
        <v>3</v>
      </c>
      <c r="AE371" s="32">
        <f t="shared" si="254"/>
        <v>3</v>
      </c>
      <c r="AF371" s="66" t="str">
        <f t="shared" si="262"/>
        <v>저수</v>
      </c>
      <c r="AG371" s="66" t="str">
        <f t="shared" si="263"/>
        <v>저수</v>
      </c>
      <c r="AH371" s="66" t="str">
        <f t="shared" si="264"/>
        <v>고수</v>
      </c>
      <c r="AI371" s="66" t="str">
        <f t="shared" si="265"/>
        <v>고수</v>
      </c>
      <c r="AJ371" s="66" t="str">
        <f t="shared" si="266"/>
        <v>고수</v>
      </c>
      <c r="AK371" s="66" t="str">
        <f t="shared" si="267"/>
        <v>고수</v>
      </c>
      <c r="AL371" s="58" t="str">
        <f t="shared" si="268"/>
        <v>2 : 4</v>
      </c>
      <c r="AM371" s="66">
        <f t="shared" si="269"/>
        <v>2</v>
      </c>
      <c r="AN371" s="66">
        <f t="shared" si="270"/>
        <v>4</v>
      </c>
      <c r="AO371" s="66">
        <f t="shared" si="271"/>
        <v>25</v>
      </c>
      <c r="AP371" s="66" t="str">
        <f t="shared" si="272"/>
        <v>O</v>
      </c>
      <c r="AQ371" s="66" t="str">
        <f t="shared" si="273"/>
        <v>X</v>
      </c>
      <c r="AR371" s="66" t="str">
        <f t="shared" si="274"/>
        <v>X</v>
      </c>
      <c r="AS371" s="66" t="str">
        <f t="shared" si="275"/>
        <v>X</v>
      </c>
      <c r="AT371" s="66" t="str">
        <f t="shared" si="276"/>
        <v>X</v>
      </c>
      <c r="AU371" s="66" t="str">
        <f t="shared" si="277"/>
        <v>X</v>
      </c>
      <c r="AV371" s="66" t="str">
        <f t="shared" si="278"/>
        <v>X</v>
      </c>
      <c r="AW371" s="66" t="str">
        <f t="shared" si="279"/>
        <v>X</v>
      </c>
      <c r="AX371" s="66" t="str">
        <f t="shared" si="280"/>
        <v>X</v>
      </c>
      <c r="AY371" s="66" t="str">
        <f t="shared" si="281"/>
        <v>O</v>
      </c>
      <c r="AZ371" s="66" t="str">
        <f t="shared" si="282"/>
        <v>X</v>
      </c>
      <c r="BA371" s="66" t="str">
        <f t="shared" si="283"/>
        <v>X</v>
      </c>
      <c r="BB371" s="66">
        <f t="shared" si="284"/>
        <v>2</v>
      </c>
      <c r="BC371" s="127" t="str">
        <f t="shared" si="255"/>
        <v>1G</v>
      </c>
      <c r="BD371" s="127" t="str">
        <f t="shared" si="256"/>
        <v>2G</v>
      </c>
      <c r="BE371" s="127" t="str">
        <f t="shared" si="257"/>
        <v>2G</v>
      </c>
      <c r="BF371" s="127" t="str">
        <f t="shared" si="258"/>
        <v>2G</v>
      </c>
      <c r="BG371" s="127" t="str">
        <f t="shared" si="259"/>
        <v>3G</v>
      </c>
      <c r="BH371" s="127" t="str">
        <f t="shared" si="260"/>
        <v>3G</v>
      </c>
      <c r="BI371" s="127">
        <f t="shared" si="285"/>
        <v>1</v>
      </c>
      <c r="BJ371" s="127">
        <f t="shared" si="286"/>
        <v>3</v>
      </c>
      <c r="BK371" s="127">
        <f t="shared" si="287"/>
        <v>2</v>
      </c>
      <c r="BL371" s="127" t="str">
        <f t="shared" si="288"/>
        <v>132</v>
      </c>
      <c r="BS371"/>
      <c r="CL371" s="28">
        <v>162</v>
      </c>
      <c r="CM371" s="28">
        <v>160</v>
      </c>
      <c r="CO371"/>
    </row>
    <row r="372" spans="1:93" ht="16.5" hidden="1">
      <c r="B372" s="17">
        <v>368</v>
      </c>
      <c r="C372" s="363" t="s">
        <v>398</v>
      </c>
      <c r="D372" s="18">
        <v>7</v>
      </c>
      <c r="E372" s="20">
        <v>1465825115</v>
      </c>
      <c r="F372" s="18">
        <v>38</v>
      </c>
      <c r="G372" s="20">
        <v>45003403</v>
      </c>
      <c r="H372" s="20">
        <v>1195</v>
      </c>
      <c r="I372" s="20">
        <v>1431071</v>
      </c>
      <c r="J372" s="20">
        <v>57581</v>
      </c>
      <c r="K372" s="20">
        <v>59400</v>
      </c>
      <c r="L372" s="20">
        <v>954346</v>
      </c>
      <c r="M372" s="20">
        <v>5000</v>
      </c>
      <c r="N372" s="167">
        <v>11</v>
      </c>
      <c r="O372" s="167">
        <v>21</v>
      </c>
      <c r="P372" s="167">
        <v>24</v>
      </c>
      <c r="Q372" s="167">
        <v>30</v>
      </c>
      <c r="R372" s="167">
        <v>39</v>
      </c>
      <c r="S372" s="167">
        <v>45</v>
      </c>
      <c r="T372" s="167">
        <v>26</v>
      </c>
      <c r="U372" s="28">
        <f t="shared" si="261"/>
        <v>170</v>
      </c>
      <c r="W372" s="32" t="str">
        <f t="shared" si="246"/>
        <v>홀수</v>
      </c>
      <c r="X372" s="32" t="str">
        <f t="shared" si="247"/>
        <v>홀수</v>
      </c>
      <c r="Y372" s="32" t="str">
        <f t="shared" si="248"/>
        <v>짝수</v>
      </c>
      <c r="Z372" s="32" t="str">
        <f t="shared" si="249"/>
        <v>짝수</v>
      </c>
      <c r="AA372" s="32" t="str">
        <f t="shared" si="250"/>
        <v>홀수</v>
      </c>
      <c r="AB372" s="32" t="str">
        <f t="shared" si="251"/>
        <v>홀수</v>
      </c>
      <c r="AC372" s="58" t="str">
        <f t="shared" si="252"/>
        <v>4 : 2</v>
      </c>
      <c r="AD372" s="32">
        <f t="shared" si="253"/>
        <v>4</v>
      </c>
      <c r="AE372" s="32">
        <f t="shared" si="254"/>
        <v>2</v>
      </c>
      <c r="AF372" s="66" t="str">
        <f t="shared" si="262"/>
        <v>저수</v>
      </c>
      <c r="AG372" s="66" t="str">
        <f t="shared" si="263"/>
        <v>저수</v>
      </c>
      <c r="AH372" s="66" t="str">
        <f t="shared" si="264"/>
        <v>고수</v>
      </c>
      <c r="AI372" s="66" t="str">
        <f t="shared" si="265"/>
        <v>고수</v>
      </c>
      <c r="AJ372" s="66" t="str">
        <f t="shared" si="266"/>
        <v>고수</v>
      </c>
      <c r="AK372" s="66" t="str">
        <f t="shared" si="267"/>
        <v>고수</v>
      </c>
      <c r="AL372" s="58" t="str">
        <f t="shared" si="268"/>
        <v>2 : 4</v>
      </c>
      <c r="AM372" s="66">
        <f t="shared" si="269"/>
        <v>2</v>
      </c>
      <c r="AN372" s="66">
        <f t="shared" si="270"/>
        <v>4</v>
      </c>
      <c r="AO372" s="66">
        <f t="shared" si="271"/>
        <v>20</v>
      </c>
      <c r="AP372" s="66" t="str">
        <f t="shared" si="272"/>
        <v>O</v>
      </c>
      <c r="AQ372" s="66" t="str">
        <f t="shared" si="273"/>
        <v>X</v>
      </c>
      <c r="AR372" s="66" t="str">
        <f t="shared" si="274"/>
        <v>X</v>
      </c>
      <c r="AS372" s="66" t="str">
        <f t="shared" si="275"/>
        <v>X</v>
      </c>
      <c r="AT372" s="66" t="str">
        <f t="shared" si="276"/>
        <v>X</v>
      </c>
      <c r="AU372" s="66" t="str">
        <f t="shared" si="277"/>
        <v>X</v>
      </c>
      <c r="AV372" s="66" t="str">
        <f t="shared" si="278"/>
        <v>X</v>
      </c>
      <c r="AW372" s="66" t="str">
        <f t="shared" si="279"/>
        <v>X</v>
      </c>
      <c r="AX372" s="66" t="str">
        <f t="shared" si="280"/>
        <v>X</v>
      </c>
      <c r="AY372" s="66" t="str">
        <f t="shared" si="281"/>
        <v>X</v>
      </c>
      <c r="AZ372" s="66" t="str">
        <f t="shared" si="282"/>
        <v>X</v>
      </c>
      <c r="BA372" s="66" t="str">
        <f t="shared" si="283"/>
        <v>X</v>
      </c>
      <c r="BB372" s="66">
        <f t="shared" si="284"/>
        <v>1</v>
      </c>
      <c r="BC372" s="127" t="str">
        <f t="shared" si="255"/>
        <v>1G</v>
      </c>
      <c r="BD372" s="127" t="str">
        <f t="shared" si="256"/>
        <v>2G</v>
      </c>
      <c r="BE372" s="127" t="str">
        <f t="shared" si="257"/>
        <v>2G</v>
      </c>
      <c r="BF372" s="127" t="str">
        <f t="shared" si="258"/>
        <v>2G</v>
      </c>
      <c r="BG372" s="127" t="str">
        <f t="shared" si="259"/>
        <v>3G</v>
      </c>
      <c r="BH372" s="127" t="str">
        <f t="shared" si="260"/>
        <v>3G</v>
      </c>
      <c r="BI372" s="127">
        <f t="shared" si="285"/>
        <v>1</v>
      </c>
      <c r="BJ372" s="127">
        <f t="shared" si="286"/>
        <v>3</v>
      </c>
      <c r="BK372" s="127">
        <f t="shared" si="287"/>
        <v>2</v>
      </c>
      <c r="BL372" s="127" t="str">
        <f t="shared" si="288"/>
        <v>132</v>
      </c>
      <c r="BS372"/>
      <c r="CL372" s="28">
        <v>162</v>
      </c>
      <c r="CM372" s="28">
        <v>160</v>
      </c>
      <c r="CO372"/>
    </row>
    <row r="373" spans="1:93" ht="16.5" hidden="1">
      <c r="B373" s="17">
        <v>369</v>
      </c>
      <c r="C373" s="363" t="s">
        <v>399</v>
      </c>
      <c r="D373" s="18">
        <v>6</v>
      </c>
      <c r="E373" s="20">
        <v>1842177750</v>
      </c>
      <c r="F373" s="18">
        <v>31</v>
      </c>
      <c r="G373" s="20">
        <v>59425089</v>
      </c>
      <c r="H373" s="20">
        <v>1157</v>
      </c>
      <c r="I373" s="20">
        <v>1592203</v>
      </c>
      <c r="J373" s="20">
        <v>59383</v>
      </c>
      <c r="K373" s="20">
        <v>62044</v>
      </c>
      <c r="L373" s="20">
        <v>987272</v>
      </c>
      <c r="M373" s="20">
        <v>5000</v>
      </c>
      <c r="N373" s="167">
        <v>17</v>
      </c>
      <c r="O373" s="167">
        <v>20</v>
      </c>
      <c r="P373" s="167">
        <v>35</v>
      </c>
      <c r="Q373" s="167">
        <v>36</v>
      </c>
      <c r="R373" s="167">
        <v>41</v>
      </c>
      <c r="S373" s="167">
        <v>43</v>
      </c>
      <c r="T373" s="167">
        <v>21</v>
      </c>
      <c r="U373" s="28">
        <f t="shared" si="261"/>
        <v>192</v>
      </c>
      <c r="W373" s="32" t="str">
        <f t="shared" si="246"/>
        <v>홀수</v>
      </c>
      <c r="X373" s="32" t="str">
        <f t="shared" si="247"/>
        <v>짝수</v>
      </c>
      <c r="Y373" s="32" t="str">
        <f t="shared" si="248"/>
        <v>홀수</v>
      </c>
      <c r="Z373" s="32" t="str">
        <f t="shared" si="249"/>
        <v>짝수</v>
      </c>
      <c r="AA373" s="32" t="str">
        <f t="shared" si="250"/>
        <v>홀수</v>
      </c>
      <c r="AB373" s="32" t="str">
        <f t="shared" si="251"/>
        <v>홀수</v>
      </c>
      <c r="AC373" s="58" t="str">
        <f t="shared" si="252"/>
        <v>4 : 2</v>
      </c>
      <c r="AD373" s="32">
        <f t="shared" si="253"/>
        <v>4</v>
      </c>
      <c r="AE373" s="32">
        <f t="shared" si="254"/>
        <v>2</v>
      </c>
      <c r="AF373" s="66" t="str">
        <f t="shared" si="262"/>
        <v>저수</v>
      </c>
      <c r="AG373" s="66" t="str">
        <f t="shared" si="263"/>
        <v>저수</v>
      </c>
      <c r="AH373" s="66" t="str">
        <f t="shared" si="264"/>
        <v>고수</v>
      </c>
      <c r="AI373" s="66" t="str">
        <f t="shared" si="265"/>
        <v>고수</v>
      </c>
      <c r="AJ373" s="66" t="str">
        <f t="shared" si="266"/>
        <v>고수</v>
      </c>
      <c r="AK373" s="66" t="str">
        <f t="shared" si="267"/>
        <v>고수</v>
      </c>
      <c r="AL373" s="58" t="str">
        <f t="shared" si="268"/>
        <v>2 : 4</v>
      </c>
      <c r="AM373" s="66">
        <f t="shared" si="269"/>
        <v>2</v>
      </c>
      <c r="AN373" s="66">
        <f t="shared" si="270"/>
        <v>4</v>
      </c>
      <c r="AO373" s="66">
        <f t="shared" si="271"/>
        <v>22</v>
      </c>
      <c r="AP373" s="66" t="str">
        <f t="shared" si="272"/>
        <v>O</v>
      </c>
      <c r="AQ373" s="66" t="str">
        <f t="shared" si="273"/>
        <v>X</v>
      </c>
      <c r="AR373" s="66" t="str">
        <f t="shared" si="274"/>
        <v>X</v>
      </c>
      <c r="AS373" s="66" t="str">
        <f t="shared" si="275"/>
        <v>X</v>
      </c>
      <c r="AT373" s="66" t="str">
        <f t="shared" si="276"/>
        <v>X</v>
      </c>
      <c r="AU373" s="66" t="str">
        <f t="shared" si="277"/>
        <v>X</v>
      </c>
      <c r="AV373" s="66" t="str">
        <f t="shared" si="278"/>
        <v>X</v>
      </c>
      <c r="AW373" s="66" t="str">
        <f t="shared" si="279"/>
        <v>X</v>
      </c>
      <c r="AX373" s="66" t="str">
        <f t="shared" si="280"/>
        <v>X</v>
      </c>
      <c r="AY373" s="66" t="str">
        <f t="shared" si="281"/>
        <v>X</v>
      </c>
      <c r="AZ373" s="66" t="str">
        <f t="shared" si="282"/>
        <v>O</v>
      </c>
      <c r="BA373" s="66" t="str">
        <f t="shared" si="283"/>
        <v>O</v>
      </c>
      <c r="BB373" s="66">
        <f t="shared" si="284"/>
        <v>3</v>
      </c>
      <c r="BC373" s="127" t="str">
        <f t="shared" si="255"/>
        <v>2G</v>
      </c>
      <c r="BD373" s="127" t="str">
        <f t="shared" si="256"/>
        <v>2G</v>
      </c>
      <c r="BE373" s="127" t="str">
        <f t="shared" si="257"/>
        <v>3G</v>
      </c>
      <c r="BF373" s="127" t="str">
        <f t="shared" si="258"/>
        <v>3G</v>
      </c>
      <c r="BG373" s="127" t="str">
        <f t="shared" si="259"/>
        <v>3G</v>
      </c>
      <c r="BH373" s="127" t="str">
        <f t="shared" si="260"/>
        <v>3G</v>
      </c>
      <c r="BI373" s="127">
        <f t="shared" si="285"/>
        <v>0</v>
      </c>
      <c r="BJ373" s="127">
        <f t="shared" si="286"/>
        <v>2</v>
      </c>
      <c r="BK373" s="127">
        <f t="shared" si="287"/>
        <v>4</v>
      </c>
      <c r="BL373" s="127" t="str">
        <f t="shared" si="288"/>
        <v>024</v>
      </c>
      <c r="BS373"/>
      <c r="CL373" s="28">
        <v>163</v>
      </c>
      <c r="CM373" s="28">
        <v>160</v>
      </c>
      <c r="CO373"/>
    </row>
    <row r="374" spans="1:93" ht="16.5" hidden="1">
      <c r="A374" s="18">
        <v>2010</v>
      </c>
      <c r="B374" s="17">
        <v>370</v>
      </c>
      <c r="C374" s="363" t="s">
        <v>400</v>
      </c>
      <c r="D374" s="18">
        <v>7</v>
      </c>
      <c r="E374" s="20">
        <v>1678941943</v>
      </c>
      <c r="F374" s="18">
        <v>32</v>
      </c>
      <c r="G374" s="20">
        <v>61211425</v>
      </c>
      <c r="H374" s="20">
        <v>1168</v>
      </c>
      <c r="I374" s="20">
        <v>1677026</v>
      </c>
      <c r="J374" s="20">
        <v>60549</v>
      </c>
      <c r="K374" s="20">
        <v>64701</v>
      </c>
      <c r="L374" s="20">
        <v>1058734</v>
      </c>
      <c r="M374" s="20">
        <v>5000</v>
      </c>
      <c r="N374" s="167">
        <v>16</v>
      </c>
      <c r="O374" s="167">
        <v>18</v>
      </c>
      <c r="P374" s="167">
        <v>24</v>
      </c>
      <c r="Q374" s="167">
        <v>42</v>
      </c>
      <c r="R374" s="167">
        <v>44</v>
      </c>
      <c r="S374" s="167">
        <v>45</v>
      </c>
      <c r="T374" s="167">
        <v>17</v>
      </c>
      <c r="U374" s="28">
        <f t="shared" si="261"/>
        <v>189</v>
      </c>
      <c r="W374" s="32" t="str">
        <f t="shared" ref="W374:W437" si="289">IF(RIGHT(N374,1)="1","홀수",IF(RIGHT(N374,1)="3","홀수",IF(RIGHT(N374,1)="5","홀수",IF(RIGHT(N374,1)="7","홀수",IF(RIGHT(N374,1)="9","홀수","짝수")))))</f>
        <v>짝수</v>
      </c>
      <c r="X374" s="32" t="str">
        <f t="shared" ref="X374:X437" si="290">IF(RIGHT(O374,1)="1","홀수",IF(RIGHT(O374,1)="3","홀수",IF(RIGHT(O374,1)="5","홀수",IF(RIGHT(O374,1)="7","홀수",IF(RIGHT(O374,1)="9","홀수","짝수")))))</f>
        <v>짝수</v>
      </c>
      <c r="Y374" s="32" t="str">
        <f t="shared" ref="Y374:Y437" si="291">IF(RIGHT(P374,1)="1","홀수",IF(RIGHT(P374,1)="3","홀수",IF(RIGHT(P374,1)="5","홀수",IF(RIGHT(P374,1)="7","홀수",IF(RIGHT(P374,1)="9","홀수","짝수")))))</f>
        <v>짝수</v>
      </c>
      <c r="Z374" s="32" t="str">
        <f t="shared" ref="Z374:Z437" si="292">IF(RIGHT(Q374,1)="1","홀수",IF(RIGHT(Q374,1)="3","홀수",IF(RIGHT(Q374,1)="5","홀수",IF(RIGHT(Q374,1)="7","홀수",IF(RIGHT(Q374,1)="9","홀수","짝수")))))</f>
        <v>짝수</v>
      </c>
      <c r="AA374" s="32" t="str">
        <f t="shared" ref="AA374:AA437" si="293">IF(RIGHT(R374,1)="1","홀수",IF(RIGHT(R374,1)="3","홀수",IF(RIGHT(R374,1)="5","홀수",IF(RIGHT(R374,1)="7","홀수",IF(RIGHT(R374,1)="9","홀수","짝수")))))</f>
        <v>짝수</v>
      </c>
      <c r="AB374" s="32" t="str">
        <f t="shared" ref="AB374:AB437" si="294">IF(RIGHT(S374,1)="1","홀수",IF(RIGHT(S374,1)="3","홀수",IF(RIGHT(S374,1)="5","홀수",IF(RIGHT(S374,1)="7","홀수",IF(RIGHT(S374,1)="9","홀수","짝수")))))</f>
        <v>홀수</v>
      </c>
      <c r="AC374" s="58" t="str">
        <f t="shared" ref="AC374:AC437" si="295">AD374&amp;" : "&amp;AE374</f>
        <v>1 : 5</v>
      </c>
      <c r="AD374" s="32">
        <f t="shared" ref="AD374:AD437" si="296">COUNTIF(W374:AB374,"홀수")</f>
        <v>1</v>
      </c>
      <c r="AE374" s="32">
        <f t="shared" ref="AE374:AE437" si="297">COUNTIF(W374:AB374,"짝수")</f>
        <v>5</v>
      </c>
      <c r="AF374" s="66" t="str">
        <f t="shared" si="262"/>
        <v>저수</v>
      </c>
      <c r="AG374" s="66" t="str">
        <f t="shared" si="263"/>
        <v>저수</v>
      </c>
      <c r="AH374" s="66" t="str">
        <f t="shared" si="264"/>
        <v>고수</v>
      </c>
      <c r="AI374" s="66" t="str">
        <f t="shared" si="265"/>
        <v>고수</v>
      </c>
      <c r="AJ374" s="66" t="str">
        <f t="shared" si="266"/>
        <v>고수</v>
      </c>
      <c r="AK374" s="66" t="str">
        <f t="shared" si="267"/>
        <v>고수</v>
      </c>
      <c r="AL374" s="58" t="str">
        <f t="shared" si="268"/>
        <v>2 : 4</v>
      </c>
      <c r="AM374" s="66">
        <f t="shared" si="269"/>
        <v>2</v>
      </c>
      <c r="AN374" s="66">
        <f t="shared" si="270"/>
        <v>4</v>
      </c>
      <c r="AO374" s="66">
        <f t="shared" si="271"/>
        <v>29</v>
      </c>
      <c r="AP374" s="66" t="str">
        <f t="shared" si="272"/>
        <v>X</v>
      </c>
      <c r="AQ374" s="66" t="str">
        <f t="shared" si="273"/>
        <v>X</v>
      </c>
      <c r="AR374" s="66" t="str">
        <f t="shared" si="274"/>
        <v>X</v>
      </c>
      <c r="AS374" s="66" t="str">
        <f t="shared" si="275"/>
        <v>X</v>
      </c>
      <c r="AT374" s="66" t="str">
        <f t="shared" si="276"/>
        <v>X</v>
      </c>
      <c r="AU374" s="66" t="str">
        <f t="shared" si="277"/>
        <v>X</v>
      </c>
      <c r="AV374" s="66" t="str">
        <f t="shared" si="278"/>
        <v>X</v>
      </c>
      <c r="AW374" s="66" t="str">
        <f t="shared" si="279"/>
        <v>X</v>
      </c>
      <c r="AX374" s="66" t="str">
        <f t="shared" si="280"/>
        <v>X</v>
      </c>
      <c r="AY374" s="66" t="str">
        <f t="shared" si="281"/>
        <v>X</v>
      </c>
      <c r="AZ374" s="66" t="str">
        <f t="shared" si="282"/>
        <v>X</v>
      </c>
      <c r="BA374" s="66" t="str">
        <f t="shared" si="283"/>
        <v>X</v>
      </c>
      <c r="BB374" s="66">
        <f t="shared" si="284"/>
        <v>0</v>
      </c>
      <c r="BC374" s="127" t="str">
        <f t="shared" si="255"/>
        <v>2G</v>
      </c>
      <c r="BD374" s="127" t="str">
        <f t="shared" si="256"/>
        <v>2G</v>
      </c>
      <c r="BE374" s="127" t="str">
        <f t="shared" si="257"/>
        <v>2G</v>
      </c>
      <c r="BF374" s="127" t="str">
        <f t="shared" si="258"/>
        <v>3G</v>
      </c>
      <c r="BG374" s="127" t="str">
        <f t="shared" si="259"/>
        <v>3G</v>
      </c>
      <c r="BH374" s="127" t="str">
        <f t="shared" si="260"/>
        <v>3G</v>
      </c>
      <c r="BI374" s="127">
        <f t="shared" si="285"/>
        <v>0</v>
      </c>
      <c r="BJ374" s="127">
        <f t="shared" si="286"/>
        <v>3</v>
      </c>
      <c r="BK374" s="127">
        <f t="shared" si="287"/>
        <v>3</v>
      </c>
      <c r="BL374" s="127" t="str">
        <f t="shared" si="288"/>
        <v>033</v>
      </c>
      <c r="BS374"/>
      <c r="CL374" s="28">
        <v>163</v>
      </c>
      <c r="CM374" s="28">
        <v>160</v>
      </c>
      <c r="CO374"/>
    </row>
    <row r="375" spans="1:93" ht="16.5" hidden="1">
      <c r="B375" s="17">
        <v>371</v>
      </c>
      <c r="C375" s="363" t="s">
        <v>401</v>
      </c>
      <c r="D375" s="18">
        <v>7</v>
      </c>
      <c r="E375" s="20">
        <v>1524130543</v>
      </c>
      <c r="F375" s="18">
        <v>29</v>
      </c>
      <c r="G375" s="20">
        <v>61315597</v>
      </c>
      <c r="H375" s="20">
        <v>1201</v>
      </c>
      <c r="I375" s="20">
        <v>1480560</v>
      </c>
      <c r="J375" s="20">
        <v>62102</v>
      </c>
      <c r="K375" s="20">
        <v>57266</v>
      </c>
      <c r="L375" s="20">
        <v>1028012</v>
      </c>
      <c r="M375" s="20">
        <v>5000</v>
      </c>
      <c r="N375" s="167">
        <v>7</v>
      </c>
      <c r="O375" s="167">
        <v>9</v>
      </c>
      <c r="P375" s="167">
        <v>15</v>
      </c>
      <c r="Q375" s="167">
        <v>26</v>
      </c>
      <c r="R375" s="167">
        <v>27</v>
      </c>
      <c r="S375" s="167">
        <v>42</v>
      </c>
      <c r="T375" s="167">
        <v>18</v>
      </c>
      <c r="U375" s="28">
        <f t="shared" si="261"/>
        <v>126</v>
      </c>
      <c r="W375" s="32" t="str">
        <f t="shared" si="289"/>
        <v>홀수</v>
      </c>
      <c r="X375" s="32" t="str">
        <f t="shared" si="290"/>
        <v>홀수</v>
      </c>
      <c r="Y375" s="32" t="str">
        <f t="shared" si="291"/>
        <v>홀수</v>
      </c>
      <c r="Z375" s="32" t="str">
        <f t="shared" si="292"/>
        <v>짝수</v>
      </c>
      <c r="AA375" s="32" t="str">
        <f t="shared" si="293"/>
        <v>홀수</v>
      </c>
      <c r="AB375" s="32" t="str">
        <f t="shared" si="294"/>
        <v>짝수</v>
      </c>
      <c r="AC375" s="58" t="str">
        <f t="shared" si="295"/>
        <v>4 : 2</v>
      </c>
      <c r="AD375" s="32">
        <f t="shared" si="296"/>
        <v>4</v>
      </c>
      <c r="AE375" s="32">
        <f t="shared" si="297"/>
        <v>2</v>
      </c>
      <c r="AF375" s="66" t="str">
        <f t="shared" si="262"/>
        <v>저수</v>
      </c>
      <c r="AG375" s="66" t="str">
        <f t="shared" si="263"/>
        <v>저수</v>
      </c>
      <c r="AH375" s="66" t="str">
        <f t="shared" si="264"/>
        <v>저수</v>
      </c>
      <c r="AI375" s="66" t="str">
        <f t="shared" si="265"/>
        <v>고수</v>
      </c>
      <c r="AJ375" s="66" t="str">
        <f t="shared" si="266"/>
        <v>고수</v>
      </c>
      <c r="AK375" s="66" t="str">
        <f t="shared" si="267"/>
        <v>고수</v>
      </c>
      <c r="AL375" s="58" t="str">
        <f t="shared" si="268"/>
        <v>3 : 3</v>
      </c>
      <c r="AM375" s="66">
        <f t="shared" si="269"/>
        <v>3</v>
      </c>
      <c r="AN375" s="66">
        <f t="shared" si="270"/>
        <v>3</v>
      </c>
      <c r="AO375" s="66">
        <f t="shared" si="271"/>
        <v>36</v>
      </c>
      <c r="AP375" s="66" t="str">
        <f t="shared" si="272"/>
        <v>O</v>
      </c>
      <c r="AQ375" s="66" t="str">
        <f t="shared" si="273"/>
        <v>X</v>
      </c>
      <c r="AR375" s="66" t="str">
        <f t="shared" si="274"/>
        <v>X</v>
      </c>
      <c r="AS375" s="66" t="str">
        <f t="shared" si="275"/>
        <v>X</v>
      </c>
      <c r="AT375" s="66" t="str">
        <f t="shared" si="276"/>
        <v>X</v>
      </c>
      <c r="AU375" s="66" t="str">
        <f t="shared" si="277"/>
        <v>X</v>
      </c>
      <c r="AV375" s="66" t="str">
        <f t="shared" si="278"/>
        <v>X</v>
      </c>
      <c r="AW375" s="66" t="str">
        <f t="shared" si="279"/>
        <v>X</v>
      </c>
      <c r="AX375" s="66" t="str">
        <f t="shared" si="280"/>
        <v>X</v>
      </c>
      <c r="AY375" s="66" t="str">
        <f t="shared" si="281"/>
        <v>X</v>
      </c>
      <c r="AZ375" s="66" t="str">
        <f t="shared" si="282"/>
        <v>X</v>
      </c>
      <c r="BA375" s="66" t="str">
        <f t="shared" si="283"/>
        <v>X</v>
      </c>
      <c r="BB375" s="66">
        <f t="shared" si="284"/>
        <v>1</v>
      </c>
      <c r="BC375" s="127" t="str">
        <f t="shared" si="255"/>
        <v>1G</v>
      </c>
      <c r="BD375" s="127" t="str">
        <f t="shared" si="256"/>
        <v>1G</v>
      </c>
      <c r="BE375" s="127" t="str">
        <f t="shared" si="257"/>
        <v>1G</v>
      </c>
      <c r="BF375" s="127" t="str">
        <f t="shared" si="258"/>
        <v>2G</v>
      </c>
      <c r="BG375" s="127" t="str">
        <f t="shared" si="259"/>
        <v>2G</v>
      </c>
      <c r="BH375" s="127" t="str">
        <f t="shared" si="260"/>
        <v>3G</v>
      </c>
      <c r="BI375" s="127">
        <f t="shared" si="285"/>
        <v>3</v>
      </c>
      <c r="BJ375" s="127">
        <f t="shared" si="286"/>
        <v>2</v>
      </c>
      <c r="BK375" s="127">
        <f t="shared" si="287"/>
        <v>1</v>
      </c>
      <c r="BL375" s="127" t="str">
        <f t="shared" si="288"/>
        <v>321</v>
      </c>
      <c r="BS375"/>
      <c r="CL375" s="28">
        <v>163</v>
      </c>
      <c r="CM375" s="28">
        <v>160</v>
      </c>
      <c r="CO375"/>
    </row>
    <row r="376" spans="1:93" ht="16.5" hidden="1">
      <c r="B376" s="17">
        <v>372</v>
      </c>
      <c r="C376" s="363" t="s">
        <v>402</v>
      </c>
      <c r="D376" s="18">
        <v>9</v>
      </c>
      <c r="E376" s="20">
        <v>1192593200</v>
      </c>
      <c r="F376" s="18">
        <v>37</v>
      </c>
      <c r="G376" s="20">
        <v>48348373</v>
      </c>
      <c r="H376" s="20">
        <v>1368</v>
      </c>
      <c r="I376" s="20">
        <v>1307668</v>
      </c>
      <c r="J376" s="20">
        <v>62564</v>
      </c>
      <c r="K376" s="20">
        <v>57186</v>
      </c>
      <c r="L376" s="20">
        <v>1038927</v>
      </c>
      <c r="M376" s="20">
        <v>5000</v>
      </c>
      <c r="N376" s="167">
        <v>8</v>
      </c>
      <c r="O376" s="167">
        <v>11</v>
      </c>
      <c r="P376" s="167">
        <v>14</v>
      </c>
      <c r="Q376" s="167">
        <v>16</v>
      </c>
      <c r="R376" s="167">
        <v>18</v>
      </c>
      <c r="S376" s="167">
        <v>21</v>
      </c>
      <c r="T376" s="167">
        <v>13</v>
      </c>
      <c r="U376" s="28">
        <f t="shared" si="261"/>
        <v>88</v>
      </c>
      <c r="W376" s="32" t="str">
        <f t="shared" si="289"/>
        <v>짝수</v>
      </c>
      <c r="X376" s="32" t="str">
        <f t="shared" si="290"/>
        <v>홀수</v>
      </c>
      <c r="Y376" s="32" t="str">
        <f t="shared" si="291"/>
        <v>짝수</v>
      </c>
      <c r="Z376" s="32" t="str">
        <f t="shared" si="292"/>
        <v>짝수</v>
      </c>
      <c r="AA376" s="32" t="str">
        <f t="shared" si="293"/>
        <v>짝수</v>
      </c>
      <c r="AB376" s="32" t="str">
        <f t="shared" si="294"/>
        <v>홀수</v>
      </c>
      <c r="AC376" s="58" t="str">
        <f t="shared" si="295"/>
        <v>2 : 4</v>
      </c>
      <c r="AD376" s="32">
        <f t="shared" si="296"/>
        <v>2</v>
      </c>
      <c r="AE376" s="32">
        <f t="shared" si="297"/>
        <v>4</v>
      </c>
      <c r="AF376" s="66" t="str">
        <f t="shared" si="262"/>
        <v>저수</v>
      </c>
      <c r="AG376" s="66" t="str">
        <f t="shared" si="263"/>
        <v>저수</v>
      </c>
      <c r="AH376" s="66" t="str">
        <f t="shared" si="264"/>
        <v>저수</v>
      </c>
      <c r="AI376" s="66" t="str">
        <f t="shared" si="265"/>
        <v>저수</v>
      </c>
      <c r="AJ376" s="66" t="str">
        <f t="shared" si="266"/>
        <v>저수</v>
      </c>
      <c r="AK376" s="66" t="str">
        <f t="shared" si="267"/>
        <v>저수</v>
      </c>
      <c r="AL376" s="58" t="str">
        <f t="shared" si="268"/>
        <v>6 : 0</v>
      </c>
      <c r="AM376" s="66">
        <f t="shared" si="269"/>
        <v>6</v>
      </c>
      <c r="AN376" s="66">
        <f t="shared" si="270"/>
        <v>0</v>
      </c>
      <c r="AO376" s="66">
        <f t="shared" si="271"/>
        <v>28</v>
      </c>
      <c r="AP376" s="66" t="str">
        <f t="shared" si="272"/>
        <v>X</v>
      </c>
      <c r="AQ376" s="66" t="str">
        <f t="shared" si="273"/>
        <v>O</v>
      </c>
      <c r="AR376" s="66" t="str">
        <f t="shared" si="274"/>
        <v>X</v>
      </c>
      <c r="AS376" s="66" t="str">
        <f t="shared" si="275"/>
        <v>X</v>
      </c>
      <c r="AT376" s="66" t="str">
        <f t="shared" si="276"/>
        <v>X</v>
      </c>
      <c r="AU376" s="66" t="str">
        <f t="shared" si="277"/>
        <v>X</v>
      </c>
      <c r="AV376" s="66" t="str">
        <f t="shared" si="278"/>
        <v>X</v>
      </c>
      <c r="AW376" s="66" t="str">
        <f t="shared" si="279"/>
        <v>X</v>
      </c>
      <c r="AX376" s="66" t="str">
        <f t="shared" si="280"/>
        <v>X</v>
      </c>
      <c r="AY376" s="66" t="str">
        <f t="shared" si="281"/>
        <v>X</v>
      </c>
      <c r="AZ376" s="66" t="str">
        <f t="shared" si="282"/>
        <v>X</v>
      </c>
      <c r="BA376" s="66" t="str">
        <f t="shared" si="283"/>
        <v>X</v>
      </c>
      <c r="BB376" s="66">
        <f t="shared" si="284"/>
        <v>1</v>
      </c>
      <c r="BC376" s="127" t="str">
        <f t="shared" si="255"/>
        <v>1G</v>
      </c>
      <c r="BD376" s="127" t="str">
        <f t="shared" si="256"/>
        <v>1G</v>
      </c>
      <c r="BE376" s="127" t="str">
        <f t="shared" si="257"/>
        <v>1G</v>
      </c>
      <c r="BF376" s="127" t="str">
        <f t="shared" si="258"/>
        <v>2G</v>
      </c>
      <c r="BG376" s="127" t="str">
        <f t="shared" si="259"/>
        <v>2G</v>
      </c>
      <c r="BH376" s="127" t="str">
        <f t="shared" si="260"/>
        <v>2G</v>
      </c>
      <c r="BI376" s="127">
        <f t="shared" si="285"/>
        <v>3</v>
      </c>
      <c r="BJ376" s="127">
        <f t="shared" si="286"/>
        <v>3</v>
      </c>
      <c r="BK376" s="127">
        <f t="shared" si="287"/>
        <v>0</v>
      </c>
      <c r="BL376" s="127" t="str">
        <f t="shared" si="288"/>
        <v>330</v>
      </c>
      <c r="BS376"/>
      <c r="CL376" s="28">
        <v>163</v>
      </c>
      <c r="CM376" s="28">
        <v>160</v>
      </c>
      <c r="CO376"/>
    </row>
    <row r="377" spans="1:93" ht="16.5" hidden="1">
      <c r="B377" s="17">
        <v>373</v>
      </c>
      <c r="C377" s="363" t="s">
        <v>403</v>
      </c>
      <c r="D377" s="18">
        <v>4</v>
      </c>
      <c r="E377" s="20">
        <v>2791801125</v>
      </c>
      <c r="F377" s="18">
        <v>29</v>
      </c>
      <c r="G377" s="20">
        <v>64179337</v>
      </c>
      <c r="H377" s="20">
        <v>1117</v>
      </c>
      <c r="I377" s="20">
        <v>1666250</v>
      </c>
      <c r="J377" s="20">
        <v>57659</v>
      </c>
      <c r="K377" s="20">
        <v>64559</v>
      </c>
      <c r="L377" s="20">
        <v>987105</v>
      </c>
      <c r="M377" s="20">
        <v>5000</v>
      </c>
      <c r="N377" s="167">
        <v>15</v>
      </c>
      <c r="O377" s="167">
        <v>26</v>
      </c>
      <c r="P377" s="167">
        <v>37</v>
      </c>
      <c r="Q377" s="167">
        <v>42</v>
      </c>
      <c r="R377" s="167">
        <v>43</v>
      </c>
      <c r="S377" s="167">
        <v>45</v>
      </c>
      <c r="T377" s="167">
        <v>9</v>
      </c>
      <c r="U377" s="28">
        <f t="shared" si="261"/>
        <v>208</v>
      </c>
      <c r="W377" s="32" t="str">
        <f t="shared" si="289"/>
        <v>홀수</v>
      </c>
      <c r="X377" s="32" t="str">
        <f t="shared" si="290"/>
        <v>짝수</v>
      </c>
      <c r="Y377" s="32" t="str">
        <f t="shared" si="291"/>
        <v>홀수</v>
      </c>
      <c r="Z377" s="32" t="str">
        <f t="shared" si="292"/>
        <v>짝수</v>
      </c>
      <c r="AA377" s="32" t="str">
        <f t="shared" si="293"/>
        <v>홀수</v>
      </c>
      <c r="AB377" s="32" t="str">
        <f t="shared" si="294"/>
        <v>홀수</v>
      </c>
      <c r="AC377" s="58" t="str">
        <f t="shared" si="295"/>
        <v>4 : 2</v>
      </c>
      <c r="AD377" s="32">
        <f t="shared" si="296"/>
        <v>4</v>
      </c>
      <c r="AE377" s="32">
        <f t="shared" si="297"/>
        <v>2</v>
      </c>
      <c r="AF377" s="66" t="str">
        <f t="shared" si="262"/>
        <v>저수</v>
      </c>
      <c r="AG377" s="66" t="str">
        <f t="shared" si="263"/>
        <v>고수</v>
      </c>
      <c r="AH377" s="66" t="str">
        <f t="shared" si="264"/>
        <v>고수</v>
      </c>
      <c r="AI377" s="66" t="str">
        <f t="shared" si="265"/>
        <v>고수</v>
      </c>
      <c r="AJ377" s="66" t="str">
        <f t="shared" si="266"/>
        <v>고수</v>
      </c>
      <c r="AK377" s="66" t="str">
        <f t="shared" si="267"/>
        <v>고수</v>
      </c>
      <c r="AL377" s="58" t="str">
        <f t="shared" si="268"/>
        <v>1 : 5</v>
      </c>
      <c r="AM377" s="66">
        <f t="shared" si="269"/>
        <v>1</v>
      </c>
      <c r="AN377" s="66">
        <f t="shared" si="270"/>
        <v>5</v>
      </c>
      <c r="AO377" s="66">
        <f t="shared" si="271"/>
        <v>28</v>
      </c>
      <c r="AP377" s="66" t="str">
        <f t="shared" si="272"/>
        <v>X</v>
      </c>
      <c r="AQ377" s="66" t="str">
        <f t="shared" si="273"/>
        <v>X</v>
      </c>
      <c r="AR377" s="66" t="str">
        <f t="shared" si="274"/>
        <v>X</v>
      </c>
      <c r="AS377" s="66" t="str">
        <f t="shared" si="275"/>
        <v>X</v>
      </c>
      <c r="AT377" s="66" t="str">
        <f t="shared" si="276"/>
        <v>X</v>
      </c>
      <c r="AU377" s="66" t="str">
        <f t="shared" si="277"/>
        <v>X</v>
      </c>
      <c r="AV377" s="66" t="str">
        <f t="shared" si="278"/>
        <v>X</v>
      </c>
      <c r="AW377" s="66" t="str">
        <f t="shared" si="279"/>
        <v>X</v>
      </c>
      <c r="AX377" s="66" t="str">
        <f t="shared" si="280"/>
        <v>O</v>
      </c>
      <c r="AY377" s="66" t="str">
        <f t="shared" si="281"/>
        <v>X</v>
      </c>
      <c r="AZ377" s="66" t="str">
        <f t="shared" si="282"/>
        <v>O</v>
      </c>
      <c r="BA377" s="66" t="str">
        <f t="shared" si="283"/>
        <v>X</v>
      </c>
      <c r="BB377" s="66">
        <f t="shared" si="284"/>
        <v>2</v>
      </c>
      <c r="BC377" s="127" t="str">
        <f t="shared" si="255"/>
        <v>1G</v>
      </c>
      <c r="BD377" s="127" t="str">
        <f t="shared" si="256"/>
        <v>2G</v>
      </c>
      <c r="BE377" s="127" t="str">
        <f t="shared" si="257"/>
        <v>3G</v>
      </c>
      <c r="BF377" s="127" t="str">
        <f t="shared" si="258"/>
        <v>3G</v>
      </c>
      <c r="BG377" s="127" t="str">
        <f t="shared" si="259"/>
        <v>3G</v>
      </c>
      <c r="BH377" s="127" t="str">
        <f t="shared" si="260"/>
        <v>3G</v>
      </c>
      <c r="BI377" s="127">
        <f t="shared" si="285"/>
        <v>1</v>
      </c>
      <c r="BJ377" s="127">
        <f t="shared" si="286"/>
        <v>1</v>
      </c>
      <c r="BK377" s="127">
        <f t="shared" si="287"/>
        <v>4</v>
      </c>
      <c r="BL377" s="127" t="str">
        <f t="shared" si="288"/>
        <v>114</v>
      </c>
      <c r="BS377"/>
      <c r="CL377" s="28">
        <v>164</v>
      </c>
      <c r="CM377" s="28">
        <v>160</v>
      </c>
      <c r="CO377"/>
    </row>
    <row r="378" spans="1:93" ht="16.5" hidden="1">
      <c r="B378" s="17">
        <v>374</v>
      </c>
      <c r="C378" s="363" t="s">
        <v>404</v>
      </c>
      <c r="D378" s="18">
        <v>2</v>
      </c>
      <c r="E378" s="20">
        <v>5528717850</v>
      </c>
      <c r="F378" s="18">
        <v>27</v>
      </c>
      <c r="G378" s="20">
        <v>68255776</v>
      </c>
      <c r="H378" s="20">
        <v>1398</v>
      </c>
      <c r="I378" s="20">
        <v>1318245</v>
      </c>
      <c r="J378" s="20">
        <v>69786</v>
      </c>
      <c r="K378" s="20">
        <v>52816</v>
      </c>
      <c r="L378" s="20">
        <v>1122320</v>
      </c>
      <c r="M378" s="20">
        <v>5000</v>
      </c>
      <c r="N378" s="167">
        <v>11</v>
      </c>
      <c r="O378" s="167">
        <v>13</v>
      </c>
      <c r="P378" s="167">
        <v>15</v>
      </c>
      <c r="Q378" s="167">
        <v>17</v>
      </c>
      <c r="R378" s="167">
        <v>25</v>
      </c>
      <c r="S378" s="167">
        <v>34</v>
      </c>
      <c r="T378" s="167">
        <v>26</v>
      </c>
      <c r="U378" s="28">
        <f t="shared" si="261"/>
        <v>115</v>
      </c>
      <c r="W378" s="32" t="str">
        <f t="shared" si="289"/>
        <v>홀수</v>
      </c>
      <c r="X378" s="32" t="str">
        <f t="shared" si="290"/>
        <v>홀수</v>
      </c>
      <c r="Y378" s="32" t="str">
        <f t="shared" si="291"/>
        <v>홀수</v>
      </c>
      <c r="Z378" s="32" t="str">
        <f t="shared" si="292"/>
        <v>홀수</v>
      </c>
      <c r="AA378" s="32" t="str">
        <f t="shared" si="293"/>
        <v>홀수</v>
      </c>
      <c r="AB378" s="32" t="str">
        <f t="shared" si="294"/>
        <v>짝수</v>
      </c>
      <c r="AC378" s="58" t="str">
        <f t="shared" si="295"/>
        <v>5 : 1</v>
      </c>
      <c r="AD378" s="32">
        <f t="shared" si="296"/>
        <v>5</v>
      </c>
      <c r="AE378" s="32">
        <f t="shared" si="297"/>
        <v>1</v>
      </c>
      <c r="AF378" s="66" t="str">
        <f t="shared" si="262"/>
        <v>저수</v>
      </c>
      <c r="AG378" s="66" t="str">
        <f t="shared" si="263"/>
        <v>저수</v>
      </c>
      <c r="AH378" s="66" t="str">
        <f t="shared" si="264"/>
        <v>저수</v>
      </c>
      <c r="AI378" s="66" t="str">
        <f t="shared" si="265"/>
        <v>저수</v>
      </c>
      <c r="AJ378" s="66" t="str">
        <f t="shared" si="266"/>
        <v>고수</v>
      </c>
      <c r="AK378" s="66" t="str">
        <f t="shared" si="267"/>
        <v>고수</v>
      </c>
      <c r="AL378" s="58" t="str">
        <f t="shared" si="268"/>
        <v>4 : 2</v>
      </c>
      <c r="AM378" s="66">
        <f t="shared" si="269"/>
        <v>4</v>
      </c>
      <c r="AN378" s="66">
        <f t="shared" si="270"/>
        <v>2</v>
      </c>
      <c r="AO378" s="66">
        <f t="shared" si="271"/>
        <v>25</v>
      </c>
      <c r="AP378" s="66" t="str">
        <f t="shared" si="272"/>
        <v>O</v>
      </c>
      <c r="AQ378" s="66" t="str">
        <f t="shared" si="273"/>
        <v>O</v>
      </c>
      <c r="AR378" s="66" t="str">
        <f t="shared" si="274"/>
        <v>X</v>
      </c>
      <c r="AS378" s="66" t="str">
        <f t="shared" si="275"/>
        <v>O</v>
      </c>
      <c r="AT378" s="66" t="str">
        <f t="shared" si="276"/>
        <v>X</v>
      </c>
      <c r="AU378" s="66" t="str">
        <f t="shared" si="277"/>
        <v>X</v>
      </c>
      <c r="AV378" s="66" t="str">
        <f t="shared" si="278"/>
        <v>X</v>
      </c>
      <c r="AW378" s="66" t="str">
        <f t="shared" si="279"/>
        <v>X</v>
      </c>
      <c r="AX378" s="66" t="str">
        <f t="shared" si="280"/>
        <v>X</v>
      </c>
      <c r="AY378" s="66" t="str">
        <f t="shared" si="281"/>
        <v>X</v>
      </c>
      <c r="AZ378" s="66" t="str">
        <f t="shared" si="282"/>
        <v>X</v>
      </c>
      <c r="BA378" s="66" t="str">
        <f t="shared" si="283"/>
        <v>X</v>
      </c>
      <c r="BB378" s="66">
        <f t="shared" si="284"/>
        <v>3</v>
      </c>
      <c r="BC378" s="127" t="str">
        <f t="shared" si="255"/>
        <v>1G</v>
      </c>
      <c r="BD378" s="127" t="str">
        <f t="shared" si="256"/>
        <v>1G</v>
      </c>
      <c r="BE378" s="127" t="str">
        <f t="shared" si="257"/>
        <v>1G</v>
      </c>
      <c r="BF378" s="127" t="str">
        <f t="shared" si="258"/>
        <v>2G</v>
      </c>
      <c r="BG378" s="127" t="str">
        <f t="shared" si="259"/>
        <v>2G</v>
      </c>
      <c r="BH378" s="127" t="str">
        <f t="shared" si="260"/>
        <v>3G</v>
      </c>
      <c r="BI378" s="127">
        <f t="shared" si="285"/>
        <v>3</v>
      </c>
      <c r="BJ378" s="127">
        <f t="shared" si="286"/>
        <v>2</v>
      </c>
      <c r="BK378" s="127">
        <f t="shared" si="287"/>
        <v>1</v>
      </c>
      <c r="BL378" s="127" t="str">
        <f t="shared" si="288"/>
        <v>321</v>
      </c>
      <c r="BS378"/>
      <c r="CL378" s="28">
        <v>164</v>
      </c>
      <c r="CM378" s="28">
        <v>160</v>
      </c>
      <c r="CO378"/>
    </row>
    <row r="379" spans="1:93" ht="16.5" hidden="1">
      <c r="B379" s="17">
        <v>375</v>
      </c>
      <c r="C379" s="363" t="s">
        <v>405</v>
      </c>
      <c r="D379" s="18">
        <v>7</v>
      </c>
      <c r="E379" s="20">
        <v>1581284058</v>
      </c>
      <c r="F379" s="18">
        <v>42</v>
      </c>
      <c r="G379" s="20">
        <v>43924558</v>
      </c>
      <c r="H379" s="20">
        <v>1279</v>
      </c>
      <c r="I379" s="20">
        <v>1442402</v>
      </c>
      <c r="J379" s="20">
        <v>64951</v>
      </c>
      <c r="K379" s="20">
        <v>56807</v>
      </c>
      <c r="L379" s="20">
        <v>1096831</v>
      </c>
      <c r="M379" s="20">
        <v>5000</v>
      </c>
      <c r="N379" s="167">
        <v>4</v>
      </c>
      <c r="O379" s="167">
        <v>8</v>
      </c>
      <c r="P379" s="167">
        <v>19</v>
      </c>
      <c r="Q379" s="167">
        <v>25</v>
      </c>
      <c r="R379" s="167">
        <v>27</v>
      </c>
      <c r="S379" s="167">
        <v>45</v>
      </c>
      <c r="T379" s="167">
        <v>7</v>
      </c>
      <c r="U379" s="28">
        <f t="shared" si="261"/>
        <v>128</v>
      </c>
      <c r="W379" s="32" t="str">
        <f t="shared" si="289"/>
        <v>짝수</v>
      </c>
      <c r="X379" s="32" t="str">
        <f t="shared" si="290"/>
        <v>짝수</v>
      </c>
      <c r="Y379" s="32" t="str">
        <f t="shared" si="291"/>
        <v>홀수</v>
      </c>
      <c r="Z379" s="32" t="str">
        <f t="shared" si="292"/>
        <v>홀수</v>
      </c>
      <c r="AA379" s="32" t="str">
        <f t="shared" si="293"/>
        <v>홀수</v>
      </c>
      <c r="AB379" s="32" t="str">
        <f t="shared" si="294"/>
        <v>홀수</v>
      </c>
      <c r="AC379" s="58" t="str">
        <f t="shared" si="295"/>
        <v>4 : 2</v>
      </c>
      <c r="AD379" s="32">
        <f t="shared" si="296"/>
        <v>4</v>
      </c>
      <c r="AE379" s="32">
        <f t="shared" si="297"/>
        <v>2</v>
      </c>
      <c r="AF379" s="66" t="str">
        <f t="shared" si="262"/>
        <v>저수</v>
      </c>
      <c r="AG379" s="66" t="str">
        <f t="shared" si="263"/>
        <v>저수</v>
      </c>
      <c r="AH379" s="66" t="str">
        <f t="shared" si="264"/>
        <v>저수</v>
      </c>
      <c r="AI379" s="66" t="str">
        <f t="shared" si="265"/>
        <v>고수</v>
      </c>
      <c r="AJ379" s="66" t="str">
        <f t="shared" si="266"/>
        <v>고수</v>
      </c>
      <c r="AK379" s="66" t="str">
        <f t="shared" si="267"/>
        <v>고수</v>
      </c>
      <c r="AL379" s="58" t="str">
        <f t="shared" si="268"/>
        <v>3 : 3</v>
      </c>
      <c r="AM379" s="66">
        <f t="shared" si="269"/>
        <v>3</v>
      </c>
      <c r="AN379" s="66">
        <f t="shared" si="270"/>
        <v>3</v>
      </c>
      <c r="AO379" s="66">
        <f t="shared" si="271"/>
        <v>38</v>
      </c>
      <c r="AP379" s="66" t="str">
        <f t="shared" si="272"/>
        <v>X</v>
      </c>
      <c r="AQ379" s="66" t="str">
        <f t="shared" si="273"/>
        <v>X</v>
      </c>
      <c r="AR379" s="66" t="str">
        <f t="shared" si="274"/>
        <v>O</v>
      </c>
      <c r="AS379" s="66" t="str">
        <f t="shared" si="275"/>
        <v>X</v>
      </c>
      <c r="AT379" s="66" t="str">
        <f t="shared" si="276"/>
        <v>X</v>
      </c>
      <c r="AU379" s="66" t="str">
        <f t="shared" si="277"/>
        <v>X</v>
      </c>
      <c r="AV379" s="66" t="str">
        <f t="shared" si="278"/>
        <v>X</v>
      </c>
      <c r="AW379" s="66" t="str">
        <f t="shared" si="279"/>
        <v>X</v>
      </c>
      <c r="AX379" s="66" t="str">
        <f t="shared" si="280"/>
        <v>X</v>
      </c>
      <c r="AY379" s="66" t="str">
        <f t="shared" si="281"/>
        <v>X</v>
      </c>
      <c r="AZ379" s="66" t="str">
        <f t="shared" si="282"/>
        <v>X</v>
      </c>
      <c r="BA379" s="66" t="str">
        <f t="shared" si="283"/>
        <v>X</v>
      </c>
      <c r="BB379" s="66">
        <f t="shared" si="284"/>
        <v>1</v>
      </c>
      <c r="BC379" s="127" t="str">
        <f t="shared" si="255"/>
        <v>1G</v>
      </c>
      <c r="BD379" s="127" t="str">
        <f t="shared" si="256"/>
        <v>1G</v>
      </c>
      <c r="BE379" s="127" t="str">
        <f t="shared" si="257"/>
        <v>2G</v>
      </c>
      <c r="BF379" s="127" t="str">
        <f t="shared" si="258"/>
        <v>2G</v>
      </c>
      <c r="BG379" s="127" t="str">
        <f t="shared" si="259"/>
        <v>2G</v>
      </c>
      <c r="BH379" s="127" t="str">
        <f t="shared" si="260"/>
        <v>3G</v>
      </c>
      <c r="BI379" s="127">
        <f t="shared" si="285"/>
        <v>2</v>
      </c>
      <c r="BJ379" s="127">
        <f t="shared" si="286"/>
        <v>3</v>
      </c>
      <c r="BK379" s="127">
        <f t="shared" si="287"/>
        <v>1</v>
      </c>
      <c r="BL379" s="127" t="str">
        <f t="shared" si="288"/>
        <v>231</v>
      </c>
      <c r="BS379"/>
      <c r="CL379" s="28">
        <v>164</v>
      </c>
      <c r="CM379" s="28">
        <v>160</v>
      </c>
      <c r="CO379"/>
    </row>
    <row r="380" spans="1:93" ht="16.5" hidden="1">
      <c r="B380" s="17">
        <v>376</v>
      </c>
      <c r="C380" s="363" t="s">
        <v>406</v>
      </c>
      <c r="D380" s="18">
        <v>6</v>
      </c>
      <c r="E380" s="20">
        <v>1956915800</v>
      </c>
      <c r="F380" s="18">
        <v>51</v>
      </c>
      <c r="G380" s="20">
        <v>38370899</v>
      </c>
      <c r="H380" s="20">
        <v>1411</v>
      </c>
      <c r="I380" s="20">
        <v>1386900</v>
      </c>
      <c r="J380" s="20">
        <v>69450</v>
      </c>
      <c r="K380" s="20">
        <v>56355</v>
      </c>
      <c r="L380" s="20">
        <v>1151878</v>
      </c>
      <c r="M380" s="20">
        <v>5000</v>
      </c>
      <c r="N380" s="167">
        <v>1</v>
      </c>
      <c r="O380" s="167">
        <v>11</v>
      </c>
      <c r="P380" s="167">
        <v>13</v>
      </c>
      <c r="Q380" s="167">
        <v>24</v>
      </c>
      <c r="R380" s="167">
        <v>28</v>
      </c>
      <c r="S380" s="167">
        <v>40</v>
      </c>
      <c r="T380" s="167">
        <v>7</v>
      </c>
      <c r="U380" s="28">
        <f t="shared" si="261"/>
        <v>117</v>
      </c>
      <c r="W380" s="32" t="str">
        <f t="shared" si="289"/>
        <v>홀수</v>
      </c>
      <c r="X380" s="32" t="str">
        <f t="shared" si="290"/>
        <v>홀수</v>
      </c>
      <c r="Y380" s="32" t="str">
        <f t="shared" si="291"/>
        <v>홀수</v>
      </c>
      <c r="Z380" s="32" t="str">
        <f t="shared" si="292"/>
        <v>짝수</v>
      </c>
      <c r="AA380" s="32" t="str">
        <f t="shared" si="293"/>
        <v>짝수</v>
      </c>
      <c r="AB380" s="32" t="str">
        <f t="shared" si="294"/>
        <v>짝수</v>
      </c>
      <c r="AC380" s="58" t="str">
        <f t="shared" si="295"/>
        <v>3 : 3</v>
      </c>
      <c r="AD380" s="32">
        <f t="shared" si="296"/>
        <v>3</v>
      </c>
      <c r="AE380" s="32">
        <f t="shared" si="297"/>
        <v>3</v>
      </c>
      <c r="AF380" s="66" t="str">
        <f t="shared" si="262"/>
        <v>저수</v>
      </c>
      <c r="AG380" s="66" t="str">
        <f t="shared" si="263"/>
        <v>저수</v>
      </c>
      <c r="AH380" s="66" t="str">
        <f t="shared" si="264"/>
        <v>저수</v>
      </c>
      <c r="AI380" s="66" t="str">
        <f t="shared" si="265"/>
        <v>고수</v>
      </c>
      <c r="AJ380" s="66" t="str">
        <f t="shared" si="266"/>
        <v>고수</v>
      </c>
      <c r="AK380" s="66" t="str">
        <f t="shared" si="267"/>
        <v>고수</v>
      </c>
      <c r="AL380" s="58" t="str">
        <f t="shared" si="268"/>
        <v>3 : 3</v>
      </c>
      <c r="AM380" s="66">
        <f t="shared" si="269"/>
        <v>3</v>
      </c>
      <c r="AN380" s="66">
        <f t="shared" si="270"/>
        <v>3</v>
      </c>
      <c r="AO380" s="66">
        <f t="shared" si="271"/>
        <v>17</v>
      </c>
      <c r="AP380" s="66" t="str">
        <f t="shared" si="272"/>
        <v>X</v>
      </c>
      <c r="AQ380" s="66" t="str">
        <f t="shared" si="273"/>
        <v>O</v>
      </c>
      <c r="AR380" s="66" t="str">
        <f t="shared" si="274"/>
        <v>O</v>
      </c>
      <c r="AS380" s="66" t="str">
        <f t="shared" si="275"/>
        <v>X</v>
      </c>
      <c r="AT380" s="66" t="str">
        <f t="shared" si="276"/>
        <v>X</v>
      </c>
      <c r="AU380" s="66" t="str">
        <f t="shared" si="277"/>
        <v>X</v>
      </c>
      <c r="AV380" s="66" t="str">
        <f t="shared" si="278"/>
        <v>X</v>
      </c>
      <c r="AW380" s="66" t="str">
        <f t="shared" si="279"/>
        <v>X</v>
      </c>
      <c r="AX380" s="66" t="str">
        <f t="shared" si="280"/>
        <v>X</v>
      </c>
      <c r="AY380" s="66" t="str">
        <f t="shared" si="281"/>
        <v>X</v>
      </c>
      <c r="AZ380" s="66" t="str">
        <f t="shared" si="282"/>
        <v>X</v>
      </c>
      <c r="BA380" s="66" t="str">
        <f t="shared" si="283"/>
        <v>X</v>
      </c>
      <c r="BB380" s="66">
        <f t="shared" si="284"/>
        <v>2</v>
      </c>
      <c r="BC380" s="127" t="str">
        <f t="shared" si="255"/>
        <v>1G</v>
      </c>
      <c r="BD380" s="127" t="str">
        <f t="shared" si="256"/>
        <v>1G</v>
      </c>
      <c r="BE380" s="127" t="str">
        <f t="shared" si="257"/>
        <v>1G</v>
      </c>
      <c r="BF380" s="127" t="str">
        <f t="shared" si="258"/>
        <v>2G</v>
      </c>
      <c r="BG380" s="127" t="str">
        <f t="shared" si="259"/>
        <v>2G</v>
      </c>
      <c r="BH380" s="127" t="str">
        <f t="shared" si="260"/>
        <v>3G</v>
      </c>
      <c r="BI380" s="127">
        <f t="shared" si="285"/>
        <v>3</v>
      </c>
      <c r="BJ380" s="127">
        <f t="shared" si="286"/>
        <v>2</v>
      </c>
      <c r="BK380" s="127">
        <f t="shared" si="287"/>
        <v>1</v>
      </c>
      <c r="BL380" s="127" t="str">
        <f t="shared" si="288"/>
        <v>321</v>
      </c>
      <c r="BS380"/>
      <c r="CL380" s="28">
        <v>164</v>
      </c>
      <c r="CM380" s="28">
        <v>160</v>
      </c>
      <c r="CO380"/>
    </row>
    <row r="381" spans="1:93" ht="16.5" hidden="1">
      <c r="B381" s="17">
        <v>377</v>
      </c>
      <c r="C381" s="363" t="s">
        <v>407</v>
      </c>
      <c r="D381" s="18">
        <v>3</v>
      </c>
      <c r="E381" s="20">
        <v>3912085400</v>
      </c>
      <c r="F381" s="18">
        <v>22</v>
      </c>
      <c r="G381" s="20">
        <v>88911032</v>
      </c>
      <c r="H381" s="20">
        <v>1198</v>
      </c>
      <c r="I381" s="20">
        <v>1632757</v>
      </c>
      <c r="J381" s="20">
        <v>58733</v>
      </c>
      <c r="K381" s="20">
        <v>66608</v>
      </c>
      <c r="L381" s="20">
        <v>1009758</v>
      </c>
      <c r="M381" s="20">
        <v>5000</v>
      </c>
      <c r="N381" s="167">
        <v>6</v>
      </c>
      <c r="O381" s="167">
        <v>22</v>
      </c>
      <c r="P381" s="167">
        <v>29</v>
      </c>
      <c r="Q381" s="167">
        <v>37</v>
      </c>
      <c r="R381" s="167">
        <v>43</v>
      </c>
      <c r="S381" s="167">
        <v>45</v>
      </c>
      <c r="T381" s="167">
        <v>23</v>
      </c>
      <c r="U381" s="28">
        <f t="shared" si="261"/>
        <v>182</v>
      </c>
      <c r="W381" s="32" t="str">
        <f t="shared" si="289"/>
        <v>짝수</v>
      </c>
      <c r="X381" s="32" t="str">
        <f t="shared" si="290"/>
        <v>짝수</v>
      </c>
      <c r="Y381" s="32" t="str">
        <f t="shared" si="291"/>
        <v>홀수</v>
      </c>
      <c r="Z381" s="32" t="str">
        <f t="shared" si="292"/>
        <v>홀수</v>
      </c>
      <c r="AA381" s="32" t="str">
        <f t="shared" si="293"/>
        <v>홀수</v>
      </c>
      <c r="AB381" s="32" t="str">
        <f t="shared" si="294"/>
        <v>홀수</v>
      </c>
      <c r="AC381" s="58" t="str">
        <f t="shared" si="295"/>
        <v>4 : 2</v>
      </c>
      <c r="AD381" s="32">
        <f t="shared" si="296"/>
        <v>4</v>
      </c>
      <c r="AE381" s="32">
        <f t="shared" si="297"/>
        <v>2</v>
      </c>
      <c r="AF381" s="66" t="str">
        <f t="shared" si="262"/>
        <v>저수</v>
      </c>
      <c r="AG381" s="66" t="str">
        <f t="shared" si="263"/>
        <v>저수</v>
      </c>
      <c r="AH381" s="66" t="str">
        <f t="shared" si="264"/>
        <v>고수</v>
      </c>
      <c r="AI381" s="66" t="str">
        <f t="shared" si="265"/>
        <v>고수</v>
      </c>
      <c r="AJ381" s="66" t="str">
        <f t="shared" si="266"/>
        <v>고수</v>
      </c>
      <c r="AK381" s="66" t="str">
        <f t="shared" si="267"/>
        <v>고수</v>
      </c>
      <c r="AL381" s="58" t="str">
        <f t="shared" si="268"/>
        <v>2 : 4</v>
      </c>
      <c r="AM381" s="66">
        <f t="shared" si="269"/>
        <v>2</v>
      </c>
      <c r="AN381" s="66">
        <f t="shared" si="270"/>
        <v>4</v>
      </c>
      <c r="AO381" s="66">
        <f t="shared" si="271"/>
        <v>32</v>
      </c>
      <c r="AP381" s="66" t="str">
        <f t="shared" si="272"/>
        <v>X</v>
      </c>
      <c r="AQ381" s="66" t="str">
        <f t="shared" si="273"/>
        <v>X</v>
      </c>
      <c r="AR381" s="66" t="str">
        <f t="shared" si="274"/>
        <v>X</v>
      </c>
      <c r="AS381" s="66" t="str">
        <f t="shared" si="275"/>
        <v>X</v>
      </c>
      <c r="AT381" s="66" t="str">
        <f t="shared" si="276"/>
        <v>X</v>
      </c>
      <c r="AU381" s="66" t="str">
        <f t="shared" si="277"/>
        <v>X</v>
      </c>
      <c r="AV381" s="66" t="str">
        <f t="shared" si="278"/>
        <v>X</v>
      </c>
      <c r="AW381" s="66" t="str">
        <f t="shared" si="279"/>
        <v>X</v>
      </c>
      <c r="AX381" s="66" t="str">
        <f t="shared" si="280"/>
        <v>O</v>
      </c>
      <c r="AY381" s="66" t="str">
        <f t="shared" si="281"/>
        <v>O</v>
      </c>
      <c r="AZ381" s="66" t="str">
        <f t="shared" si="282"/>
        <v>O</v>
      </c>
      <c r="BA381" s="66" t="str">
        <f t="shared" si="283"/>
        <v>X</v>
      </c>
      <c r="BB381" s="66">
        <f t="shared" si="284"/>
        <v>3</v>
      </c>
      <c r="BC381" s="127" t="str">
        <f t="shared" si="255"/>
        <v>1G</v>
      </c>
      <c r="BD381" s="127" t="str">
        <f t="shared" si="256"/>
        <v>2G</v>
      </c>
      <c r="BE381" s="127" t="str">
        <f t="shared" si="257"/>
        <v>2G</v>
      </c>
      <c r="BF381" s="127" t="str">
        <f t="shared" si="258"/>
        <v>3G</v>
      </c>
      <c r="BG381" s="127" t="str">
        <f t="shared" si="259"/>
        <v>3G</v>
      </c>
      <c r="BH381" s="127" t="str">
        <f t="shared" si="260"/>
        <v>3G</v>
      </c>
      <c r="BI381" s="127">
        <f t="shared" si="285"/>
        <v>1</v>
      </c>
      <c r="BJ381" s="127">
        <f t="shared" si="286"/>
        <v>2</v>
      </c>
      <c r="BK381" s="127">
        <f t="shared" si="287"/>
        <v>3</v>
      </c>
      <c r="BL381" s="127" t="str">
        <f t="shared" si="288"/>
        <v>123</v>
      </c>
      <c r="BS381"/>
      <c r="CL381" s="28">
        <v>164</v>
      </c>
      <c r="CM381" s="28">
        <v>160</v>
      </c>
      <c r="CO381"/>
    </row>
    <row r="382" spans="1:93" ht="16.5" hidden="1">
      <c r="B382" s="17">
        <v>378</v>
      </c>
      <c r="C382" s="363" t="s">
        <v>408</v>
      </c>
      <c r="D382" s="18">
        <v>5</v>
      </c>
      <c r="E382" s="20">
        <v>2317698240</v>
      </c>
      <c r="F382" s="18">
        <v>30</v>
      </c>
      <c r="G382" s="20">
        <v>64380507</v>
      </c>
      <c r="H382" s="20">
        <v>1124</v>
      </c>
      <c r="I382" s="20">
        <v>1718341</v>
      </c>
      <c r="J382" s="20">
        <v>59742</v>
      </c>
      <c r="K382" s="20">
        <v>64659</v>
      </c>
      <c r="L382" s="20">
        <v>1023866</v>
      </c>
      <c r="M382" s="20">
        <v>5000</v>
      </c>
      <c r="N382" s="167">
        <v>5</v>
      </c>
      <c r="O382" s="167">
        <v>22</v>
      </c>
      <c r="P382" s="167">
        <v>29</v>
      </c>
      <c r="Q382" s="167">
        <v>31</v>
      </c>
      <c r="R382" s="167">
        <v>34</v>
      </c>
      <c r="S382" s="167">
        <v>39</v>
      </c>
      <c r="T382" s="167">
        <v>43</v>
      </c>
      <c r="U382" s="28">
        <f t="shared" si="261"/>
        <v>160</v>
      </c>
      <c r="W382" s="32" t="str">
        <f t="shared" si="289"/>
        <v>홀수</v>
      </c>
      <c r="X382" s="32" t="str">
        <f t="shared" si="290"/>
        <v>짝수</v>
      </c>
      <c r="Y382" s="32" t="str">
        <f t="shared" si="291"/>
        <v>홀수</v>
      </c>
      <c r="Z382" s="32" t="str">
        <f t="shared" si="292"/>
        <v>홀수</v>
      </c>
      <c r="AA382" s="32" t="str">
        <f t="shared" si="293"/>
        <v>짝수</v>
      </c>
      <c r="AB382" s="32" t="str">
        <f t="shared" si="294"/>
        <v>홀수</v>
      </c>
      <c r="AC382" s="58" t="str">
        <f t="shared" si="295"/>
        <v>4 : 2</v>
      </c>
      <c r="AD382" s="32">
        <f t="shared" si="296"/>
        <v>4</v>
      </c>
      <c r="AE382" s="32">
        <f t="shared" si="297"/>
        <v>2</v>
      </c>
      <c r="AF382" s="66" t="str">
        <f t="shared" si="262"/>
        <v>저수</v>
      </c>
      <c r="AG382" s="66" t="str">
        <f t="shared" si="263"/>
        <v>저수</v>
      </c>
      <c r="AH382" s="66" t="str">
        <f t="shared" si="264"/>
        <v>고수</v>
      </c>
      <c r="AI382" s="66" t="str">
        <f t="shared" si="265"/>
        <v>고수</v>
      </c>
      <c r="AJ382" s="66" t="str">
        <f t="shared" si="266"/>
        <v>고수</v>
      </c>
      <c r="AK382" s="66" t="str">
        <f t="shared" si="267"/>
        <v>고수</v>
      </c>
      <c r="AL382" s="58" t="str">
        <f t="shared" si="268"/>
        <v>2 : 4</v>
      </c>
      <c r="AM382" s="66">
        <f t="shared" si="269"/>
        <v>2</v>
      </c>
      <c r="AN382" s="66">
        <f t="shared" si="270"/>
        <v>4</v>
      </c>
      <c r="AO382" s="66">
        <f t="shared" si="271"/>
        <v>30</v>
      </c>
      <c r="AP382" s="66" t="str">
        <f t="shared" si="272"/>
        <v>O</v>
      </c>
      <c r="AQ382" s="66" t="str">
        <f t="shared" si="273"/>
        <v>X</v>
      </c>
      <c r="AR382" s="66" t="str">
        <f t="shared" si="274"/>
        <v>X</v>
      </c>
      <c r="AS382" s="66" t="str">
        <f t="shared" si="275"/>
        <v>X</v>
      </c>
      <c r="AT382" s="66" t="str">
        <f t="shared" si="276"/>
        <v>X</v>
      </c>
      <c r="AU382" s="66" t="str">
        <f t="shared" si="277"/>
        <v>X</v>
      </c>
      <c r="AV382" s="66" t="str">
        <f t="shared" si="278"/>
        <v>X</v>
      </c>
      <c r="AW382" s="66" t="str">
        <f t="shared" si="279"/>
        <v>X</v>
      </c>
      <c r="AX382" s="66" t="str">
        <f t="shared" si="280"/>
        <v>O</v>
      </c>
      <c r="AY382" s="66" t="str">
        <f t="shared" si="281"/>
        <v>O</v>
      </c>
      <c r="AZ382" s="66" t="str">
        <f t="shared" si="282"/>
        <v>X</v>
      </c>
      <c r="BA382" s="66" t="str">
        <f t="shared" si="283"/>
        <v>X</v>
      </c>
      <c r="BB382" s="66">
        <f t="shared" si="284"/>
        <v>3</v>
      </c>
      <c r="BC382" s="127" t="str">
        <f t="shared" si="255"/>
        <v>1G</v>
      </c>
      <c r="BD382" s="127" t="str">
        <f t="shared" si="256"/>
        <v>2G</v>
      </c>
      <c r="BE382" s="127" t="str">
        <f t="shared" si="257"/>
        <v>2G</v>
      </c>
      <c r="BF382" s="127" t="str">
        <f t="shared" si="258"/>
        <v>3G</v>
      </c>
      <c r="BG382" s="127" t="str">
        <f t="shared" si="259"/>
        <v>3G</v>
      </c>
      <c r="BH382" s="127" t="str">
        <f t="shared" si="260"/>
        <v>3G</v>
      </c>
      <c r="BI382" s="127">
        <f t="shared" si="285"/>
        <v>1</v>
      </c>
      <c r="BJ382" s="127">
        <f t="shared" si="286"/>
        <v>2</v>
      </c>
      <c r="BK382" s="127">
        <f t="shared" si="287"/>
        <v>3</v>
      </c>
      <c r="BL382" s="127" t="str">
        <f t="shared" si="288"/>
        <v>123</v>
      </c>
      <c r="BS382"/>
      <c r="CL382" s="28">
        <v>164</v>
      </c>
      <c r="CM382" s="28">
        <v>160</v>
      </c>
      <c r="CO382"/>
    </row>
    <row r="383" spans="1:93" ht="16.5" hidden="1">
      <c r="B383" s="17">
        <v>379</v>
      </c>
      <c r="C383" s="363" t="s">
        <v>409</v>
      </c>
      <c r="D383" s="18">
        <v>7</v>
      </c>
      <c r="E383" s="20">
        <v>1598999786</v>
      </c>
      <c r="F383" s="18">
        <v>71</v>
      </c>
      <c r="G383" s="20">
        <v>26274645</v>
      </c>
      <c r="H383" s="20">
        <v>1342</v>
      </c>
      <c r="I383" s="20">
        <v>1390090</v>
      </c>
      <c r="J383" s="20">
        <v>62084</v>
      </c>
      <c r="K383" s="20">
        <v>60096</v>
      </c>
      <c r="L383" s="20">
        <v>1022769</v>
      </c>
      <c r="M383" s="20">
        <v>5000</v>
      </c>
      <c r="N383" s="167">
        <v>6</v>
      </c>
      <c r="O383" s="167">
        <v>10</v>
      </c>
      <c r="P383" s="167">
        <v>22</v>
      </c>
      <c r="Q383" s="167">
        <v>31</v>
      </c>
      <c r="R383" s="167">
        <v>35</v>
      </c>
      <c r="S383" s="167">
        <v>40</v>
      </c>
      <c r="T383" s="167">
        <v>19</v>
      </c>
      <c r="U383" s="28">
        <f t="shared" si="261"/>
        <v>144</v>
      </c>
      <c r="W383" s="32" t="str">
        <f t="shared" si="289"/>
        <v>짝수</v>
      </c>
      <c r="X383" s="32" t="str">
        <f t="shared" si="290"/>
        <v>짝수</v>
      </c>
      <c r="Y383" s="32" t="str">
        <f t="shared" si="291"/>
        <v>짝수</v>
      </c>
      <c r="Z383" s="32" t="str">
        <f t="shared" si="292"/>
        <v>홀수</v>
      </c>
      <c r="AA383" s="32" t="str">
        <f t="shared" si="293"/>
        <v>홀수</v>
      </c>
      <c r="AB383" s="32" t="str">
        <f t="shared" si="294"/>
        <v>짝수</v>
      </c>
      <c r="AC383" s="58" t="str">
        <f t="shared" si="295"/>
        <v>2 : 4</v>
      </c>
      <c r="AD383" s="32">
        <f t="shared" si="296"/>
        <v>2</v>
      </c>
      <c r="AE383" s="32">
        <f t="shared" si="297"/>
        <v>4</v>
      </c>
      <c r="AF383" s="66" t="str">
        <f t="shared" si="262"/>
        <v>저수</v>
      </c>
      <c r="AG383" s="66" t="str">
        <f t="shared" si="263"/>
        <v>저수</v>
      </c>
      <c r="AH383" s="66" t="str">
        <f t="shared" si="264"/>
        <v>저수</v>
      </c>
      <c r="AI383" s="66" t="str">
        <f t="shared" si="265"/>
        <v>고수</v>
      </c>
      <c r="AJ383" s="66" t="str">
        <f t="shared" si="266"/>
        <v>고수</v>
      </c>
      <c r="AK383" s="66" t="str">
        <f t="shared" si="267"/>
        <v>고수</v>
      </c>
      <c r="AL383" s="58" t="str">
        <f t="shared" si="268"/>
        <v>3 : 3</v>
      </c>
      <c r="AM383" s="66">
        <f t="shared" si="269"/>
        <v>3</v>
      </c>
      <c r="AN383" s="66">
        <f t="shared" si="270"/>
        <v>3</v>
      </c>
      <c r="AO383" s="66">
        <f t="shared" si="271"/>
        <v>14</v>
      </c>
      <c r="AP383" s="66" t="str">
        <f t="shared" si="272"/>
        <v>X</v>
      </c>
      <c r="AQ383" s="66" t="str">
        <f t="shared" si="273"/>
        <v>X</v>
      </c>
      <c r="AR383" s="66" t="str">
        <f t="shared" si="274"/>
        <v>X</v>
      </c>
      <c r="AS383" s="66" t="str">
        <f t="shared" si="275"/>
        <v>X</v>
      </c>
      <c r="AT383" s="66" t="str">
        <f t="shared" si="276"/>
        <v>X</v>
      </c>
      <c r="AU383" s="66" t="str">
        <f t="shared" si="277"/>
        <v>X</v>
      </c>
      <c r="AV383" s="66" t="str">
        <f t="shared" si="278"/>
        <v>X</v>
      </c>
      <c r="AW383" s="66" t="str">
        <f t="shared" si="279"/>
        <v>X</v>
      </c>
      <c r="AX383" s="66" t="str">
        <f t="shared" si="280"/>
        <v>X</v>
      </c>
      <c r="AY383" s="66" t="str">
        <f t="shared" si="281"/>
        <v>O</v>
      </c>
      <c r="AZ383" s="66" t="str">
        <f t="shared" si="282"/>
        <v>X</v>
      </c>
      <c r="BA383" s="66" t="str">
        <f t="shared" si="283"/>
        <v>X</v>
      </c>
      <c r="BB383" s="66">
        <f t="shared" si="284"/>
        <v>1</v>
      </c>
      <c r="BC383" s="127" t="str">
        <f t="shared" si="255"/>
        <v>1G</v>
      </c>
      <c r="BD383" s="127" t="str">
        <f t="shared" si="256"/>
        <v>1G</v>
      </c>
      <c r="BE383" s="127" t="str">
        <f t="shared" si="257"/>
        <v>2G</v>
      </c>
      <c r="BF383" s="127" t="str">
        <f t="shared" si="258"/>
        <v>3G</v>
      </c>
      <c r="BG383" s="127" t="str">
        <f t="shared" si="259"/>
        <v>3G</v>
      </c>
      <c r="BH383" s="127" t="str">
        <f t="shared" si="260"/>
        <v>3G</v>
      </c>
      <c r="BI383" s="127">
        <f t="shared" si="285"/>
        <v>2</v>
      </c>
      <c r="BJ383" s="127">
        <f t="shared" si="286"/>
        <v>1</v>
      </c>
      <c r="BK383" s="127">
        <f t="shared" si="287"/>
        <v>3</v>
      </c>
      <c r="BL383" s="127" t="str">
        <f t="shared" si="288"/>
        <v>213</v>
      </c>
      <c r="BS383"/>
      <c r="CL383" s="28">
        <v>164</v>
      </c>
      <c r="CM383" s="28">
        <v>160</v>
      </c>
      <c r="CO383"/>
    </row>
    <row r="384" spans="1:93" ht="16.5" hidden="1">
      <c r="B384" s="17">
        <v>380</v>
      </c>
      <c r="C384" s="363" t="s">
        <v>410</v>
      </c>
      <c r="D384" s="18">
        <v>4</v>
      </c>
      <c r="E384" s="20">
        <v>2684274825</v>
      </c>
      <c r="F384" s="18">
        <v>42</v>
      </c>
      <c r="G384" s="20">
        <v>42607537</v>
      </c>
      <c r="H384" s="20">
        <v>1464</v>
      </c>
      <c r="I384" s="20">
        <v>1222348</v>
      </c>
      <c r="J384" s="20">
        <v>77583</v>
      </c>
      <c r="K384" s="20">
        <v>46132</v>
      </c>
      <c r="L384" s="20">
        <v>1137404</v>
      </c>
      <c r="M384" s="20">
        <v>5000</v>
      </c>
      <c r="N384" s="167">
        <v>1</v>
      </c>
      <c r="O384" s="167">
        <v>2</v>
      </c>
      <c r="P384" s="167">
        <v>8</v>
      </c>
      <c r="Q384" s="167">
        <v>17</v>
      </c>
      <c r="R384" s="167">
        <v>26</v>
      </c>
      <c r="S384" s="167">
        <v>37</v>
      </c>
      <c r="T384" s="167">
        <v>27</v>
      </c>
      <c r="U384" s="28">
        <f t="shared" si="261"/>
        <v>91</v>
      </c>
      <c r="W384" s="32" t="str">
        <f t="shared" si="289"/>
        <v>홀수</v>
      </c>
      <c r="X384" s="32" t="str">
        <f t="shared" si="290"/>
        <v>짝수</v>
      </c>
      <c r="Y384" s="32" t="str">
        <f t="shared" si="291"/>
        <v>짝수</v>
      </c>
      <c r="Z384" s="32" t="str">
        <f t="shared" si="292"/>
        <v>홀수</v>
      </c>
      <c r="AA384" s="32" t="str">
        <f t="shared" si="293"/>
        <v>짝수</v>
      </c>
      <c r="AB384" s="32" t="str">
        <f t="shared" si="294"/>
        <v>홀수</v>
      </c>
      <c r="AC384" s="58" t="str">
        <f t="shared" si="295"/>
        <v>3 : 3</v>
      </c>
      <c r="AD384" s="32">
        <f t="shared" si="296"/>
        <v>3</v>
      </c>
      <c r="AE384" s="32">
        <f t="shared" si="297"/>
        <v>3</v>
      </c>
      <c r="AF384" s="66" t="str">
        <f t="shared" si="262"/>
        <v>저수</v>
      </c>
      <c r="AG384" s="66" t="str">
        <f t="shared" si="263"/>
        <v>저수</v>
      </c>
      <c r="AH384" s="66" t="str">
        <f t="shared" si="264"/>
        <v>저수</v>
      </c>
      <c r="AI384" s="66" t="str">
        <f t="shared" si="265"/>
        <v>저수</v>
      </c>
      <c r="AJ384" s="66" t="str">
        <f t="shared" si="266"/>
        <v>고수</v>
      </c>
      <c r="AK384" s="66" t="str">
        <f t="shared" si="267"/>
        <v>고수</v>
      </c>
      <c r="AL384" s="58" t="str">
        <f t="shared" si="268"/>
        <v>4 : 2</v>
      </c>
      <c r="AM384" s="66">
        <f t="shared" si="269"/>
        <v>4</v>
      </c>
      <c r="AN384" s="66">
        <f t="shared" si="270"/>
        <v>2</v>
      </c>
      <c r="AO384" s="66">
        <f t="shared" si="271"/>
        <v>31</v>
      </c>
      <c r="AP384" s="66" t="str">
        <f t="shared" si="272"/>
        <v>X</v>
      </c>
      <c r="AQ384" s="66" t="str">
        <f t="shared" si="273"/>
        <v>O</v>
      </c>
      <c r="AR384" s="66" t="str">
        <f t="shared" si="274"/>
        <v>X</v>
      </c>
      <c r="AS384" s="66" t="str">
        <f t="shared" si="275"/>
        <v>O</v>
      </c>
      <c r="AT384" s="66" t="str">
        <f t="shared" si="276"/>
        <v>X</v>
      </c>
      <c r="AU384" s="66" t="str">
        <f t="shared" si="277"/>
        <v>X</v>
      </c>
      <c r="AV384" s="66" t="str">
        <f t="shared" si="278"/>
        <v>X</v>
      </c>
      <c r="AW384" s="66" t="str">
        <f t="shared" si="279"/>
        <v>X</v>
      </c>
      <c r="AX384" s="66" t="str">
        <f t="shared" si="280"/>
        <v>X</v>
      </c>
      <c r="AY384" s="66" t="str">
        <f t="shared" si="281"/>
        <v>X</v>
      </c>
      <c r="AZ384" s="66" t="str">
        <f t="shared" si="282"/>
        <v>X</v>
      </c>
      <c r="BA384" s="66" t="str">
        <f t="shared" si="283"/>
        <v>O</v>
      </c>
      <c r="BB384" s="66">
        <f t="shared" si="284"/>
        <v>3</v>
      </c>
      <c r="BC384" s="127" t="str">
        <f t="shared" si="255"/>
        <v>1G</v>
      </c>
      <c r="BD384" s="127" t="str">
        <f t="shared" si="256"/>
        <v>1G</v>
      </c>
      <c r="BE384" s="127" t="str">
        <f t="shared" si="257"/>
        <v>1G</v>
      </c>
      <c r="BF384" s="127" t="str">
        <f t="shared" si="258"/>
        <v>2G</v>
      </c>
      <c r="BG384" s="127" t="str">
        <f t="shared" si="259"/>
        <v>2G</v>
      </c>
      <c r="BH384" s="127" t="str">
        <f t="shared" si="260"/>
        <v>3G</v>
      </c>
      <c r="BI384" s="127">
        <f t="shared" si="285"/>
        <v>3</v>
      </c>
      <c r="BJ384" s="127">
        <f t="shared" si="286"/>
        <v>2</v>
      </c>
      <c r="BK384" s="127">
        <f t="shared" si="287"/>
        <v>1</v>
      </c>
      <c r="BL384" s="127" t="str">
        <f t="shared" si="288"/>
        <v>321</v>
      </c>
      <c r="BS384"/>
      <c r="CL384" s="28">
        <v>164</v>
      </c>
      <c r="CM384" s="28">
        <v>160</v>
      </c>
      <c r="CO384"/>
    </row>
    <row r="385" spans="2:93" ht="16.5" hidden="1">
      <c r="B385" s="17">
        <v>381</v>
      </c>
      <c r="C385" s="363" t="s">
        <v>411</v>
      </c>
      <c r="D385" s="18">
        <v>19</v>
      </c>
      <c r="E385" s="20">
        <v>565738895</v>
      </c>
      <c r="F385" s="18">
        <v>62</v>
      </c>
      <c r="G385" s="20">
        <v>28895267</v>
      </c>
      <c r="H385" s="20">
        <v>1981</v>
      </c>
      <c r="I385" s="20">
        <v>904345</v>
      </c>
      <c r="J385" s="20">
        <v>82120</v>
      </c>
      <c r="K385" s="20">
        <v>43632</v>
      </c>
      <c r="L385" s="20">
        <v>1211298</v>
      </c>
      <c r="M385" s="20">
        <v>5000</v>
      </c>
      <c r="N385" s="167">
        <v>1</v>
      </c>
      <c r="O385" s="167">
        <v>5</v>
      </c>
      <c r="P385" s="167">
        <v>10</v>
      </c>
      <c r="Q385" s="167">
        <v>12</v>
      </c>
      <c r="R385" s="167">
        <v>16</v>
      </c>
      <c r="S385" s="167">
        <v>20</v>
      </c>
      <c r="T385" s="167">
        <v>11</v>
      </c>
      <c r="U385" s="28">
        <f t="shared" si="261"/>
        <v>64</v>
      </c>
      <c r="W385" s="32" t="str">
        <f t="shared" si="289"/>
        <v>홀수</v>
      </c>
      <c r="X385" s="32" t="str">
        <f t="shared" si="290"/>
        <v>홀수</v>
      </c>
      <c r="Y385" s="32" t="str">
        <f t="shared" si="291"/>
        <v>짝수</v>
      </c>
      <c r="Z385" s="32" t="str">
        <f t="shared" si="292"/>
        <v>짝수</v>
      </c>
      <c r="AA385" s="32" t="str">
        <f t="shared" si="293"/>
        <v>짝수</v>
      </c>
      <c r="AB385" s="32" t="str">
        <f t="shared" si="294"/>
        <v>짝수</v>
      </c>
      <c r="AC385" s="58" t="str">
        <f t="shared" si="295"/>
        <v>2 : 4</v>
      </c>
      <c r="AD385" s="32">
        <f t="shared" si="296"/>
        <v>2</v>
      </c>
      <c r="AE385" s="32">
        <f t="shared" si="297"/>
        <v>4</v>
      </c>
      <c r="AF385" s="66" t="str">
        <f t="shared" si="262"/>
        <v>저수</v>
      </c>
      <c r="AG385" s="66" t="str">
        <f t="shared" si="263"/>
        <v>저수</v>
      </c>
      <c r="AH385" s="66" t="str">
        <f t="shared" si="264"/>
        <v>저수</v>
      </c>
      <c r="AI385" s="66" t="str">
        <f t="shared" si="265"/>
        <v>저수</v>
      </c>
      <c r="AJ385" s="66" t="str">
        <f t="shared" si="266"/>
        <v>저수</v>
      </c>
      <c r="AK385" s="66" t="str">
        <f t="shared" si="267"/>
        <v>저수</v>
      </c>
      <c r="AL385" s="58" t="str">
        <f t="shared" si="268"/>
        <v>6 : 0</v>
      </c>
      <c r="AM385" s="66">
        <f t="shared" si="269"/>
        <v>6</v>
      </c>
      <c r="AN385" s="66">
        <f t="shared" si="270"/>
        <v>0</v>
      </c>
      <c r="AO385" s="66">
        <f t="shared" si="271"/>
        <v>14</v>
      </c>
      <c r="AP385" s="66" t="str">
        <f t="shared" si="272"/>
        <v>X</v>
      </c>
      <c r="AQ385" s="66" t="str">
        <f t="shared" si="273"/>
        <v>O</v>
      </c>
      <c r="AR385" s="66" t="str">
        <f t="shared" si="274"/>
        <v>X</v>
      </c>
      <c r="AS385" s="66" t="str">
        <f t="shared" si="275"/>
        <v>X</v>
      </c>
      <c r="AT385" s="66" t="str">
        <f t="shared" si="276"/>
        <v>X</v>
      </c>
      <c r="AU385" s="66" t="str">
        <f t="shared" si="277"/>
        <v>X</v>
      </c>
      <c r="AV385" s="66" t="str">
        <f t="shared" si="278"/>
        <v>X</v>
      </c>
      <c r="AW385" s="66" t="str">
        <f t="shared" si="279"/>
        <v>X</v>
      </c>
      <c r="AX385" s="66" t="str">
        <f t="shared" si="280"/>
        <v>X</v>
      </c>
      <c r="AY385" s="66" t="str">
        <f t="shared" si="281"/>
        <v>X</v>
      </c>
      <c r="AZ385" s="66" t="str">
        <f t="shared" si="282"/>
        <v>X</v>
      </c>
      <c r="BA385" s="66" t="str">
        <f t="shared" si="283"/>
        <v>X</v>
      </c>
      <c r="BB385" s="66">
        <f t="shared" si="284"/>
        <v>1</v>
      </c>
      <c r="BC385" s="127" t="str">
        <f t="shared" si="255"/>
        <v>1G</v>
      </c>
      <c r="BD385" s="127" t="str">
        <f t="shared" si="256"/>
        <v>1G</v>
      </c>
      <c r="BE385" s="127" t="str">
        <f t="shared" si="257"/>
        <v>1G</v>
      </c>
      <c r="BF385" s="127" t="str">
        <f t="shared" si="258"/>
        <v>1G</v>
      </c>
      <c r="BG385" s="127" t="str">
        <f t="shared" si="259"/>
        <v>2G</v>
      </c>
      <c r="BH385" s="127" t="str">
        <f t="shared" si="260"/>
        <v>2G</v>
      </c>
      <c r="BI385" s="127">
        <f t="shared" si="285"/>
        <v>4</v>
      </c>
      <c r="BJ385" s="127">
        <f t="shared" si="286"/>
        <v>2</v>
      </c>
      <c r="BK385" s="127">
        <f t="shared" si="287"/>
        <v>0</v>
      </c>
      <c r="BL385" s="127" t="str">
        <f t="shared" si="288"/>
        <v>420</v>
      </c>
      <c r="BS385"/>
      <c r="CL385" s="28">
        <v>165</v>
      </c>
      <c r="CM385" s="28">
        <v>160</v>
      </c>
      <c r="CO385"/>
    </row>
    <row r="386" spans="2:93" ht="16.5" hidden="1">
      <c r="B386" s="17">
        <v>382</v>
      </c>
      <c r="C386" s="363" t="s">
        <v>412</v>
      </c>
      <c r="D386" s="18">
        <v>6</v>
      </c>
      <c r="E386" s="20">
        <v>1846674900</v>
      </c>
      <c r="F386" s="18">
        <v>32</v>
      </c>
      <c r="G386" s="20">
        <v>57708591</v>
      </c>
      <c r="H386" s="20">
        <v>1212</v>
      </c>
      <c r="I386" s="20">
        <v>1523660</v>
      </c>
      <c r="J386" s="20">
        <v>62267</v>
      </c>
      <c r="K386" s="20">
        <v>59315</v>
      </c>
      <c r="L386" s="20">
        <v>1046779</v>
      </c>
      <c r="M386" s="20">
        <v>5000</v>
      </c>
      <c r="N386" s="167">
        <v>10</v>
      </c>
      <c r="O386" s="167">
        <v>15</v>
      </c>
      <c r="P386" s="167">
        <v>22</v>
      </c>
      <c r="Q386" s="167">
        <v>24</v>
      </c>
      <c r="R386" s="167">
        <v>27</v>
      </c>
      <c r="S386" s="167">
        <v>42</v>
      </c>
      <c r="T386" s="167">
        <v>19</v>
      </c>
      <c r="U386" s="28">
        <f t="shared" si="261"/>
        <v>140</v>
      </c>
      <c r="W386" s="32" t="str">
        <f t="shared" si="289"/>
        <v>짝수</v>
      </c>
      <c r="X386" s="32" t="str">
        <f t="shared" si="290"/>
        <v>홀수</v>
      </c>
      <c r="Y386" s="32" t="str">
        <f t="shared" si="291"/>
        <v>짝수</v>
      </c>
      <c r="Z386" s="32" t="str">
        <f t="shared" si="292"/>
        <v>짝수</v>
      </c>
      <c r="AA386" s="32" t="str">
        <f t="shared" si="293"/>
        <v>홀수</v>
      </c>
      <c r="AB386" s="32" t="str">
        <f t="shared" si="294"/>
        <v>짝수</v>
      </c>
      <c r="AC386" s="58" t="str">
        <f t="shared" si="295"/>
        <v>2 : 4</v>
      </c>
      <c r="AD386" s="32">
        <f t="shared" si="296"/>
        <v>2</v>
      </c>
      <c r="AE386" s="32">
        <f t="shared" si="297"/>
        <v>4</v>
      </c>
      <c r="AF386" s="66" t="str">
        <f t="shared" si="262"/>
        <v>저수</v>
      </c>
      <c r="AG386" s="66" t="str">
        <f t="shared" si="263"/>
        <v>저수</v>
      </c>
      <c r="AH386" s="66" t="str">
        <f t="shared" si="264"/>
        <v>저수</v>
      </c>
      <c r="AI386" s="66" t="str">
        <f t="shared" si="265"/>
        <v>고수</v>
      </c>
      <c r="AJ386" s="66" t="str">
        <f t="shared" si="266"/>
        <v>고수</v>
      </c>
      <c r="AK386" s="66" t="str">
        <f t="shared" si="267"/>
        <v>고수</v>
      </c>
      <c r="AL386" s="58" t="str">
        <f t="shared" si="268"/>
        <v>3 : 3</v>
      </c>
      <c r="AM386" s="66">
        <f t="shared" si="269"/>
        <v>3</v>
      </c>
      <c r="AN386" s="66">
        <f t="shared" si="270"/>
        <v>3</v>
      </c>
      <c r="AO386" s="66">
        <f t="shared" si="271"/>
        <v>20</v>
      </c>
      <c r="AP386" s="66" t="str">
        <f t="shared" si="272"/>
        <v>X</v>
      </c>
      <c r="AQ386" s="66" t="str">
        <f t="shared" si="273"/>
        <v>X</v>
      </c>
      <c r="AR386" s="66" t="str">
        <f t="shared" si="274"/>
        <v>X</v>
      </c>
      <c r="AS386" s="66" t="str">
        <f t="shared" si="275"/>
        <v>X</v>
      </c>
      <c r="AT386" s="66" t="str">
        <f t="shared" si="276"/>
        <v>X</v>
      </c>
      <c r="AU386" s="66" t="str">
        <f t="shared" si="277"/>
        <v>X</v>
      </c>
      <c r="AV386" s="66" t="str">
        <f t="shared" si="278"/>
        <v>X</v>
      </c>
      <c r="AW386" s="66" t="str">
        <f t="shared" si="279"/>
        <v>X</v>
      </c>
      <c r="AX386" s="66" t="str">
        <f t="shared" si="280"/>
        <v>X</v>
      </c>
      <c r="AY386" s="66" t="str">
        <f t="shared" si="281"/>
        <v>X</v>
      </c>
      <c r="AZ386" s="66" t="str">
        <f t="shared" si="282"/>
        <v>X</v>
      </c>
      <c r="BA386" s="66" t="str">
        <f t="shared" si="283"/>
        <v>X</v>
      </c>
      <c r="BB386" s="66">
        <f t="shared" si="284"/>
        <v>0</v>
      </c>
      <c r="BC386" s="127" t="str">
        <f t="shared" si="255"/>
        <v>1G</v>
      </c>
      <c r="BD386" s="127" t="str">
        <f t="shared" si="256"/>
        <v>1G</v>
      </c>
      <c r="BE386" s="127" t="str">
        <f t="shared" si="257"/>
        <v>2G</v>
      </c>
      <c r="BF386" s="127" t="str">
        <f t="shared" si="258"/>
        <v>2G</v>
      </c>
      <c r="BG386" s="127" t="str">
        <f t="shared" si="259"/>
        <v>2G</v>
      </c>
      <c r="BH386" s="127" t="str">
        <f t="shared" si="260"/>
        <v>3G</v>
      </c>
      <c r="BI386" s="127">
        <f t="shared" si="285"/>
        <v>2</v>
      </c>
      <c r="BJ386" s="127">
        <f t="shared" si="286"/>
        <v>3</v>
      </c>
      <c r="BK386" s="127">
        <f t="shared" si="287"/>
        <v>1</v>
      </c>
      <c r="BL386" s="127" t="str">
        <f t="shared" si="288"/>
        <v>231</v>
      </c>
      <c r="BS386"/>
      <c r="CL386" s="28">
        <v>165</v>
      </c>
      <c r="CM386" s="28">
        <v>160</v>
      </c>
      <c r="CO386"/>
    </row>
    <row r="387" spans="2:93" ht="16.5" hidden="1">
      <c r="B387" s="17">
        <v>383</v>
      </c>
      <c r="C387" s="363" t="s">
        <v>413</v>
      </c>
      <c r="D387" s="18">
        <v>3</v>
      </c>
      <c r="E387" s="20">
        <v>3596522100</v>
      </c>
      <c r="F387" s="18">
        <v>28</v>
      </c>
      <c r="G387" s="20">
        <v>64223609</v>
      </c>
      <c r="H387" s="20">
        <v>1251</v>
      </c>
      <c r="I387" s="20">
        <v>1437459</v>
      </c>
      <c r="J387" s="20">
        <v>60525</v>
      </c>
      <c r="K387" s="20">
        <v>59423</v>
      </c>
      <c r="L387" s="20">
        <v>1010183</v>
      </c>
      <c r="M387" s="20">
        <v>5000</v>
      </c>
      <c r="N387" s="167">
        <v>4</v>
      </c>
      <c r="O387" s="167">
        <v>15</v>
      </c>
      <c r="P387" s="167">
        <v>28</v>
      </c>
      <c r="Q387" s="167">
        <v>33</v>
      </c>
      <c r="R387" s="167">
        <v>37</v>
      </c>
      <c r="S387" s="167">
        <v>40</v>
      </c>
      <c r="T387" s="167">
        <v>25</v>
      </c>
      <c r="U387" s="28">
        <f t="shared" si="261"/>
        <v>157</v>
      </c>
      <c r="W387" s="32" t="str">
        <f t="shared" si="289"/>
        <v>짝수</v>
      </c>
      <c r="X387" s="32" t="str">
        <f t="shared" si="290"/>
        <v>홀수</v>
      </c>
      <c r="Y387" s="32" t="str">
        <f t="shared" si="291"/>
        <v>짝수</v>
      </c>
      <c r="Z387" s="32" t="str">
        <f t="shared" si="292"/>
        <v>홀수</v>
      </c>
      <c r="AA387" s="32" t="str">
        <f t="shared" si="293"/>
        <v>홀수</v>
      </c>
      <c r="AB387" s="32" t="str">
        <f t="shared" si="294"/>
        <v>짝수</v>
      </c>
      <c r="AC387" s="58" t="str">
        <f t="shared" si="295"/>
        <v>3 : 3</v>
      </c>
      <c r="AD387" s="32">
        <f t="shared" si="296"/>
        <v>3</v>
      </c>
      <c r="AE387" s="32">
        <f t="shared" si="297"/>
        <v>3</v>
      </c>
      <c r="AF387" s="66" t="str">
        <f t="shared" si="262"/>
        <v>저수</v>
      </c>
      <c r="AG387" s="66" t="str">
        <f t="shared" si="263"/>
        <v>저수</v>
      </c>
      <c r="AH387" s="66" t="str">
        <f t="shared" si="264"/>
        <v>고수</v>
      </c>
      <c r="AI387" s="66" t="str">
        <f t="shared" si="265"/>
        <v>고수</v>
      </c>
      <c r="AJ387" s="66" t="str">
        <f t="shared" si="266"/>
        <v>고수</v>
      </c>
      <c r="AK387" s="66" t="str">
        <f t="shared" si="267"/>
        <v>고수</v>
      </c>
      <c r="AL387" s="58" t="str">
        <f t="shared" si="268"/>
        <v>2 : 4</v>
      </c>
      <c r="AM387" s="66">
        <f t="shared" si="269"/>
        <v>2</v>
      </c>
      <c r="AN387" s="66">
        <f t="shared" si="270"/>
        <v>4</v>
      </c>
      <c r="AO387" s="66">
        <f t="shared" si="271"/>
        <v>27</v>
      </c>
      <c r="AP387" s="66" t="str">
        <f t="shared" si="272"/>
        <v>X</v>
      </c>
      <c r="AQ387" s="66" t="str">
        <f t="shared" si="273"/>
        <v>X</v>
      </c>
      <c r="AR387" s="66" t="str">
        <f t="shared" si="274"/>
        <v>X</v>
      </c>
      <c r="AS387" s="66" t="str">
        <f t="shared" si="275"/>
        <v>X</v>
      </c>
      <c r="AT387" s="66" t="str">
        <f t="shared" si="276"/>
        <v>X</v>
      </c>
      <c r="AU387" s="66" t="str">
        <f t="shared" si="277"/>
        <v>X</v>
      </c>
      <c r="AV387" s="66" t="str">
        <f t="shared" si="278"/>
        <v>X</v>
      </c>
      <c r="AW387" s="66" t="str">
        <f t="shared" si="279"/>
        <v>X</v>
      </c>
      <c r="AX387" s="66" t="str">
        <f t="shared" si="280"/>
        <v>X</v>
      </c>
      <c r="AY387" s="66" t="str">
        <f t="shared" si="281"/>
        <v>X</v>
      </c>
      <c r="AZ387" s="66" t="str">
        <f t="shared" si="282"/>
        <v>O</v>
      </c>
      <c r="BA387" s="66" t="str">
        <f t="shared" si="283"/>
        <v>X</v>
      </c>
      <c r="BB387" s="66">
        <f t="shared" si="284"/>
        <v>1</v>
      </c>
      <c r="BC387" s="127" t="str">
        <f t="shared" si="255"/>
        <v>1G</v>
      </c>
      <c r="BD387" s="127" t="str">
        <f t="shared" si="256"/>
        <v>1G</v>
      </c>
      <c r="BE387" s="127" t="str">
        <f t="shared" si="257"/>
        <v>2G</v>
      </c>
      <c r="BF387" s="127" t="str">
        <f t="shared" si="258"/>
        <v>3G</v>
      </c>
      <c r="BG387" s="127" t="str">
        <f t="shared" si="259"/>
        <v>3G</v>
      </c>
      <c r="BH387" s="127" t="str">
        <f t="shared" si="260"/>
        <v>3G</v>
      </c>
      <c r="BI387" s="127">
        <f t="shared" si="285"/>
        <v>2</v>
      </c>
      <c r="BJ387" s="127">
        <f t="shared" si="286"/>
        <v>1</v>
      </c>
      <c r="BK387" s="127">
        <f t="shared" si="287"/>
        <v>3</v>
      </c>
      <c r="BL387" s="127" t="str">
        <f t="shared" si="288"/>
        <v>213</v>
      </c>
      <c r="BS387"/>
      <c r="CL387" s="28">
        <v>165</v>
      </c>
      <c r="CM387" s="28">
        <v>160</v>
      </c>
      <c r="CO387"/>
    </row>
    <row r="388" spans="2:93" ht="16.5" hidden="1">
      <c r="B388" s="17">
        <v>384</v>
      </c>
      <c r="C388" s="363" t="s">
        <v>414</v>
      </c>
      <c r="D388" s="18">
        <v>3</v>
      </c>
      <c r="E388" s="20">
        <v>3658734200</v>
      </c>
      <c r="F388" s="18">
        <v>41</v>
      </c>
      <c r="G388" s="20">
        <v>44618710</v>
      </c>
      <c r="H388" s="20">
        <v>1215</v>
      </c>
      <c r="I388" s="20">
        <v>1505652</v>
      </c>
      <c r="J388" s="20">
        <v>62090</v>
      </c>
      <c r="K388" s="20">
        <v>58927</v>
      </c>
      <c r="L388" s="20">
        <v>1030160</v>
      </c>
      <c r="M388" s="20">
        <v>5000</v>
      </c>
      <c r="N388" s="167">
        <v>11</v>
      </c>
      <c r="O388" s="167">
        <v>22</v>
      </c>
      <c r="P388" s="167">
        <v>24</v>
      </c>
      <c r="Q388" s="167">
        <v>32</v>
      </c>
      <c r="R388" s="167">
        <v>36</v>
      </c>
      <c r="S388" s="167">
        <v>38</v>
      </c>
      <c r="T388" s="167">
        <v>7</v>
      </c>
      <c r="U388" s="28">
        <f t="shared" si="261"/>
        <v>163</v>
      </c>
      <c r="W388" s="32" t="str">
        <f t="shared" si="289"/>
        <v>홀수</v>
      </c>
      <c r="X388" s="32" t="str">
        <f t="shared" si="290"/>
        <v>짝수</v>
      </c>
      <c r="Y388" s="32" t="str">
        <f t="shared" si="291"/>
        <v>짝수</v>
      </c>
      <c r="Z388" s="32" t="str">
        <f t="shared" si="292"/>
        <v>짝수</v>
      </c>
      <c r="AA388" s="32" t="str">
        <f t="shared" si="293"/>
        <v>짝수</v>
      </c>
      <c r="AB388" s="32" t="str">
        <f t="shared" si="294"/>
        <v>짝수</v>
      </c>
      <c r="AC388" s="58" t="str">
        <f t="shared" si="295"/>
        <v>1 : 5</v>
      </c>
      <c r="AD388" s="32">
        <f t="shared" si="296"/>
        <v>1</v>
      </c>
      <c r="AE388" s="32">
        <f t="shared" si="297"/>
        <v>5</v>
      </c>
      <c r="AF388" s="66" t="str">
        <f t="shared" si="262"/>
        <v>저수</v>
      </c>
      <c r="AG388" s="66" t="str">
        <f t="shared" si="263"/>
        <v>저수</v>
      </c>
      <c r="AH388" s="66" t="str">
        <f t="shared" si="264"/>
        <v>고수</v>
      </c>
      <c r="AI388" s="66" t="str">
        <f t="shared" si="265"/>
        <v>고수</v>
      </c>
      <c r="AJ388" s="66" t="str">
        <f t="shared" si="266"/>
        <v>고수</v>
      </c>
      <c r="AK388" s="66" t="str">
        <f t="shared" si="267"/>
        <v>고수</v>
      </c>
      <c r="AL388" s="58" t="str">
        <f t="shared" si="268"/>
        <v>2 : 4</v>
      </c>
      <c r="AM388" s="66">
        <f t="shared" si="269"/>
        <v>2</v>
      </c>
      <c r="AN388" s="66">
        <f t="shared" si="270"/>
        <v>4</v>
      </c>
      <c r="AO388" s="66">
        <f t="shared" si="271"/>
        <v>23</v>
      </c>
      <c r="AP388" s="66" t="str">
        <f t="shared" si="272"/>
        <v>O</v>
      </c>
      <c r="AQ388" s="66" t="str">
        <f t="shared" si="273"/>
        <v>X</v>
      </c>
      <c r="AR388" s="66" t="str">
        <f t="shared" si="274"/>
        <v>X</v>
      </c>
      <c r="AS388" s="66" t="str">
        <f t="shared" si="275"/>
        <v>X</v>
      </c>
      <c r="AT388" s="66" t="str">
        <f t="shared" si="276"/>
        <v>X</v>
      </c>
      <c r="AU388" s="66" t="str">
        <f t="shared" si="277"/>
        <v>X</v>
      </c>
      <c r="AV388" s="66" t="str">
        <f t="shared" si="278"/>
        <v>X</v>
      </c>
      <c r="AW388" s="66" t="str">
        <f t="shared" si="279"/>
        <v>X</v>
      </c>
      <c r="AX388" s="66" t="str">
        <f t="shared" si="280"/>
        <v>X</v>
      </c>
      <c r="AY388" s="66" t="str">
        <f t="shared" si="281"/>
        <v>X</v>
      </c>
      <c r="AZ388" s="66" t="str">
        <f t="shared" si="282"/>
        <v>X</v>
      </c>
      <c r="BA388" s="66" t="str">
        <f t="shared" si="283"/>
        <v>X</v>
      </c>
      <c r="BB388" s="66">
        <f t="shared" si="284"/>
        <v>1</v>
      </c>
      <c r="BC388" s="127" t="str">
        <f t="shared" si="255"/>
        <v>1G</v>
      </c>
      <c r="BD388" s="127" t="str">
        <f t="shared" si="256"/>
        <v>2G</v>
      </c>
      <c r="BE388" s="127" t="str">
        <f t="shared" si="257"/>
        <v>2G</v>
      </c>
      <c r="BF388" s="127" t="str">
        <f t="shared" si="258"/>
        <v>3G</v>
      </c>
      <c r="BG388" s="127" t="str">
        <f t="shared" si="259"/>
        <v>3G</v>
      </c>
      <c r="BH388" s="127" t="str">
        <f t="shared" si="260"/>
        <v>3G</v>
      </c>
      <c r="BI388" s="127">
        <f t="shared" si="285"/>
        <v>1</v>
      </c>
      <c r="BJ388" s="127">
        <f t="shared" si="286"/>
        <v>2</v>
      </c>
      <c r="BK388" s="127">
        <f t="shared" si="287"/>
        <v>3</v>
      </c>
      <c r="BL388" s="127" t="str">
        <f t="shared" si="288"/>
        <v>123</v>
      </c>
      <c r="BS388"/>
      <c r="CL388" s="28">
        <v>165</v>
      </c>
      <c r="CM388" s="28">
        <v>160</v>
      </c>
      <c r="CO388"/>
    </row>
    <row r="389" spans="2:93" ht="16.5" hidden="1">
      <c r="B389" s="17">
        <v>385</v>
      </c>
      <c r="C389" s="363" t="s">
        <v>415</v>
      </c>
      <c r="D389" s="18">
        <v>7</v>
      </c>
      <c r="E389" s="20">
        <v>1542032700</v>
      </c>
      <c r="F389" s="18">
        <v>36</v>
      </c>
      <c r="G389" s="20">
        <v>49973282</v>
      </c>
      <c r="H389" s="20">
        <v>1235</v>
      </c>
      <c r="I389" s="20">
        <v>1456712</v>
      </c>
      <c r="J389" s="20">
        <v>62096</v>
      </c>
      <c r="K389" s="20">
        <v>57944</v>
      </c>
      <c r="L389" s="20">
        <v>1026272</v>
      </c>
      <c r="M389" s="20">
        <v>5000</v>
      </c>
      <c r="N389" s="167">
        <v>7</v>
      </c>
      <c r="O389" s="167">
        <v>12</v>
      </c>
      <c r="P389" s="167">
        <v>19</v>
      </c>
      <c r="Q389" s="167">
        <v>21</v>
      </c>
      <c r="R389" s="167">
        <v>29</v>
      </c>
      <c r="S389" s="167">
        <v>32</v>
      </c>
      <c r="T389" s="167">
        <v>9</v>
      </c>
      <c r="U389" s="28">
        <f t="shared" si="261"/>
        <v>120</v>
      </c>
      <c r="W389" s="32" t="str">
        <f t="shared" si="289"/>
        <v>홀수</v>
      </c>
      <c r="X389" s="32" t="str">
        <f t="shared" si="290"/>
        <v>짝수</v>
      </c>
      <c r="Y389" s="32" t="str">
        <f t="shared" si="291"/>
        <v>홀수</v>
      </c>
      <c r="Z389" s="32" t="str">
        <f t="shared" si="292"/>
        <v>홀수</v>
      </c>
      <c r="AA389" s="32" t="str">
        <f t="shared" si="293"/>
        <v>홀수</v>
      </c>
      <c r="AB389" s="32" t="str">
        <f t="shared" si="294"/>
        <v>짝수</v>
      </c>
      <c r="AC389" s="58" t="str">
        <f t="shared" si="295"/>
        <v>4 : 2</v>
      </c>
      <c r="AD389" s="32">
        <f t="shared" si="296"/>
        <v>4</v>
      </c>
      <c r="AE389" s="32">
        <f t="shared" si="297"/>
        <v>2</v>
      </c>
      <c r="AF389" s="66" t="str">
        <f t="shared" si="262"/>
        <v>저수</v>
      </c>
      <c r="AG389" s="66" t="str">
        <f t="shared" si="263"/>
        <v>저수</v>
      </c>
      <c r="AH389" s="66" t="str">
        <f t="shared" si="264"/>
        <v>저수</v>
      </c>
      <c r="AI389" s="66" t="str">
        <f t="shared" si="265"/>
        <v>저수</v>
      </c>
      <c r="AJ389" s="66" t="str">
        <f t="shared" si="266"/>
        <v>고수</v>
      </c>
      <c r="AK389" s="66" t="str">
        <f t="shared" si="267"/>
        <v>고수</v>
      </c>
      <c r="AL389" s="58" t="str">
        <f t="shared" si="268"/>
        <v>4 : 2</v>
      </c>
      <c r="AM389" s="66">
        <f t="shared" si="269"/>
        <v>4</v>
      </c>
      <c r="AN389" s="66">
        <f t="shared" si="270"/>
        <v>2</v>
      </c>
      <c r="AO389" s="66">
        <f t="shared" si="271"/>
        <v>30</v>
      </c>
      <c r="AP389" s="66" t="str">
        <f t="shared" si="272"/>
        <v>O</v>
      </c>
      <c r="AQ389" s="66" t="str">
        <f t="shared" si="273"/>
        <v>X</v>
      </c>
      <c r="AR389" s="66" t="str">
        <f t="shared" si="274"/>
        <v>O</v>
      </c>
      <c r="AS389" s="66" t="str">
        <f t="shared" si="275"/>
        <v>X</v>
      </c>
      <c r="AT389" s="66" t="str">
        <f t="shared" si="276"/>
        <v>X</v>
      </c>
      <c r="AU389" s="66" t="str">
        <f t="shared" si="277"/>
        <v>X</v>
      </c>
      <c r="AV389" s="66" t="str">
        <f t="shared" si="278"/>
        <v>X</v>
      </c>
      <c r="AW389" s="66" t="str">
        <f t="shared" si="279"/>
        <v>X</v>
      </c>
      <c r="AX389" s="66" t="str">
        <f t="shared" si="280"/>
        <v>X</v>
      </c>
      <c r="AY389" s="66" t="str">
        <f t="shared" si="281"/>
        <v>X</v>
      </c>
      <c r="AZ389" s="66" t="str">
        <f t="shared" si="282"/>
        <v>O</v>
      </c>
      <c r="BA389" s="66" t="str">
        <f t="shared" si="283"/>
        <v>X</v>
      </c>
      <c r="BB389" s="66">
        <f t="shared" si="284"/>
        <v>3</v>
      </c>
      <c r="BC389" s="127" t="str">
        <f t="shared" ref="BC389:BC452" si="298">VLOOKUP(N389,삼그룹,6,FALSE)</f>
        <v>1G</v>
      </c>
      <c r="BD389" s="127" t="str">
        <f t="shared" ref="BD389:BD452" si="299">VLOOKUP(O389,삼그룹,6,FALSE)</f>
        <v>1G</v>
      </c>
      <c r="BE389" s="127" t="str">
        <f t="shared" ref="BE389:BE452" si="300">VLOOKUP(P389,삼그룹,6,FALSE)</f>
        <v>2G</v>
      </c>
      <c r="BF389" s="127" t="str">
        <f t="shared" ref="BF389:BF452" si="301">VLOOKUP(Q389,삼그룹,6,FALSE)</f>
        <v>2G</v>
      </c>
      <c r="BG389" s="127" t="str">
        <f t="shared" ref="BG389:BG452" si="302">VLOOKUP(R389,삼그룹,6,FALSE)</f>
        <v>2G</v>
      </c>
      <c r="BH389" s="127" t="str">
        <f t="shared" ref="BH389:BH452" si="303">VLOOKUP(S389,삼그룹,6,FALSE)</f>
        <v>3G</v>
      </c>
      <c r="BI389" s="127">
        <f t="shared" si="285"/>
        <v>2</v>
      </c>
      <c r="BJ389" s="127">
        <f t="shared" si="286"/>
        <v>3</v>
      </c>
      <c r="BK389" s="127">
        <f t="shared" si="287"/>
        <v>1</v>
      </c>
      <c r="BL389" s="127" t="str">
        <f t="shared" si="288"/>
        <v>231</v>
      </c>
      <c r="BS389"/>
      <c r="CL389" s="28">
        <v>165</v>
      </c>
      <c r="CM389" s="28">
        <v>160</v>
      </c>
      <c r="CO389"/>
    </row>
    <row r="390" spans="2:93" ht="16.5" hidden="1">
      <c r="B390" s="17">
        <v>386</v>
      </c>
      <c r="C390" s="363" t="s">
        <v>416</v>
      </c>
      <c r="D390" s="18">
        <v>10</v>
      </c>
      <c r="E390" s="20">
        <v>1042953330</v>
      </c>
      <c r="F390" s="18">
        <v>59</v>
      </c>
      <c r="G390" s="20">
        <v>29461959</v>
      </c>
      <c r="H390" s="20">
        <v>1683</v>
      </c>
      <c r="I390" s="20">
        <v>1032832</v>
      </c>
      <c r="J390" s="20">
        <v>72203</v>
      </c>
      <c r="K390" s="20">
        <v>48150</v>
      </c>
      <c r="L390" s="20">
        <v>1114222</v>
      </c>
      <c r="M390" s="20">
        <v>5000</v>
      </c>
      <c r="N390" s="167">
        <v>4</v>
      </c>
      <c r="O390" s="167">
        <v>7</v>
      </c>
      <c r="P390" s="167">
        <v>10</v>
      </c>
      <c r="Q390" s="167">
        <v>19</v>
      </c>
      <c r="R390" s="167">
        <v>31</v>
      </c>
      <c r="S390" s="167">
        <v>40</v>
      </c>
      <c r="T390" s="167">
        <v>26</v>
      </c>
      <c r="U390" s="28">
        <f t="shared" ref="U390:U453" si="304">SUM(N390:S390)</f>
        <v>111</v>
      </c>
      <c r="W390" s="32" t="str">
        <f t="shared" si="289"/>
        <v>짝수</v>
      </c>
      <c r="X390" s="32" t="str">
        <f t="shared" si="290"/>
        <v>홀수</v>
      </c>
      <c r="Y390" s="32" t="str">
        <f t="shared" si="291"/>
        <v>짝수</v>
      </c>
      <c r="Z390" s="32" t="str">
        <f t="shared" si="292"/>
        <v>홀수</v>
      </c>
      <c r="AA390" s="32" t="str">
        <f t="shared" si="293"/>
        <v>홀수</v>
      </c>
      <c r="AB390" s="32" t="str">
        <f t="shared" si="294"/>
        <v>짝수</v>
      </c>
      <c r="AC390" s="58" t="str">
        <f t="shared" si="295"/>
        <v>3 : 3</v>
      </c>
      <c r="AD390" s="32">
        <f t="shared" si="296"/>
        <v>3</v>
      </c>
      <c r="AE390" s="32">
        <f t="shared" si="297"/>
        <v>3</v>
      </c>
      <c r="AF390" s="66" t="str">
        <f t="shared" ref="AF390:AF453" si="305">IF(N390&lt;23,"저수","고수")</f>
        <v>저수</v>
      </c>
      <c r="AG390" s="66" t="str">
        <f t="shared" ref="AG390:AG453" si="306">IF(O390&lt;23,"저수","고수")</f>
        <v>저수</v>
      </c>
      <c r="AH390" s="66" t="str">
        <f t="shared" ref="AH390:AH453" si="307">IF(P390&lt;23,"저수","고수")</f>
        <v>저수</v>
      </c>
      <c r="AI390" s="66" t="str">
        <f t="shared" ref="AI390:AI453" si="308">IF(Q390&lt;23,"저수","고수")</f>
        <v>저수</v>
      </c>
      <c r="AJ390" s="66" t="str">
        <f t="shared" ref="AJ390:AJ453" si="309">IF(R390&lt;23,"저수","고수")</f>
        <v>고수</v>
      </c>
      <c r="AK390" s="66" t="str">
        <f t="shared" ref="AK390:AK453" si="310">IF(S390&lt;23,"저수","고수")</f>
        <v>고수</v>
      </c>
      <c r="AL390" s="58" t="str">
        <f t="shared" ref="AL390:AL453" si="311">AM390&amp;" : "&amp;AN390</f>
        <v>4 : 2</v>
      </c>
      <c r="AM390" s="66">
        <f t="shared" ref="AM390:AM453" si="312">COUNTIF(AF390:AK390,"저수")</f>
        <v>4</v>
      </c>
      <c r="AN390" s="66">
        <f t="shared" ref="AN390:AN453" si="313">COUNTIF(AF390:AK390,"고수")</f>
        <v>2</v>
      </c>
      <c r="AO390" s="66">
        <f t="shared" ref="AO390:AO453" si="314">RIGHT(N390,1)+RIGHT(O390,1)+RIGHT(P390,1)+RIGHT(Q390,1)+RIGHT(R390,1)+RIGHT(S390,1)</f>
        <v>21</v>
      </c>
      <c r="AP390" s="66" t="str">
        <f t="shared" ref="AP390:AP453" si="315">IF(N390=2,"O",IF(N390=3,"O",IF(N390=5,"O",IF(N390=7,"O",IF(N390=11,"O",IF(N390=13,"O",IF(N390=17,"O",IF(N390=19,"O","X"))))))))</f>
        <v>X</v>
      </c>
      <c r="AQ390" s="66" t="str">
        <f t="shared" ref="AQ390:AQ453" si="316">IF(O390=2,"O",IF(O390=3,"O",IF(O390=5,"O",IF(O390=7,"O",IF(O390=11,"O",IF(O390=13,"O",IF(O390=17,"O",IF(O390=19,"O","X"))))))))</f>
        <v>O</v>
      </c>
      <c r="AR390" s="66" t="str">
        <f t="shared" ref="AR390:AR453" si="317">IF(P390=2,"O",IF(P390=3,"O",IF(P390=5,"O",IF(P390=7,"O",IF(P390=11,"O",IF(P390=13,"O",IF(P390=17,"O",IF(P390=19,"O","X"))))))))</f>
        <v>X</v>
      </c>
      <c r="AS390" s="66" t="str">
        <f t="shared" ref="AS390:AS453" si="318">IF(Q390=2,"O",IF(Q390=3,"O",IF(Q390=5,"O",IF(Q390=7,"O",IF(Q390=11,"O",IF(Q390=13,"O",IF(Q390=17,"O",IF(Q390=19,"O","X"))))))))</f>
        <v>O</v>
      </c>
      <c r="AT390" s="66" t="str">
        <f t="shared" ref="AT390:AT453" si="319">IF(R390=2,"O",IF(R390=3,"O",IF(R390=5,"O",IF(R390=7,"O",IF(R390=11,"O",IF(R390=13,"O",IF(R390=17,"O",IF(R390=19,"O","X"))))))))</f>
        <v>X</v>
      </c>
      <c r="AU390" s="66" t="str">
        <f t="shared" ref="AU390:AU453" si="320">IF(S390=2,"O",IF(S390=3,"O",IF(S390=5,"O",IF(S390=7,"O",IF(S390=11,"O",IF(S390=13,"O",IF(S390=17,"O",IF(S390=19,"O","X"))))))))</f>
        <v>X</v>
      </c>
      <c r="AV390" s="66" t="str">
        <f t="shared" ref="AV390:AV453" si="321">IF(N390=23,"O",IF(N390=29,"O",IF(N390=31,"O",IF(N390=37,"O",IF(N390=41,"O",IF(N390=43,"O","X"))))))</f>
        <v>X</v>
      </c>
      <c r="AW390" s="66" t="str">
        <f t="shared" ref="AW390:AW453" si="322">IF(O390=23,"O",IF(O390=29,"O",IF(O390=31,"O",IF(O390=37,"O",IF(O390=41,"O",IF(O390=43,"O","X"))))))</f>
        <v>X</v>
      </c>
      <c r="AX390" s="66" t="str">
        <f t="shared" ref="AX390:AX453" si="323">IF(P390=23,"O",IF(P390=29,"O",IF(P390=31,"O",IF(P390=37,"O",IF(P390=41,"O",IF(P390=43,"O","X"))))))</f>
        <v>X</v>
      </c>
      <c r="AY390" s="66" t="str">
        <f t="shared" ref="AY390:AY453" si="324">IF(Q390=23,"O",IF(Q390=29,"O",IF(Q390=31,"O",IF(Q390=37,"O",IF(Q390=41,"O",IF(Q390=43,"O","X"))))))</f>
        <v>X</v>
      </c>
      <c r="AZ390" s="66" t="str">
        <f t="shared" ref="AZ390:AZ453" si="325">IF(R390=23,"O",IF(R390=29,"O",IF(R390=31,"O",IF(R390=37,"O",IF(R390=41,"O",IF(R390=43,"O","X"))))))</f>
        <v>O</v>
      </c>
      <c r="BA390" s="66" t="str">
        <f t="shared" ref="BA390:BA453" si="326">IF(S390=23,"O",IF(S390=29,"O",IF(S390=31,"O",IF(S390=37,"O",IF(S390=41,"O",IF(S390=43,"O","X"))))))</f>
        <v>X</v>
      </c>
      <c r="BB390" s="66">
        <f t="shared" ref="BB390:BB453" si="327">COUNTIF(AP390:BA390,"O")</f>
        <v>3</v>
      </c>
      <c r="BC390" s="127" t="str">
        <f t="shared" si="298"/>
        <v>1G</v>
      </c>
      <c r="BD390" s="127" t="str">
        <f t="shared" si="299"/>
        <v>1G</v>
      </c>
      <c r="BE390" s="127" t="str">
        <f t="shared" si="300"/>
        <v>1G</v>
      </c>
      <c r="BF390" s="127" t="str">
        <f t="shared" si="301"/>
        <v>2G</v>
      </c>
      <c r="BG390" s="127" t="str">
        <f t="shared" si="302"/>
        <v>3G</v>
      </c>
      <c r="BH390" s="127" t="str">
        <f t="shared" si="303"/>
        <v>3G</v>
      </c>
      <c r="BI390" s="127">
        <f t="shared" ref="BI390:BI453" si="328">COUNTIF($BC390:$BH390,"1G")</f>
        <v>3</v>
      </c>
      <c r="BJ390" s="127">
        <f t="shared" ref="BJ390:BJ453" si="329">COUNTIF($BC390:$BH390,"2G")</f>
        <v>1</v>
      </c>
      <c r="BK390" s="127">
        <f t="shared" ref="BK390:BK453" si="330">COUNTIF($BC390:$BH390,"3G")</f>
        <v>2</v>
      </c>
      <c r="BL390" s="127" t="str">
        <f t="shared" ref="BL390:BL453" si="331">BI390&amp;BJ390&amp;BK390</f>
        <v>312</v>
      </c>
      <c r="BS390"/>
      <c r="CL390" s="28">
        <v>165</v>
      </c>
      <c r="CM390" s="28">
        <v>160</v>
      </c>
      <c r="CO390"/>
    </row>
    <row r="391" spans="2:93" ht="16.5" hidden="1">
      <c r="B391" s="17">
        <v>387</v>
      </c>
      <c r="C391" s="363" t="s">
        <v>417</v>
      </c>
      <c r="D391" s="18">
        <v>4</v>
      </c>
      <c r="E391" s="20">
        <v>2675533500</v>
      </c>
      <c r="F391" s="18">
        <v>26</v>
      </c>
      <c r="G391" s="20">
        <v>68603424</v>
      </c>
      <c r="H391" s="20">
        <v>1177</v>
      </c>
      <c r="I391" s="20">
        <v>1515454</v>
      </c>
      <c r="J391" s="20">
        <v>58115</v>
      </c>
      <c r="K391" s="20">
        <v>61385</v>
      </c>
      <c r="L391" s="20">
        <v>978618</v>
      </c>
      <c r="M391" s="20">
        <v>5000</v>
      </c>
      <c r="N391" s="167">
        <v>1</v>
      </c>
      <c r="O391" s="167">
        <v>26</v>
      </c>
      <c r="P391" s="167">
        <v>31</v>
      </c>
      <c r="Q391" s="167">
        <v>34</v>
      </c>
      <c r="R391" s="167">
        <v>40</v>
      </c>
      <c r="S391" s="167">
        <v>43</v>
      </c>
      <c r="T391" s="167">
        <v>20</v>
      </c>
      <c r="U391" s="28">
        <f t="shared" si="304"/>
        <v>175</v>
      </c>
      <c r="W391" s="32" t="str">
        <f t="shared" si="289"/>
        <v>홀수</v>
      </c>
      <c r="X391" s="32" t="str">
        <f t="shared" si="290"/>
        <v>짝수</v>
      </c>
      <c r="Y391" s="32" t="str">
        <f t="shared" si="291"/>
        <v>홀수</v>
      </c>
      <c r="Z391" s="32" t="str">
        <f t="shared" si="292"/>
        <v>짝수</v>
      </c>
      <c r="AA391" s="32" t="str">
        <f t="shared" si="293"/>
        <v>짝수</v>
      </c>
      <c r="AB391" s="32" t="str">
        <f t="shared" si="294"/>
        <v>홀수</v>
      </c>
      <c r="AC391" s="58" t="str">
        <f t="shared" si="295"/>
        <v>3 : 3</v>
      </c>
      <c r="AD391" s="32">
        <f t="shared" si="296"/>
        <v>3</v>
      </c>
      <c r="AE391" s="32">
        <f t="shared" si="297"/>
        <v>3</v>
      </c>
      <c r="AF391" s="66" t="str">
        <f t="shared" si="305"/>
        <v>저수</v>
      </c>
      <c r="AG391" s="66" t="str">
        <f t="shared" si="306"/>
        <v>고수</v>
      </c>
      <c r="AH391" s="66" t="str">
        <f t="shared" si="307"/>
        <v>고수</v>
      </c>
      <c r="AI391" s="66" t="str">
        <f t="shared" si="308"/>
        <v>고수</v>
      </c>
      <c r="AJ391" s="66" t="str">
        <f t="shared" si="309"/>
        <v>고수</v>
      </c>
      <c r="AK391" s="66" t="str">
        <f t="shared" si="310"/>
        <v>고수</v>
      </c>
      <c r="AL391" s="58" t="str">
        <f t="shared" si="311"/>
        <v>1 : 5</v>
      </c>
      <c r="AM391" s="66">
        <f t="shared" si="312"/>
        <v>1</v>
      </c>
      <c r="AN391" s="66">
        <f t="shared" si="313"/>
        <v>5</v>
      </c>
      <c r="AO391" s="66">
        <f t="shared" si="314"/>
        <v>15</v>
      </c>
      <c r="AP391" s="66" t="str">
        <f t="shared" si="315"/>
        <v>X</v>
      </c>
      <c r="AQ391" s="66" t="str">
        <f t="shared" si="316"/>
        <v>X</v>
      </c>
      <c r="AR391" s="66" t="str">
        <f t="shared" si="317"/>
        <v>X</v>
      </c>
      <c r="AS391" s="66" t="str">
        <f t="shared" si="318"/>
        <v>X</v>
      </c>
      <c r="AT391" s="66" t="str">
        <f t="shared" si="319"/>
        <v>X</v>
      </c>
      <c r="AU391" s="66" t="str">
        <f t="shared" si="320"/>
        <v>X</v>
      </c>
      <c r="AV391" s="66" t="str">
        <f t="shared" si="321"/>
        <v>X</v>
      </c>
      <c r="AW391" s="66" t="str">
        <f t="shared" si="322"/>
        <v>X</v>
      </c>
      <c r="AX391" s="66" t="str">
        <f t="shared" si="323"/>
        <v>O</v>
      </c>
      <c r="AY391" s="66" t="str">
        <f t="shared" si="324"/>
        <v>X</v>
      </c>
      <c r="AZ391" s="66" t="str">
        <f t="shared" si="325"/>
        <v>X</v>
      </c>
      <c r="BA391" s="66" t="str">
        <f t="shared" si="326"/>
        <v>O</v>
      </c>
      <c r="BB391" s="66">
        <f t="shared" si="327"/>
        <v>2</v>
      </c>
      <c r="BC391" s="127" t="str">
        <f t="shared" si="298"/>
        <v>1G</v>
      </c>
      <c r="BD391" s="127" t="str">
        <f t="shared" si="299"/>
        <v>2G</v>
      </c>
      <c r="BE391" s="127" t="str">
        <f t="shared" si="300"/>
        <v>3G</v>
      </c>
      <c r="BF391" s="127" t="str">
        <f t="shared" si="301"/>
        <v>3G</v>
      </c>
      <c r="BG391" s="127" t="str">
        <f t="shared" si="302"/>
        <v>3G</v>
      </c>
      <c r="BH391" s="127" t="str">
        <f t="shared" si="303"/>
        <v>3G</v>
      </c>
      <c r="BI391" s="127">
        <f t="shared" si="328"/>
        <v>1</v>
      </c>
      <c r="BJ391" s="127">
        <f t="shared" si="329"/>
        <v>1</v>
      </c>
      <c r="BK391" s="127">
        <f t="shared" si="330"/>
        <v>4</v>
      </c>
      <c r="BL391" s="127" t="str">
        <f t="shared" si="331"/>
        <v>114</v>
      </c>
      <c r="BS391"/>
      <c r="CL391" s="28">
        <v>165</v>
      </c>
      <c r="CM391" s="28">
        <v>160</v>
      </c>
      <c r="CO391"/>
    </row>
    <row r="392" spans="2:93" ht="16.5" hidden="1">
      <c r="B392" s="17">
        <v>388</v>
      </c>
      <c r="C392" s="363" t="s">
        <v>418</v>
      </c>
      <c r="D392" s="18">
        <v>4</v>
      </c>
      <c r="E392" s="20">
        <v>2545543875</v>
      </c>
      <c r="F392" s="18">
        <v>30</v>
      </c>
      <c r="G392" s="20">
        <v>56567642</v>
      </c>
      <c r="H392" s="20">
        <v>1269</v>
      </c>
      <c r="I392" s="20">
        <v>1337297</v>
      </c>
      <c r="J392" s="20">
        <v>61475</v>
      </c>
      <c r="K392" s="20">
        <v>55211</v>
      </c>
      <c r="L392" s="20">
        <v>1036812</v>
      </c>
      <c r="M392" s="20">
        <v>5000</v>
      </c>
      <c r="N392" s="167">
        <v>1</v>
      </c>
      <c r="O392" s="167">
        <v>8</v>
      </c>
      <c r="P392" s="167">
        <v>9</v>
      </c>
      <c r="Q392" s="167">
        <v>17</v>
      </c>
      <c r="R392" s="167">
        <v>29</v>
      </c>
      <c r="S392" s="167">
        <v>32</v>
      </c>
      <c r="T392" s="167">
        <v>45</v>
      </c>
      <c r="U392" s="28">
        <f t="shared" si="304"/>
        <v>96</v>
      </c>
      <c r="W392" s="32" t="str">
        <f t="shared" si="289"/>
        <v>홀수</v>
      </c>
      <c r="X392" s="32" t="str">
        <f t="shared" si="290"/>
        <v>짝수</v>
      </c>
      <c r="Y392" s="32" t="str">
        <f t="shared" si="291"/>
        <v>홀수</v>
      </c>
      <c r="Z392" s="32" t="str">
        <f t="shared" si="292"/>
        <v>홀수</v>
      </c>
      <c r="AA392" s="32" t="str">
        <f t="shared" si="293"/>
        <v>홀수</v>
      </c>
      <c r="AB392" s="32" t="str">
        <f t="shared" si="294"/>
        <v>짝수</v>
      </c>
      <c r="AC392" s="58" t="str">
        <f t="shared" si="295"/>
        <v>4 : 2</v>
      </c>
      <c r="AD392" s="32">
        <f t="shared" si="296"/>
        <v>4</v>
      </c>
      <c r="AE392" s="32">
        <f t="shared" si="297"/>
        <v>2</v>
      </c>
      <c r="AF392" s="66" t="str">
        <f t="shared" si="305"/>
        <v>저수</v>
      </c>
      <c r="AG392" s="66" t="str">
        <f t="shared" si="306"/>
        <v>저수</v>
      </c>
      <c r="AH392" s="66" t="str">
        <f t="shared" si="307"/>
        <v>저수</v>
      </c>
      <c r="AI392" s="66" t="str">
        <f t="shared" si="308"/>
        <v>저수</v>
      </c>
      <c r="AJ392" s="66" t="str">
        <f t="shared" si="309"/>
        <v>고수</v>
      </c>
      <c r="AK392" s="66" t="str">
        <f t="shared" si="310"/>
        <v>고수</v>
      </c>
      <c r="AL392" s="58" t="str">
        <f t="shared" si="311"/>
        <v>4 : 2</v>
      </c>
      <c r="AM392" s="66">
        <f t="shared" si="312"/>
        <v>4</v>
      </c>
      <c r="AN392" s="66">
        <f t="shared" si="313"/>
        <v>2</v>
      </c>
      <c r="AO392" s="66">
        <f t="shared" si="314"/>
        <v>36</v>
      </c>
      <c r="AP392" s="66" t="str">
        <f t="shared" si="315"/>
        <v>X</v>
      </c>
      <c r="AQ392" s="66" t="str">
        <f t="shared" si="316"/>
        <v>X</v>
      </c>
      <c r="AR392" s="66" t="str">
        <f t="shared" si="317"/>
        <v>X</v>
      </c>
      <c r="AS392" s="66" t="str">
        <f t="shared" si="318"/>
        <v>O</v>
      </c>
      <c r="AT392" s="66" t="str">
        <f t="shared" si="319"/>
        <v>X</v>
      </c>
      <c r="AU392" s="66" t="str">
        <f t="shared" si="320"/>
        <v>X</v>
      </c>
      <c r="AV392" s="66" t="str">
        <f t="shared" si="321"/>
        <v>X</v>
      </c>
      <c r="AW392" s="66" t="str">
        <f t="shared" si="322"/>
        <v>X</v>
      </c>
      <c r="AX392" s="66" t="str">
        <f t="shared" si="323"/>
        <v>X</v>
      </c>
      <c r="AY392" s="66" t="str">
        <f t="shared" si="324"/>
        <v>X</v>
      </c>
      <c r="AZ392" s="66" t="str">
        <f t="shared" si="325"/>
        <v>O</v>
      </c>
      <c r="BA392" s="66" t="str">
        <f t="shared" si="326"/>
        <v>X</v>
      </c>
      <c r="BB392" s="66">
        <f t="shared" si="327"/>
        <v>2</v>
      </c>
      <c r="BC392" s="127" t="str">
        <f t="shared" si="298"/>
        <v>1G</v>
      </c>
      <c r="BD392" s="127" t="str">
        <f t="shared" si="299"/>
        <v>1G</v>
      </c>
      <c r="BE392" s="127" t="str">
        <f t="shared" si="300"/>
        <v>1G</v>
      </c>
      <c r="BF392" s="127" t="str">
        <f t="shared" si="301"/>
        <v>2G</v>
      </c>
      <c r="BG392" s="127" t="str">
        <f t="shared" si="302"/>
        <v>2G</v>
      </c>
      <c r="BH392" s="127" t="str">
        <f t="shared" si="303"/>
        <v>3G</v>
      </c>
      <c r="BI392" s="127">
        <f t="shared" si="328"/>
        <v>3</v>
      </c>
      <c r="BJ392" s="127">
        <f t="shared" si="329"/>
        <v>2</v>
      </c>
      <c r="BK392" s="127">
        <f t="shared" si="330"/>
        <v>1</v>
      </c>
      <c r="BL392" s="127" t="str">
        <f t="shared" si="331"/>
        <v>321</v>
      </c>
      <c r="BS392"/>
      <c r="CL392" s="28">
        <v>165</v>
      </c>
      <c r="CM392" s="28">
        <v>160</v>
      </c>
      <c r="CO392"/>
    </row>
    <row r="393" spans="2:93" ht="16.5" hidden="1">
      <c r="B393" s="17">
        <v>389</v>
      </c>
      <c r="C393" s="363" t="s">
        <v>419</v>
      </c>
      <c r="D393" s="18">
        <v>5</v>
      </c>
      <c r="E393" s="20">
        <v>2119027020</v>
      </c>
      <c r="F393" s="18">
        <v>36</v>
      </c>
      <c r="G393" s="20">
        <v>49051552</v>
      </c>
      <c r="H393" s="20">
        <v>1253</v>
      </c>
      <c r="I393" s="20">
        <v>1409303</v>
      </c>
      <c r="J393" s="20">
        <v>60800</v>
      </c>
      <c r="K393" s="20">
        <v>58088</v>
      </c>
      <c r="L393" s="20">
        <v>1021691</v>
      </c>
      <c r="M393" s="20">
        <v>5000</v>
      </c>
      <c r="N393" s="167">
        <v>7</v>
      </c>
      <c r="O393" s="167">
        <v>16</v>
      </c>
      <c r="P393" s="167">
        <v>18</v>
      </c>
      <c r="Q393" s="167">
        <v>20</v>
      </c>
      <c r="R393" s="167">
        <v>23</v>
      </c>
      <c r="S393" s="167">
        <v>26</v>
      </c>
      <c r="T393" s="167">
        <v>3</v>
      </c>
      <c r="U393" s="28">
        <f t="shared" si="304"/>
        <v>110</v>
      </c>
      <c r="W393" s="32" t="str">
        <f t="shared" si="289"/>
        <v>홀수</v>
      </c>
      <c r="X393" s="32" t="str">
        <f t="shared" si="290"/>
        <v>짝수</v>
      </c>
      <c r="Y393" s="32" t="str">
        <f t="shared" si="291"/>
        <v>짝수</v>
      </c>
      <c r="Z393" s="32" t="str">
        <f t="shared" si="292"/>
        <v>짝수</v>
      </c>
      <c r="AA393" s="32" t="str">
        <f t="shared" si="293"/>
        <v>홀수</v>
      </c>
      <c r="AB393" s="32" t="str">
        <f t="shared" si="294"/>
        <v>짝수</v>
      </c>
      <c r="AC393" s="58" t="str">
        <f t="shared" si="295"/>
        <v>2 : 4</v>
      </c>
      <c r="AD393" s="32">
        <f t="shared" si="296"/>
        <v>2</v>
      </c>
      <c r="AE393" s="32">
        <f t="shared" si="297"/>
        <v>4</v>
      </c>
      <c r="AF393" s="66" t="str">
        <f t="shared" si="305"/>
        <v>저수</v>
      </c>
      <c r="AG393" s="66" t="str">
        <f t="shared" si="306"/>
        <v>저수</v>
      </c>
      <c r="AH393" s="66" t="str">
        <f t="shared" si="307"/>
        <v>저수</v>
      </c>
      <c r="AI393" s="66" t="str">
        <f t="shared" si="308"/>
        <v>저수</v>
      </c>
      <c r="AJ393" s="66" t="str">
        <f t="shared" si="309"/>
        <v>고수</v>
      </c>
      <c r="AK393" s="66" t="str">
        <f t="shared" si="310"/>
        <v>고수</v>
      </c>
      <c r="AL393" s="58" t="str">
        <f t="shared" si="311"/>
        <v>4 : 2</v>
      </c>
      <c r="AM393" s="66">
        <f t="shared" si="312"/>
        <v>4</v>
      </c>
      <c r="AN393" s="66">
        <f t="shared" si="313"/>
        <v>2</v>
      </c>
      <c r="AO393" s="66">
        <f t="shared" si="314"/>
        <v>30</v>
      </c>
      <c r="AP393" s="66" t="str">
        <f t="shared" si="315"/>
        <v>O</v>
      </c>
      <c r="AQ393" s="66" t="str">
        <f t="shared" si="316"/>
        <v>X</v>
      </c>
      <c r="AR393" s="66" t="str">
        <f t="shared" si="317"/>
        <v>X</v>
      </c>
      <c r="AS393" s="66" t="str">
        <f t="shared" si="318"/>
        <v>X</v>
      </c>
      <c r="AT393" s="66" t="str">
        <f t="shared" si="319"/>
        <v>X</v>
      </c>
      <c r="AU393" s="66" t="str">
        <f t="shared" si="320"/>
        <v>X</v>
      </c>
      <c r="AV393" s="66" t="str">
        <f t="shared" si="321"/>
        <v>X</v>
      </c>
      <c r="AW393" s="66" t="str">
        <f t="shared" si="322"/>
        <v>X</v>
      </c>
      <c r="AX393" s="66" t="str">
        <f t="shared" si="323"/>
        <v>X</v>
      </c>
      <c r="AY393" s="66" t="str">
        <f t="shared" si="324"/>
        <v>X</v>
      </c>
      <c r="AZ393" s="66" t="str">
        <f t="shared" si="325"/>
        <v>O</v>
      </c>
      <c r="BA393" s="66" t="str">
        <f t="shared" si="326"/>
        <v>X</v>
      </c>
      <c r="BB393" s="66">
        <f t="shared" si="327"/>
        <v>2</v>
      </c>
      <c r="BC393" s="127" t="str">
        <f t="shared" si="298"/>
        <v>1G</v>
      </c>
      <c r="BD393" s="127" t="str">
        <f t="shared" si="299"/>
        <v>2G</v>
      </c>
      <c r="BE393" s="127" t="str">
        <f t="shared" si="300"/>
        <v>2G</v>
      </c>
      <c r="BF393" s="127" t="str">
        <f t="shared" si="301"/>
        <v>2G</v>
      </c>
      <c r="BG393" s="127" t="str">
        <f t="shared" si="302"/>
        <v>2G</v>
      </c>
      <c r="BH393" s="127" t="str">
        <f t="shared" si="303"/>
        <v>2G</v>
      </c>
      <c r="BI393" s="127">
        <f t="shared" si="328"/>
        <v>1</v>
      </c>
      <c r="BJ393" s="127">
        <f t="shared" si="329"/>
        <v>5</v>
      </c>
      <c r="BK393" s="127">
        <f t="shared" si="330"/>
        <v>0</v>
      </c>
      <c r="BL393" s="127" t="str">
        <f t="shared" si="331"/>
        <v>150</v>
      </c>
      <c r="BS393"/>
      <c r="CL393" s="28">
        <v>165</v>
      </c>
      <c r="CM393" s="28">
        <v>160</v>
      </c>
      <c r="CO393"/>
    </row>
    <row r="394" spans="2:93" ht="16.5" hidden="1">
      <c r="B394" s="17">
        <v>390</v>
      </c>
      <c r="C394" s="363" t="s">
        <v>420</v>
      </c>
      <c r="D394" s="18">
        <v>1</v>
      </c>
      <c r="E394" s="20">
        <v>10373997900</v>
      </c>
      <c r="F394" s="18">
        <v>37</v>
      </c>
      <c r="G394" s="20">
        <v>46729721</v>
      </c>
      <c r="H394" s="20">
        <v>1087</v>
      </c>
      <c r="I394" s="20">
        <v>1590617</v>
      </c>
      <c r="J394" s="20">
        <v>55834</v>
      </c>
      <c r="K394" s="20">
        <v>61934</v>
      </c>
      <c r="L394" s="20">
        <v>960968</v>
      </c>
      <c r="M394" s="20">
        <v>5000</v>
      </c>
      <c r="N394" s="167">
        <v>16</v>
      </c>
      <c r="O394" s="167">
        <v>17</v>
      </c>
      <c r="P394" s="167">
        <v>28</v>
      </c>
      <c r="Q394" s="167">
        <v>37</v>
      </c>
      <c r="R394" s="167">
        <v>39</v>
      </c>
      <c r="S394" s="167">
        <v>40</v>
      </c>
      <c r="T394" s="167">
        <v>15</v>
      </c>
      <c r="U394" s="28">
        <f t="shared" si="304"/>
        <v>177</v>
      </c>
      <c r="W394" s="32" t="str">
        <f t="shared" si="289"/>
        <v>짝수</v>
      </c>
      <c r="X394" s="32" t="str">
        <f t="shared" si="290"/>
        <v>홀수</v>
      </c>
      <c r="Y394" s="32" t="str">
        <f t="shared" si="291"/>
        <v>짝수</v>
      </c>
      <c r="Z394" s="32" t="str">
        <f t="shared" si="292"/>
        <v>홀수</v>
      </c>
      <c r="AA394" s="32" t="str">
        <f t="shared" si="293"/>
        <v>홀수</v>
      </c>
      <c r="AB394" s="32" t="str">
        <f t="shared" si="294"/>
        <v>짝수</v>
      </c>
      <c r="AC394" s="58" t="str">
        <f t="shared" si="295"/>
        <v>3 : 3</v>
      </c>
      <c r="AD394" s="32">
        <f t="shared" si="296"/>
        <v>3</v>
      </c>
      <c r="AE394" s="32">
        <f t="shared" si="297"/>
        <v>3</v>
      </c>
      <c r="AF394" s="66" t="str">
        <f t="shared" si="305"/>
        <v>저수</v>
      </c>
      <c r="AG394" s="66" t="str">
        <f t="shared" si="306"/>
        <v>저수</v>
      </c>
      <c r="AH394" s="66" t="str">
        <f t="shared" si="307"/>
        <v>고수</v>
      </c>
      <c r="AI394" s="66" t="str">
        <f t="shared" si="308"/>
        <v>고수</v>
      </c>
      <c r="AJ394" s="66" t="str">
        <f t="shared" si="309"/>
        <v>고수</v>
      </c>
      <c r="AK394" s="66" t="str">
        <f t="shared" si="310"/>
        <v>고수</v>
      </c>
      <c r="AL394" s="58" t="str">
        <f t="shared" si="311"/>
        <v>2 : 4</v>
      </c>
      <c r="AM394" s="66">
        <f t="shared" si="312"/>
        <v>2</v>
      </c>
      <c r="AN394" s="66">
        <f t="shared" si="313"/>
        <v>4</v>
      </c>
      <c r="AO394" s="66">
        <f t="shared" si="314"/>
        <v>37</v>
      </c>
      <c r="AP394" s="66" t="str">
        <f t="shared" si="315"/>
        <v>X</v>
      </c>
      <c r="AQ394" s="66" t="str">
        <f t="shared" si="316"/>
        <v>O</v>
      </c>
      <c r="AR394" s="66" t="str">
        <f t="shared" si="317"/>
        <v>X</v>
      </c>
      <c r="AS394" s="66" t="str">
        <f t="shared" si="318"/>
        <v>X</v>
      </c>
      <c r="AT394" s="66" t="str">
        <f t="shared" si="319"/>
        <v>X</v>
      </c>
      <c r="AU394" s="66" t="str">
        <f t="shared" si="320"/>
        <v>X</v>
      </c>
      <c r="AV394" s="66" t="str">
        <f t="shared" si="321"/>
        <v>X</v>
      </c>
      <c r="AW394" s="66" t="str">
        <f t="shared" si="322"/>
        <v>X</v>
      </c>
      <c r="AX394" s="66" t="str">
        <f t="shared" si="323"/>
        <v>X</v>
      </c>
      <c r="AY394" s="66" t="str">
        <f t="shared" si="324"/>
        <v>O</v>
      </c>
      <c r="AZ394" s="66" t="str">
        <f t="shared" si="325"/>
        <v>X</v>
      </c>
      <c r="BA394" s="66" t="str">
        <f t="shared" si="326"/>
        <v>X</v>
      </c>
      <c r="BB394" s="66">
        <f t="shared" si="327"/>
        <v>2</v>
      </c>
      <c r="BC394" s="127" t="str">
        <f t="shared" si="298"/>
        <v>2G</v>
      </c>
      <c r="BD394" s="127" t="str">
        <f t="shared" si="299"/>
        <v>2G</v>
      </c>
      <c r="BE394" s="127" t="str">
        <f t="shared" si="300"/>
        <v>2G</v>
      </c>
      <c r="BF394" s="127" t="str">
        <f t="shared" si="301"/>
        <v>3G</v>
      </c>
      <c r="BG394" s="127" t="str">
        <f t="shared" si="302"/>
        <v>3G</v>
      </c>
      <c r="BH394" s="127" t="str">
        <f t="shared" si="303"/>
        <v>3G</v>
      </c>
      <c r="BI394" s="127">
        <f t="shared" si="328"/>
        <v>0</v>
      </c>
      <c r="BJ394" s="127">
        <f t="shared" si="329"/>
        <v>3</v>
      </c>
      <c r="BK394" s="127">
        <f t="shared" si="330"/>
        <v>3</v>
      </c>
      <c r="BL394" s="127" t="str">
        <f t="shared" si="331"/>
        <v>033</v>
      </c>
      <c r="BS394"/>
      <c r="CL394" s="28">
        <v>165</v>
      </c>
      <c r="CM394" s="28">
        <v>160</v>
      </c>
      <c r="CO394"/>
    </row>
    <row r="395" spans="2:93" ht="16.5" hidden="1">
      <c r="B395" s="17">
        <v>391</v>
      </c>
      <c r="C395" s="363" t="s">
        <v>421</v>
      </c>
      <c r="D395" s="18">
        <v>1</v>
      </c>
      <c r="E395" s="20">
        <v>10508749800</v>
      </c>
      <c r="F395" s="18">
        <v>32</v>
      </c>
      <c r="G395" s="20">
        <v>54733072</v>
      </c>
      <c r="H395" s="20">
        <v>1337</v>
      </c>
      <c r="I395" s="20">
        <v>1309992</v>
      </c>
      <c r="J395" s="20">
        <v>60803</v>
      </c>
      <c r="K395" s="20">
        <v>57611</v>
      </c>
      <c r="L395" s="20">
        <v>1013235</v>
      </c>
      <c r="M395" s="20">
        <v>5000</v>
      </c>
      <c r="N395" s="167">
        <v>10</v>
      </c>
      <c r="O395" s="167">
        <v>11</v>
      </c>
      <c r="P395" s="167">
        <v>18</v>
      </c>
      <c r="Q395" s="167">
        <v>22</v>
      </c>
      <c r="R395" s="167">
        <v>28</v>
      </c>
      <c r="S395" s="167">
        <v>39</v>
      </c>
      <c r="T395" s="167">
        <v>30</v>
      </c>
      <c r="U395" s="28">
        <f t="shared" si="304"/>
        <v>128</v>
      </c>
      <c r="W395" s="32" t="str">
        <f t="shared" si="289"/>
        <v>짝수</v>
      </c>
      <c r="X395" s="32" t="str">
        <f t="shared" si="290"/>
        <v>홀수</v>
      </c>
      <c r="Y395" s="32" t="str">
        <f t="shared" si="291"/>
        <v>짝수</v>
      </c>
      <c r="Z395" s="32" t="str">
        <f t="shared" si="292"/>
        <v>짝수</v>
      </c>
      <c r="AA395" s="32" t="str">
        <f t="shared" si="293"/>
        <v>짝수</v>
      </c>
      <c r="AB395" s="32" t="str">
        <f t="shared" si="294"/>
        <v>홀수</v>
      </c>
      <c r="AC395" s="58" t="str">
        <f t="shared" si="295"/>
        <v>2 : 4</v>
      </c>
      <c r="AD395" s="32">
        <f t="shared" si="296"/>
        <v>2</v>
      </c>
      <c r="AE395" s="32">
        <f t="shared" si="297"/>
        <v>4</v>
      </c>
      <c r="AF395" s="66" t="str">
        <f t="shared" si="305"/>
        <v>저수</v>
      </c>
      <c r="AG395" s="66" t="str">
        <f t="shared" si="306"/>
        <v>저수</v>
      </c>
      <c r="AH395" s="66" t="str">
        <f t="shared" si="307"/>
        <v>저수</v>
      </c>
      <c r="AI395" s="66" t="str">
        <f t="shared" si="308"/>
        <v>저수</v>
      </c>
      <c r="AJ395" s="66" t="str">
        <f t="shared" si="309"/>
        <v>고수</v>
      </c>
      <c r="AK395" s="66" t="str">
        <f t="shared" si="310"/>
        <v>고수</v>
      </c>
      <c r="AL395" s="58" t="str">
        <f t="shared" si="311"/>
        <v>4 : 2</v>
      </c>
      <c r="AM395" s="66">
        <f t="shared" si="312"/>
        <v>4</v>
      </c>
      <c r="AN395" s="66">
        <f t="shared" si="313"/>
        <v>2</v>
      </c>
      <c r="AO395" s="66">
        <f t="shared" si="314"/>
        <v>28</v>
      </c>
      <c r="AP395" s="66" t="str">
        <f t="shared" si="315"/>
        <v>X</v>
      </c>
      <c r="AQ395" s="66" t="str">
        <f t="shared" si="316"/>
        <v>O</v>
      </c>
      <c r="AR395" s="66" t="str">
        <f t="shared" si="317"/>
        <v>X</v>
      </c>
      <c r="AS395" s="66" t="str">
        <f t="shared" si="318"/>
        <v>X</v>
      </c>
      <c r="AT395" s="66" t="str">
        <f t="shared" si="319"/>
        <v>X</v>
      </c>
      <c r="AU395" s="66" t="str">
        <f t="shared" si="320"/>
        <v>X</v>
      </c>
      <c r="AV395" s="66" t="str">
        <f t="shared" si="321"/>
        <v>X</v>
      </c>
      <c r="AW395" s="66" t="str">
        <f t="shared" si="322"/>
        <v>X</v>
      </c>
      <c r="AX395" s="66" t="str">
        <f t="shared" si="323"/>
        <v>X</v>
      </c>
      <c r="AY395" s="66" t="str">
        <f t="shared" si="324"/>
        <v>X</v>
      </c>
      <c r="AZ395" s="66" t="str">
        <f t="shared" si="325"/>
        <v>X</v>
      </c>
      <c r="BA395" s="66" t="str">
        <f t="shared" si="326"/>
        <v>X</v>
      </c>
      <c r="BB395" s="66">
        <f t="shared" si="327"/>
        <v>1</v>
      </c>
      <c r="BC395" s="127" t="str">
        <f t="shared" si="298"/>
        <v>1G</v>
      </c>
      <c r="BD395" s="127" t="str">
        <f t="shared" si="299"/>
        <v>1G</v>
      </c>
      <c r="BE395" s="127" t="str">
        <f t="shared" si="300"/>
        <v>2G</v>
      </c>
      <c r="BF395" s="127" t="str">
        <f t="shared" si="301"/>
        <v>2G</v>
      </c>
      <c r="BG395" s="127" t="str">
        <f t="shared" si="302"/>
        <v>2G</v>
      </c>
      <c r="BH395" s="127" t="str">
        <f t="shared" si="303"/>
        <v>3G</v>
      </c>
      <c r="BI395" s="127">
        <f t="shared" si="328"/>
        <v>2</v>
      </c>
      <c r="BJ395" s="127">
        <f t="shared" si="329"/>
        <v>3</v>
      </c>
      <c r="BK395" s="127">
        <f t="shared" si="330"/>
        <v>1</v>
      </c>
      <c r="BL395" s="127" t="str">
        <f t="shared" si="331"/>
        <v>231</v>
      </c>
      <c r="BS395"/>
      <c r="CL395" s="28">
        <v>165</v>
      </c>
      <c r="CM395" s="28">
        <v>160</v>
      </c>
      <c r="CO395"/>
    </row>
    <row r="396" spans="2:93" ht="16.5" hidden="1">
      <c r="B396" s="17">
        <v>392</v>
      </c>
      <c r="C396" s="363" t="s">
        <v>422</v>
      </c>
      <c r="D396" s="18">
        <v>6</v>
      </c>
      <c r="E396" s="20">
        <v>1713528700</v>
      </c>
      <c r="F396" s="18">
        <v>30</v>
      </c>
      <c r="G396" s="20">
        <v>57117624</v>
      </c>
      <c r="H396" s="20">
        <v>1504</v>
      </c>
      <c r="I396" s="20">
        <v>1139315</v>
      </c>
      <c r="J396" s="20">
        <v>73927</v>
      </c>
      <c r="K396" s="20">
        <v>46358</v>
      </c>
      <c r="L396" s="20">
        <v>1125811</v>
      </c>
      <c r="M396" s="20">
        <v>5000</v>
      </c>
      <c r="N396" s="167">
        <v>1</v>
      </c>
      <c r="O396" s="167">
        <v>3</v>
      </c>
      <c r="P396" s="167">
        <v>7</v>
      </c>
      <c r="Q396" s="167">
        <v>8</v>
      </c>
      <c r="R396" s="167">
        <v>24</v>
      </c>
      <c r="S396" s="167">
        <v>42</v>
      </c>
      <c r="T396" s="167">
        <v>43</v>
      </c>
      <c r="U396" s="28">
        <f t="shared" si="304"/>
        <v>85</v>
      </c>
      <c r="W396" s="32" t="str">
        <f t="shared" si="289"/>
        <v>홀수</v>
      </c>
      <c r="X396" s="32" t="str">
        <f t="shared" si="290"/>
        <v>홀수</v>
      </c>
      <c r="Y396" s="32" t="str">
        <f t="shared" si="291"/>
        <v>홀수</v>
      </c>
      <c r="Z396" s="32" t="str">
        <f t="shared" si="292"/>
        <v>짝수</v>
      </c>
      <c r="AA396" s="32" t="str">
        <f t="shared" si="293"/>
        <v>짝수</v>
      </c>
      <c r="AB396" s="32" t="str">
        <f t="shared" si="294"/>
        <v>짝수</v>
      </c>
      <c r="AC396" s="58" t="str">
        <f t="shared" si="295"/>
        <v>3 : 3</v>
      </c>
      <c r="AD396" s="32">
        <f t="shared" si="296"/>
        <v>3</v>
      </c>
      <c r="AE396" s="32">
        <f t="shared" si="297"/>
        <v>3</v>
      </c>
      <c r="AF396" s="66" t="str">
        <f t="shared" si="305"/>
        <v>저수</v>
      </c>
      <c r="AG396" s="66" t="str">
        <f t="shared" si="306"/>
        <v>저수</v>
      </c>
      <c r="AH396" s="66" t="str">
        <f t="shared" si="307"/>
        <v>저수</v>
      </c>
      <c r="AI396" s="66" t="str">
        <f t="shared" si="308"/>
        <v>저수</v>
      </c>
      <c r="AJ396" s="66" t="str">
        <f t="shared" si="309"/>
        <v>고수</v>
      </c>
      <c r="AK396" s="66" t="str">
        <f t="shared" si="310"/>
        <v>고수</v>
      </c>
      <c r="AL396" s="58" t="str">
        <f t="shared" si="311"/>
        <v>4 : 2</v>
      </c>
      <c r="AM396" s="66">
        <f t="shared" si="312"/>
        <v>4</v>
      </c>
      <c r="AN396" s="66">
        <f t="shared" si="313"/>
        <v>2</v>
      </c>
      <c r="AO396" s="66">
        <f t="shared" si="314"/>
        <v>25</v>
      </c>
      <c r="AP396" s="66" t="str">
        <f t="shared" si="315"/>
        <v>X</v>
      </c>
      <c r="AQ396" s="66" t="str">
        <f t="shared" si="316"/>
        <v>O</v>
      </c>
      <c r="AR396" s="66" t="str">
        <f t="shared" si="317"/>
        <v>O</v>
      </c>
      <c r="AS396" s="66" t="str">
        <f t="shared" si="318"/>
        <v>X</v>
      </c>
      <c r="AT396" s="66" t="str">
        <f t="shared" si="319"/>
        <v>X</v>
      </c>
      <c r="AU396" s="66" t="str">
        <f t="shared" si="320"/>
        <v>X</v>
      </c>
      <c r="AV396" s="66" t="str">
        <f t="shared" si="321"/>
        <v>X</v>
      </c>
      <c r="AW396" s="66" t="str">
        <f t="shared" si="322"/>
        <v>X</v>
      </c>
      <c r="AX396" s="66" t="str">
        <f t="shared" si="323"/>
        <v>X</v>
      </c>
      <c r="AY396" s="66" t="str">
        <f t="shared" si="324"/>
        <v>X</v>
      </c>
      <c r="AZ396" s="66" t="str">
        <f t="shared" si="325"/>
        <v>X</v>
      </c>
      <c r="BA396" s="66" t="str">
        <f t="shared" si="326"/>
        <v>X</v>
      </c>
      <c r="BB396" s="66">
        <f t="shared" si="327"/>
        <v>2</v>
      </c>
      <c r="BC396" s="127" t="str">
        <f t="shared" si="298"/>
        <v>1G</v>
      </c>
      <c r="BD396" s="127" t="str">
        <f t="shared" si="299"/>
        <v>1G</v>
      </c>
      <c r="BE396" s="127" t="str">
        <f t="shared" si="300"/>
        <v>1G</v>
      </c>
      <c r="BF396" s="127" t="str">
        <f t="shared" si="301"/>
        <v>1G</v>
      </c>
      <c r="BG396" s="127" t="str">
        <f t="shared" si="302"/>
        <v>2G</v>
      </c>
      <c r="BH396" s="127" t="str">
        <f t="shared" si="303"/>
        <v>3G</v>
      </c>
      <c r="BI396" s="127">
        <f t="shared" si="328"/>
        <v>4</v>
      </c>
      <c r="BJ396" s="127">
        <f t="shared" si="329"/>
        <v>1</v>
      </c>
      <c r="BK396" s="127">
        <f t="shared" si="330"/>
        <v>1</v>
      </c>
      <c r="BL396" s="127" t="str">
        <f t="shared" si="331"/>
        <v>411</v>
      </c>
      <c r="BS396"/>
      <c r="CL396" s="28">
        <v>166</v>
      </c>
      <c r="CM396" s="28">
        <v>160</v>
      </c>
      <c r="CO396"/>
    </row>
    <row r="397" spans="2:93" ht="16.5" hidden="1">
      <c r="B397" s="17">
        <v>393</v>
      </c>
      <c r="C397" s="363" t="s">
        <v>423</v>
      </c>
      <c r="D397" s="18">
        <v>8</v>
      </c>
      <c r="E397" s="20">
        <v>1362003975</v>
      </c>
      <c r="F397" s="18">
        <v>35</v>
      </c>
      <c r="G397" s="20">
        <v>51885866</v>
      </c>
      <c r="H397" s="20">
        <v>1072</v>
      </c>
      <c r="I397" s="20">
        <v>1694035</v>
      </c>
      <c r="J397" s="20">
        <v>55951</v>
      </c>
      <c r="K397" s="20">
        <v>64915</v>
      </c>
      <c r="L397" s="20">
        <v>966901</v>
      </c>
      <c r="M397" s="20">
        <v>5000</v>
      </c>
      <c r="N397" s="167">
        <v>9</v>
      </c>
      <c r="O397" s="167">
        <v>16</v>
      </c>
      <c r="P397" s="167">
        <v>28</v>
      </c>
      <c r="Q397" s="167">
        <v>40</v>
      </c>
      <c r="R397" s="167">
        <v>41</v>
      </c>
      <c r="S397" s="167">
        <v>43</v>
      </c>
      <c r="T397" s="167">
        <v>21</v>
      </c>
      <c r="U397" s="28">
        <f t="shared" si="304"/>
        <v>177</v>
      </c>
      <c r="W397" s="32" t="str">
        <f t="shared" si="289"/>
        <v>홀수</v>
      </c>
      <c r="X397" s="32" t="str">
        <f t="shared" si="290"/>
        <v>짝수</v>
      </c>
      <c r="Y397" s="32" t="str">
        <f t="shared" si="291"/>
        <v>짝수</v>
      </c>
      <c r="Z397" s="32" t="str">
        <f t="shared" si="292"/>
        <v>짝수</v>
      </c>
      <c r="AA397" s="32" t="str">
        <f t="shared" si="293"/>
        <v>홀수</v>
      </c>
      <c r="AB397" s="32" t="str">
        <f t="shared" si="294"/>
        <v>홀수</v>
      </c>
      <c r="AC397" s="58" t="str">
        <f t="shared" si="295"/>
        <v>3 : 3</v>
      </c>
      <c r="AD397" s="32">
        <f t="shared" si="296"/>
        <v>3</v>
      </c>
      <c r="AE397" s="32">
        <f t="shared" si="297"/>
        <v>3</v>
      </c>
      <c r="AF397" s="66" t="str">
        <f t="shared" si="305"/>
        <v>저수</v>
      </c>
      <c r="AG397" s="66" t="str">
        <f t="shared" si="306"/>
        <v>저수</v>
      </c>
      <c r="AH397" s="66" t="str">
        <f t="shared" si="307"/>
        <v>고수</v>
      </c>
      <c r="AI397" s="66" t="str">
        <f t="shared" si="308"/>
        <v>고수</v>
      </c>
      <c r="AJ397" s="66" t="str">
        <f t="shared" si="309"/>
        <v>고수</v>
      </c>
      <c r="AK397" s="66" t="str">
        <f t="shared" si="310"/>
        <v>고수</v>
      </c>
      <c r="AL397" s="58" t="str">
        <f t="shared" si="311"/>
        <v>2 : 4</v>
      </c>
      <c r="AM397" s="66">
        <f t="shared" si="312"/>
        <v>2</v>
      </c>
      <c r="AN397" s="66">
        <f t="shared" si="313"/>
        <v>4</v>
      </c>
      <c r="AO397" s="66">
        <f t="shared" si="314"/>
        <v>27</v>
      </c>
      <c r="AP397" s="66" t="str">
        <f t="shared" si="315"/>
        <v>X</v>
      </c>
      <c r="AQ397" s="66" t="str">
        <f t="shared" si="316"/>
        <v>X</v>
      </c>
      <c r="AR397" s="66" t="str">
        <f t="shared" si="317"/>
        <v>X</v>
      </c>
      <c r="AS397" s="66" t="str">
        <f t="shared" si="318"/>
        <v>X</v>
      </c>
      <c r="AT397" s="66" t="str">
        <f t="shared" si="319"/>
        <v>X</v>
      </c>
      <c r="AU397" s="66" t="str">
        <f t="shared" si="320"/>
        <v>X</v>
      </c>
      <c r="AV397" s="66" t="str">
        <f t="shared" si="321"/>
        <v>X</v>
      </c>
      <c r="AW397" s="66" t="str">
        <f t="shared" si="322"/>
        <v>X</v>
      </c>
      <c r="AX397" s="66" t="str">
        <f t="shared" si="323"/>
        <v>X</v>
      </c>
      <c r="AY397" s="66" t="str">
        <f t="shared" si="324"/>
        <v>X</v>
      </c>
      <c r="AZ397" s="66" t="str">
        <f t="shared" si="325"/>
        <v>O</v>
      </c>
      <c r="BA397" s="66" t="str">
        <f t="shared" si="326"/>
        <v>O</v>
      </c>
      <c r="BB397" s="66">
        <f t="shared" si="327"/>
        <v>2</v>
      </c>
      <c r="BC397" s="127" t="str">
        <f t="shared" si="298"/>
        <v>1G</v>
      </c>
      <c r="BD397" s="127" t="str">
        <f t="shared" si="299"/>
        <v>2G</v>
      </c>
      <c r="BE397" s="127" t="str">
        <f t="shared" si="300"/>
        <v>2G</v>
      </c>
      <c r="BF397" s="127" t="str">
        <f t="shared" si="301"/>
        <v>3G</v>
      </c>
      <c r="BG397" s="127" t="str">
        <f t="shared" si="302"/>
        <v>3G</v>
      </c>
      <c r="BH397" s="127" t="str">
        <f t="shared" si="303"/>
        <v>3G</v>
      </c>
      <c r="BI397" s="127">
        <f t="shared" si="328"/>
        <v>1</v>
      </c>
      <c r="BJ397" s="127">
        <f t="shared" si="329"/>
        <v>2</v>
      </c>
      <c r="BK397" s="127">
        <f t="shared" si="330"/>
        <v>3</v>
      </c>
      <c r="BL397" s="127" t="str">
        <f t="shared" si="331"/>
        <v>123</v>
      </c>
      <c r="BS397"/>
      <c r="CL397" s="28">
        <v>166</v>
      </c>
      <c r="CM397" s="28">
        <v>160</v>
      </c>
      <c r="CO397"/>
    </row>
    <row r="398" spans="2:93" ht="16.5" hidden="1">
      <c r="B398" s="17">
        <v>394</v>
      </c>
      <c r="C398" s="363" t="s">
        <v>424</v>
      </c>
      <c r="D398" s="18">
        <v>1</v>
      </c>
      <c r="E398" s="20">
        <v>10654349100</v>
      </c>
      <c r="F398" s="18">
        <v>33</v>
      </c>
      <c r="G398" s="20">
        <v>53809844</v>
      </c>
      <c r="H398" s="20">
        <v>1204</v>
      </c>
      <c r="I398" s="20">
        <v>1474855</v>
      </c>
      <c r="J398" s="20">
        <v>56300</v>
      </c>
      <c r="K398" s="20">
        <v>63081</v>
      </c>
      <c r="L398" s="20">
        <v>967784</v>
      </c>
      <c r="M398" s="20">
        <v>5000</v>
      </c>
      <c r="N398" s="167">
        <v>1</v>
      </c>
      <c r="O398" s="167">
        <v>13</v>
      </c>
      <c r="P398" s="167">
        <v>20</v>
      </c>
      <c r="Q398" s="167">
        <v>22</v>
      </c>
      <c r="R398" s="167">
        <v>25</v>
      </c>
      <c r="S398" s="167">
        <v>28</v>
      </c>
      <c r="T398" s="167">
        <v>15</v>
      </c>
      <c r="U398" s="28">
        <f t="shared" si="304"/>
        <v>109</v>
      </c>
      <c r="W398" s="32" t="str">
        <f t="shared" si="289"/>
        <v>홀수</v>
      </c>
      <c r="X398" s="32" t="str">
        <f t="shared" si="290"/>
        <v>홀수</v>
      </c>
      <c r="Y398" s="32" t="str">
        <f t="shared" si="291"/>
        <v>짝수</v>
      </c>
      <c r="Z398" s="32" t="str">
        <f t="shared" si="292"/>
        <v>짝수</v>
      </c>
      <c r="AA398" s="32" t="str">
        <f t="shared" si="293"/>
        <v>홀수</v>
      </c>
      <c r="AB398" s="32" t="str">
        <f t="shared" si="294"/>
        <v>짝수</v>
      </c>
      <c r="AC398" s="58" t="str">
        <f t="shared" si="295"/>
        <v>3 : 3</v>
      </c>
      <c r="AD398" s="32">
        <f t="shared" si="296"/>
        <v>3</v>
      </c>
      <c r="AE398" s="32">
        <f t="shared" si="297"/>
        <v>3</v>
      </c>
      <c r="AF398" s="66" t="str">
        <f t="shared" si="305"/>
        <v>저수</v>
      </c>
      <c r="AG398" s="66" t="str">
        <f t="shared" si="306"/>
        <v>저수</v>
      </c>
      <c r="AH398" s="66" t="str">
        <f t="shared" si="307"/>
        <v>저수</v>
      </c>
      <c r="AI398" s="66" t="str">
        <f t="shared" si="308"/>
        <v>저수</v>
      </c>
      <c r="AJ398" s="66" t="str">
        <f t="shared" si="309"/>
        <v>고수</v>
      </c>
      <c r="AK398" s="66" t="str">
        <f t="shared" si="310"/>
        <v>고수</v>
      </c>
      <c r="AL398" s="58" t="str">
        <f t="shared" si="311"/>
        <v>4 : 2</v>
      </c>
      <c r="AM398" s="66">
        <f t="shared" si="312"/>
        <v>4</v>
      </c>
      <c r="AN398" s="66">
        <f t="shared" si="313"/>
        <v>2</v>
      </c>
      <c r="AO398" s="66">
        <f t="shared" si="314"/>
        <v>19</v>
      </c>
      <c r="AP398" s="66" t="str">
        <f t="shared" si="315"/>
        <v>X</v>
      </c>
      <c r="AQ398" s="66" t="str">
        <f t="shared" si="316"/>
        <v>O</v>
      </c>
      <c r="AR398" s="66" t="str">
        <f t="shared" si="317"/>
        <v>X</v>
      </c>
      <c r="AS398" s="66" t="str">
        <f t="shared" si="318"/>
        <v>X</v>
      </c>
      <c r="AT398" s="66" t="str">
        <f t="shared" si="319"/>
        <v>X</v>
      </c>
      <c r="AU398" s="66" t="str">
        <f t="shared" si="320"/>
        <v>X</v>
      </c>
      <c r="AV398" s="66" t="str">
        <f t="shared" si="321"/>
        <v>X</v>
      </c>
      <c r="AW398" s="66" t="str">
        <f t="shared" si="322"/>
        <v>X</v>
      </c>
      <c r="AX398" s="66" t="str">
        <f t="shared" si="323"/>
        <v>X</v>
      </c>
      <c r="AY398" s="66" t="str">
        <f t="shared" si="324"/>
        <v>X</v>
      </c>
      <c r="AZ398" s="66" t="str">
        <f t="shared" si="325"/>
        <v>X</v>
      </c>
      <c r="BA398" s="66" t="str">
        <f t="shared" si="326"/>
        <v>X</v>
      </c>
      <c r="BB398" s="66">
        <f t="shared" si="327"/>
        <v>1</v>
      </c>
      <c r="BC398" s="127" t="str">
        <f t="shared" si="298"/>
        <v>1G</v>
      </c>
      <c r="BD398" s="127" t="str">
        <f t="shared" si="299"/>
        <v>1G</v>
      </c>
      <c r="BE398" s="127" t="str">
        <f t="shared" si="300"/>
        <v>2G</v>
      </c>
      <c r="BF398" s="127" t="str">
        <f t="shared" si="301"/>
        <v>2G</v>
      </c>
      <c r="BG398" s="127" t="str">
        <f t="shared" si="302"/>
        <v>2G</v>
      </c>
      <c r="BH398" s="127" t="str">
        <f t="shared" si="303"/>
        <v>2G</v>
      </c>
      <c r="BI398" s="127">
        <f t="shared" si="328"/>
        <v>2</v>
      </c>
      <c r="BJ398" s="127">
        <f t="shared" si="329"/>
        <v>4</v>
      </c>
      <c r="BK398" s="127">
        <f t="shared" si="330"/>
        <v>0</v>
      </c>
      <c r="BL398" s="127" t="str">
        <f t="shared" si="331"/>
        <v>240</v>
      </c>
      <c r="BS398"/>
      <c r="CL398" s="28">
        <v>166</v>
      </c>
      <c r="CM398" s="28">
        <v>160</v>
      </c>
      <c r="CO398"/>
    </row>
    <row r="399" spans="2:93" ht="16.5" hidden="1">
      <c r="B399" s="17">
        <v>395</v>
      </c>
      <c r="C399" s="363" t="s">
        <v>425</v>
      </c>
      <c r="D399" s="18">
        <v>7</v>
      </c>
      <c r="E399" s="20">
        <v>1534635000</v>
      </c>
      <c r="F399" s="18">
        <v>42</v>
      </c>
      <c r="G399" s="20">
        <v>42628750</v>
      </c>
      <c r="H399" s="20">
        <v>1420</v>
      </c>
      <c r="I399" s="20">
        <v>1260851</v>
      </c>
      <c r="J399" s="20">
        <v>64267</v>
      </c>
      <c r="K399" s="20">
        <v>55718</v>
      </c>
      <c r="L399" s="20">
        <v>1038443</v>
      </c>
      <c r="M399" s="20">
        <v>5000</v>
      </c>
      <c r="N399" s="167">
        <v>11</v>
      </c>
      <c r="O399" s="167">
        <v>15</v>
      </c>
      <c r="P399" s="167">
        <v>20</v>
      </c>
      <c r="Q399" s="167">
        <v>26</v>
      </c>
      <c r="R399" s="167">
        <v>31</v>
      </c>
      <c r="S399" s="167">
        <v>35</v>
      </c>
      <c r="T399" s="167">
        <v>7</v>
      </c>
      <c r="U399" s="28">
        <f t="shared" si="304"/>
        <v>138</v>
      </c>
      <c r="W399" s="32" t="str">
        <f t="shared" si="289"/>
        <v>홀수</v>
      </c>
      <c r="X399" s="32" t="str">
        <f t="shared" si="290"/>
        <v>홀수</v>
      </c>
      <c r="Y399" s="32" t="str">
        <f t="shared" si="291"/>
        <v>짝수</v>
      </c>
      <c r="Z399" s="32" t="str">
        <f t="shared" si="292"/>
        <v>짝수</v>
      </c>
      <c r="AA399" s="32" t="str">
        <f t="shared" si="293"/>
        <v>홀수</v>
      </c>
      <c r="AB399" s="32" t="str">
        <f t="shared" si="294"/>
        <v>홀수</v>
      </c>
      <c r="AC399" s="58" t="str">
        <f t="shared" si="295"/>
        <v>4 : 2</v>
      </c>
      <c r="AD399" s="32">
        <f t="shared" si="296"/>
        <v>4</v>
      </c>
      <c r="AE399" s="32">
        <f t="shared" si="297"/>
        <v>2</v>
      </c>
      <c r="AF399" s="66" t="str">
        <f t="shared" si="305"/>
        <v>저수</v>
      </c>
      <c r="AG399" s="66" t="str">
        <f t="shared" si="306"/>
        <v>저수</v>
      </c>
      <c r="AH399" s="66" t="str">
        <f t="shared" si="307"/>
        <v>저수</v>
      </c>
      <c r="AI399" s="66" t="str">
        <f t="shared" si="308"/>
        <v>고수</v>
      </c>
      <c r="AJ399" s="66" t="str">
        <f t="shared" si="309"/>
        <v>고수</v>
      </c>
      <c r="AK399" s="66" t="str">
        <f t="shared" si="310"/>
        <v>고수</v>
      </c>
      <c r="AL399" s="58" t="str">
        <f t="shared" si="311"/>
        <v>3 : 3</v>
      </c>
      <c r="AM399" s="66">
        <f t="shared" si="312"/>
        <v>3</v>
      </c>
      <c r="AN399" s="66">
        <f t="shared" si="313"/>
        <v>3</v>
      </c>
      <c r="AO399" s="66">
        <f t="shared" si="314"/>
        <v>18</v>
      </c>
      <c r="AP399" s="66" t="str">
        <f t="shared" si="315"/>
        <v>O</v>
      </c>
      <c r="AQ399" s="66" t="str">
        <f t="shared" si="316"/>
        <v>X</v>
      </c>
      <c r="AR399" s="66" t="str">
        <f t="shared" si="317"/>
        <v>X</v>
      </c>
      <c r="AS399" s="66" t="str">
        <f t="shared" si="318"/>
        <v>X</v>
      </c>
      <c r="AT399" s="66" t="str">
        <f t="shared" si="319"/>
        <v>X</v>
      </c>
      <c r="AU399" s="66" t="str">
        <f t="shared" si="320"/>
        <v>X</v>
      </c>
      <c r="AV399" s="66" t="str">
        <f t="shared" si="321"/>
        <v>X</v>
      </c>
      <c r="AW399" s="66" t="str">
        <f t="shared" si="322"/>
        <v>X</v>
      </c>
      <c r="AX399" s="66" t="str">
        <f t="shared" si="323"/>
        <v>X</v>
      </c>
      <c r="AY399" s="66" t="str">
        <f t="shared" si="324"/>
        <v>X</v>
      </c>
      <c r="AZ399" s="66" t="str">
        <f t="shared" si="325"/>
        <v>O</v>
      </c>
      <c r="BA399" s="66" t="str">
        <f t="shared" si="326"/>
        <v>X</v>
      </c>
      <c r="BB399" s="66">
        <f t="shared" si="327"/>
        <v>2</v>
      </c>
      <c r="BC399" s="127" t="str">
        <f t="shared" si="298"/>
        <v>1G</v>
      </c>
      <c r="BD399" s="127" t="str">
        <f t="shared" si="299"/>
        <v>1G</v>
      </c>
      <c r="BE399" s="127" t="str">
        <f t="shared" si="300"/>
        <v>2G</v>
      </c>
      <c r="BF399" s="127" t="str">
        <f t="shared" si="301"/>
        <v>2G</v>
      </c>
      <c r="BG399" s="127" t="str">
        <f t="shared" si="302"/>
        <v>3G</v>
      </c>
      <c r="BH399" s="127" t="str">
        <f t="shared" si="303"/>
        <v>3G</v>
      </c>
      <c r="BI399" s="127">
        <f t="shared" si="328"/>
        <v>2</v>
      </c>
      <c r="BJ399" s="127">
        <f t="shared" si="329"/>
        <v>2</v>
      </c>
      <c r="BK399" s="127">
        <f t="shared" si="330"/>
        <v>2</v>
      </c>
      <c r="BL399" s="127" t="str">
        <f t="shared" si="331"/>
        <v>222</v>
      </c>
      <c r="BS399"/>
      <c r="CL399" s="28">
        <v>167</v>
      </c>
      <c r="CM399" s="28">
        <v>160</v>
      </c>
      <c r="CO399"/>
    </row>
    <row r="400" spans="2:93" ht="16.5" hidden="1">
      <c r="B400" s="17">
        <v>396</v>
      </c>
      <c r="C400" s="363" t="s">
        <v>426</v>
      </c>
      <c r="D400" s="18">
        <v>2</v>
      </c>
      <c r="E400" s="20">
        <v>5296622400</v>
      </c>
      <c r="F400" s="18">
        <v>34</v>
      </c>
      <c r="G400" s="20">
        <v>51927671</v>
      </c>
      <c r="H400" s="20">
        <v>1202</v>
      </c>
      <c r="I400" s="20">
        <v>1468836</v>
      </c>
      <c r="J400" s="20">
        <v>61586</v>
      </c>
      <c r="K400" s="20">
        <v>57336</v>
      </c>
      <c r="L400" s="20">
        <v>1015292</v>
      </c>
      <c r="M400" s="20">
        <v>5000</v>
      </c>
      <c r="N400" s="167">
        <v>18</v>
      </c>
      <c r="O400" s="167">
        <v>20</v>
      </c>
      <c r="P400" s="167">
        <v>31</v>
      </c>
      <c r="Q400" s="167">
        <v>34</v>
      </c>
      <c r="R400" s="167">
        <v>40</v>
      </c>
      <c r="S400" s="167">
        <v>45</v>
      </c>
      <c r="T400" s="167">
        <v>30</v>
      </c>
      <c r="U400" s="28">
        <f t="shared" si="304"/>
        <v>188</v>
      </c>
      <c r="W400" s="32" t="str">
        <f t="shared" si="289"/>
        <v>짝수</v>
      </c>
      <c r="X400" s="32" t="str">
        <f t="shared" si="290"/>
        <v>짝수</v>
      </c>
      <c r="Y400" s="32" t="str">
        <f t="shared" si="291"/>
        <v>홀수</v>
      </c>
      <c r="Z400" s="32" t="str">
        <f t="shared" si="292"/>
        <v>짝수</v>
      </c>
      <c r="AA400" s="32" t="str">
        <f t="shared" si="293"/>
        <v>짝수</v>
      </c>
      <c r="AB400" s="32" t="str">
        <f t="shared" si="294"/>
        <v>홀수</v>
      </c>
      <c r="AC400" s="58" t="str">
        <f t="shared" si="295"/>
        <v>2 : 4</v>
      </c>
      <c r="AD400" s="32">
        <f t="shared" si="296"/>
        <v>2</v>
      </c>
      <c r="AE400" s="32">
        <f t="shared" si="297"/>
        <v>4</v>
      </c>
      <c r="AF400" s="66" t="str">
        <f t="shared" si="305"/>
        <v>저수</v>
      </c>
      <c r="AG400" s="66" t="str">
        <f t="shared" si="306"/>
        <v>저수</v>
      </c>
      <c r="AH400" s="66" t="str">
        <f t="shared" si="307"/>
        <v>고수</v>
      </c>
      <c r="AI400" s="66" t="str">
        <f t="shared" si="308"/>
        <v>고수</v>
      </c>
      <c r="AJ400" s="66" t="str">
        <f t="shared" si="309"/>
        <v>고수</v>
      </c>
      <c r="AK400" s="66" t="str">
        <f t="shared" si="310"/>
        <v>고수</v>
      </c>
      <c r="AL400" s="58" t="str">
        <f t="shared" si="311"/>
        <v>2 : 4</v>
      </c>
      <c r="AM400" s="66">
        <f t="shared" si="312"/>
        <v>2</v>
      </c>
      <c r="AN400" s="66">
        <f t="shared" si="313"/>
        <v>4</v>
      </c>
      <c r="AO400" s="66">
        <f t="shared" si="314"/>
        <v>18</v>
      </c>
      <c r="AP400" s="66" t="str">
        <f t="shared" si="315"/>
        <v>X</v>
      </c>
      <c r="AQ400" s="66" t="str">
        <f t="shared" si="316"/>
        <v>X</v>
      </c>
      <c r="AR400" s="66" t="str">
        <f t="shared" si="317"/>
        <v>X</v>
      </c>
      <c r="AS400" s="66" t="str">
        <f t="shared" si="318"/>
        <v>X</v>
      </c>
      <c r="AT400" s="66" t="str">
        <f t="shared" si="319"/>
        <v>X</v>
      </c>
      <c r="AU400" s="66" t="str">
        <f t="shared" si="320"/>
        <v>X</v>
      </c>
      <c r="AV400" s="66" t="str">
        <f t="shared" si="321"/>
        <v>X</v>
      </c>
      <c r="AW400" s="66" t="str">
        <f t="shared" si="322"/>
        <v>X</v>
      </c>
      <c r="AX400" s="66" t="str">
        <f t="shared" si="323"/>
        <v>O</v>
      </c>
      <c r="AY400" s="66" t="str">
        <f t="shared" si="324"/>
        <v>X</v>
      </c>
      <c r="AZ400" s="66" t="str">
        <f t="shared" si="325"/>
        <v>X</v>
      </c>
      <c r="BA400" s="66" t="str">
        <f t="shared" si="326"/>
        <v>X</v>
      </c>
      <c r="BB400" s="66">
        <f t="shared" si="327"/>
        <v>1</v>
      </c>
      <c r="BC400" s="127" t="str">
        <f t="shared" si="298"/>
        <v>2G</v>
      </c>
      <c r="BD400" s="127" t="str">
        <f t="shared" si="299"/>
        <v>2G</v>
      </c>
      <c r="BE400" s="127" t="str">
        <f t="shared" si="300"/>
        <v>3G</v>
      </c>
      <c r="BF400" s="127" t="str">
        <f t="shared" si="301"/>
        <v>3G</v>
      </c>
      <c r="BG400" s="127" t="str">
        <f t="shared" si="302"/>
        <v>3G</v>
      </c>
      <c r="BH400" s="127" t="str">
        <f t="shared" si="303"/>
        <v>3G</v>
      </c>
      <c r="BI400" s="127">
        <f t="shared" si="328"/>
        <v>0</v>
      </c>
      <c r="BJ400" s="127">
        <f t="shared" si="329"/>
        <v>2</v>
      </c>
      <c r="BK400" s="127">
        <f t="shared" si="330"/>
        <v>4</v>
      </c>
      <c r="BL400" s="127" t="str">
        <f t="shared" si="331"/>
        <v>024</v>
      </c>
      <c r="BS400"/>
      <c r="CL400" s="28">
        <v>167</v>
      </c>
      <c r="CM400" s="28">
        <v>160</v>
      </c>
      <c r="CO400"/>
    </row>
    <row r="401" spans="2:93" ht="16.5" hidden="1">
      <c r="B401" s="17">
        <v>397</v>
      </c>
      <c r="C401" s="363" t="s">
        <v>427</v>
      </c>
      <c r="D401" s="18">
        <v>3</v>
      </c>
      <c r="E401" s="20">
        <v>3499519700</v>
      </c>
      <c r="F401" s="18">
        <v>31</v>
      </c>
      <c r="G401" s="20">
        <v>56443867</v>
      </c>
      <c r="H401" s="20">
        <v>1366</v>
      </c>
      <c r="I401" s="20">
        <v>1280937</v>
      </c>
      <c r="J401" s="20">
        <v>66958</v>
      </c>
      <c r="K401" s="20">
        <v>52265</v>
      </c>
      <c r="L401" s="20">
        <v>1089481</v>
      </c>
      <c r="M401" s="20">
        <v>5000</v>
      </c>
      <c r="N401" s="167">
        <v>12</v>
      </c>
      <c r="O401" s="167">
        <v>13</v>
      </c>
      <c r="P401" s="167">
        <v>17</v>
      </c>
      <c r="Q401" s="167">
        <v>22</v>
      </c>
      <c r="R401" s="167">
        <v>25</v>
      </c>
      <c r="S401" s="167">
        <v>33</v>
      </c>
      <c r="T401" s="167">
        <v>8</v>
      </c>
      <c r="U401" s="28">
        <f t="shared" si="304"/>
        <v>122</v>
      </c>
      <c r="W401" s="32" t="str">
        <f t="shared" si="289"/>
        <v>짝수</v>
      </c>
      <c r="X401" s="32" t="str">
        <f t="shared" si="290"/>
        <v>홀수</v>
      </c>
      <c r="Y401" s="32" t="str">
        <f t="shared" si="291"/>
        <v>홀수</v>
      </c>
      <c r="Z401" s="32" t="str">
        <f t="shared" si="292"/>
        <v>짝수</v>
      </c>
      <c r="AA401" s="32" t="str">
        <f t="shared" si="293"/>
        <v>홀수</v>
      </c>
      <c r="AB401" s="32" t="str">
        <f t="shared" si="294"/>
        <v>홀수</v>
      </c>
      <c r="AC401" s="58" t="str">
        <f t="shared" si="295"/>
        <v>4 : 2</v>
      </c>
      <c r="AD401" s="32">
        <f t="shared" si="296"/>
        <v>4</v>
      </c>
      <c r="AE401" s="32">
        <f t="shared" si="297"/>
        <v>2</v>
      </c>
      <c r="AF401" s="66" t="str">
        <f t="shared" si="305"/>
        <v>저수</v>
      </c>
      <c r="AG401" s="66" t="str">
        <f t="shared" si="306"/>
        <v>저수</v>
      </c>
      <c r="AH401" s="66" t="str">
        <f t="shared" si="307"/>
        <v>저수</v>
      </c>
      <c r="AI401" s="66" t="str">
        <f t="shared" si="308"/>
        <v>저수</v>
      </c>
      <c r="AJ401" s="66" t="str">
        <f t="shared" si="309"/>
        <v>고수</v>
      </c>
      <c r="AK401" s="66" t="str">
        <f t="shared" si="310"/>
        <v>고수</v>
      </c>
      <c r="AL401" s="58" t="str">
        <f t="shared" si="311"/>
        <v>4 : 2</v>
      </c>
      <c r="AM401" s="66">
        <f t="shared" si="312"/>
        <v>4</v>
      </c>
      <c r="AN401" s="66">
        <f t="shared" si="313"/>
        <v>2</v>
      </c>
      <c r="AO401" s="66">
        <f t="shared" si="314"/>
        <v>22</v>
      </c>
      <c r="AP401" s="66" t="str">
        <f t="shared" si="315"/>
        <v>X</v>
      </c>
      <c r="AQ401" s="66" t="str">
        <f t="shared" si="316"/>
        <v>O</v>
      </c>
      <c r="AR401" s="66" t="str">
        <f t="shared" si="317"/>
        <v>O</v>
      </c>
      <c r="AS401" s="66" t="str">
        <f t="shared" si="318"/>
        <v>X</v>
      </c>
      <c r="AT401" s="66" t="str">
        <f t="shared" si="319"/>
        <v>X</v>
      </c>
      <c r="AU401" s="66" t="str">
        <f t="shared" si="320"/>
        <v>X</v>
      </c>
      <c r="AV401" s="66" t="str">
        <f t="shared" si="321"/>
        <v>X</v>
      </c>
      <c r="AW401" s="66" t="str">
        <f t="shared" si="322"/>
        <v>X</v>
      </c>
      <c r="AX401" s="66" t="str">
        <f t="shared" si="323"/>
        <v>X</v>
      </c>
      <c r="AY401" s="66" t="str">
        <f t="shared" si="324"/>
        <v>X</v>
      </c>
      <c r="AZ401" s="66" t="str">
        <f t="shared" si="325"/>
        <v>X</v>
      </c>
      <c r="BA401" s="66" t="str">
        <f t="shared" si="326"/>
        <v>X</v>
      </c>
      <c r="BB401" s="66">
        <f t="shared" si="327"/>
        <v>2</v>
      </c>
      <c r="BC401" s="127" t="str">
        <f t="shared" si="298"/>
        <v>1G</v>
      </c>
      <c r="BD401" s="127" t="str">
        <f t="shared" si="299"/>
        <v>1G</v>
      </c>
      <c r="BE401" s="127" t="str">
        <f t="shared" si="300"/>
        <v>2G</v>
      </c>
      <c r="BF401" s="127" t="str">
        <f t="shared" si="301"/>
        <v>2G</v>
      </c>
      <c r="BG401" s="127" t="str">
        <f t="shared" si="302"/>
        <v>2G</v>
      </c>
      <c r="BH401" s="127" t="str">
        <f t="shared" si="303"/>
        <v>3G</v>
      </c>
      <c r="BI401" s="127">
        <f t="shared" si="328"/>
        <v>2</v>
      </c>
      <c r="BJ401" s="127">
        <f t="shared" si="329"/>
        <v>3</v>
      </c>
      <c r="BK401" s="127">
        <f t="shared" si="330"/>
        <v>1</v>
      </c>
      <c r="BL401" s="127" t="str">
        <f t="shared" si="331"/>
        <v>231</v>
      </c>
      <c r="BS401"/>
      <c r="CL401" s="28">
        <v>167</v>
      </c>
      <c r="CM401" s="28">
        <v>160</v>
      </c>
      <c r="CO401"/>
    </row>
    <row r="402" spans="2:93" ht="16.5" hidden="1">
      <c r="B402" s="17">
        <v>398</v>
      </c>
      <c r="C402" s="363" t="s">
        <v>428</v>
      </c>
      <c r="D402" s="18">
        <v>4</v>
      </c>
      <c r="E402" s="20">
        <v>2680625550</v>
      </c>
      <c r="F402" s="18">
        <v>31</v>
      </c>
      <c r="G402" s="20">
        <v>57647862</v>
      </c>
      <c r="H402" s="20">
        <v>1112</v>
      </c>
      <c r="I402" s="20">
        <v>1607090</v>
      </c>
      <c r="J402" s="20">
        <v>57405</v>
      </c>
      <c r="K402" s="20">
        <v>62263</v>
      </c>
      <c r="L402" s="20">
        <v>968563</v>
      </c>
      <c r="M402" s="20">
        <v>5000</v>
      </c>
      <c r="N402" s="167">
        <v>10</v>
      </c>
      <c r="O402" s="167">
        <v>15</v>
      </c>
      <c r="P402" s="167">
        <v>20</v>
      </c>
      <c r="Q402" s="167">
        <v>23</v>
      </c>
      <c r="R402" s="167">
        <v>42</v>
      </c>
      <c r="S402" s="167">
        <v>44</v>
      </c>
      <c r="T402" s="167">
        <v>7</v>
      </c>
      <c r="U402" s="28">
        <f t="shared" si="304"/>
        <v>154</v>
      </c>
      <c r="W402" s="32" t="str">
        <f t="shared" si="289"/>
        <v>짝수</v>
      </c>
      <c r="X402" s="32" t="str">
        <f t="shared" si="290"/>
        <v>홀수</v>
      </c>
      <c r="Y402" s="32" t="str">
        <f t="shared" si="291"/>
        <v>짝수</v>
      </c>
      <c r="Z402" s="32" t="str">
        <f t="shared" si="292"/>
        <v>홀수</v>
      </c>
      <c r="AA402" s="32" t="str">
        <f t="shared" si="293"/>
        <v>짝수</v>
      </c>
      <c r="AB402" s="32" t="str">
        <f t="shared" si="294"/>
        <v>짝수</v>
      </c>
      <c r="AC402" s="58" t="str">
        <f t="shared" si="295"/>
        <v>2 : 4</v>
      </c>
      <c r="AD402" s="32">
        <f t="shared" si="296"/>
        <v>2</v>
      </c>
      <c r="AE402" s="32">
        <f t="shared" si="297"/>
        <v>4</v>
      </c>
      <c r="AF402" s="66" t="str">
        <f t="shared" si="305"/>
        <v>저수</v>
      </c>
      <c r="AG402" s="66" t="str">
        <f t="shared" si="306"/>
        <v>저수</v>
      </c>
      <c r="AH402" s="66" t="str">
        <f t="shared" si="307"/>
        <v>저수</v>
      </c>
      <c r="AI402" s="66" t="str">
        <f t="shared" si="308"/>
        <v>고수</v>
      </c>
      <c r="AJ402" s="66" t="str">
        <f t="shared" si="309"/>
        <v>고수</v>
      </c>
      <c r="AK402" s="66" t="str">
        <f t="shared" si="310"/>
        <v>고수</v>
      </c>
      <c r="AL402" s="58" t="str">
        <f t="shared" si="311"/>
        <v>3 : 3</v>
      </c>
      <c r="AM402" s="66">
        <f t="shared" si="312"/>
        <v>3</v>
      </c>
      <c r="AN402" s="66">
        <f t="shared" si="313"/>
        <v>3</v>
      </c>
      <c r="AO402" s="66">
        <f t="shared" si="314"/>
        <v>14</v>
      </c>
      <c r="AP402" s="66" t="str">
        <f t="shared" si="315"/>
        <v>X</v>
      </c>
      <c r="AQ402" s="66" t="str">
        <f t="shared" si="316"/>
        <v>X</v>
      </c>
      <c r="AR402" s="66" t="str">
        <f t="shared" si="317"/>
        <v>X</v>
      </c>
      <c r="AS402" s="66" t="str">
        <f t="shared" si="318"/>
        <v>X</v>
      </c>
      <c r="AT402" s="66" t="str">
        <f t="shared" si="319"/>
        <v>X</v>
      </c>
      <c r="AU402" s="66" t="str">
        <f t="shared" si="320"/>
        <v>X</v>
      </c>
      <c r="AV402" s="66" t="str">
        <f t="shared" si="321"/>
        <v>X</v>
      </c>
      <c r="AW402" s="66" t="str">
        <f t="shared" si="322"/>
        <v>X</v>
      </c>
      <c r="AX402" s="66" t="str">
        <f t="shared" si="323"/>
        <v>X</v>
      </c>
      <c r="AY402" s="66" t="str">
        <f t="shared" si="324"/>
        <v>O</v>
      </c>
      <c r="AZ402" s="66" t="str">
        <f t="shared" si="325"/>
        <v>X</v>
      </c>
      <c r="BA402" s="66" t="str">
        <f t="shared" si="326"/>
        <v>X</v>
      </c>
      <c r="BB402" s="66">
        <f t="shared" si="327"/>
        <v>1</v>
      </c>
      <c r="BC402" s="127" t="str">
        <f t="shared" si="298"/>
        <v>1G</v>
      </c>
      <c r="BD402" s="127" t="str">
        <f t="shared" si="299"/>
        <v>1G</v>
      </c>
      <c r="BE402" s="127" t="str">
        <f t="shared" si="300"/>
        <v>2G</v>
      </c>
      <c r="BF402" s="127" t="str">
        <f t="shared" si="301"/>
        <v>2G</v>
      </c>
      <c r="BG402" s="127" t="str">
        <f t="shared" si="302"/>
        <v>3G</v>
      </c>
      <c r="BH402" s="127" t="str">
        <f t="shared" si="303"/>
        <v>3G</v>
      </c>
      <c r="BI402" s="127">
        <f t="shared" si="328"/>
        <v>2</v>
      </c>
      <c r="BJ402" s="127">
        <f t="shared" si="329"/>
        <v>2</v>
      </c>
      <c r="BK402" s="127">
        <f t="shared" si="330"/>
        <v>2</v>
      </c>
      <c r="BL402" s="127" t="str">
        <f t="shared" si="331"/>
        <v>222</v>
      </c>
      <c r="BS402"/>
      <c r="CL402" s="28">
        <v>167</v>
      </c>
      <c r="CM402" s="28">
        <v>160</v>
      </c>
      <c r="CO402"/>
    </row>
    <row r="403" spans="2:93" ht="16.5" hidden="1">
      <c r="B403" s="17">
        <v>399</v>
      </c>
      <c r="C403" s="363" t="s">
        <v>429</v>
      </c>
      <c r="D403" s="18">
        <v>8</v>
      </c>
      <c r="E403" s="20">
        <v>1276854975</v>
      </c>
      <c r="F403" s="18">
        <v>40</v>
      </c>
      <c r="G403" s="20">
        <v>42561833</v>
      </c>
      <c r="H403" s="20">
        <v>1462</v>
      </c>
      <c r="I403" s="20">
        <v>1164483</v>
      </c>
      <c r="J403" s="20">
        <v>76998</v>
      </c>
      <c r="K403" s="20">
        <v>44222</v>
      </c>
      <c r="L403" s="20">
        <v>1150232</v>
      </c>
      <c r="M403" s="20">
        <v>5000</v>
      </c>
      <c r="N403" s="167">
        <v>1</v>
      </c>
      <c r="O403" s="167">
        <v>2</v>
      </c>
      <c r="P403" s="167">
        <v>9</v>
      </c>
      <c r="Q403" s="167">
        <v>17</v>
      </c>
      <c r="R403" s="167">
        <v>19</v>
      </c>
      <c r="S403" s="167">
        <v>42</v>
      </c>
      <c r="T403" s="167">
        <v>20</v>
      </c>
      <c r="U403" s="28">
        <f t="shared" si="304"/>
        <v>90</v>
      </c>
      <c r="W403" s="32" t="str">
        <f t="shared" si="289"/>
        <v>홀수</v>
      </c>
      <c r="X403" s="32" t="str">
        <f t="shared" si="290"/>
        <v>짝수</v>
      </c>
      <c r="Y403" s="32" t="str">
        <f t="shared" si="291"/>
        <v>홀수</v>
      </c>
      <c r="Z403" s="32" t="str">
        <f t="shared" si="292"/>
        <v>홀수</v>
      </c>
      <c r="AA403" s="32" t="str">
        <f t="shared" si="293"/>
        <v>홀수</v>
      </c>
      <c r="AB403" s="32" t="str">
        <f t="shared" si="294"/>
        <v>짝수</v>
      </c>
      <c r="AC403" s="58" t="str">
        <f t="shared" si="295"/>
        <v>4 : 2</v>
      </c>
      <c r="AD403" s="32">
        <f t="shared" si="296"/>
        <v>4</v>
      </c>
      <c r="AE403" s="32">
        <f t="shared" si="297"/>
        <v>2</v>
      </c>
      <c r="AF403" s="66" t="str">
        <f t="shared" si="305"/>
        <v>저수</v>
      </c>
      <c r="AG403" s="66" t="str">
        <f t="shared" si="306"/>
        <v>저수</v>
      </c>
      <c r="AH403" s="66" t="str">
        <f t="shared" si="307"/>
        <v>저수</v>
      </c>
      <c r="AI403" s="66" t="str">
        <f t="shared" si="308"/>
        <v>저수</v>
      </c>
      <c r="AJ403" s="66" t="str">
        <f t="shared" si="309"/>
        <v>저수</v>
      </c>
      <c r="AK403" s="66" t="str">
        <f t="shared" si="310"/>
        <v>고수</v>
      </c>
      <c r="AL403" s="58" t="str">
        <f t="shared" si="311"/>
        <v>5 : 1</v>
      </c>
      <c r="AM403" s="66">
        <f t="shared" si="312"/>
        <v>5</v>
      </c>
      <c r="AN403" s="66">
        <f t="shared" si="313"/>
        <v>1</v>
      </c>
      <c r="AO403" s="66">
        <f t="shared" si="314"/>
        <v>30</v>
      </c>
      <c r="AP403" s="66" t="str">
        <f t="shared" si="315"/>
        <v>X</v>
      </c>
      <c r="AQ403" s="66" t="str">
        <f t="shared" si="316"/>
        <v>O</v>
      </c>
      <c r="AR403" s="66" t="str">
        <f t="shared" si="317"/>
        <v>X</v>
      </c>
      <c r="AS403" s="66" t="str">
        <f t="shared" si="318"/>
        <v>O</v>
      </c>
      <c r="AT403" s="66" t="str">
        <f t="shared" si="319"/>
        <v>O</v>
      </c>
      <c r="AU403" s="66" t="str">
        <f t="shared" si="320"/>
        <v>X</v>
      </c>
      <c r="AV403" s="66" t="str">
        <f t="shared" si="321"/>
        <v>X</v>
      </c>
      <c r="AW403" s="66" t="str">
        <f t="shared" si="322"/>
        <v>X</v>
      </c>
      <c r="AX403" s="66" t="str">
        <f t="shared" si="323"/>
        <v>X</v>
      </c>
      <c r="AY403" s="66" t="str">
        <f t="shared" si="324"/>
        <v>X</v>
      </c>
      <c r="AZ403" s="66" t="str">
        <f t="shared" si="325"/>
        <v>X</v>
      </c>
      <c r="BA403" s="66" t="str">
        <f t="shared" si="326"/>
        <v>X</v>
      </c>
      <c r="BB403" s="66">
        <f t="shared" si="327"/>
        <v>3</v>
      </c>
      <c r="BC403" s="127" t="str">
        <f t="shared" si="298"/>
        <v>1G</v>
      </c>
      <c r="BD403" s="127" t="str">
        <f t="shared" si="299"/>
        <v>1G</v>
      </c>
      <c r="BE403" s="127" t="str">
        <f t="shared" si="300"/>
        <v>1G</v>
      </c>
      <c r="BF403" s="127" t="str">
        <f t="shared" si="301"/>
        <v>2G</v>
      </c>
      <c r="BG403" s="127" t="str">
        <f t="shared" si="302"/>
        <v>2G</v>
      </c>
      <c r="BH403" s="127" t="str">
        <f t="shared" si="303"/>
        <v>3G</v>
      </c>
      <c r="BI403" s="127">
        <f t="shared" si="328"/>
        <v>3</v>
      </c>
      <c r="BJ403" s="127">
        <f t="shared" si="329"/>
        <v>2</v>
      </c>
      <c r="BK403" s="127">
        <f t="shared" si="330"/>
        <v>1</v>
      </c>
      <c r="BL403" s="127" t="str">
        <f t="shared" si="331"/>
        <v>321</v>
      </c>
      <c r="BS403"/>
      <c r="CL403" s="28">
        <v>168</v>
      </c>
      <c r="CM403" s="28">
        <v>160</v>
      </c>
      <c r="CO403"/>
    </row>
    <row r="404" spans="2:93" ht="16.5" hidden="1">
      <c r="B404" s="17">
        <v>400</v>
      </c>
      <c r="C404" s="363" t="s">
        <v>430</v>
      </c>
      <c r="D404" s="18">
        <v>4</v>
      </c>
      <c r="E404" s="20">
        <v>2669834325</v>
      </c>
      <c r="F404" s="18">
        <v>30</v>
      </c>
      <c r="G404" s="20">
        <v>59329652</v>
      </c>
      <c r="H404" s="20">
        <v>1254</v>
      </c>
      <c r="I404" s="20">
        <v>1419370</v>
      </c>
      <c r="J404" s="20">
        <v>59141</v>
      </c>
      <c r="K404" s="20">
        <v>60192</v>
      </c>
      <c r="L404" s="20">
        <v>978194</v>
      </c>
      <c r="M404" s="20">
        <v>5000</v>
      </c>
      <c r="N404" s="167">
        <v>9</v>
      </c>
      <c r="O404" s="167">
        <v>21</v>
      </c>
      <c r="P404" s="167">
        <v>27</v>
      </c>
      <c r="Q404" s="167">
        <v>34</v>
      </c>
      <c r="R404" s="167">
        <v>41</v>
      </c>
      <c r="S404" s="167">
        <v>43</v>
      </c>
      <c r="T404" s="167">
        <v>2</v>
      </c>
      <c r="U404" s="28">
        <f t="shared" si="304"/>
        <v>175</v>
      </c>
      <c r="W404" s="32" t="str">
        <f t="shared" si="289"/>
        <v>홀수</v>
      </c>
      <c r="X404" s="32" t="str">
        <f t="shared" si="290"/>
        <v>홀수</v>
      </c>
      <c r="Y404" s="32" t="str">
        <f t="shared" si="291"/>
        <v>홀수</v>
      </c>
      <c r="Z404" s="32" t="str">
        <f t="shared" si="292"/>
        <v>짝수</v>
      </c>
      <c r="AA404" s="32" t="str">
        <f t="shared" si="293"/>
        <v>홀수</v>
      </c>
      <c r="AB404" s="32" t="str">
        <f t="shared" si="294"/>
        <v>홀수</v>
      </c>
      <c r="AC404" s="58" t="str">
        <f t="shared" si="295"/>
        <v>5 : 1</v>
      </c>
      <c r="AD404" s="32">
        <f t="shared" si="296"/>
        <v>5</v>
      </c>
      <c r="AE404" s="32">
        <f t="shared" si="297"/>
        <v>1</v>
      </c>
      <c r="AF404" s="66" t="str">
        <f t="shared" si="305"/>
        <v>저수</v>
      </c>
      <c r="AG404" s="66" t="str">
        <f t="shared" si="306"/>
        <v>저수</v>
      </c>
      <c r="AH404" s="66" t="str">
        <f t="shared" si="307"/>
        <v>고수</v>
      </c>
      <c r="AI404" s="66" t="str">
        <f t="shared" si="308"/>
        <v>고수</v>
      </c>
      <c r="AJ404" s="66" t="str">
        <f t="shared" si="309"/>
        <v>고수</v>
      </c>
      <c r="AK404" s="66" t="str">
        <f t="shared" si="310"/>
        <v>고수</v>
      </c>
      <c r="AL404" s="58" t="str">
        <f t="shared" si="311"/>
        <v>2 : 4</v>
      </c>
      <c r="AM404" s="66">
        <f t="shared" si="312"/>
        <v>2</v>
      </c>
      <c r="AN404" s="66">
        <f t="shared" si="313"/>
        <v>4</v>
      </c>
      <c r="AO404" s="66">
        <f t="shared" si="314"/>
        <v>25</v>
      </c>
      <c r="AP404" s="66" t="str">
        <f t="shared" si="315"/>
        <v>X</v>
      </c>
      <c r="AQ404" s="66" t="str">
        <f t="shared" si="316"/>
        <v>X</v>
      </c>
      <c r="AR404" s="66" t="str">
        <f t="shared" si="317"/>
        <v>X</v>
      </c>
      <c r="AS404" s="66" t="str">
        <f t="shared" si="318"/>
        <v>X</v>
      </c>
      <c r="AT404" s="66" t="str">
        <f t="shared" si="319"/>
        <v>X</v>
      </c>
      <c r="AU404" s="66" t="str">
        <f t="shared" si="320"/>
        <v>X</v>
      </c>
      <c r="AV404" s="66" t="str">
        <f t="shared" si="321"/>
        <v>X</v>
      </c>
      <c r="AW404" s="66" t="str">
        <f t="shared" si="322"/>
        <v>X</v>
      </c>
      <c r="AX404" s="66" t="str">
        <f t="shared" si="323"/>
        <v>X</v>
      </c>
      <c r="AY404" s="66" t="str">
        <f t="shared" si="324"/>
        <v>X</v>
      </c>
      <c r="AZ404" s="66" t="str">
        <f t="shared" si="325"/>
        <v>O</v>
      </c>
      <c r="BA404" s="66" t="str">
        <f t="shared" si="326"/>
        <v>O</v>
      </c>
      <c r="BB404" s="66">
        <f t="shared" si="327"/>
        <v>2</v>
      </c>
      <c r="BC404" s="127" t="str">
        <f t="shared" si="298"/>
        <v>1G</v>
      </c>
      <c r="BD404" s="127" t="str">
        <f t="shared" si="299"/>
        <v>2G</v>
      </c>
      <c r="BE404" s="127" t="str">
        <f t="shared" si="300"/>
        <v>2G</v>
      </c>
      <c r="BF404" s="127" t="str">
        <f t="shared" si="301"/>
        <v>3G</v>
      </c>
      <c r="BG404" s="127" t="str">
        <f t="shared" si="302"/>
        <v>3G</v>
      </c>
      <c r="BH404" s="127" t="str">
        <f t="shared" si="303"/>
        <v>3G</v>
      </c>
      <c r="BI404" s="127">
        <f t="shared" si="328"/>
        <v>1</v>
      </c>
      <c r="BJ404" s="127">
        <f t="shared" si="329"/>
        <v>2</v>
      </c>
      <c r="BK404" s="127">
        <f t="shared" si="330"/>
        <v>3</v>
      </c>
      <c r="BL404" s="127" t="str">
        <f t="shared" si="331"/>
        <v>123</v>
      </c>
      <c r="BS404"/>
      <c r="CL404" s="28">
        <v>168</v>
      </c>
      <c r="CM404" s="28">
        <v>160</v>
      </c>
      <c r="CO404"/>
    </row>
    <row r="405" spans="2:93" ht="16.5" hidden="1">
      <c r="B405" s="17">
        <v>401</v>
      </c>
      <c r="C405" s="363" t="s">
        <v>431</v>
      </c>
      <c r="D405" s="18">
        <v>9</v>
      </c>
      <c r="E405" s="20">
        <v>1168214792</v>
      </c>
      <c r="F405" s="18">
        <v>29</v>
      </c>
      <c r="G405" s="20">
        <v>60424904</v>
      </c>
      <c r="H405" s="20">
        <v>1355</v>
      </c>
      <c r="I405" s="20">
        <v>1293227</v>
      </c>
      <c r="J405" s="20">
        <v>59599</v>
      </c>
      <c r="K405" s="20">
        <v>50000</v>
      </c>
      <c r="L405" s="20">
        <v>949491</v>
      </c>
      <c r="M405" s="20">
        <v>5000</v>
      </c>
      <c r="N405" s="167">
        <v>6</v>
      </c>
      <c r="O405" s="167">
        <v>12</v>
      </c>
      <c r="P405" s="167">
        <v>18</v>
      </c>
      <c r="Q405" s="167">
        <v>31</v>
      </c>
      <c r="R405" s="167">
        <v>38</v>
      </c>
      <c r="S405" s="167">
        <v>43</v>
      </c>
      <c r="T405" s="167">
        <v>9</v>
      </c>
      <c r="U405" s="28">
        <f t="shared" si="304"/>
        <v>148</v>
      </c>
      <c r="W405" s="32" t="str">
        <f t="shared" si="289"/>
        <v>짝수</v>
      </c>
      <c r="X405" s="32" t="str">
        <f t="shared" si="290"/>
        <v>짝수</v>
      </c>
      <c r="Y405" s="32" t="str">
        <f t="shared" si="291"/>
        <v>짝수</v>
      </c>
      <c r="Z405" s="32" t="str">
        <f t="shared" si="292"/>
        <v>홀수</v>
      </c>
      <c r="AA405" s="32" t="str">
        <f t="shared" si="293"/>
        <v>짝수</v>
      </c>
      <c r="AB405" s="32" t="str">
        <f t="shared" si="294"/>
        <v>홀수</v>
      </c>
      <c r="AC405" s="58" t="str">
        <f t="shared" si="295"/>
        <v>2 : 4</v>
      </c>
      <c r="AD405" s="32">
        <f t="shared" si="296"/>
        <v>2</v>
      </c>
      <c r="AE405" s="32">
        <f t="shared" si="297"/>
        <v>4</v>
      </c>
      <c r="AF405" s="66" t="str">
        <f t="shared" si="305"/>
        <v>저수</v>
      </c>
      <c r="AG405" s="66" t="str">
        <f t="shared" si="306"/>
        <v>저수</v>
      </c>
      <c r="AH405" s="66" t="str">
        <f t="shared" si="307"/>
        <v>저수</v>
      </c>
      <c r="AI405" s="66" t="str">
        <f t="shared" si="308"/>
        <v>고수</v>
      </c>
      <c r="AJ405" s="66" t="str">
        <f t="shared" si="309"/>
        <v>고수</v>
      </c>
      <c r="AK405" s="66" t="str">
        <f t="shared" si="310"/>
        <v>고수</v>
      </c>
      <c r="AL405" s="58" t="str">
        <f t="shared" si="311"/>
        <v>3 : 3</v>
      </c>
      <c r="AM405" s="66">
        <f t="shared" si="312"/>
        <v>3</v>
      </c>
      <c r="AN405" s="66">
        <f t="shared" si="313"/>
        <v>3</v>
      </c>
      <c r="AO405" s="66">
        <f t="shared" si="314"/>
        <v>28</v>
      </c>
      <c r="AP405" s="66" t="str">
        <f t="shared" si="315"/>
        <v>X</v>
      </c>
      <c r="AQ405" s="66" t="str">
        <f t="shared" si="316"/>
        <v>X</v>
      </c>
      <c r="AR405" s="66" t="str">
        <f t="shared" si="317"/>
        <v>X</v>
      </c>
      <c r="AS405" s="66" t="str">
        <f t="shared" si="318"/>
        <v>X</v>
      </c>
      <c r="AT405" s="66" t="str">
        <f t="shared" si="319"/>
        <v>X</v>
      </c>
      <c r="AU405" s="66" t="str">
        <f t="shared" si="320"/>
        <v>X</v>
      </c>
      <c r="AV405" s="66" t="str">
        <f t="shared" si="321"/>
        <v>X</v>
      </c>
      <c r="AW405" s="66" t="str">
        <f t="shared" si="322"/>
        <v>X</v>
      </c>
      <c r="AX405" s="66" t="str">
        <f t="shared" si="323"/>
        <v>X</v>
      </c>
      <c r="AY405" s="66" t="str">
        <f t="shared" si="324"/>
        <v>O</v>
      </c>
      <c r="AZ405" s="66" t="str">
        <f t="shared" si="325"/>
        <v>X</v>
      </c>
      <c r="BA405" s="66" t="str">
        <f t="shared" si="326"/>
        <v>O</v>
      </c>
      <c r="BB405" s="66">
        <f t="shared" si="327"/>
        <v>2</v>
      </c>
      <c r="BC405" s="127" t="str">
        <f t="shared" si="298"/>
        <v>1G</v>
      </c>
      <c r="BD405" s="127" t="str">
        <f t="shared" si="299"/>
        <v>1G</v>
      </c>
      <c r="BE405" s="127" t="str">
        <f t="shared" si="300"/>
        <v>2G</v>
      </c>
      <c r="BF405" s="127" t="str">
        <f t="shared" si="301"/>
        <v>3G</v>
      </c>
      <c r="BG405" s="127" t="str">
        <f t="shared" si="302"/>
        <v>3G</v>
      </c>
      <c r="BH405" s="127" t="str">
        <f t="shared" si="303"/>
        <v>3G</v>
      </c>
      <c r="BI405" s="127">
        <f t="shared" si="328"/>
        <v>2</v>
      </c>
      <c r="BJ405" s="127">
        <f t="shared" si="329"/>
        <v>1</v>
      </c>
      <c r="BK405" s="127">
        <f t="shared" si="330"/>
        <v>3</v>
      </c>
      <c r="BL405" s="127" t="str">
        <f t="shared" si="331"/>
        <v>213</v>
      </c>
      <c r="BS405"/>
      <c r="CL405" s="28">
        <v>168</v>
      </c>
      <c r="CM405" s="28">
        <v>160</v>
      </c>
      <c r="CO405"/>
    </row>
    <row r="406" spans="2:93" ht="16.5" hidden="1">
      <c r="B406" s="17">
        <v>402</v>
      </c>
      <c r="C406" s="363" t="s">
        <v>432</v>
      </c>
      <c r="D406" s="18">
        <v>4</v>
      </c>
      <c r="E406" s="20">
        <v>2662206188</v>
      </c>
      <c r="F406" s="18">
        <v>41</v>
      </c>
      <c r="G406" s="20">
        <v>43287906</v>
      </c>
      <c r="H406" s="20">
        <v>1271</v>
      </c>
      <c r="I406" s="20">
        <v>1396385</v>
      </c>
      <c r="J406" s="20">
        <v>62656</v>
      </c>
      <c r="K406" s="20">
        <v>50000</v>
      </c>
      <c r="L406" s="20">
        <v>1034048</v>
      </c>
      <c r="M406" s="20">
        <v>5000</v>
      </c>
      <c r="N406" s="167">
        <v>5</v>
      </c>
      <c r="O406" s="167">
        <v>9</v>
      </c>
      <c r="P406" s="167">
        <v>15</v>
      </c>
      <c r="Q406" s="167">
        <v>19</v>
      </c>
      <c r="R406" s="167">
        <v>22</v>
      </c>
      <c r="S406" s="167">
        <v>36</v>
      </c>
      <c r="T406" s="167">
        <v>32</v>
      </c>
      <c r="U406" s="28">
        <f t="shared" si="304"/>
        <v>106</v>
      </c>
      <c r="W406" s="32" t="str">
        <f t="shared" si="289"/>
        <v>홀수</v>
      </c>
      <c r="X406" s="32" t="str">
        <f t="shared" si="290"/>
        <v>홀수</v>
      </c>
      <c r="Y406" s="32" t="str">
        <f t="shared" si="291"/>
        <v>홀수</v>
      </c>
      <c r="Z406" s="32" t="str">
        <f t="shared" si="292"/>
        <v>홀수</v>
      </c>
      <c r="AA406" s="32" t="str">
        <f t="shared" si="293"/>
        <v>짝수</v>
      </c>
      <c r="AB406" s="32" t="str">
        <f t="shared" si="294"/>
        <v>짝수</v>
      </c>
      <c r="AC406" s="58" t="str">
        <f t="shared" si="295"/>
        <v>4 : 2</v>
      </c>
      <c r="AD406" s="32">
        <f t="shared" si="296"/>
        <v>4</v>
      </c>
      <c r="AE406" s="32">
        <f t="shared" si="297"/>
        <v>2</v>
      </c>
      <c r="AF406" s="66" t="str">
        <f t="shared" si="305"/>
        <v>저수</v>
      </c>
      <c r="AG406" s="66" t="str">
        <f t="shared" si="306"/>
        <v>저수</v>
      </c>
      <c r="AH406" s="66" t="str">
        <f t="shared" si="307"/>
        <v>저수</v>
      </c>
      <c r="AI406" s="66" t="str">
        <f t="shared" si="308"/>
        <v>저수</v>
      </c>
      <c r="AJ406" s="66" t="str">
        <f t="shared" si="309"/>
        <v>저수</v>
      </c>
      <c r="AK406" s="66" t="str">
        <f t="shared" si="310"/>
        <v>고수</v>
      </c>
      <c r="AL406" s="58" t="str">
        <f t="shared" si="311"/>
        <v>5 : 1</v>
      </c>
      <c r="AM406" s="66">
        <f t="shared" si="312"/>
        <v>5</v>
      </c>
      <c r="AN406" s="66">
        <f t="shared" si="313"/>
        <v>1</v>
      </c>
      <c r="AO406" s="66">
        <f t="shared" si="314"/>
        <v>36</v>
      </c>
      <c r="AP406" s="66" t="str">
        <f t="shared" si="315"/>
        <v>O</v>
      </c>
      <c r="AQ406" s="66" t="str">
        <f t="shared" si="316"/>
        <v>X</v>
      </c>
      <c r="AR406" s="66" t="str">
        <f t="shared" si="317"/>
        <v>X</v>
      </c>
      <c r="AS406" s="66" t="str">
        <f t="shared" si="318"/>
        <v>O</v>
      </c>
      <c r="AT406" s="66" t="str">
        <f t="shared" si="319"/>
        <v>X</v>
      </c>
      <c r="AU406" s="66" t="str">
        <f t="shared" si="320"/>
        <v>X</v>
      </c>
      <c r="AV406" s="66" t="str">
        <f t="shared" si="321"/>
        <v>X</v>
      </c>
      <c r="AW406" s="66" t="str">
        <f t="shared" si="322"/>
        <v>X</v>
      </c>
      <c r="AX406" s="66" t="str">
        <f t="shared" si="323"/>
        <v>X</v>
      </c>
      <c r="AY406" s="66" t="str">
        <f t="shared" si="324"/>
        <v>X</v>
      </c>
      <c r="AZ406" s="66" t="str">
        <f t="shared" si="325"/>
        <v>X</v>
      </c>
      <c r="BA406" s="66" t="str">
        <f t="shared" si="326"/>
        <v>X</v>
      </c>
      <c r="BB406" s="66">
        <f t="shared" si="327"/>
        <v>2</v>
      </c>
      <c r="BC406" s="127" t="str">
        <f t="shared" si="298"/>
        <v>1G</v>
      </c>
      <c r="BD406" s="127" t="str">
        <f t="shared" si="299"/>
        <v>1G</v>
      </c>
      <c r="BE406" s="127" t="str">
        <f t="shared" si="300"/>
        <v>1G</v>
      </c>
      <c r="BF406" s="127" t="str">
        <f t="shared" si="301"/>
        <v>2G</v>
      </c>
      <c r="BG406" s="127" t="str">
        <f t="shared" si="302"/>
        <v>2G</v>
      </c>
      <c r="BH406" s="127" t="str">
        <f t="shared" si="303"/>
        <v>3G</v>
      </c>
      <c r="BI406" s="127">
        <f t="shared" si="328"/>
        <v>3</v>
      </c>
      <c r="BJ406" s="127">
        <f t="shared" si="329"/>
        <v>2</v>
      </c>
      <c r="BK406" s="127">
        <f t="shared" si="330"/>
        <v>1</v>
      </c>
      <c r="BL406" s="127" t="str">
        <f t="shared" si="331"/>
        <v>321</v>
      </c>
      <c r="BS406"/>
      <c r="CL406" s="28">
        <v>168</v>
      </c>
      <c r="CM406" s="28">
        <v>160</v>
      </c>
      <c r="CO406"/>
    </row>
    <row r="407" spans="2:93" ht="16.5" hidden="1">
      <c r="B407" s="17">
        <v>403</v>
      </c>
      <c r="C407" s="363" t="s">
        <v>433</v>
      </c>
      <c r="D407" s="18">
        <v>5</v>
      </c>
      <c r="E407" s="20">
        <v>2122396875</v>
      </c>
      <c r="F407" s="18">
        <v>43</v>
      </c>
      <c r="G407" s="20">
        <v>41131723</v>
      </c>
      <c r="H407" s="20">
        <v>1321</v>
      </c>
      <c r="I407" s="20">
        <v>1338883</v>
      </c>
      <c r="J407" s="20">
        <v>63122</v>
      </c>
      <c r="K407" s="20">
        <v>50000</v>
      </c>
      <c r="L407" s="20">
        <v>1030051</v>
      </c>
      <c r="M407" s="20">
        <v>5000</v>
      </c>
      <c r="N407" s="167">
        <v>10</v>
      </c>
      <c r="O407" s="167">
        <v>14</v>
      </c>
      <c r="P407" s="167">
        <v>22</v>
      </c>
      <c r="Q407" s="167">
        <v>24</v>
      </c>
      <c r="R407" s="167">
        <v>28</v>
      </c>
      <c r="S407" s="167">
        <v>37</v>
      </c>
      <c r="T407" s="167">
        <v>26</v>
      </c>
      <c r="U407" s="28">
        <f t="shared" si="304"/>
        <v>135</v>
      </c>
      <c r="W407" s="32" t="str">
        <f t="shared" si="289"/>
        <v>짝수</v>
      </c>
      <c r="X407" s="32" t="str">
        <f t="shared" si="290"/>
        <v>짝수</v>
      </c>
      <c r="Y407" s="32" t="str">
        <f t="shared" si="291"/>
        <v>짝수</v>
      </c>
      <c r="Z407" s="32" t="str">
        <f t="shared" si="292"/>
        <v>짝수</v>
      </c>
      <c r="AA407" s="32" t="str">
        <f t="shared" si="293"/>
        <v>짝수</v>
      </c>
      <c r="AB407" s="32" t="str">
        <f t="shared" si="294"/>
        <v>홀수</v>
      </c>
      <c r="AC407" s="58" t="str">
        <f t="shared" si="295"/>
        <v>1 : 5</v>
      </c>
      <c r="AD407" s="32">
        <f t="shared" si="296"/>
        <v>1</v>
      </c>
      <c r="AE407" s="32">
        <f t="shared" si="297"/>
        <v>5</v>
      </c>
      <c r="AF407" s="66" t="str">
        <f t="shared" si="305"/>
        <v>저수</v>
      </c>
      <c r="AG407" s="66" t="str">
        <f t="shared" si="306"/>
        <v>저수</v>
      </c>
      <c r="AH407" s="66" t="str">
        <f t="shared" si="307"/>
        <v>저수</v>
      </c>
      <c r="AI407" s="66" t="str">
        <f t="shared" si="308"/>
        <v>고수</v>
      </c>
      <c r="AJ407" s="66" t="str">
        <f t="shared" si="309"/>
        <v>고수</v>
      </c>
      <c r="AK407" s="66" t="str">
        <f t="shared" si="310"/>
        <v>고수</v>
      </c>
      <c r="AL407" s="58" t="str">
        <f t="shared" si="311"/>
        <v>3 : 3</v>
      </c>
      <c r="AM407" s="66">
        <f t="shared" si="312"/>
        <v>3</v>
      </c>
      <c r="AN407" s="66">
        <f t="shared" si="313"/>
        <v>3</v>
      </c>
      <c r="AO407" s="66">
        <f t="shared" si="314"/>
        <v>25</v>
      </c>
      <c r="AP407" s="66" t="str">
        <f t="shared" si="315"/>
        <v>X</v>
      </c>
      <c r="AQ407" s="66" t="str">
        <f t="shared" si="316"/>
        <v>X</v>
      </c>
      <c r="AR407" s="66" t="str">
        <f t="shared" si="317"/>
        <v>X</v>
      </c>
      <c r="AS407" s="66" t="str">
        <f t="shared" si="318"/>
        <v>X</v>
      </c>
      <c r="AT407" s="66" t="str">
        <f t="shared" si="319"/>
        <v>X</v>
      </c>
      <c r="AU407" s="66" t="str">
        <f t="shared" si="320"/>
        <v>X</v>
      </c>
      <c r="AV407" s="66" t="str">
        <f t="shared" si="321"/>
        <v>X</v>
      </c>
      <c r="AW407" s="66" t="str">
        <f t="shared" si="322"/>
        <v>X</v>
      </c>
      <c r="AX407" s="66" t="str">
        <f t="shared" si="323"/>
        <v>X</v>
      </c>
      <c r="AY407" s="66" t="str">
        <f t="shared" si="324"/>
        <v>X</v>
      </c>
      <c r="AZ407" s="66" t="str">
        <f t="shared" si="325"/>
        <v>X</v>
      </c>
      <c r="BA407" s="66" t="str">
        <f t="shared" si="326"/>
        <v>O</v>
      </c>
      <c r="BB407" s="66">
        <f t="shared" si="327"/>
        <v>1</v>
      </c>
      <c r="BC407" s="127" t="str">
        <f t="shared" si="298"/>
        <v>1G</v>
      </c>
      <c r="BD407" s="127" t="str">
        <f t="shared" si="299"/>
        <v>1G</v>
      </c>
      <c r="BE407" s="127" t="str">
        <f t="shared" si="300"/>
        <v>2G</v>
      </c>
      <c r="BF407" s="127" t="str">
        <f t="shared" si="301"/>
        <v>2G</v>
      </c>
      <c r="BG407" s="127" t="str">
        <f t="shared" si="302"/>
        <v>2G</v>
      </c>
      <c r="BH407" s="127" t="str">
        <f t="shared" si="303"/>
        <v>3G</v>
      </c>
      <c r="BI407" s="127">
        <f t="shared" si="328"/>
        <v>2</v>
      </c>
      <c r="BJ407" s="127">
        <f t="shared" si="329"/>
        <v>3</v>
      </c>
      <c r="BK407" s="127">
        <f t="shared" si="330"/>
        <v>1</v>
      </c>
      <c r="BL407" s="127" t="str">
        <f t="shared" si="331"/>
        <v>231</v>
      </c>
      <c r="BS407"/>
      <c r="CL407" s="28">
        <v>168</v>
      </c>
      <c r="CM407" s="28">
        <v>160</v>
      </c>
      <c r="CO407"/>
    </row>
    <row r="408" spans="2:93" ht="16.5" hidden="1">
      <c r="B408" s="17">
        <v>404</v>
      </c>
      <c r="C408" s="363" t="s">
        <v>434</v>
      </c>
      <c r="D408" s="18">
        <v>3</v>
      </c>
      <c r="E408" s="20">
        <v>3566659375</v>
      </c>
      <c r="F408" s="18">
        <v>26</v>
      </c>
      <c r="G408" s="20">
        <v>68589604</v>
      </c>
      <c r="H408" s="20">
        <v>1273</v>
      </c>
      <c r="I408" s="20">
        <v>1400888</v>
      </c>
      <c r="J408" s="20">
        <v>63559</v>
      </c>
      <c r="K408" s="20">
        <v>50000</v>
      </c>
      <c r="L408" s="20">
        <v>1050065</v>
      </c>
      <c r="M408" s="20">
        <v>5000</v>
      </c>
      <c r="N408" s="167">
        <v>5</v>
      </c>
      <c r="O408" s="167">
        <v>20</v>
      </c>
      <c r="P408" s="167">
        <v>21</v>
      </c>
      <c r="Q408" s="167">
        <v>24</v>
      </c>
      <c r="R408" s="167">
        <v>33</v>
      </c>
      <c r="S408" s="167">
        <v>40</v>
      </c>
      <c r="T408" s="167">
        <v>36</v>
      </c>
      <c r="U408" s="28">
        <f t="shared" si="304"/>
        <v>143</v>
      </c>
      <c r="W408" s="32" t="str">
        <f t="shared" si="289"/>
        <v>홀수</v>
      </c>
      <c r="X408" s="32" t="str">
        <f t="shared" si="290"/>
        <v>짝수</v>
      </c>
      <c r="Y408" s="32" t="str">
        <f t="shared" si="291"/>
        <v>홀수</v>
      </c>
      <c r="Z408" s="32" t="str">
        <f t="shared" si="292"/>
        <v>짝수</v>
      </c>
      <c r="AA408" s="32" t="str">
        <f t="shared" si="293"/>
        <v>홀수</v>
      </c>
      <c r="AB408" s="32" t="str">
        <f t="shared" si="294"/>
        <v>짝수</v>
      </c>
      <c r="AC408" s="58" t="str">
        <f t="shared" si="295"/>
        <v>3 : 3</v>
      </c>
      <c r="AD408" s="32">
        <f t="shared" si="296"/>
        <v>3</v>
      </c>
      <c r="AE408" s="32">
        <f t="shared" si="297"/>
        <v>3</v>
      </c>
      <c r="AF408" s="66" t="str">
        <f t="shared" si="305"/>
        <v>저수</v>
      </c>
      <c r="AG408" s="66" t="str">
        <f t="shared" si="306"/>
        <v>저수</v>
      </c>
      <c r="AH408" s="66" t="str">
        <f t="shared" si="307"/>
        <v>저수</v>
      </c>
      <c r="AI408" s="66" t="str">
        <f t="shared" si="308"/>
        <v>고수</v>
      </c>
      <c r="AJ408" s="66" t="str">
        <f t="shared" si="309"/>
        <v>고수</v>
      </c>
      <c r="AK408" s="66" t="str">
        <f t="shared" si="310"/>
        <v>고수</v>
      </c>
      <c r="AL408" s="58" t="str">
        <f t="shared" si="311"/>
        <v>3 : 3</v>
      </c>
      <c r="AM408" s="66">
        <f t="shared" si="312"/>
        <v>3</v>
      </c>
      <c r="AN408" s="66">
        <f t="shared" si="313"/>
        <v>3</v>
      </c>
      <c r="AO408" s="66">
        <f t="shared" si="314"/>
        <v>13</v>
      </c>
      <c r="AP408" s="66" t="str">
        <f t="shared" si="315"/>
        <v>O</v>
      </c>
      <c r="AQ408" s="66" t="str">
        <f t="shared" si="316"/>
        <v>X</v>
      </c>
      <c r="AR408" s="66" t="str">
        <f t="shared" si="317"/>
        <v>X</v>
      </c>
      <c r="AS408" s="66" t="str">
        <f t="shared" si="318"/>
        <v>X</v>
      </c>
      <c r="AT408" s="66" t="str">
        <f t="shared" si="319"/>
        <v>X</v>
      </c>
      <c r="AU408" s="66" t="str">
        <f t="shared" si="320"/>
        <v>X</v>
      </c>
      <c r="AV408" s="66" t="str">
        <f t="shared" si="321"/>
        <v>X</v>
      </c>
      <c r="AW408" s="66" t="str">
        <f t="shared" si="322"/>
        <v>X</v>
      </c>
      <c r="AX408" s="66" t="str">
        <f t="shared" si="323"/>
        <v>X</v>
      </c>
      <c r="AY408" s="66" t="str">
        <f t="shared" si="324"/>
        <v>X</v>
      </c>
      <c r="AZ408" s="66" t="str">
        <f t="shared" si="325"/>
        <v>X</v>
      </c>
      <c r="BA408" s="66" t="str">
        <f t="shared" si="326"/>
        <v>X</v>
      </c>
      <c r="BB408" s="66">
        <f t="shared" si="327"/>
        <v>1</v>
      </c>
      <c r="BC408" s="127" t="str">
        <f t="shared" si="298"/>
        <v>1G</v>
      </c>
      <c r="BD408" s="127" t="str">
        <f t="shared" si="299"/>
        <v>2G</v>
      </c>
      <c r="BE408" s="127" t="str">
        <f t="shared" si="300"/>
        <v>2G</v>
      </c>
      <c r="BF408" s="127" t="str">
        <f t="shared" si="301"/>
        <v>2G</v>
      </c>
      <c r="BG408" s="127" t="str">
        <f t="shared" si="302"/>
        <v>3G</v>
      </c>
      <c r="BH408" s="127" t="str">
        <f t="shared" si="303"/>
        <v>3G</v>
      </c>
      <c r="BI408" s="127">
        <f t="shared" si="328"/>
        <v>1</v>
      </c>
      <c r="BJ408" s="127">
        <f t="shared" si="329"/>
        <v>3</v>
      </c>
      <c r="BK408" s="127">
        <f t="shared" si="330"/>
        <v>2</v>
      </c>
      <c r="BL408" s="127" t="str">
        <f t="shared" si="331"/>
        <v>132</v>
      </c>
      <c r="BS408"/>
      <c r="CL408" s="28">
        <v>168</v>
      </c>
      <c r="CM408" s="28">
        <v>160</v>
      </c>
      <c r="CO408"/>
    </row>
    <row r="409" spans="2:93" ht="16.5" hidden="1">
      <c r="B409" s="17">
        <v>405</v>
      </c>
      <c r="C409" s="363" t="s">
        <v>435</v>
      </c>
      <c r="D409" s="18">
        <v>3</v>
      </c>
      <c r="E409" s="20">
        <v>3543878000</v>
      </c>
      <c r="F409" s="18">
        <v>35</v>
      </c>
      <c r="G409" s="20">
        <v>50626829</v>
      </c>
      <c r="H409" s="20">
        <v>1283</v>
      </c>
      <c r="I409" s="20">
        <v>1381091</v>
      </c>
      <c r="J409" s="20">
        <v>63080</v>
      </c>
      <c r="K409" s="20">
        <v>50000</v>
      </c>
      <c r="L409" s="20">
        <v>1056188</v>
      </c>
      <c r="M409" s="20">
        <v>5000</v>
      </c>
      <c r="N409" s="167">
        <v>1</v>
      </c>
      <c r="O409" s="167">
        <v>2</v>
      </c>
      <c r="P409" s="167">
        <v>10</v>
      </c>
      <c r="Q409" s="167">
        <v>25</v>
      </c>
      <c r="R409" s="167">
        <v>26</v>
      </c>
      <c r="S409" s="167">
        <v>44</v>
      </c>
      <c r="T409" s="167">
        <v>4</v>
      </c>
      <c r="U409" s="28">
        <f t="shared" si="304"/>
        <v>108</v>
      </c>
      <c r="W409" s="32" t="str">
        <f t="shared" si="289"/>
        <v>홀수</v>
      </c>
      <c r="X409" s="32" t="str">
        <f t="shared" si="290"/>
        <v>짝수</v>
      </c>
      <c r="Y409" s="32" t="str">
        <f t="shared" si="291"/>
        <v>짝수</v>
      </c>
      <c r="Z409" s="32" t="str">
        <f t="shared" si="292"/>
        <v>홀수</v>
      </c>
      <c r="AA409" s="32" t="str">
        <f t="shared" si="293"/>
        <v>짝수</v>
      </c>
      <c r="AB409" s="32" t="str">
        <f t="shared" si="294"/>
        <v>짝수</v>
      </c>
      <c r="AC409" s="58" t="str">
        <f t="shared" si="295"/>
        <v>2 : 4</v>
      </c>
      <c r="AD409" s="32">
        <f t="shared" si="296"/>
        <v>2</v>
      </c>
      <c r="AE409" s="32">
        <f t="shared" si="297"/>
        <v>4</v>
      </c>
      <c r="AF409" s="66" t="str">
        <f t="shared" si="305"/>
        <v>저수</v>
      </c>
      <c r="AG409" s="66" t="str">
        <f t="shared" si="306"/>
        <v>저수</v>
      </c>
      <c r="AH409" s="66" t="str">
        <f t="shared" si="307"/>
        <v>저수</v>
      </c>
      <c r="AI409" s="66" t="str">
        <f t="shared" si="308"/>
        <v>고수</v>
      </c>
      <c r="AJ409" s="66" t="str">
        <f t="shared" si="309"/>
        <v>고수</v>
      </c>
      <c r="AK409" s="66" t="str">
        <f t="shared" si="310"/>
        <v>고수</v>
      </c>
      <c r="AL409" s="58" t="str">
        <f t="shared" si="311"/>
        <v>3 : 3</v>
      </c>
      <c r="AM409" s="66">
        <f t="shared" si="312"/>
        <v>3</v>
      </c>
      <c r="AN409" s="66">
        <f t="shared" si="313"/>
        <v>3</v>
      </c>
      <c r="AO409" s="66">
        <f t="shared" si="314"/>
        <v>18</v>
      </c>
      <c r="AP409" s="66" t="str">
        <f t="shared" si="315"/>
        <v>X</v>
      </c>
      <c r="AQ409" s="66" t="str">
        <f t="shared" si="316"/>
        <v>O</v>
      </c>
      <c r="AR409" s="66" t="str">
        <f t="shared" si="317"/>
        <v>X</v>
      </c>
      <c r="AS409" s="66" t="str">
        <f t="shared" si="318"/>
        <v>X</v>
      </c>
      <c r="AT409" s="66" t="str">
        <f t="shared" si="319"/>
        <v>X</v>
      </c>
      <c r="AU409" s="66" t="str">
        <f t="shared" si="320"/>
        <v>X</v>
      </c>
      <c r="AV409" s="66" t="str">
        <f t="shared" si="321"/>
        <v>X</v>
      </c>
      <c r="AW409" s="66" t="str">
        <f t="shared" si="322"/>
        <v>X</v>
      </c>
      <c r="AX409" s="66" t="str">
        <f t="shared" si="323"/>
        <v>X</v>
      </c>
      <c r="AY409" s="66" t="str">
        <f t="shared" si="324"/>
        <v>X</v>
      </c>
      <c r="AZ409" s="66" t="str">
        <f t="shared" si="325"/>
        <v>X</v>
      </c>
      <c r="BA409" s="66" t="str">
        <f t="shared" si="326"/>
        <v>X</v>
      </c>
      <c r="BB409" s="66">
        <f t="shared" si="327"/>
        <v>1</v>
      </c>
      <c r="BC409" s="127" t="str">
        <f t="shared" si="298"/>
        <v>1G</v>
      </c>
      <c r="BD409" s="127" t="str">
        <f t="shared" si="299"/>
        <v>1G</v>
      </c>
      <c r="BE409" s="127" t="str">
        <f t="shared" si="300"/>
        <v>1G</v>
      </c>
      <c r="BF409" s="127" t="str">
        <f t="shared" si="301"/>
        <v>2G</v>
      </c>
      <c r="BG409" s="127" t="str">
        <f t="shared" si="302"/>
        <v>2G</v>
      </c>
      <c r="BH409" s="127" t="str">
        <f t="shared" si="303"/>
        <v>3G</v>
      </c>
      <c r="BI409" s="127">
        <f t="shared" si="328"/>
        <v>3</v>
      </c>
      <c r="BJ409" s="127">
        <f t="shared" si="329"/>
        <v>2</v>
      </c>
      <c r="BK409" s="127">
        <f t="shared" si="330"/>
        <v>1</v>
      </c>
      <c r="BL409" s="127" t="str">
        <f t="shared" si="331"/>
        <v>321</v>
      </c>
      <c r="BS409"/>
      <c r="CL409" s="28">
        <v>169</v>
      </c>
      <c r="CM409" s="28">
        <v>160</v>
      </c>
      <c r="CO409"/>
    </row>
    <row r="410" spans="2:93" ht="16.5" hidden="1">
      <c r="B410" s="17">
        <v>406</v>
      </c>
      <c r="C410" s="363" t="s">
        <v>436</v>
      </c>
      <c r="D410" s="18">
        <v>5</v>
      </c>
      <c r="E410" s="20">
        <v>2156142450</v>
      </c>
      <c r="F410" s="18">
        <v>33</v>
      </c>
      <c r="G410" s="20">
        <v>54448042</v>
      </c>
      <c r="H410" s="20">
        <v>1442</v>
      </c>
      <c r="I410" s="20">
        <v>1246038</v>
      </c>
      <c r="J410" s="20">
        <v>66604</v>
      </c>
      <c r="K410" s="20">
        <v>50000</v>
      </c>
      <c r="L410" s="20">
        <v>1065324</v>
      </c>
      <c r="M410" s="20">
        <v>5000</v>
      </c>
      <c r="N410" s="167">
        <v>7</v>
      </c>
      <c r="O410" s="167">
        <v>12</v>
      </c>
      <c r="P410" s="167">
        <v>21</v>
      </c>
      <c r="Q410" s="167">
        <v>24</v>
      </c>
      <c r="R410" s="167">
        <v>27</v>
      </c>
      <c r="S410" s="167">
        <v>36</v>
      </c>
      <c r="T410" s="167">
        <v>45</v>
      </c>
      <c r="U410" s="28">
        <f t="shared" si="304"/>
        <v>127</v>
      </c>
      <c r="W410" s="32" t="str">
        <f t="shared" si="289"/>
        <v>홀수</v>
      </c>
      <c r="X410" s="32" t="str">
        <f t="shared" si="290"/>
        <v>짝수</v>
      </c>
      <c r="Y410" s="32" t="str">
        <f t="shared" si="291"/>
        <v>홀수</v>
      </c>
      <c r="Z410" s="32" t="str">
        <f t="shared" si="292"/>
        <v>짝수</v>
      </c>
      <c r="AA410" s="32" t="str">
        <f t="shared" si="293"/>
        <v>홀수</v>
      </c>
      <c r="AB410" s="32" t="str">
        <f t="shared" si="294"/>
        <v>짝수</v>
      </c>
      <c r="AC410" s="58" t="str">
        <f t="shared" si="295"/>
        <v>3 : 3</v>
      </c>
      <c r="AD410" s="32">
        <f t="shared" si="296"/>
        <v>3</v>
      </c>
      <c r="AE410" s="32">
        <f t="shared" si="297"/>
        <v>3</v>
      </c>
      <c r="AF410" s="66" t="str">
        <f t="shared" si="305"/>
        <v>저수</v>
      </c>
      <c r="AG410" s="66" t="str">
        <f t="shared" si="306"/>
        <v>저수</v>
      </c>
      <c r="AH410" s="66" t="str">
        <f t="shared" si="307"/>
        <v>저수</v>
      </c>
      <c r="AI410" s="66" t="str">
        <f t="shared" si="308"/>
        <v>고수</v>
      </c>
      <c r="AJ410" s="66" t="str">
        <f t="shared" si="309"/>
        <v>고수</v>
      </c>
      <c r="AK410" s="66" t="str">
        <f t="shared" si="310"/>
        <v>고수</v>
      </c>
      <c r="AL410" s="58" t="str">
        <f t="shared" si="311"/>
        <v>3 : 3</v>
      </c>
      <c r="AM410" s="66">
        <f t="shared" si="312"/>
        <v>3</v>
      </c>
      <c r="AN410" s="66">
        <f t="shared" si="313"/>
        <v>3</v>
      </c>
      <c r="AO410" s="66">
        <f t="shared" si="314"/>
        <v>27</v>
      </c>
      <c r="AP410" s="66" t="str">
        <f t="shared" si="315"/>
        <v>O</v>
      </c>
      <c r="AQ410" s="66" t="str">
        <f t="shared" si="316"/>
        <v>X</v>
      </c>
      <c r="AR410" s="66" t="str">
        <f t="shared" si="317"/>
        <v>X</v>
      </c>
      <c r="AS410" s="66" t="str">
        <f t="shared" si="318"/>
        <v>X</v>
      </c>
      <c r="AT410" s="66" t="str">
        <f t="shared" si="319"/>
        <v>X</v>
      </c>
      <c r="AU410" s="66" t="str">
        <f t="shared" si="320"/>
        <v>X</v>
      </c>
      <c r="AV410" s="66" t="str">
        <f t="shared" si="321"/>
        <v>X</v>
      </c>
      <c r="AW410" s="66" t="str">
        <f t="shared" si="322"/>
        <v>X</v>
      </c>
      <c r="AX410" s="66" t="str">
        <f t="shared" si="323"/>
        <v>X</v>
      </c>
      <c r="AY410" s="66" t="str">
        <f t="shared" si="324"/>
        <v>X</v>
      </c>
      <c r="AZ410" s="66" t="str">
        <f t="shared" si="325"/>
        <v>X</v>
      </c>
      <c r="BA410" s="66" t="str">
        <f t="shared" si="326"/>
        <v>X</v>
      </c>
      <c r="BB410" s="66">
        <f t="shared" si="327"/>
        <v>1</v>
      </c>
      <c r="BC410" s="127" t="str">
        <f t="shared" si="298"/>
        <v>1G</v>
      </c>
      <c r="BD410" s="127" t="str">
        <f t="shared" si="299"/>
        <v>1G</v>
      </c>
      <c r="BE410" s="127" t="str">
        <f t="shared" si="300"/>
        <v>2G</v>
      </c>
      <c r="BF410" s="127" t="str">
        <f t="shared" si="301"/>
        <v>2G</v>
      </c>
      <c r="BG410" s="127" t="str">
        <f t="shared" si="302"/>
        <v>2G</v>
      </c>
      <c r="BH410" s="127" t="str">
        <f t="shared" si="303"/>
        <v>3G</v>
      </c>
      <c r="BI410" s="127">
        <f t="shared" si="328"/>
        <v>2</v>
      </c>
      <c r="BJ410" s="127">
        <f t="shared" si="329"/>
        <v>3</v>
      </c>
      <c r="BK410" s="127">
        <f t="shared" si="330"/>
        <v>1</v>
      </c>
      <c r="BL410" s="127" t="str">
        <f t="shared" si="331"/>
        <v>231</v>
      </c>
      <c r="BS410"/>
      <c r="CL410" s="28">
        <v>169</v>
      </c>
      <c r="CM410" s="28">
        <v>160</v>
      </c>
      <c r="CO410"/>
    </row>
    <row r="411" spans="2:93" ht="16.5" hidden="1">
      <c r="B411" s="17">
        <v>407</v>
      </c>
      <c r="C411" s="363" t="s">
        <v>437</v>
      </c>
      <c r="D411" s="18">
        <v>7</v>
      </c>
      <c r="E411" s="20">
        <v>1649707286</v>
      </c>
      <c r="F411" s="18">
        <v>27</v>
      </c>
      <c r="G411" s="20">
        <v>71283649</v>
      </c>
      <c r="H411" s="20">
        <v>1268</v>
      </c>
      <c r="I411" s="20">
        <v>1517870</v>
      </c>
      <c r="J411" s="20">
        <v>65481</v>
      </c>
      <c r="K411" s="20">
        <v>50000</v>
      </c>
      <c r="L411" s="20">
        <v>1108695</v>
      </c>
      <c r="M411" s="20">
        <v>5000</v>
      </c>
      <c r="N411" s="167">
        <v>6</v>
      </c>
      <c r="O411" s="167">
        <v>7</v>
      </c>
      <c r="P411" s="167">
        <v>13</v>
      </c>
      <c r="Q411" s="167">
        <v>16</v>
      </c>
      <c r="R411" s="167">
        <v>24</v>
      </c>
      <c r="S411" s="167">
        <v>25</v>
      </c>
      <c r="T411" s="167">
        <v>1</v>
      </c>
      <c r="U411" s="28">
        <f t="shared" si="304"/>
        <v>91</v>
      </c>
      <c r="W411" s="32" t="str">
        <f t="shared" si="289"/>
        <v>짝수</v>
      </c>
      <c r="X411" s="32" t="str">
        <f t="shared" si="290"/>
        <v>홀수</v>
      </c>
      <c r="Y411" s="32" t="str">
        <f t="shared" si="291"/>
        <v>홀수</v>
      </c>
      <c r="Z411" s="32" t="str">
        <f t="shared" si="292"/>
        <v>짝수</v>
      </c>
      <c r="AA411" s="32" t="str">
        <f t="shared" si="293"/>
        <v>짝수</v>
      </c>
      <c r="AB411" s="32" t="str">
        <f t="shared" si="294"/>
        <v>홀수</v>
      </c>
      <c r="AC411" s="58" t="str">
        <f t="shared" si="295"/>
        <v>3 : 3</v>
      </c>
      <c r="AD411" s="32">
        <f t="shared" si="296"/>
        <v>3</v>
      </c>
      <c r="AE411" s="32">
        <f t="shared" si="297"/>
        <v>3</v>
      </c>
      <c r="AF411" s="66" t="str">
        <f t="shared" si="305"/>
        <v>저수</v>
      </c>
      <c r="AG411" s="66" t="str">
        <f t="shared" si="306"/>
        <v>저수</v>
      </c>
      <c r="AH411" s="66" t="str">
        <f t="shared" si="307"/>
        <v>저수</v>
      </c>
      <c r="AI411" s="66" t="str">
        <f t="shared" si="308"/>
        <v>저수</v>
      </c>
      <c r="AJ411" s="66" t="str">
        <f t="shared" si="309"/>
        <v>고수</v>
      </c>
      <c r="AK411" s="66" t="str">
        <f t="shared" si="310"/>
        <v>고수</v>
      </c>
      <c r="AL411" s="58" t="str">
        <f t="shared" si="311"/>
        <v>4 : 2</v>
      </c>
      <c r="AM411" s="66">
        <f t="shared" si="312"/>
        <v>4</v>
      </c>
      <c r="AN411" s="66">
        <f t="shared" si="313"/>
        <v>2</v>
      </c>
      <c r="AO411" s="66">
        <f t="shared" si="314"/>
        <v>31</v>
      </c>
      <c r="AP411" s="66" t="str">
        <f t="shared" si="315"/>
        <v>X</v>
      </c>
      <c r="AQ411" s="66" t="str">
        <f t="shared" si="316"/>
        <v>O</v>
      </c>
      <c r="AR411" s="66" t="str">
        <f t="shared" si="317"/>
        <v>O</v>
      </c>
      <c r="AS411" s="66" t="str">
        <f t="shared" si="318"/>
        <v>X</v>
      </c>
      <c r="AT411" s="66" t="str">
        <f t="shared" si="319"/>
        <v>X</v>
      </c>
      <c r="AU411" s="66" t="str">
        <f t="shared" si="320"/>
        <v>X</v>
      </c>
      <c r="AV411" s="66" t="str">
        <f t="shared" si="321"/>
        <v>X</v>
      </c>
      <c r="AW411" s="66" t="str">
        <f t="shared" si="322"/>
        <v>X</v>
      </c>
      <c r="AX411" s="66" t="str">
        <f t="shared" si="323"/>
        <v>X</v>
      </c>
      <c r="AY411" s="66" t="str">
        <f t="shared" si="324"/>
        <v>X</v>
      </c>
      <c r="AZ411" s="66" t="str">
        <f t="shared" si="325"/>
        <v>X</v>
      </c>
      <c r="BA411" s="66" t="str">
        <f t="shared" si="326"/>
        <v>X</v>
      </c>
      <c r="BB411" s="66">
        <f t="shared" si="327"/>
        <v>2</v>
      </c>
      <c r="BC411" s="127" t="str">
        <f t="shared" si="298"/>
        <v>1G</v>
      </c>
      <c r="BD411" s="127" t="str">
        <f t="shared" si="299"/>
        <v>1G</v>
      </c>
      <c r="BE411" s="127" t="str">
        <f t="shared" si="300"/>
        <v>1G</v>
      </c>
      <c r="BF411" s="127" t="str">
        <f t="shared" si="301"/>
        <v>2G</v>
      </c>
      <c r="BG411" s="127" t="str">
        <f t="shared" si="302"/>
        <v>2G</v>
      </c>
      <c r="BH411" s="127" t="str">
        <f t="shared" si="303"/>
        <v>2G</v>
      </c>
      <c r="BI411" s="127">
        <f t="shared" si="328"/>
        <v>3</v>
      </c>
      <c r="BJ411" s="127">
        <f t="shared" si="329"/>
        <v>3</v>
      </c>
      <c r="BK411" s="127">
        <f t="shared" si="330"/>
        <v>0</v>
      </c>
      <c r="BL411" s="127" t="str">
        <f t="shared" si="331"/>
        <v>330</v>
      </c>
      <c r="BS411"/>
      <c r="CL411" s="28">
        <v>169</v>
      </c>
      <c r="CM411" s="28">
        <v>160</v>
      </c>
      <c r="CO411"/>
    </row>
    <row r="412" spans="2:93" ht="16.5" hidden="1">
      <c r="B412" s="17">
        <v>408</v>
      </c>
      <c r="C412" s="363" t="s">
        <v>438</v>
      </c>
      <c r="D412" s="18">
        <v>5</v>
      </c>
      <c r="E412" s="20">
        <v>2235375825</v>
      </c>
      <c r="F412" s="18">
        <v>33</v>
      </c>
      <c r="G412" s="20">
        <v>56448885</v>
      </c>
      <c r="H412" s="20">
        <v>1244</v>
      </c>
      <c r="I412" s="20">
        <v>1497439</v>
      </c>
      <c r="J412" s="20">
        <v>62101</v>
      </c>
      <c r="K412" s="20">
        <v>50000</v>
      </c>
      <c r="L412" s="20">
        <v>1039160</v>
      </c>
      <c r="M412" s="20">
        <v>5000</v>
      </c>
      <c r="N412" s="167">
        <v>9</v>
      </c>
      <c r="O412" s="167">
        <v>20</v>
      </c>
      <c r="P412" s="167">
        <v>21</v>
      </c>
      <c r="Q412" s="167">
        <v>22</v>
      </c>
      <c r="R412" s="167">
        <v>30</v>
      </c>
      <c r="S412" s="167">
        <v>37</v>
      </c>
      <c r="T412" s="167">
        <v>16</v>
      </c>
      <c r="U412" s="28">
        <f t="shared" si="304"/>
        <v>139</v>
      </c>
      <c r="W412" s="32" t="str">
        <f t="shared" si="289"/>
        <v>홀수</v>
      </c>
      <c r="X412" s="32" t="str">
        <f t="shared" si="290"/>
        <v>짝수</v>
      </c>
      <c r="Y412" s="32" t="str">
        <f t="shared" si="291"/>
        <v>홀수</v>
      </c>
      <c r="Z412" s="32" t="str">
        <f t="shared" si="292"/>
        <v>짝수</v>
      </c>
      <c r="AA412" s="32" t="str">
        <f t="shared" si="293"/>
        <v>짝수</v>
      </c>
      <c r="AB412" s="32" t="str">
        <f t="shared" si="294"/>
        <v>홀수</v>
      </c>
      <c r="AC412" s="58" t="str">
        <f t="shared" si="295"/>
        <v>3 : 3</v>
      </c>
      <c r="AD412" s="32">
        <f t="shared" si="296"/>
        <v>3</v>
      </c>
      <c r="AE412" s="32">
        <f t="shared" si="297"/>
        <v>3</v>
      </c>
      <c r="AF412" s="66" t="str">
        <f t="shared" si="305"/>
        <v>저수</v>
      </c>
      <c r="AG412" s="66" t="str">
        <f t="shared" si="306"/>
        <v>저수</v>
      </c>
      <c r="AH412" s="66" t="str">
        <f t="shared" si="307"/>
        <v>저수</v>
      </c>
      <c r="AI412" s="66" t="str">
        <f t="shared" si="308"/>
        <v>저수</v>
      </c>
      <c r="AJ412" s="66" t="str">
        <f t="shared" si="309"/>
        <v>고수</v>
      </c>
      <c r="AK412" s="66" t="str">
        <f t="shared" si="310"/>
        <v>고수</v>
      </c>
      <c r="AL412" s="58" t="str">
        <f t="shared" si="311"/>
        <v>4 : 2</v>
      </c>
      <c r="AM412" s="66">
        <f t="shared" si="312"/>
        <v>4</v>
      </c>
      <c r="AN412" s="66">
        <f t="shared" si="313"/>
        <v>2</v>
      </c>
      <c r="AO412" s="66">
        <f t="shared" si="314"/>
        <v>19</v>
      </c>
      <c r="AP412" s="66" t="str">
        <f t="shared" si="315"/>
        <v>X</v>
      </c>
      <c r="AQ412" s="66" t="str">
        <f t="shared" si="316"/>
        <v>X</v>
      </c>
      <c r="AR412" s="66" t="str">
        <f t="shared" si="317"/>
        <v>X</v>
      </c>
      <c r="AS412" s="66" t="str">
        <f t="shared" si="318"/>
        <v>X</v>
      </c>
      <c r="AT412" s="66" t="str">
        <f t="shared" si="319"/>
        <v>X</v>
      </c>
      <c r="AU412" s="66" t="str">
        <f t="shared" si="320"/>
        <v>X</v>
      </c>
      <c r="AV412" s="66" t="str">
        <f t="shared" si="321"/>
        <v>X</v>
      </c>
      <c r="AW412" s="66" t="str">
        <f t="shared" si="322"/>
        <v>X</v>
      </c>
      <c r="AX412" s="66" t="str">
        <f t="shared" si="323"/>
        <v>X</v>
      </c>
      <c r="AY412" s="66" t="str">
        <f t="shared" si="324"/>
        <v>X</v>
      </c>
      <c r="AZ412" s="66" t="str">
        <f t="shared" si="325"/>
        <v>X</v>
      </c>
      <c r="BA412" s="66" t="str">
        <f t="shared" si="326"/>
        <v>O</v>
      </c>
      <c r="BB412" s="66">
        <f t="shared" si="327"/>
        <v>1</v>
      </c>
      <c r="BC412" s="127" t="str">
        <f t="shared" si="298"/>
        <v>1G</v>
      </c>
      <c r="BD412" s="127" t="str">
        <f t="shared" si="299"/>
        <v>2G</v>
      </c>
      <c r="BE412" s="127" t="str">
        <f t="shared" si="300"/>
        <v>2G</v>
      </c>
      <c r="BF412" s="127" t="str">
        <f t="shared" si="301"/>
        <v>2G</v>
      </c>
      <c r="BG412" s="127" t="str">
        <f t="shared" si="302"/>
        <v>2G</v>
      </c>
      <c r="BH412" s="127" t="str">
        <f t="shared" si="303"/>
        <v>3G</v>
      </c>
      <c r="BI412" s="127">
        <f t="shared" si="328"/>
        <v>1</v>
      </c>
      <c r="BJ412" s="127">
        <f t="shared" si="329"/>
        <v>4</v>
      </c>
      <c r="BK412" s="127">
        <f t="shared" si="330"/>
        <v>1</v>
      </c>
      <c r="BL412" s="127" t="str">
        <f t="shared" si="331"/>
        <v>141</v>
      </c>
      <c r="BS412"/>
      <c r="CL412" s="28">
        <v>169</v>
      </c>
      <c r="CM412" s="28">
        <v>160</v>
      </c>
      <c r="CO412"/>
    </row>
    <row r="413" spans="2:93" ht="16.5" hidden="1">
      <c r="B413" s="17">
        <v>409</v>
      </c>
      <c r="C413" s="363" t="s">
        <v>439</v>
      </c>
      <c r="D413" s="18">
        <v>4</v>
      </c>
      <c r="E413" s="20">
        <v>2896989750</v>
      </c>
      <c r="F413" s="18">
        <v>36</v>
      </c>
      <c r="G413" s="20">
        <v>53647959</v>
      </c>
      <c r="H413" s="20">
        <v>1320</v>
      </c>
      <c r="I413" s="20">
        <v>1463127</v>
      </c>
      <c r="J413" s="20">
        <v>64123</v>
      </c>
      <c r="K413" s="20">
        <v>50000</v>
      </c>
      <c r="L413" s="20">
        <v>1061106</v>
      </c>
      <c r="M413" s="20">
        <v>5000</v>
      </c>
      <c r="N413" s="167">
        <v>6</v>
      </c>
      <c r="O413" s="167">
        <v>9</v>
      </c>
      <c r="P413" s="167">
        <v>21</v>
      </c>
      <c r="Q413" s="167">
        <v>31</v>
      </c>
      <c r="R413" s="167">
        <v>32</v>
      </c>
      <c r="S413" s="167">
        <v>40</v>
      </c>
      <c r="T413" s="167">
        <v>38</v>
      </c>
      <c r="U413" s="28">
        <f t="shared" si="304"/>
        <v>139</v>
      </c>
      <c r="W413" s="32" t="str">
        <f t="shared" si="289"/>
        <v>짝수</v>
      </c>
      <c r="X413" s="32" t="str">
        <f t="shared" si="290"/>
        <v>홀수</v>
      </c>
      <c r="Y413" s="32" t="str">
        <f t="shared" si="291"/>
        <v>홀수</v>
      </c>
      <c r="Z413" s="32" t="str">
        <f t="shared" si="292"/>
        <v>홀수</v>
      </c>
      <c r="AA413" s="32" t="str">
        <f t="shared" si="293"/>
        <v>짝수</v>
      </c>
      <c r="AB413" s="32" t="str">
        <f t="shared" si="294"/>
        <v>짝수</v>
      </c>
      <c r="AC413" s="58" t="str">
        <f t="shared" si="295"/>
        <v>3 : 3</v>
      </c>
      <c r="AD413" s="32">
        <f t="shared" si="296"/>
        <v>3</v>
      </c>
      <c r="AE413" s="32">
        <f t="shared" si="297"/>
        <v>3</v>
      </c>
      <c r="AF413" s="66" t="str">
        <f t="shared" si="305"/>
        <v>저수</v>
      </c>
      <c r="AG413" s="66" t="str">
        <f t="shared" si="306"/>
        <v>저수</v>
      </c>
      <c r="AH413" s="66" t="str">
        <f t="shared" si="307"/>
        <v>저수</v>
      </c>
      <c r="AI413" s="66" t="str">
        <f t="shared" si="308"/>
        <v>고수</v>
      </c>
      <c r="AJ413" s="66" t="str">
        <f t="shared" si="309"/>
        <v>고수</v>
      </c>
      <c r="AK413" s="66" t="str">
        <f t="shared" si="310"/>
        <v>고수</v>
      </c>
      <c r="AL413" s="58" t="str">
        <f t="shared" si="311"/>
        <v>3 : 3</v>
      </c>
      <c r="AM413" s="66">
        <f t="shared" si="312"/>
        <v>3</v>
      </c>
      <c r="AN413" s="66">
        <f t="shared" si="313"/>
        <v>3</v>
      </c>
      <c r="AO413" s="66">
        <f t="shared" si="314"/>
        <v>19</v>
      </c>
      <c r="AP413" s="66" t="str">
        <f t="shared" si="315"/>
        <v>X</v>
      </c>
      <c r="AQ413" s="66" t="str">
        <f t="shared" si="316"/>
        <v>X</v>
      </c>
      <c r="AR413" s="66" t="str">
        <f t="shared" si="317"/>
        <v>X</v>
      </c>
      <c r="AS413" s="66" t="str">
        <f t="shared" si="318"/>
        <v>X</v>
      </c>
      <c r="AT413" s="66" t="str">
        <f t="shared" si="319"/>
        <v>X</v>
      </c>
      <c r="AU413" s="66" t="str">
        <f t="shared" si="320"/>
        <v>X</v>
      </c>
      <c r="AV413" s="66" t="str">
        <f t="shared" si="321"/>
        <v>X</v>
      </c>
      <c r="AW413" s="66" t="str">
        <f t="shared" si="322"/>
        <v>X</v>
      </c>
      <c r="AX413" s="66" t="str">
        <f t="shared" si="323"/>
        <v>X</v>
      </c>
      <c r="AY413" s="66" t="str">
        <f t="shared" si="324"/>
        <v>O</v>
      </c>
      <c r="AZ413" s="66" t="str">
        <f t="shared" si="325"/>
        <v>X</v>
      </c>
      <c r="BA413" s="66" t="str">
        <f t="shared" si="326"/>
        <v>X</v>
      </c>
      <c r="BB413" s="66">
        <f t="shared" si="327"/>
        <v>1</v>
      </c>
      <c r="BC413" s="127" t="str">
        <f t="shared" si="298"/>
        <v>1G</v>
      </c>
      <c r="BD413" s="127" t="str">
        <f t="shared" si="299"/>
        <v>1G</v>
      </c>
      <c r="BE413" s="127" t="str">
        <f t="shared" si="300"/>
        <v>2G</v>
      </c>
      <c r="BF413" s="127" t="str">
        <f t="shared" si="301"/>
        <v>3G</v>
      </c>
      <c r="BG413" s="127" t="str">
        <f t="shared" si="302"/>
        <v>3G</v>
      </c>
      <c r="BH413" s="127" t="str">
        <f t="shared" si="303"/>
        <v>3G</v>
      </c>
      <c r="BI413" s="127">
        <f t="shared" si="328"/>
        <v>2</v>
      </c>
      <c r="BJ413" s="127">
        <f t="shared" si="329"/>
        <v>1</v>
      </c>
      <c r="BK413" s="127">
        <f t="shared" si="330"/>
        <v>3</v>
      </c>
      <c r="BL413" s="127" t="str">
        <f t="shared" si="331"/>
        <v>213</v>
      </c>
      <c r="BS413"/>
      <c r="CL413" s="28">
        <v>169</v>
      </c>
      <c r="CM413" s="28">
        <v>160</v>
      </c>
      <c r="CO413"/>
    </row>
    <row r="414" spans="2:93" ht="16.5" hidden="1">
      <c r="B414" s="17">
        <v>410</v>
      </c>
      <c r="C414" s="363" t="s">
        <v>440</v>
      </c>
      <c r="D414" s="18">
        <v>9</v>
      </c>
      <c r="E414" s="20">
        <v>1249335709</v>
      </c>
      <c r="F414" s="18">
        <v>37</v>
      </c>
      <c r="G414" s="20">
        <v>50648745</v>
      </c>
      <c r="H414" s="20">
        <v>1303</v>
      </c>
      <c r="I414" s="20">
        <v>1438223</v>
      </c>
      <c r="J414" s="20">
        <v>65942</v>
      </c>
      <c r="K414" s="20">
        <v>50000</v>
      </c>
      <c r="L414" s="20">
        <v>1088956</v>
      </c>
      <c r="M414" s="20">
        <v>5000</v>
      </c>
      <c r="N414" s="167">
        <v>1</v>
      </c>
      <c r="O414" s="167">
        <v>3</v>
      </c>
      <c r="P414" s="167">
        <v>18</v>
      </c>
      <c r="Q414" s="167">
        <v>32</v>
      </c>
      <c r="R414" s="167">
        <v>40</v>
      </c>
      <c r="S414" s="167">
        <v>41</v>
      </c>
      <c r="T414" s="167">
        <v>16</v>
      </c>
      <c r="U414" s="28">
        <f t="shared" si="304"/>
        <v>135</v>
      </c>
      <c r="W414" s="32" t="str">
        <f t="shared" si="289"/>
        <v>홀수</v>
      </c>
      <c r="X414" s="32" t="str">
        <f t="shared" si="290"/>
        <v>홀수</v>
      </c>
      <c r="Y414" s="32" t="str">
        <f t="shared" si="291"/>
        <v>짝수</v>
      </c>
      <c r="Z414" s="32" t="str">
        <f t="shared" si="292"/>
        <v>짝수</v>
      </c>
      <c r="AA414" s="32" t="str">
        <f t="shared" si="293"/>
        <v>짝수</v>
      </c>
      <c r="AB414" s="32" t="str">
        <f t="shared" si="294"/>
        <v>홀수</v>
      </c>
      <c r="AC414" s="58" t="str">
        <f t="shared" si="295"/>
        <v>3 : 3</v>
      </c>
      <c r="AD414" s="32">
        <f t="shared" si="296"/>
        <v>3</v>
      </c>
      <c r="AE414" s="32">
        <f t="shared" si="297"/>
        <v>3</v>
      </c>
      <c r="AF414" s="66" t="str">
        <f t="shared" si="305"/>
        <v>저수</v>
      </c>
      <c r="AG414" s="66" t="str">
        <f t="shared" si="306"/>
        <v>저수</v>
      </c>
      <c r="AH414" s="66" t="str">
        <f t="shared" si="307"/>
        <v>저수</v>
      </c>
      <c r="AI414" s="66" t="str">
        <f t="shared" si="308"/>
        <v>고수</v>
      </c>
      <c r="AJ414" s="66" t="str">
        <f t="shared" si="309"/>
        <v>고수</v>
      </c>
      <c r="AK414" s="66" t="str">
        <f t="shared" si="310"/>
        <v>고수</v>
      </c>
      <c r="AL414" s="58" t="str">
        <f t="shared" si="311"/>
        <v>3 : 3</v>
      </c>
      <c r="AM414" s="66">
        <f t="shared" si="312"/>
        <v>3</v>
      </c>
      <c r="AN414" s="66">
        <f t="shared" si="313"/>
        <v>3</v>
      </c>
      <c r="AO414" s="66">
        <f t="shared" si="314"/>
        <v>15</v>
      </c>
      <c r="AP414" s="66" t="str">
        <f t="shared" si="315"/>
        <v>X</v>
      </c>
      <c r="AQ414" s="66" t="str">
        <f t="shared" si="316"/>
        <v>O</v>
      </c>
      <c r="AR414" s="66" t="str">
        <f t="shared" si="317"/>
        <v>X</v>
      </c>
      <c r="AS414" s="66" t="str">
        <f t="shared" si="318"/>
        <v>X</v>
      </c>
      <c r="AT414" s="66" t="str">
        <f t="shared" si="319"/>
        <v>X</v>
      </c>
      <c r="AU414" s="66" t="str">
        <f t="shared" si="320"/>
        <v>X</v>
      </c>
      <c r="AV414" s="66" t="str">
        <f t="shared" si="321"/>
        <v>X</v>
      </c>
      <c r="AW414" s="66" t="str">
        <f t="shared" si="322"/>
        <v>X</v>
      </c>
      <c r="AX414" s="66" t="str">
        <f t="shared" si="323"/>
        <v>X</v>
      </c>
      <c r="AY414" s="66" t="str">
        <f t="shared" si="324"/>
        <v>X</v>
      </c>
      <c r="AZ414" s="66" t="str">
        <f t="shared" si="325"/>
        <v>X</v>
      </c>
      <c r="BA414" s="66" t="str">
        <f t="shared" si="326"/>
        <v>O</v>
      </c>
      <c r="BB414" s="66">
        <f t="shared" si="327"/>
        <v>2</v>
      </c>
      <c r="BC414" s="127" t="str">
        <f t="shared" si="298"/>
        <v>1G</v>
      </c>
      <c r="BD414" s="127" t="str">
        <f t="shared" si="299"/>
        <v>1G</v>
      </c>
      <c r="BE414" s="127" t="str">
        <f t="shared" si="300"/>
        <v>2G</v>
      </c>
      <c r="BF414" s="127" t="str">
        <f t="shared" si="301"/>
        <v>3G</v>
      </c>
      <c r="BG414" s="127" t="str">
        <f t="shared" si="302"/>
        <v>3G</v>
      </c>
      <c r="BH414" s="127" t="str">
        <f t="shared" si="303"/>
        <v>3G</v>
      </c>
      <c r="BI414" s="127">
        <f t="shared" si="328"/>
        <v>2</v>
      </c>
      <c r="BJ414" s="127">
        <f t="shared" si="329"/>
        <v>1</v>
      </c>
      <c r="BK414" s="127">
        <f t="shared" si="330"/>
        <v>3</v>
      </c>
      <c r="BL414" s="127" t="str">
        <f t="shared" si="331"/>
        <v>213</v>
      </c>
      <c r="BS414"/>
      <c r="CL414" s="28">
        <v>169</v>
      </c>
      <c r="CM414" s="28">
        <v>160</v>
      </c>
      <c r="CO414"/>
    </row>
    <row r="415" spans="2:93" ht="16.5" hidden="1">
      <c r="B415" s="17">
        <v>411</v>
      </c>
      <c r="C415" s="363" t="s">
        <v>441</v>
      </c>
      <c r="D415" s="18">
        <v>12</v>
      </c>
      <c r="E415" s="20">
        <v>953227563</v>
      </c>
      <c r="F415" s="18">
        <v>36</v>
      </c>
      <c r="G415" s="20">
        <v>52957087</v>
      </c>
      <c r="H415" s="20">
        <v>1318</v>
      </c>
      <c r="I415" s="20">
        <v>1446476</v>
      </c>
      <c r="J415" s="20">
        <v>63403</v>
      </c>
      <c r="K415" s="20">
        <v>50000</v>
      </c>
      <c r="L415" s="20">
        <v>1041554</v>
      </c>
      <c r="M415" s="20">
        <v>5000</v>
      </c>
      <c r="N415" s="167">
        <v>11</v>
      </c>
      <c r="O415" s="167">
        <v>14</v>
      </c>
      <c r="P415" s="167">
        <v>22</v>
      </c>
      <c r="Q415" s="167">
        <v>35</v>
      </c>
      <c r="R415" s="167">
        <v>37</v>
      </c>
      <c r="S415" s="167">
        <v>39</v>
      </c>
      <c r="T415" s="167">
        <v>5</v>
      </c>
      <c r="U415" s="28">
        <f t="shared" si="304"/>
        <v>158</v>
      </c>
      <c r="W415" s="32" t="str">
        <f t="shared" si="289"/>
        <v>홀수</v>
      </c>
      <c r="X415" s="32" t="str">
        <f t="shared" si="290"/>
        <v>짝수</v>
      </c>
      <c r="Y415" s="32" t="str">
        <f t="shared" si="291"/>
        <v>짝수</v>
      </c>
      <c r="Z415" s="32" t="str">
        <f t="shared" si="292"/>
        <v>홀수</v>
      </c>
      <c r="AA415" s="32" t="str">
        <f t="shared" si="293"/>
        <v>홀수</v>
      </c>
      <c r="AB415" s="32" t="str">
        <f t="shared" si="294"/>
        <v>홀수</v>
      </c>
      <c r="AC415" s="58" t="str">
        <f t="shared" si="295"/>
        <v>4 : 2</v>
      </c>
      <c r="AD415" s="32">
        <f t="shared" si="296"/>
        <v>4</v>
      </c>
      <c r="AE415" s="32">
        <f t="shared" si="297"/>
        <v>2</v>
      </c>
      <c r="AF415" s="66" t="str">
        <f t="shared" si="305"/>
        <v>저수</v>
      </c>
      <c r="AG415" s="66" t="str">
        <f t="shared" si="306"/>
        <v>저수</v>
      </c>
      <c r="AH415" s="66" t="str">
        <f t="shared" si="307"/>
        <v>저수</v>
      </c>
      <c r="AI415" s="66" t="str">
        <f t="shared" si="308"/>
        <v>고수</v>
      </c>
      <c r="AJ415" s="66" t="str">
        <f t="shared" si="309"/>
        <v>고수</v>
      </c>
      <c r="AK415" s="66" t="str">
        <f t="shared" si="310"/>
        <v>고수</v>
      </c>
      <c r="AL415" s="58" t="str">
        <f t="shared" si="311"/>
        <v>3 : 3</v>
      </c>
      <c r="AM415" s="66">
        <f t="shared" si="312"/>
        <v>3</v>
      </c>
      <c r="AN415" s="66">
        <f t="shared" si="313"/>
        <v>3</v>
      </c>
      <c r="AO415" s="66">
        <f t="shared" si="314"/>
        <v>28</v>
      </c>
      <c r="AP415" s="66" t="str">
        <f t="shared" si="315"/>
        <v>O</v>
      </c>
      <c r="AQ415" s="66" t="str">
        <f t="shared" si="316"/>
        <v>X</v>
      </c>
      <c r="AR415" s="66" t="str">
        <f t="shared" si="317"/>
        <v>X</v>
      </c>
      <c r="AS415" s="66" t="str">
        <f t="shared" si="318"/>
        <v>X</v>
      </c>
      <c r="AT415" s="66" t="str">
        <f t="shared" si="319"/>
        <v>X</v>
      </c>
      <c r="AU415" s="66" t="str">
        <f t="shared" si="320"/>
        <v>X</v>
      </c>
      <c r="AV415" s="66" t="str">
        <f t="shared" si="321"/>
        <v>X</v>
      </c>
      <c r="AW415" s="66" t="str">
        <f t="shared" si="322"/>
        <v>X</v>
      </c>
      <c r="AX415" s="66" t="str">
        <f t="shared" si="323"/>
        <v>X</v>
      </c>
      <c r="AY415" s="66" t="str">
        <f t="shared" si="324"/>
        <v>X</v>
      </c>
      <c r="AZ415" s="66" t="str">
        <f t="shared" si="325"/>
        <v>O</v>
      </c>
      <c r="BA415" s="66" t="str">
        <f t="shared" si="326"/>
        <v>X</v>
      </c>
      <c r="BB415" s="66">
        <f t="shared" si="327"/>
        <v>2</v>
      </c>
      <c r="BC415" s="127" t="str">
        <f t="shared" si="298"/>
        <v>1G</v>
      </c>
      <c r="BD415" s="127" t="str">
        <f t="shared" si="299"/>
        <v>1G</v>
      </c>
      <c r="BE415" s="127" t="str">
        <f t="shared" si="300"/>
        <v>2G</v>
      </c>
      <c r="BF415" s="127" t="str">
        <f t="shared" si="301"/>
        <v>3G</v>
      </c>
      <c r="BG415" s="127" t="str">
        <f t="shared" si="302"/>
        <v>3G</v>
      </c>
      <c r="BH415" s="127" t="str">
        <f t="shared" si="303"/>
        <v>3G</v>
      </c>
      <c r="BI415" s="127">
        <f t="shared" si="328"/>
        <v>2</v>
      </c>
      <c r="BJ415" s="127">
        <f t="shared" si="329"/>
        <v>1</v>
      </c>
      <c r="BK415" s="127">
        <f t="shared" si="330"/>
        <v>3</v>
      </c>
      <c r="BL415" s="127" t="str">
        <f t="shared" si="331"/>
        <v>213</v>
      </c>
      <c r="BS415"/>
      <c r="CL415" s="28">
        <v>169</v>
      </c>
      <c r="CM415" s="28">
        <v>160</v>
      </c>
      <c r="CO415"/>
    </row>
    <row r="416" spans="2:93" ht="16.5" hidden="1">
      <c r="B416" s="17">
        <v>412</v>
      </c>
      <c r="C416" s="363" t="s">
        <v>442</v>
      </c>
      <c r="D416" s="18">
        <v>7</v>
      </c>
      <c r="E416" s="20">
        <v>1656199822</v>
      </c>
      <c r="F416" s="18">
        <v>34</v>
      </c>
      <c r="G416" s="20">
        <v>56830387</v>
      </c>
      <c r="H416" s="20">
        <v>1223</v>
      </c>
      <c r="I416" s="20">
        <v>1579913</v>
      </c>
      <c r="J416" s="20">
        <v>59882</v>
      </c>
      <c r="K416" s="20">
        <v>50000</v>
      </c>
      <c r="L416" s="20">
        <v>1016225</v>
      </c>
      <c r="M416" s="20">
        <v>5000</v>
      </c>
      <c r="N416" s="167">
        <v>4</v>
      </c>
      <c r="O416" s="167">
        <v>7</v>
      </c>
      <c r="P416" s="167">
        <v>39</v>
      </c>
      <c r="Q416" s="167">
        <v>41</v>
      </c>
      <c r="R416" s="167">
        <v>42</v>
      </c>
      <c r="S416" s="167">
        <v>45</v>
      </c>
      <c r="T416" s="167">
        <v>40</v>
      </c>
      <c r="U416" s="28">
        <f t="shared" si="304"/>
        <v>178</v>
      </c>
      <c r="W416" s="32" t="str">
        <f t="shared" si="289"/>
        <v>짝수</v>
      </c>
      <c r="X416" s="32" t="str">
        <f t="shared" si="290"/>
        <v>홀수</v>
      </c>
      <c r="Y416" s="32" t="str">
        <f t="shared" si="291"/>
        <v>홀수</v>
      </c>
      <c r="Z416" s="32" t="str">
        <f t="shared" si="292"/>
        <v>홀수</v>
      </c>
      <c r="AA416" s="32" t="str">
        <f t="shared" si="293"/>
        <v>짝수</v>
      </c>
      <c r="AB416" s="32" t="str">
        <f t="shared" si="294"/>
        <v>홀수</v>
      </c>
      <c r="AC416" s="58" t="str">
        <f t="shared" si="295"/>
        <v>4 : 2</v>
      </c>
      <c r="AD416" s="32">
        <f t="shared" si="296"/>
        <v>4</v>
      </c>
      <c r="AE416" s="32">
        <f t="shared" si="297"/>
        <v>2</v>
      </c>
      <c r="AF416" s="66" t="str">
        <f t="shared" si="305"/>
        <v>저수</v>
      </c>
      <c r="AG416" s="66" t="str">
        <f t="shared" si="306"/>
        <v>저수</v>
      </c>
      <c r="AH416" s="66" t="str">
        <f t="shared" si="307"/>
        <v>고수</v>
      </c>
      <c r="AI416" s="66" t="str">
        <f t="shared" si="308"/>
        <v>고수</v>
      </c>
      <c r="AJ416" s="66" t="str">
        <f t="shared" si="309"/>
        <v>고수</v>
      </c>
      <c r="AK416" s="66" t="str">
        <f t="shared" si="310"/>
        <v>고수</v>
      </c>
      <c r="AL416" s="58" t="str">
        <f t="shared" si="311"/>
        <v>2 : 4</v>
      </c>
      <c r="AM416" s="66">
        <f t="shared" si="312"/>
        <v>2</v>
      </c>
      <c r="AN416" s="66">
        <f t="shared" si="313"/>
        <v>4</v>
      </c>
      <c r="AO416" s="66">
        <f t="shared" si="314"/>
        <v>28</v>
      </c>
      <c r="AP416" s="66" t="str">
        <f t="shared" si="315"/>
        <v>X</v>
      </c>
      <c r="AQ416" s="66" t="str">
        <f t="shared" si="316"/>
        <v>O</v>
      </c>
      <c r="AR416" s="66" t="str">
        <f t="shared" si="317"/>
        <v>X</v>
      </c>
      <c r="AS416" s="66" t="str">
        <f t="shared" si="318"/>
        <v>X</v>
      </c>
      <c r="AT416" s="66" t="str">
        <f t="shared" si="319"/>
        <v>X</v>
      </c>
      <c r="AU416" s="66" t="str">
        <f t="shared" si="320"/>
        <v>X</v>
      </c>
      <c r="AV416" s="66" t="str">
        <f t="shared" si="321"/>
        <v>X</v>
      </c>
      <c r="AW416" s="66" t="str">
        <f t="shared" si="322"/>
        <v>X</v>
      </c>
      <c r="AX416" s="66" t="str">
        <f t="shared" si="323"/>
        <v>X</v>
      </c>
      <c r="AY416" s="66" t="str">
        <f t="shared" si="324"/>
        <v>O</v>
      </c>
      <c r="AZ416" s="66" t="str">
        <f t="shared" si="325"/>
        <v>X</v>
      </c>
      <c r="BA416" s="66" t="str">
        <f t="shared" si="326"/>
        <v>X</v>
      </c>
      <c r="BB416" s="66">
        <f t="shared" si="327"/>
        <v>2</v>
      </c>
      <c r="BC416" s="127" t="str">
        <f t="shared" si="298"/>
        <v>1G</v>
      </c>
      <c r="BD416" s="127" t="str">
        <f t="shared" si="299"/>
        <v>1G</v>
      </c>
      <c r="BE416" s="127" t="str">
        <f t="shared" si="300"/>
        <v>3G</v>
      </c>
      <c r="BF416" s="127" t="str">
        <f t="shared" si="301"/>
        <v>3G</v>
      </c>
      <c r="BG416" s="127" t="str">
        <f t="shared" si="302"/>
        <v>3G</v>
      </c>
      <c r="BH416" s="127" t="str">
        <f t="shared" si="303"/>
        <v>3G</v>
      </c>
      <c r="BI416" s="127">
        <f t="shared" si="328"/>
        <v>2</v>
      </c>
      <c r="BJ416" s="127">
        <f t="shared" si="329"/>
        <v>0</v>
      </c>
      <c r="BK416" s="127">
        <f t="shared" si="330"/>
        <v>4</v>
      </c>
      <c r="BL416" s="127" t="str">
        <f t="shared" si="331"/>
        <v>204</v>
      </c>
      <c r="BS416"/>
      <c r="CL416" s="28">
        <v>169</v>
      </c>
      <c r="CM416" s="28">
        <v>160</v>
      </c>
      <c r="CO416"/>
    </row>
    <row r="417" spans="1:93" ht="16.5" hidden="1">
      <c r="B417" s="17">
        <v>413</v>
      </c>
      <c r="C417" s="363" t="s">
        <v>443</v>
      </c>
      <c r="D417" s="18">
        <v>4</v>
      </c>
      <c r="E417" s="20">
        <v>2814673500</v>
      </c>
      <c r="F417" s="18">
        <v>36</v>
      </c>
      <c r="G417" s="20">
        <v>52123584</v>
      </c>
      <c r="H417" s="20">
        <v>1256</v>
      </c>
      <c r="I417" s="20">
        <v>1493989</v>
      </c>
      <c r="J417" s="20">
        <v>62797</v>
      </c>
      <c r="K417" s="20">
        <v>50000</v>
      </c>
      <c r="L417" s="20">
        <v>1062284</v>
      </c>
      <c r="M417" s="20">
        <v>5000</v>
      </c>
      <c r="N417" s="167">
        <v>2</v>
      </c>
      <c r="O417" s="167">
        <v>9</v>
      </c>
      <c r="P417" s="167">
        <v>15</v>
      </c>
      <c r="Q417" s="167">
        <v>23</v>
      </c>
      <c r="R417" s="167">
        <v>34</v>
      </c>
      <c r="S417" s="167">
        <v>40</v>
      </c>
      <c r="T417" s="167">
        <v>3</v>
      </c>
      <c r="U417" s="28">
        <f t="shared" si="304"/>
        <v>123</v>
      </c>
      <c r="W417" s="32" t="str">
        <f t="shared" si="289"/>
        <v>짝수</v>
      </c>
      <c r="X417" s="32" t="str">
        <f t="shared" si="290"/>
        <v>홀수</v>
      </c>
      <c r="Y417" s="32" t="str">
        <f t="shared" si="291"/>
        <v>홀수</v>
      </c>
      <c r="Z417" s="32" t="str">
        <f t="shared" si="292"/>
        <v>홀수</v>
      </c>
      <c r="AA417" s="32" t="str">
        <f t="shared" si="293"/>
        <v>짝수</v>
      </c>
      <c r="AB417" s="32" t="str">
        <f t="shared" si="294"/>
        <v>짝수</v>
      </c>
      <c r="AC417" s="58" t="str">
        <f t="shared" si="295"/>
        <v>3 : 3</v>
      </c>
      <c r="AD417" s="32">
        <f t="shared" si="296"/>
        <v>3</v>
      </c>
      <c r="AE417" s="32">
        <f t="shared" si="297"/>
        <v>3</v>
      </c>
      <c r="AF417" s="66" t="str">
        <f t="shared" si="305"/>
        <v>저수</v>
      </c>
      <c r="AG417" s="66" t="str">
        <f t="shared" si="306"/>
        <v>저수</v>
      </c>
      <c r="AH417" s="66" t="str">
        <f t="shared" si="307"/>
        <v>저수</v>
      </c>
      <c r="AI417" s="66" t="str">
        <f t="shared" si="308"/>
        <v>고수</v>
      </c>
      <c r="AJ417" s="66" t="str">
        <f t="shared" si="309"/>
        <v>고수</v>
      </c>
      <c r="AK417" s="66" t="str">
        <f t="shared" si="310"/>
        <v>고수</v>
      </c>
      <c r="AL417" s="58" t="str">
        <f t="shared" si="311"/>
        <v>3 : 3</v>
      </c>
      <c r="AM417" s="66">
        <f t="shared" si="312"/>
        <v>3</v>
      </c>
      <c r="AN417" s="66">
        <f t="shared" si="313"/>
        <v>3</v>
      </c>
      <c r="AO417" s="66">
        <f t="shared" si="314"/>
        <v>23</v>
      </c>
      <c r="AP417" s="66" t="str">
        <f t="shared" si="315"/>
        <v>O</v>
      </c>
      <c r="AQ417" s="66" t="str">
        <f t="shared" si="316"/>
        <v>X</v>
      </c>
      <c r="AR417" s="66" t="str">
        <f t="shared" si="317"/>
        <v>X</v>
      </c>
      <c r="AS417" s="66" t="str">
        <f t="shared" si="318"/>
        <v>X</v>
      </c>
      <c r="AT417" s="66" t="str">
        <f t="shared" si="319"/>
        <v>X</v>
      </c>
      <c r="AU417" s="66" t="str">
        <f t="shared" si="320"/>
        <v>X</v>
      </c>
      <c r="AV417" s="66" t="str">
        <f t="shared" si="321"/>
        <v>X</v>
      </c>
      <c r="AW417" s="66" t="str">
        <f t="shared" si="322"/>
        <v>X</v>
      </c>
      <c r="AX417" s="66" t="str">
        <f t="shared" si="323"/>
        <v>X</v>
      </c>
      <c r="AY417" s="66" t="str">
        <f t="shared" si="324"/>
        <v>O</v>
      </c>
      <c r="AZ417" s="66" t="str">
        <f t="shared" si="325"/>
        <v>X</v>
      </c>
      <c r="BA417" s="66" t="str">
        <f t="shared" si="326"/>
        <v>X</v>
      </c>
      <c r="BB417" s="66">
        <f t="shared" si="327"/>
        <v>2</v>
      </c>
      <c r="BC417" s="127" t="str">
        <f t="shared" si="298"/>
        <v>1G</v>
      </c>
      <c r="BD417" s="127" t="str">
        <f t="shared" si="299"/>
        <v>1G</v>
      </c>
      <c r="BE417" s="127" t="str">
        <f t="shared" si="300"/>
        <v>1G</v>
      </c>
      <c r="BF417" s="127" t="str">
        <f t="shared" si="301"/>
        <v>2G</v>
      </c>
      <c r="BG417" s="127" t="str">
        <f t="shared" si="302"/>
        <v>3G</v>
      </c>
      <c r="BH417" s="127" t="str">
        <f t="shared" si="303"/>
        <v>3G</v>
      </c>
      <c r="BI417" s="127">
        <f t="shared" si="328"/>
        <v>3</v>
      </c>
      <c r="BJ417" s="127">
        <f t="shared" si="329"/>
        <v>1</v>
      </c>
      <c r="BK417" s="127">
        <f t="shared" si="330"/>
        <v>2</v>
      </c>
      <c r="BL417" s="127" t="str">
        <f t="shared" si="331"/>
        <v>312</v>
      </c>
      <c r="BS417"/>
      <c r="CL417" s="28">
        <v>170</v>
      </c>
      <c r="CM417" s="28">
        <v>170</v>
      </c>
      <c r="CO417"/>
    </row>
    <row r="418" spans="1:93" ht="16.5" hidden="1">
      <c r="B418" s="17">
        <v>414</v>
      </c>
      <c r="C418" s="363" t="s">
        <v>444</v>
      </c>
      <c r="D418" s="18">
        <v>1</v>
      </c>
      <c r="E418" s="20">
        <v>11703832500</v>
      </c>
      <c r="F418" s="18">
        <v>35</v>
      </c>
      <c r="G418" s="20">
        <v>55732536</v>
      </c>
      <c r="H418" s="20">
        <v>1220</v>
      </c>
      <c r="I418" s="20">
        <v>1598885</v>
      </c>
      <c r="J418" s="20">
        <v>58726</v>
      </c>
      <c r="K418" s="20">
        <v>50000</v>
      </c>
      <c r="L418" s="20">
        <v>982817</v>
      </c>
      <c r="M418" s="20">
        <v>5000</v>
      </c>
      <c r="N418" s="167">
        <v>2</v>
      </c>
      <c r="O418" s="167">
        <v>14</v>
      </c>
      <c r="P418" s="167">
        <v>15</v>
      </c>
      <c r="Q418" s="167">
        <v>22</v>
      </c>
      <c r="R418" s="167">
        <v>23</v>
      </c>
      <c r="S418" s="167">
        <v>44</v>
      </c>
      <c r="T418" s="167">
        <v>43</v>
      </c>
      <c r="U418" s="28">
        <f t="shared" si="304"/>
        <v>120</v>
      </c>
      <c r="W418" s="32" t="str">
        <f t="shared" si="289"/>
        <v>짝수</v>
      </c>
      <c r="X418" s="32" t="str">
        <f t="shared" si="290"/>
        <v>짝수</v>
      </c>
      <c r="Y418" s="32" t="str">
        <f t="shared" si="291"/>
        <v>홀수</v>
      </c>
      <c r="Z418" s="32" t="str">
        <f t="shared" si="292"/>
        <v>짝수</v>
      </c>
      <c r="AA418" s="32" t="str">
        <f t="shared" si="293"/>
        <v>홀수</v>
      </c>
      <c r="AB418" s="32" t="str">
        <f t="shared" si="294"/>
        <v>짝수</v>
      </c>
      <c r="AC418" s="58" t="str">
        <f t="shared" si="295"/>
        <v>2 : 4</v>
      </c>
      <c r="AD418" s="32">
        <f t="shared" si="296"/>
        <v>2</v>
      </c>
      <c r="AE418" s="32">
        <f t="shared" si="297"/>
        <v>4</v>
      </c>
      <c r="AF418" s="66" t="str">
        <f t="shared" si="305"/>
        <v>저수</v>
      </c>
      <c r="AG418" s="66" t="str">
        <f t="shared" si="306"/>
        <v>저수</v>
      </c>
      <c r="AH418" s="66" t="str">
        <f t="shared" si="307"/>
        <v>저수</v>
      </c>
      <c r="AI418" s="66" t="str">
        <f t="shared" si="308"/>
        <v>저수</v>
      </c>
      <c r="AJ418" s="66" t="str">
        <f t="shared" si="309"/>
        <v>고수</v>
      </c>
      <c r="AK418" s="66" t="str">
        <f t="shared" si="310"/>
        <v>고수</v>
      </c>
      <c r="AL418" s="58" t="str">
        <f t="shared" si="311"/>
        <v>4 : 2</v>
      </c>
      <c r="AM418" s="66">
        <f t="shared" si="312"/>
        <v>4</v>
      </c>
      <c r="AN418" s="66">
        <f t="shared" si="313"/>
        <v>2</v>
      </c>
      <c r="AO418" s="66">
        <f t="shared" si="314"/>
        <v>20</v>
      </c>
      <c r="AP418" s="66" t="str">
        <f t="shared" si="315"/>
        <v>O</v>
      </c>
      <c r="AQ418" s="66" t="str">
        <f t="shared" si="316"/>
        <v>X</v>
      </c>
      <c r="AR418" s="66" t="str">
        <f t="shared" si="317"/>
        <v>X</v>
      </c>
      <c r="AS418" s="66" t="str">
        <f t="shared" si="318"/>
        <v>X</v>
      </c>
      <c r="AT418" s="66" t="str">
        <f t="shared" si="319"/>
        <v>X</v>
      </c>
      <c r="AU418" s="66" t="str">
        <f t="shared" si="320"/>
        <v>X</v>
      </c>
      <c r="AV418" s="66" t="str">
        <f t="shared" si="321"/>
        <v>X</v>
      </c>
      <c r="AW418" s="66" t="str">
        <f t="shared" si="322"/>
        <v>X</v>
      </c>
      <c r="AX418" s="66" t="str">
        <f t="shared" si="323"/>
        <v>X</v>
      </c>
      <c r="AY418" s="66" t="str">
        <f t="shared" si="324"/>
        <v>X</v>
      </c>
      <c r="AZ418" s="66" t="str">
        <f t="shared" si="325"/>
        <v>O</v>
      </c>
      <c r="BA418" s="66" t="str">
        <f t="shared" si="326"/>
        <v>X</v>
      </c>
      <c r="BB418" s="66">
        <f t="shared" si="327"/>
        <v>2</v>
      </c>
      <c r="BC418" s="127" t="str">
        <f t="shared" si="298"/>
        <v>1G</v>
      </c>
      <c r="BD418" s="127" t="str">
        <f t="shared" si="299"/>
        <v>1G</v>
      </c>
      <c r="BE418" s="127" t="str">
        <f t="shared" si="300"/>
        <v>1G</v>
      </c>
      <c r="BF418" s="127" t="str">
        <f t="shared" si="301"/>
        <v>2G</v>
      </c>
      <c r="BG418" s="127" t="str">
        <f t="shared" si="302"/>
        <v>2G</v>
      </c>
      <c r="BH418" s="127" t="str">
        <f t="shared" si="303"/>
        <v>3G</v>
      </c>
      <c r="BI418" s="127">
        <f t="shared" si="328"/>
        <v>3</v>
      </c>
      <c r="BJ418" s="127">
        <f t="shared" si="329"/>
        <v>2</v>
      </c>
      <c r="BK418" s="127">
        <f t="shared" si="330"/>
        <v>1</v>
      </c>
      <c r="BL418" s="127" t="str">
        <f t="shared" si="331"/>
        <v>321</v>
      </c>
      <c r="BS418"/>
      <c r="CL418" s="28">
        <v>170</v>
      </c>
      <c r="CM418" s="28">
        <v>170</v>
      </c>
      <c r="CO418"/>
    </row>
    <row r="419" spans="1:93" ht="16.5" hidden="1">
      <c r="B419" s="17">
        <v>415</v>
      </c>
      <c r="C419" s="363" t="s">
        <v>445</v>
      </c>
      <c r="D419" s="18">
        <v>8</v>
      </c>
      <c r="E419" s="20">
        <v>1334182407</v>
      </c>
      <c r="F419" s="18">
        <v>35</v>
      </c>
      <c r="G419" s="20">
        <v>50825997</v>
      </c>
      <c r="H419" s="20">
        <v>1587</v>
      </c>
      <c r="I419" s="20">
        <v>1120927</v>
      </c>
      <c r="J419" s="20">
        <v>71409</v>
      </c>
      <c r="K419" s="20">
        <v>50000</v>
      </c>
      <c r="L419" s="20">
        <v>1114259</v>
      </c>
      <c r="M419" s="20">
        <v>5000</v>
      </c>
      <c r="N419" s="167">
        <v>7</v>
      </c>
      <c r="O419" s="167">
        <v>17</v>
      </c>
      <c r="P419" s="167">
        <v>20</v>
      </c>
      <c r="Q419" s="167">
        <v>26</v>
      </c>
      <c r="R419" s="167">
        <v>30</v>
      </c>
      <c r="S419" s="167">
        <v>40</v>
      </c>
      <c r="T419" s="167">
        <v>24</v>
      </c>
      <c r="U419" s="28">
        <f t="shared" si="304"/>
        <v>140</v>
      </c>
      <c r="W419" s="32" t="str">
        <f t="shared" si="289"/>
        <v>홀수</v>
      </c>
      <c r="X419" s="32" t="str">
        <f t="shared" si="290"/>
        <v>홀수</v>
      </c>
      <c r="Y419" s="32" t="str">
        <f t="shared" si="291"/>
        <v>짝수</v>
      </c>
      <c r="Z419" s="32" t="str">
        <f t="shared" si="292"/>
        <v>짝수</v>
      </c>
      <c r="AA419" s="32" t="str">
        <f t="shared" si="293"/>
        <v>짝수</v>
      </c>
      <c r="AB419" s="32" t="str">
        <f t="shared" si="294"/>
        <v>짝수</v>
      </c>
      <c r="AC419" s="58" t="str">
        <f t="shared" si="295"/>
        <v>2 : 4</v>
      </c>
      <c r="AD419" s="32">
        <f t="shared" si="296"/>
        <v>2</v>
      </c>
      <c r="AE419" s="32">
        <f t="shared" si="297"/>
        <v>4</v>
      </c>
      <c r="AF419" s="66" t="str">
        <f t="shared" si="305"/>
        <v>저수</v>
      </c>
      <c r="AG419" s="66" t="str">
        <f t="shared" si="306"/>
        <v>저수</v>
      </c>
      <c r="AH419" s="66" t="str">
        <f t="shared" si="307"/>
        <v>저수</v>
      </c>
      <c r="AI419" s="66" t="str">
        <f t="shared" si="308"/>
        <v>고수</v>
      </c>
      <c r="AJ419" s="66" t="str">
        <f t="shared" si="309"/>
        <v>고수</v>
      </c>
      <c r="AK419" s="66" t="str">
        <f t="shared" si="310"/>
        <v>고수</v>
      </c>
      <c r="AL419" s="58" t="str">
        <f t="shared" si="311"/>
        <v>3 : 3</v>
      </c>
      <c r="AM419" s="66">
        <f t="shared" si="312"/>
        <v>3</v>
      </c>
      <c r="AN419" s="66">
        <f t="shared" si="313"/>
        <v>3</v>
      </c>
      <c r="AO419" s="66">
        <f t="shared" si="314"/>
        <v>20</v>
      </c>
      <c r="AP419" s="66" t="str">
        <f t="shared" si="315"/>
        <v>O</v>
      </c>
      <c r="AQ419" s="66" t="str">
        <f t="shared" si="316"/>
        <v>O</v>
      </c>
      <c r="AR419" s="66" t="str">
        <f t="shared" si="317"/>
        <v>X</v>
      </c>
      <c r="AS419" s="66" t="str">
        <f t="shared" si="318"/>
        <v>X</v>
      </c>
      <c r="AT419" s="66" t="str">
        <f t="shared" si="319"/>
        <v>X</v>
      </c>
      <c r="AU419" s="66" t="str">
        <f t="shared" si="320"/>
        <v>X</v>
      </c>
      <c r="AV419" s="66" t="str">
        <f t="shared" si="321"/>
        <v>X</v>
      </c>
      <c r="AW419" s="66" t="str">
        <f t="shared" si="322"/>
        <v>X</v>
      </c>
      <c r="AX419" s="66" t="str">
        <f t="shared" si="323"/>
        <v>X</v>
      </c>
      <c r="AY419" s="66" t="str">
        <f t="shared" si="324"/>
        <v>X</v>
      </c>
      <c r="AZ419" s="66" t="str">
        <f t="shared" si="325"/>
        <v>X</v>
      </c>
      <c r="BA419" s="66" t="str">
        <f t="shared" si="326"/>
        <v>X</v>
      </c>
      <c r="BB419" s="66">
        <f t="shared" si="327"/>
        <v>2</v>
      </c>
      <c r="BC419" s="127" t="str">
        <f t="shared" si="298"/>
        <v>1G</v>
      </c>
      <c r="BD419" s="127" t="str">
        <f t="shared" si="299"/>
        <v>2G</v>
      </c>
      <c r="BE419" s="127" t="str">
        <f t="shared" si="300"/>
        <v>2G</v>
      </c>
      <c r="BF419" s="127" t="str">
        <f t="shared" si="301"/>
        <v>2G</v>
      </c>
      <c r="BG419" s="127" t="str">
        <f t="shared" si="302"/>
        <v>2G</v>
      </c>
      <c r="BH419" s="127" t="str">
        <f t="shared" si="303"/>
        <v>3G</v>
      </c>
      <c r="BI419" s="127">
        <f t="shared" si="328"/>
        <v>1</v>
      </c>
      <c r="BJ419" s="127">
        <f t="shared" si="329"/>
        <v>4</v>
      </c>
      <c r="BK419" s="127">
        <f t="shared" si="330"/>
        <v>1</v>
      </c>
      <c r="BL419" s="127" t="str">
        <f t="shared" si="331"/>
        <v>141</v>
      </c>
      <c r="BS419"/>
      <c r="CL419" s="28">
        <v>170</v>
      </c>
      <c r="CM419" s="28">
        <v>170</v>
      </c>
      <c r="CO419"/>
    </row>
    <row r="420" spans="1:93" ht="16.5" hidden="1">
      <c r="B420" s="17">
        <v>416</v>
      </c>
      <c r="C420" s="363" t="s">
        <v>446</v>
      </c>
      <c r="D420" s="18">
        <v>10</v>
      </c>
      <c r="E420" s="20">
        <v>1072037100</v>
      </c>
      <c r="F420" s="18">
        <v>32</v>
      </c>
      <c r="G420" s="20">
        <v>55835266</v>
      </c>
      <c r="H420" s="20">
        <v>1501</v>
      </c>
      <c r="I420" s="20">
        <v>1190359</v>
      </c>
      <c r="J420" s="20">
        <v>70470</v>
      </c>
      <c r="K420" s="20">
        <v>50000</v>
      </c>
      <c r="L420" s="20">
        <v>1122015</v>
      </c>
      <c r="M420" s="20">
        <v>5000</v>
      </c>
      <c r="N420" s="167">
        <v>5</v>
      </c>
      <c r="O420" s="167">
        <v>6</v>
      </c>
      <c r="P420" s="167">
        <v>8</v>
      </c>
      <c r="Q420" s="167">
        <v>11</v>
      </c>
      <c r="R420" s="167">
        <v>22</v>
      </c>
      <c r="S420" s="167">
        <v>26</v>
      </c>
      <c r="T420" s="167">
        <v>44</v>
      </c>
      <c r="U420" s="28">
        <f t="shared" si="304"/>
        <v>78</v>
      </c>
      <c r="W420" s="32" t="str">
        <f t="shared" si="289"/>
        <v>홀수</v>
      </c>
      <c r="X420" s="32" t="str">
        <f t="shared" si="290"/>
        <v>짝수</v>
      </c>
      <c r="Y420" s="32" t="str">
        <f t="shared" si="291"/>
        <v>짝수</v>
      </c>
      <c r="Z420" s="32" t="str">
        <f t="shared" si="292"/>
        <v>홀수</v>
      </c>
      <c r="AA420" s="32" t="str">
        <f t="shared" si="293"/>
        <v>짝수</v>
      </c>
      <c r="AB420" s="32" t="str">
        <f t="shared" si="294"/>
        <v>짝수</v>
      </c>
      <c r="AC420" s="58" t="str">
        <f t="shared" si="295"/>
        <v>2 : 4</v>
      </c>
      <c r="AD420" s="32">
        <f t="shared" si="296"/>
        <v>2</v>
      </c>
      <c r="AE420" s="32">
        <f t="shared" si="297"/>
        <v>4</v>
      </c>
      <c r="AF420" s="66" t="str">
        <f t="shared" si="305"/>
        <v>저수</v>
      </c>
      <c r="AG420" s="66" t="str">
        <f t="shared" si="306"/>
        <v>저수</v>
      </c>
      <c r="AH420" s="66" t="str">
        <f t="shared" si="307"/>
        <v>저수</v>
      </c>
      <c r="AI420" s="66" t="str">
        <f t="shared" si="308"/>
        <v>저수</v>
      </c>
      <c r="AJ420" s="66" t="str">
        <f t="shared" si="309"/>
        <v>저수</v>
      </c>
      <c r="AK420" s="66" t="str">
        <f t="shared" si="310"/>
        <v>고수</v>
      </c>
      <c r="AL420" s="58" t="str">
        <f t="shared" si="311"/>
        <v>5 : 1</v>
      </c>
      <c r="AM420" s="66">
        <f t="shared" si="312"/>
        <v>5</v>
      </c>
      <c r="AN420" s="66">
        <f t="shared" si="313"/>
        <v>1</v>
      </c>
      <c r="AO420" s="66">
        <f t="shared" si="314"/>
        <v>28</v>
      </c>
      <c r="AP420" s="66" t="str">
        <f t="shared" si="315"/>
        <v>O</v>
      </c>
      <c r="AQ420" s="66" t="str">
        <f t="shared" si="316"/>
        <v>X</v>
      </c>
      <c r="AR420" s="66" t="str">
        <f t="shared" si="317"/>
        <v>X</v>
      </c>
      <c r="AS420" s="66" t="str">
        <f t="shared" si="318"/>
        <v>O</v>
      </c>
      <c r="AT420" s="66" t="str">
        <f t="shared" si="319"/>
        <v>X</v>
      </c>
      <c r="AU420" s="66" t="str">
        <f t="shared" si="320"/>
        <v>X</v>
      </c>
      <c r="AV420" s="66" t="str">
        <f t="shared" si="321"/>
        <v>X</v>
      </c>
      <c r="AW420" s="66" t="str">
        <f t="shared" si="322"/>
        <v>X</v>
      </c>
      <c r="AX420" s="66" t="str">
        <f t="shared" si="323"/>
        <v>X</v>
      </c>
      <c r="AY420" s="66" t="str">
        <f t="shared" si="324"/>
        <v>X</v>
      </c>
      <c r="AZ420" s="66" t="str">
        <f t="shared" si="325"/>
        <v>X</v>
      </c>
      <c r="BA420" s="66" t="str">
        <f t="shared" si="326"/>
        <v>X</v>
      </c>
      <c r="BB420" s="66">
        <f t="shared" si="327"/>
        <v>2</v>
      </c>
      <c r="BC420" s="127" t="str">
        <f t="shared" si="298"/>
        <v>1G</v>
      </c>
      <c r="BD420" s="127" t="str">
        <f t="shared" si="299"/>
        <v>1G</v>
      </c>
      <c r="BE420" s="127" t="str">
        <f t="shared" si="300"/>
        <v>1G</v>
      </c>
      <c r="BF420" s="127" t="str">
        <f t="shared" si="301"/>
        <v>1G</v>
      </c>
      <c r="BG420" s="127" t="str">
        <f t="shared" si="302"/>
        <v>2G</v>
      </c>
      <c r="BH420" s="127" t="str">
        <f t="shared" si="303"/>
        <v>2G</v>
      </c>
      <c r="BI420" s="127">
        <f t="shared" si="328"/>
        <v>4</v>
      </c>
      <c r="BJ420" s="127">
        <f t="shared" si="329"/>
        <v>2</v>
      </c>
      <c r="BK420" s="127">
        <f t="shared" si="330"/>
        <v>0</v>
      </c>
      <c r="BL420" s="127" t="str">
        <f t="shared" si="331"/>
        <v>420</v>
      </c>
      <c r="BS420"/>
      <c r="CL420" s="28">
        <v>170</v>
      </c>
      <c r="CM420" s="28">
        <v>170</v>
      </c>
      <c r="CO420"/>
    </row>
    <row r="421" spans="1:93" ht="16.5" hidden="1">
      <c r="B421" s="17">
        <v>417</v>
      </c>
      <c r="C421" s="363" t="s">
        <v>447</v>
      </c>
      <c r="D421" s="18">
        <v>4</v>
      </c>
      <c r="E421" s="20">
        <v>2818329938</v>
      </c>
      <c r="F421" s="18">
        <v>34</v>
      </c>
      <c r="G421" s="20">
        <v>55261372</v>
      </c>
      <c r="H421" s="20">
        <v>1181</v>
      </c>
      <c r="I421" s="20">
        <v>1590929</v>
      </c>
      <c r="J421" s="20">
        <v>58879</v>
      </c>
      <c r="K421" s="20">
        <v>50000</v>
      </c>
      <c r="L421" s="20">
        <v>1001817</v>
      </c>
      <c r="M421" s="20">
        <v>5000</v>
      </c>
      <c r="N421" s="167">
        <v>4</v>
      </c>
      <c r="O421" s="167">
        <v>5</v>
      </c>
      <c r="P421" s="167">
        <v>14</v>
      </c>
      <c r="Q421" s="167">
        <v>20</v>
      </c>
      <c r="R421" s="167">
        <v>22</v>
      </c>
      <c r="S421" s="167">
        <v>43</v>
      </c>
      <c r="T421" s="167">
        <v>44</v>
      </c>
      <c r="U421" s="28">
        <f t="shared" si="304"/>
        <v>108</v>
      </c>
      <c r="W421" s="32" t="str">
        <f t="shared" si="289"/>
        <v>짝수</v>
      </c>
      <c r="X421" s="32" t="str">
        <f t="shared" si="290"/>
        <v>홀수</v>
      </c>
      <c r="Y421" s="32" t="str">
        <f t="shared" si="291"/>
        <v>짝수</v>
      </c>
      <c r="Z421" s="32" t="str">
        <f t="shared" si="292"/>
        <v>짝수</v>
      </c>
      <c r="AA421" s="32" t="str">
        <f t="shared" si="293"/>
        <v>짝수</v>
      </c>
      <c r="AB421" s="32" t="str">
        <f t="shared" si="294"/>
        <v>홀수</v>
      </c>
      <c r="AC421" s="58" t="str">
        <f t="shared" si="295"/>
        <v>2 : 4</v>
      </c>
      <c r="AD421" s="32">
        <f t="shared" si="296"/>
        <v>2</v>
      </c>
      <c r="AE421" s="32">
        <f t="shared" si="297"/>
        <v>4</v>
      </c>
      <c r="AF421" s="66" t="str">
        <f t="shared" si="305"/>
        <v>저수</v>
      </c>
      <c r="AG421" s="66" t="str">
        <f t="shared" si="306"/>
        <v>저수</v>
      </c>
      <c r="AH421" s="66" t="str">
        <f t="shared" si="307"/>
        <v>저수</v>
      </c>
      <c r="AI421" s="66" t="str">
        <f t="shared" si="308"/>
        <v>저수</v>
      </c>
      <c r="AJ421" s="66" t="str">
        <f t="shared" si="309"/>
        <v>저수</v>
      </c>
      <c r="AK421" s="66" t="str">
        <f t="shared" si="310"/>
        <v>고수</v>
      </c>
      <c r="AL421" s="58" t="str">
        <f t="shared" si="311"/>
        <v>5 : 1</v>
      </c>
      <c r="AM421" s="66">
        <f t="shared" si="312"/>
        <v>5</v>
      </c>
      <c r="AN421" s="66">
        <f t="shared" si="313"/>
        <v>1</v>
      </c>
      <c r="AO421" s="66">
        <f t="shared" si="314"/>
        <v>18</v>
      </c>
      <c r="AP421" s="66" t="str">
        <f t="shared" si="315"/>
        <v>X</v>
      </c>
      <c r="AQ421" s="66" t="str">
        <f t="shared" si="316"/>
        <v>O</v>
      </c>
      <c r="AR421" s="66" t="str">
        <f t="shared" si="317"/>
        <v>X</v>
      </c>
      <c r="AS421" s="66" t="str">
        <f t="shared" si="318"/>
        <v>X</v>
      </c>
      <c r="AT421" s="66" t="str">
        <f t="shared" si="319"/>
        <v>X</v>
      </c>
      <c r="AU421" s="66" t="str">
        <f t="shared" si="320"/>
        <v>X</v>
      </c>
      <c r="AV421" s="66" t="str">
        <f t="shared" si="321"/>
        <v>X</v>
      </c>
      <c r="AW421" s="66" t="str">
        <f t="shared" si="322"/>
        <v>X</v>
      </c>
      <c r="AX421" s="66" t="str">
        <f t="shared" si="323"/>
        <v>X</v>
      </c>
      <c r="AY421" s="66" t="str">
        <f t="shared" si="324"/>
        <v>X</v>
      </c>
      <c r="AZ421" s="66" t="str">
        <f t="shared" si="325"/>
        <v>X</v>
      </c>
      <c r="BA421" s="66" t="str">
        <f t="shared" si="326"/>
        <v>O</v>
      </c>
      <c r="BB421" s="66">
        <f t="shared" si="327"/>
        <v>2</v>
      </c>
      <c r="BC421" s="127" t="str">
        <f t="shared" si="298"/>
        <v>1G</v>
      </c>
      <c r="BD421" s="127" t="str">
        <f t="shared" si="299"/>
        <v>1G</v>
      </c>
      <c r="BE421" s="127" t="str">
        <f t="shared" si="300"/>
        <v>1G</v>
      </c>
      <c r="BF421" s="127" t="str">
        <f t="shared" si="301"/>
        <v>2G</v>
      </c>
      <c r="BG421" s="127" t="str">
        <f t="shared" si="302"/>
        <v>2G</v>
      </c>
      <c r="BH421" s="127" t="str">
        <f t="shared" si="303"/>
        <v>3G</v>
      </c>
      <c r="BI421" s="127">
        <f t="shared" si="328"/>
        <v>3</v>
      </c>
      <c r="BJ421" s="127">
        <f t="shared" si="329"/>
        <v>2</v>
      </c>
      <c r="BK421" s="127">
        <f t="shared" si="330"/>
        <v>1</v>
      </c>
      <c r="BL421" s="127" t="str">
        <f t="shared" si="331"/>
        <v>321</v>
      </c>
      <c r="BS421"/>
      <c r="CL421" s="28">
        <v>170</v>
      </c>
      <c r="CM421" s="28">
        <v>170</v>
      </c>
      <c r="CO421"/>
    </row>
    <row r="422" spans="1:93" ht="16.5" hidden="1">
      <c r="B422" s="17">
        <v>418</v>
      </c>
      <c r="C422" s="363" t="s">
        <v>448</v>
      </c>
      <c r="D422" s="18">
        <v>8</v>
      </c>
      <c r="E422" s="20">
        <v>1435649766</v>
      </c>
      <c r="F422" s="18">
        <v>46</v>
      </c>
      <c r="G422" s="20">
        <v>41613037</v>
      </c>
      <c r="H422" s="20">
        <v>1316</v>
      </c>
      <c r="I422" s="20">
        <v>1454560</v>
      </c>
      <c r="J422" s="20">
        <v>61748</v>
      </c>
      <c r="K422" s="20">
        <v>50000</v>
      </c>
      <c r="L422" s="20">
        <v>1025606</v>
      </c>
      <c r="M422" s="20">
        <v>5000</v>
      </c>
      <c r="N422" s="167">
        <v>11</v>
      </c>
      <c r="O422" s="167">
        <v>13</v>
      </c>
      <c r="P422" s="167">
        <v>15</v>
      </c>
      <c r="Q422" s="167">
        <v>26</v>
      </c>
      <c r="R422" s="167">
        <v>28</v>
      </c>
      <c r="S422" s="167">
        <v>34</v>
      </c>
      <c r="T422" s="167">
        <v>31</v>
      </c>
      <c r="U422" s="28">
        <f t="shared" si="304"/>
        <v>127</v>
      </c>
      <c r="W422" s="32" t="str">
        <f t="shared" si="289"/>
        <v>홀수</v>
      </c>
      <c r="X422" s="32" t="str">
        <f t="shared" si="290"/>
        <v>홀수</v>
      </c>
      <c r="Y422" s="32" t="str">
        <f t="shared" si="291"/>
        <v>홀수</v>
      </c>
      <c r="Z422" s="32" t="str">
        <f t="shared" si="292"/>
        <v>짝수</v>
      </c>
      <c r="AA422" s="32" t="str">
        <f t="shared" si="293"/>
        <v>짝수</v>
      </c>
      <c r="AB422" s="32" t="str">
        <f t="shared" si="294"/>
        <v>짝수</v>
      </c>
      <c r="AC422" s="58" t="str">
        <f t="shared" si="295"/>
        <v>3 : 3</v>
      </c>
      <c r="AD422" s="32">
        <f t="shared" si="296"/>
        <v>3</v>
      </c>
      <c r="AE422" s="32">
        <f t="shared" si="297"/>
        <v>3</v>
      </c>
      <c r="AF422" s="66" t="str">
        <f t="shared" si="305"/>
        <v>저수</v>
      </c>
      <c r="AG422" s="66" t="str">
        <f t="shared" si="306"/>
        <v>저수</v>
      </c>
      <c r="AH422" s="66" t="str">
        <f t="shared" si="307"/>
        <v>저수</v>
      </c>
      <c r="AI422" s="66" t="str">
        <f t="shared" si="308"/>
        <v>고수</v>
      </c>
      <c r="AJ422" s="66" t="str">
        <f t="shared" si="309"/>
        <v>고수</v>
      </c>
      <c r="AK422" s="66" t="str">
        <f t="shared" si="310"/>
        <v>고수</v>
      </c>
      <c r="AL422" s="58" t="str">
        <f t="shared" si="311"/>
        <v>3 : 3</v>
      </c>
      <c r="AM422" s="66">
        <f t="shared" si="312"/>
        <v>3</v>
      </c>
      <c r="AN422" s="66">
        <f t="shared" si="313"/>
        <v>3</v>
      </c>
      <c r="AO422" s="66">
        <f t="shared" si="314"/>
        <v>27</v>
      </c>
      <c r="AP422" s="66" t="str">
        <f t="shared" si="315"/>
        <v>O</v>
      </c>
      <c r="AQ422" s="66" t="str">
        <f t="shared" si="316"/>
        <v>O</v>
      </c>
      <c r="AR422" s="66" t="str">
        <f t="shared" si="317"/>
        <v>X</v>
      </c>
      <c r="AS422" s="66" t="str">
        <f t="shared" si="318"/>
        <v>X</v>
      </c>
      <c r="AT422" s="66" t="str">
        <f t="shared" si="319"/>
        <v>X</v>
      </c>
      <c r="AU422" s="66" t="str">
        <f t="shared" si="320"/>
        <v>X</v>
      </c>
      <c r="AV422" s="66" t="str">
        <f t="shared" si="321"/>
        <v>X</v>
      </c>
      <c r="AW422" s="66" t="str">
        <f t="shared" si="322"/>
        <v>X</v>
      </c>
      <c r="AX422" s="66" t="str">
        <f t="shared" si="323"/>
        <v>X</v>
      </c>
      <c r="AY422" s="66" t="str">
        <f t="shared" si="324"/>
        <v>X</v>
      </c>
      <c r="AZ422" s="66" t="str">
        <f t="shared" si="325"/>
        <v>X</v>
      </c>
      <c r="BA422" s="66" t="str">
        <f t="shared" si="326"/>
        <v>X</v>
      </c>
      <c r="BB422" s="66">
        <f t="shared" si="327"/>
        <v>2</v>
      </c>
      <c r="BC422" s="127" t="str">
        <f t="shared" si="298"/>
        <v>1G</v>
      </c>
      <c r="BD422" s="127" t="str">
        <f t="shared" si="299"/>
        <v>1G</v>
      </c>
      <c r="BE422" s="127" t="str">
        <f t="shared" si="300"/>
        <v>1G</v>
      </c>
      <c r="BF422" s="127" t="str">
        <f t="shared" si="301"/>
        <v>2G</v>
      </c>
      <c r="BG422" s="127" t="str">
        <f t="shared" si="302"/>
        <v>2G</v>
      </c>
      <c r="BH422" s="127" t="str">
        <f t="shared" si="303"/>
        <v>3G</v>
      </c>
      <c r="BI422" s="127">
        <f t="shared" si="328"/>
        <v>3</v>
      </c>
      <c r="BJ422" s="127">
        <f t="shared" si="329"/>
        <v>2</v>
      </c>
      <c r="BK422" s="127">
        <f t="shared" si="330"/>
        <v>1</v>
      </c>
      <c r="BL422" s="127" t="str">
        <f t="shared" si="331"/>
        <v>321</v>
      </c>
      <c r="BS422"/>
      <c r="CL422" s="28">
        <v>170</v>
      </c>
      <c r="CM422" s="28">
        <v>170</v>
      </c>
      <c r="CO422"/>
    </row>
    <row r="423" spans="1:93" ht="16.5" hidden="1">
      <c r="B423" s="17">
        <v>419</v>
      </c>
      <c r="C423" s="363" t="s">
        <v>449</v>
      </c>
      <c r="D423" s="18">
        <v>3</v>
      </c>
      <c r="E423" s="20">
        <v>3796490750</v>
      </c>
      <c r="F423" s="18">
        <v>33</v>
      </c>
      <c r="G423" s="20">
        <v>57522588</v>
      </c>
      <c r="H423" s="20">
        <v>1194</v>
      </c>
      <c r="I423" s="20">
        <v>1589821</v>
      </c>
      <c r="J423" s="20">
        <v>60100</v>
      </c>
      <c r="K423" s="20">
        <v>50000</v>
      </c>
      <c r="L423" s="20">
        <v>1012637</v>
      </c>
      <c r="M423" s="20">
        <v>5000</v>
      </c>
      <c r="N423" s="167">
        <v>2</v>
      </c>
      <c r="O423" s="167">
        <v>11</v>
      </c>
      <c r="P423" s="167">
        <v>13</v>
      </c>
      <c r="Q423" s="167">
        <v>14</v>
      </c>
      <c r="R423" s="167">
        <v>28</v>
      </c>
      <c r="S423" s="167">
        <v>30</v>
      </c>
      <c r="T423" s="167">
        <v>7</v>
      </c>
      <c r="U423" s="28">
        <f t="shared" si="304"/>
        <v>98</v>
      </c>
      <c r="W423" s="32" t="str">
        <f t="shared" si="289"/>
        <v>짝수</v>
      </c>
      <c r="X423" s="32" t="str">
        <f t="shared" si="290"/>
        <v>홀수</v>
      </c>
      <c r="Y423" s="32" t="str">
        <f t="shared" si="291"/>
        <v>홀수</v>
      </c>
      <c r="Z423" s="32" t="str">
        <f t="shared" si="292"/>
        <v>짝수</v>
      </c>
      <c r="AA423" s="32" t="str">
        <f t="shared" si="293"/>
        <v>짝수</v>
      </c>
      <c r="AB423" s="32" t="str">
        <f t="shared" si="294"/>
        <v>짝수</v>
      </c>
      <c r="AC423" s="58" t="str">
        <f t="shared" si="295"/>
        <v>2 : 4</v>
      </c>
      <c r="AD423" s="32">
        <f t="shared" si="296"/>
        <v>2</v>
      </c>
      <c r="AE423" s="32">
        <f t="shared" si="297"/>
        <v>4</v>
      </c>
      <c r="AF423" s="66" t="str">
        <f t="shared" si="305"/>
        <v>저수</v>
      </c>
      <c r="AG423" s="66" t="str">
        <f t="shared" si="306"/>
        <v>저수</v>
      </c>
      <c r="AH423" s="66" t="str">
        <f t="shared" si="307"/>
        <v>저수</v>
      </c>
      <c r="AI423" s="66" t="str">
        <f t="shared" si="308"/>
        <v>저수</v>
      </c>
      <c r="AJ423" s="66" t="str">
        <f t="shared" si="309"/>
        <v>고수</v>
      </c>
      <c r="AK423" s="66" t="str">
        <f t="shared" si="310"/>
        <v>고수</v>
      </c>
      <c r="AL423" s="58" t="str">
        <f t="shared" si="311"/>
        <v>4 : 2</v>
      </c>
      <c r="AM423" s="66">
        <f t="shared" si="312"/>
        <v>4</v>
      </c>
      <c r="AN423" s="66">
        <f t="shared" si="313"/>
        <v>2</v>
      </c>
      <c r="AO423" s="66">
        <f t="shared" si="314"/>
        <v>18</v>
      </c>
      <c r="AP423" s="66" t="str">
        <f t="shared" si="315"/>
        <v>O</v>
      </c>
      <c r="AQ423" s="66" t="str">
        <f t="shared" si="316"/>
        <v>O</v>
      </c>
      <c r="AR423" s="66" t="str">
        <f t="shared" si="317"/>
        <v>O</v>
      </c>
      <c r="AS423" s="66" t="str">
        <f t="shared" si="318"/>
        <v>X</v>
      </c>
      <c r="AT423" s="66" t="str">
        <f t="shared" si="319"/>
        <v>X</v>
      </c>
      <c r="AU423" s="66" t="str">
        <f t="shared" si="320"/>
        <v>X</v>
      </c>
      <c r="AV423" s="66" t="str">
        <f t="shared" si="321"/>
        <v>X</v>
      </c>
      <c r="AW423" s="66" t="str">
        <f t="shared" si="322"/>
        <v>X</v>
      </c>
      <c r="AX423" s="66" t="str">
        <f t="shared" si="323"/>
        <v>X</v>
      </c>
      <c r="AY423" s="66" t="str">
        <f t="shared" si="324"/>
        <v>X</v>
      </c>
      <c r="AZ423" s="66" t="str">
        <f t="shared" si="325"/>
        <v>X</v>
      </c>
      <c r="BA423" s="66" t="str">
        <f t="shared" si="326"/>
        <v>X</v>
      </c>
      <c r="BB423" s="66">
        <f t="shared" si="327"/>
        <v>3</v>
      </c>
      <c r="BC423" s="127" t="str">
        <f t="shared" si="298"/>
        <v>1G</v>
      </c>
      <c r="BD423" s="127" t="str">
        <f t="shared" si="299"/>
        <v>1G</v>
      </c>
      <c r="BE423" s="127" t="str">
        <f t="shared" si="300"/>
        <v>1G</v>
      </c>
      <c r="BF423" s="127" t="str">
        <f t="shared" si="301"/>
        <v>1G</v>
      </c>
      <c r="BG423" s="127" t="str">
        <f t="shared" si="302"/>
        <v>2G</v>
      </c>
      <c r="BH423" s="127" t="str">
        <f t="shared" si="303"/>
        <v>2G</v>
      </c>
      <c r="BI423" s="127">
        <f t="shared" si="328"/>
        <v>4</v>
      </c>
      <c r="BJ423" s="127">
        <f t="shared" si="329"/>
        <v>2</v>
      </c>
      <c r="BK423" s="127">
        <f t="shared" si="330"/>
        <v>0</v>
      </c>
      <c r="BL423" s="127" t="str">
        <f t="shared" si="331"/>
        <v>420</v>
      </c>
      <c r="BS423"/>
      <c r="CL423" s="28">
        <v>171</v>
      </c>
      <c r="CM423" s="28">
        <v>170</v>
      </c>
      <c r="CO423"/>
    </row>
    <row r="424" spans="1:93" ht="16.5" hidden="1">
      <c r="B424" s="17">
        <v>420</v>
      </c>
      <c r="C424" s="363" t="s">
        <v>450</v>
      </c>
      <c r="D424" s="18">
        <v>8</v>
      </c>
      <c r="E424" s="20">
        <v>1424856375</v>
      </c>
      <c r="F424" s="18">
        <v>35</v>
      </c>
      <c r="G424" s="20">
        <v>54280243</v>
      </c>
      <c r="H424" s="20">
        <v>1187</v>
      </c>
      <c r="I424" s="20">
        <v>1600513</v>
      </c>
      <c r="J424" s="20">
        <v>62929</v>
      </c>
      <c r="K424" s="20">
        <v>50000</v>
      </c>
      <c r="L424" s="20">
        <v>1065564</v>
      </c>
      <c r="M424" s="20">
        <v>5000</v>
      </c>
      <c r="N424" s="167">
        <v>4</v>
      </c>
      <c r="O424" s="167">
        <v>9</v>
      </c>
      <c r="P424" s="167">
        <v>10</v>
      </c>
      <c r="Q424" s="167">
        <v>29</v>
      </c>
      <c r="R424" s="167">
        <v>31</v>
      </c>
      <c r="S424" s="167">
        <v>34</v>
      </c>
      <c r="T424" s="167">
        <v>27</v>
      </c>
      <c r="U424" s="28">
        <f t="shared" si="304"/>
        <v>117</v>
      </c>
      <c r="W424" s="32" t="str">
        <f t="shared" si="289"/>
        <v>짝수</v>
      </c>
      <c r="X424" s="32" t="str">
        <f t="shared" si="290"/>
        <v>홀수</v>
      </c>
      <c r="Y424" s="32" t="str">
        <f t="shared" si="291"/>
        <v>짝수</v>
      </c>
      <c r="Z424" s="32" t="str">
        <f t="shared" si="292"/>
        <v>홀수</v>
      </c>
      <c r="AA424" s="32" t="str">
        <f t="shared" si="293"/>
        <v>홀수</v>
      </c>
      <c r="AB424" s="32" t="str">
        <f t="shared" si="294"/>
        <v>짝수</v>
      </c>
      <c r="AC424" s="58" t="str">
        <f t="shared" si="295"/>
        <v>3 : 3</v>
      </c>
      <c r="AD424" s="32">
        <f t="shared" si="296"/>
        <v>3</v>
      </c>
      <c r="AE424" s="32">
        <f t="shared" si="297"/>
        <v>3</v>
      </c>
      <c r="AF424" s="66" t="str">
        <f t="shared" si="305"/>
        <v>저수</v>
      </c>
      <c r="AG424" s="66" t="str">
        <f t="shared" si="306"/>
        <v>저수</v>
      </c>
      <c r="AH424" s="66" t="str">
        <f t="shared" si="307"/>
        <v>저수</v>
      </c>
      <c r="AI424" s="66" t="str">
        <f t="shared" si="308"/>
        <v>고수</v>
      </c>
      <c r="AJ424" s="66" t="str">
        <f t="shared" si="309"/>
        <v>고수</v>
      </c>
      <c r="AK424" s="66" t="str">
        <f t="shared" si="310"/>
        <v>고수</v>
      </c>
      <c r="AL424" s="58" t="str">
        <f t="shared" si="311"/>
        <v>3 : 3</v>
      </c>
      <c r="AM424" s="66">
        <f t="shared" si="312"/>
        <v>3</v>
      </c>
      <c r="AN424" s="66">
        <f t="shared" si="313"/>
        <v>3</v>
      </c>
      <c r="AO424" s="66">
        <f t="shared" si="314"/>
        <v>27</v>
      </c>
      <c r="AP424" s="66" t="str">
        <f t="shared" si="315"/>
        <v>X</v>
      </c>
      <c r="AQ424" s="66" t="str">
        <f t="shared" si="316"/>
        <v>X</v>
      </c>
      <c r="AR424" s="66" t="str">
        <f t="shared" si="317"/>
        <v>X</v>
      </c>
      <c r="AS424" s="66" t="str">
        <f t="shared" si="318"/>
        <v>X</v>
      </c>
      <c r="AT424" s="66" t="str">
        <f t="shared" si="319"/>
        <v>X</v>
      </c>
      <c r="AU424" s="66" t="str">
        <f t="shared" si="320"/>
        <v>X</v>
      </c>
      <c r="AV424" s="66" t="str">
        <f t="shared" si="321"/>
        <v>X</v>
      </c>
      <c r="AW424" s="66" t="str">
        <f t="shared" si="322"/>
        <v>X</v>
      </c>
      <c r="AX424" s="66" t="str">
        <f t="shared" si="323"/>
        <v>X</v>
      </c>
      <c r="AY424" s="66" t="str">
        <f t="shared" si="324"/>
        <v>O</v>
      </c>
      <c r="AZ424" s="66" t="str">
        <f t="shared" si="325"/>
        <v>O</v>
      </c>
      <c r="BA424" s="66" t="str">
        <f t="shared" si="326"/>
        <v>X</v>
      </c>
      <c r="BB424" s="66">
        <f t="shared" si="327"/>
        <v>2</v>
      </c>
      <c r="BC424" s="127" t="str">
        <f t="shared" si="298"/>
        <v>1G</v>
      </c>
      <c r="BD424" s="127" t="str">
        <f t="shared" si="299"/>
        <v>1G</v>
      </c>
      <c r="BE424" s="127" t="str">
        <f t="shared" si="300"/>
        <v>1G</v>
      </c>
      <c r="BF424" s="127" t="str">
        <f t="shared" si="301"/>
        <v>2G</v>
      </c>
      <c r="BG424" s="127" t="str">
        <f t="shared" si="302"/>
        <v>3G</v>
      </c>
      <c r="BH424" s="127" t="str">
        <f t="shared" si="303"/>
        <v>3G</v>
      </c>
      <c r="BI424" s="127">
        <f t="shared" si="328"/>
        <v>3</v>
      </c>
      <c r="BJ424" s="127">
        <f t="shared" si="329"/>
        <v>1</v>
      </c>
      <c r="BK424" s="127">
        <f t="shared" si="330"/>
        <v>2</v>
      </c>
      <c r="BL424" s="127" t="str">
        <f t="shared" si="331"/>
        <v>312</v>
      </c>
      <c r="BS424"/>
      <c r="CL424" s="28">
        <v>172</v>
      </c>
      <c r="CM424" s="28">
        <v>170</v>
      </c>
      <c r="CO424"/>
    </row>
    <row r="425" spans="1:93" ht="16.5" hidden="1">
      <c r="B425" s="17">
        <v>421</v>
      </c>
      <c r="C425" s="363" t="s">
        <v>451</v>
      </c>
      <c r="D425" s="18">
        <v>5</v>
      </c>
      <c r="E425" s="20">
        <v>2321144325</v>
      </c>
      <c r="F425" s="18">
        <v>36</v>
      </c>
      <c r="G425" s="20">
        <v>53730193</v>
      </c>
      <c r="H425" s="20">
        <v>1203</v>
      </c>
      <c r="I425" s="20">
        <v>1607887</v>
      </c>
      <c r="J425" s="20">
        <v>62947</v>
      </c>
      <c r="K425" s="20">
        <v>50000</v>
      </c>
      <c r="L425" s="20">
        <v>1050873</v>
      </c>
      <c r="M425" s="20">
        <v>5000</v>
      </c>
      <c r="N425" s="167">
        <v>6</v>
      </c>
      <c r="O425" s="167">
        <v>11</v>
      </c>
      <c r="P425" s="167">
        <v>26</v>
      </c>
      <c r="Q425" s="167">
        <v>27</v>
      </c>
      <c r="R425" s="167">
        <v>28</v>
      </c>
      <c r="S425" s="167">
        <v>44</v>
      </c>
      <c r="T425" s="167">
        <v>30</v>
      </c>
      <c r="U425" s="28">
        <f t="shared" si="304"/>
        <v>142</v>
      </c>
      <c r="W425" s="32" t="str">
        <f t="shared" si="289"/>
        <v>짝수</v>
      </c>
      <c r="X425" s="32" t="str">
        <f t="shared" si="290"/>
        <v>홀수</v>
      </c>
      <c r="Y425" s="32" t="str">
        <f t="shared" si="291"/>
        <v>짝수</v>
      </c>
      <c r="Z425" s="32" t="str">
        <f t="shared" si="292"/>
        <v>홀수</v>
      </c>
      <c r="AA425" s="32" t="str">
        <f t="shared" si="293"/>
        <v>짝수</v>
      </c>
      <c r="AB425" s="32" t="str">
        <f t="shared" si="294"/>
        <v>짝수</v>
      </c>
      <c r="AC425" s="58" t="str">
        <f t="shared" si="295"/>
        <v>2 : 4</v>
      </c>
      <c r="AD425" s="32">
        <f t="shared" si="296"/>
        <v>2</v>
      </c>
      <c r="AE425" s="32">
        <f t="shared" si="297"/>
        <v>4</v>
      </c>
      <c r="AF425" s="66" t="str">
        <f t="shared" si="305"/>
        <v>저수</v>
      </c>
      <c r="AG425" s="66" t="str">
        <f t="shared" si="306"/>
        <v>저수</v>
      </c>
      <c r="AH425" s="66" t="str">
        <f t="shared" si="307"/>
        <v>고수</v>
      </c>
      <c r="AI425" s="66" t="str">
        <f t="shared" si="308"/>
        <v>고수</v>
      </c>
      <c r="AJ425" s="66" t="str">
        <f t="shared" si="309"/>
        <v>고수</v>
      </c>
      <c r="AK425" s="66" t="str">
        <f t="shared" si="310"/>
        <v>고수</v>
      </c>
      <c r="AL425" s="58" t="str">
        <f t="shared" si="311"/>
        <v>2 : 4</v>
      </c>
      <c r="AM425" s="66">
        <f t="shared" si="312"/>
        <v>2</v>
      </c>
      <c r="AN425" s="66">
        <f t="shared" si="313"/>
        <v>4</v>
      </c>
      <c r="AO425" s="66">
        <f t="shared" si="314"/>
        <v>32</v>
      </c>
      <c r="AP425" s="66" t="str">
        <f t="shared" si="315"/>
        <v>X</v>
      </c>
      <c r="AQ425" s="66" t="str">
        <f t="shared" si="316"/>
        <v>O</v>
      </c>
      <c r="AR425" s="66" t="str">
        <f t="shared" si="317"/>
        <v>X</v>
      </c>
      <c r="AS425" s="66" t="str">
        <f t="shared" si="318"/>
        <v>X</v>
      </c>
      <c r="AT425" s="66" t="str">
        <f t="shared" si="319"/>
        <v>X</v>
      </c>
      <c r="AU425" s="66" t="str">
        <f t="shared" si="320"/>
        <v>X</v>
      </c>
      <c r="AV425" s="66" t="str">
        <f t="shared" si="321"/>
        <v>X</v>
      </c>
      <c r="AW425" s="66" t="str">
        <f t="shared" si="322"/>
        <v>X</v>
      </c>
      <c r="AX425" s="66" t="str">
        <f t="shared" si="323"/>
        <v>X</v>
      </c>
      <c r="AY425" s="66" t="str">
        <f t="shared" si="324"/>
        <v>X</v>
      </c>
      <c r="AZ425" s="66" t="str">
        <f t="shared" si="325"/>
        <v>X</v>
      </c>
      <c r="BA425" s="66" t="str">
        <f t="shared" si="326"/>
        <v>X</v>
      </c>
      <c r="BB425" s="66">
        <f t="shared" si="327"/>
        <v>1</v>
      </c>
      <c r="BC425" s="127" t="str">
        <f t="shared" si="298"/>
        <v>1G</v>
      </c>
      <c r="BD425" s="127" t="str">
        <f t="shared" si="299"/>
        <v>1G</v>
      </c>
      <c r="BE425" s="127" t="str">
        <f t="shared" si="300"/>
        <v>2G</v>
      </c>
      <c r="BF425" s="127" t="str">
        <f t="shared" si="301"/>
        <v>2G</v>
      </c>
      <c r="BG425" s="127" t="str">
        <f t="shared" si="302"/>
        <v>2G</v>
      </c>
      <c r="BH425" s="127" t="str">
        <f t="shared" si="303"/>
        <v>3G</v>
      </c>
      <c r="BI425" s="127">
        <f t="shared" si="328"/>
        <v>2</v>
      </c>
      <c r="BJ425" s="127">
        <f t="shared" si="329"/>
        <v>3</v>
      </c>
      <c r="BK425" s="127">
        <f t="shared" si="330"/>
        <v>1</v>
      </c>
      <c r="BL425" s="127" t="str">
        <f t="shared" si="331"/>
        <v>231</v>
      </c>
      <c r="BS425"/>
      <c r="CL425" s="28">
        <v>172</v>
      </c>
      <c r="CM425" s="28">
        <v>170</v>
      </c>
      <c r="CO425"/>
    </row>
    <row r="426" spans="1:93" ht="16.5" hidden="1">
      <c r="A426" s="18">
        <v>2011</v>
      </c>
      <c r="B426" s="17">
        <v>422</v>
      </c>
      <c r="C426" s="363" t="s">
        <v>452</v>
      </c>
      <c r="D426" s="18">
        <v>6</v>
      </c>
      <c r="E426" s="20">
        <v>2205251375</v>
      </c>
      <c r="F426" s="18">
        <v>21</v>
      </c>
      <c r="G426" s="20">
        <v>105011971</v>
      </c>
      <c r="H426" s="20">
        <v>1293</v>
      </c>
      <c r="I426" s="20">
        <v>1705531</v>
      </c>
      <c r="J426" s="20">
        <v>64044</v>
      </c>
      <c r="K426" s="20">
        <v>50000</v>
      </c>
      <c r="L426" s="20">
        <v>1104218</v>
      </c>
      <c r="M426" s="20">
        <v>5000</v>
      </c>
      <c r="N426" s="167">
        <v>8</v>
      </c>
      <c r="O426" s="167">
        <v>15</v>
      </c>
      <c r="P426" s="167">
        <v>19</v>
      </c>
      <c r="Q426" s="167">
        <v>21</v>
      </c>
      <c r="R426" s="167">
        <v>34</v>
      </c>
      <c r="S426" s="167">
        <v>44</v>
      </c>
      <c r="T426" s="167">
        <v>12</v>
      </c>
      <c r="U426" s="28">
        <f t="shared" si="304"/>
        <v>141</v>
      </c>
      <c r="W426" s="32" t="str">
        <f t="shared" si="289"/>
        <v>짝수</v>
      </c>
      <c r="X426" s="32" t="str">
        <f t="shared" si="290"/>
        <v>홀수</v>
      </c>
      <c r="Y426" s="32" t="str">
        <f t="shared" si="291"/>
        <v>홀수</v>
      </c>
      <c r="Z426" s="32" t="str">
        <f t="shared" si="292"/>
        <v>홀수</v>
      </c>
      <c r="AA426" s="32" t="str">
        <f t="shared" si="293"/>
        <v>짝수</v>
      </c>
      <c r="AB426" s="32" t="str">
        <f t="shared" si="294"/>
        <v>짝수</v>
      </c>
      <c r="AC426" s="58" t="str">
        <f t="shared" si="295"/>
        <v>3 : 3</v>
      </c>
      <c r="AD426" s="32">
        <f t="shared" si="296"/>
        <v>3</v>
      </c>
      <c r="AE426" s="32">
        <f t="shared" si="297"/>
        <v>3</v>
      </c>
      <c r="AF426" s="66" t="str">
        <f t="shared" si="305"/>
        <v>저수</v>
      </c>
      <c r="AG426" s="66" t="str">
        <f t="shared" si="306"/>
        <v>저수</v>
      </c>
      <c r="AH426" s="66" t="str">
        <f t="shared" si="307"/>
        <v>저수</v>
      </c>
      <c r="AI426" s="66" t="str">
        <f t="shared" si="308"/>
        <v>저수</v>
      </c>
      <c r="AJ426" s="66" t="str">
        <f t="shared" si="309"/>
        <v>고수</v>
      </c>
      <c r="AK426" s="66" t="str">
        <f t="shared" si="310"/>
        <v>고수</v>
      </c>
      <c r="AL426" s="58" t="str">
        <f t="shared" si="311"/>
        <v>4 : 2</v>
      </c>
      <c r="AM426" s="66">
        <f t="shared" si="312"/>
        <v>4</v>
      </c>
      <c r="AN426" s="66">
        <f t="shared" si="313"/>
        <v>2</v>
      </c>
      <c r="AO426" s="66">
        <f t="shared" si="314"/>
        <v>31</v>
      </c>
      <c r="AP426" s="66" t="str">
        <f t="shared" si="315"/>
        <v>X</v>
      </c>
      <c r="AQ426" s="66" t="str">
        <f t="shared" si="316"/>
        <v>X</v>
      </c>
      <c r="AR426" s="66" t="str">
        <f t="shared" si="317"/>
        <v>O</v>
      </c>
      <c r="AS426" s="66" t="str">
        <f t="shared" si="318"/>
        <v>X</v>
      </c>
      <c r="AT426" s="66" t="str">
        <f t="shared" si="319"/>
        <v>X</v>
      </c>
      <c r="AU426" s="66" t="str">
        <f t="shared" si="320"/>
        <v>X</v>
      </c>
      <c r="AV426" s="66" t="str">
        <f t="shared" si="321"/>
        <v>X</v>
      </c>
      <c r="AW426" s="66" t="str">
        <f t="shared" si="322"/>
        <v>X</v>
      </c>
      <c r="AX426" s="66" t="str">
        <f t="shared" si="323"/>
        <v>X</v>
      </c>
      <c r="AY426" s="66" t="str">
        <f t="shared" si="324"/>
        <v>X</v>
      </c>
      <c r="AZ426" s="66" t="str">
        <f t="shared" si="325"/>
        <v>X</v>
      </c>
      <c r="BA426" s="66" t="str">
        <f t="shared" si="326"/>
        <v>X</v>
      </c>
      <c r="BB426" s="66">
        <f t="shared" si="327"/>
        <v>1</v>
      </c>
      <c r="BC426" s="127" t="str">
        <f t="shared" si="298"/>
        <v>1G</v>
      </c>
      <c r="BD426" s="127" t="str">
        <f t="shared" si="299"/>
        <v>1G</v>
      </c>
      <c r="BE426" s="127" t="str">
        <f t="shared" si="300"/>
        <v>2G</v>
      </c>
      <c r="BF426" s="127" t="str">
        <f t="shared" si="301"/>
        <v>2G</v>
      </c>
      <c r="BG426" s="127" t="str">
        <f t="shared" si="302"/>
        <v>3G</v>
      </c>
      <c r="BH426" s="127" t="str">
        <f t="shared" si="303"/>
        <v>3G</v>
      </c>
      <c r="BI426" s="127">
        <f t="shared" si="328"/>
        <v>2</v>
      </c>
      <c r="BJ426" s="127">
        <f t="shared" si="329"/>
        <v>2</v>
      </c>
      <c r="BK426" s="127">
        <f t="shared" si="330"/>
        <v>2</v>
      </c>
      <c r="BL426" s="127" t="str">
        <f t="shared" si="331"/>
        <v>222</v>
      </c>
      <c r="BS426"/>
      <c r="CL426" s="28">
        <v>172</v>
      </c>
      <c r="CM426" s="28">
        <v>170</v>
      </c>
      <c r="CO426"/>
    </row>
    <row r="427" spans="1:93" ht="16.5" hidden="1">
      <c r="B427" s="17">
        <v>423</v>
      </c>
      <c r="C427" s="363" t="s">
        <v>453</v>
      </c>
      <c r="D427" s="18">
        <v>3</v>
      </c>
      <c r="E427" s="20">
        <v>3896153875</v>
      </c>
      <c r="F427" s="18">
        <v>47</v>
      </c>
      <c r="G427" s="20">
        <v>41448446</v>
      </c>
      <c r="H427" s="20">
        <v>1432</v>
      </c>
      <c r="I427" s="20">
        <v>1360389</v>
      </c>
      <c r="J427" s="20">
        <v>69948</v>
      </c>
      <c r="K427" s="20">
        <v>50000</v>
      </c>
      <c r="L427" s="20">
        <v>1150428</v>
      </c>
      <c r="M427" s="20">
        <v>5000</v>
      </c>
      <c r="N427" s="167">
        <v>1</v>
      </c>
      <c r="O427" s="167">
        <v>17</v>
      </c>
      <c r="P427" s="167">
        <v>27</v>
      </c>
      <c r="Q427" s="167">
        <v>28</v>
      </c>
      <c r="R427" s="167">
        <v>29</v>
      </c>
      <c r="S427" s="167">
        <v>40</v>
      </c>
      <c r="T427" s="167">
        <v>5</v>
      </c>
      <c r="U427" s="28">
        <f t="shared" si="304"/>
        <v>142</v>
      </c>
      <c r="W427" s="32" t="str">
        <f t="shared" si="289"/>
        <v>홀수</v>
      </c>
      <c r="X427" s="32" t="str">
        <f t="shared" si="290"/>
        <v>홀수</v>
      </c>
      <c r="Y427" s="32" t="str">
        <f t="shared" si="291"/>
        <v>홀수</v>
      </c>
      <c r="Z427" s="32" t="str">
        <f t="shared" si="292"/>
        <v>짝수</v>
      </c>
      <c r="AA427" s="32" t="str">
        <f t="shared" si="293"/>
        <v>홀수</v>
      </c>
      <c r="AB427" s="32" t="str">
        <f t="shared" si="294"/>
        <v>짝수</v>
      </c>
      <c r="AC427" s="58" t="str">
        <f t="shared" si="295"/>
        <v>4 : 2</v>
      </c>
      <c r="AD427" s="32">
        <f t="shared" si="296"/>
        <v>4</v>
      </c>
      <c r="AE427" s="32">
        <f t="shared" si="297"/>
        <v>2</v>
      </c>
      <c r="AF427" s="66" t="str">
        <f t="shared" si="305"/>
        <v>저수</v>
      </c>
      <c r="AG427" s="66" t="str">
        <f t="shared" si="306"/>
        <v>저수</v>
      </c>
      <c r="AH427" s="66" t="str">
        <f t="shared" si="307"/>
        <v>고수</v>
      </c>
      <c r="AI427" s="66" t="str">
        <f t="shared" si="308"/>
        <v>고수</v>
      </c>
      <c r="AJ427" s="66" t="str">
        <f t="shared" si="309"/>
        <v>고수</v>
      </c>
      <c r="AK427" s="66" t="str">
        <f t="shared" si="310"/>
        <v>고수</v>
      </c>
      <c r="AL427" s="58" t="str">
        <f t="shared" si="311"/>
        <v>2 : 4</v>
      </c>
      <c r="AM427" s="66">
        <f t="shared" si="312"/>
        <v>2</v>
      </c>
      <c r="AN427" s="66">
        <f t="shared" si="313"/>
        <v>4</v>
      </c>
      <c r="AO427" s="66">
        <f t="shared" si="314"/>
        <v>32</v>
      </c>
      <c r="AP427" s="66" t="str">
        <f t="shared" si="315"/>
        <v>X</v>
      </c>
      <c r="AQ427" s="66" t="str">
        <f t="shared" si="316"/>
        <v>O</v>
      </c>
      <c r="AR427" s="66" t="str">
        <f t="shared" si="317"/>
        <v>X</v>
      </c>
      <c r="AS427" s="66" t="str">
        <f t="shared" si="318"/>
        <v>X</v>
      </c>
      <c r="AT427" s="66" t="str">
        <f t="shared" si="319"/>
        <v>X</v>
      </c>
      <c r="AU427" s="66" t="str">
        <f t="shared" si="320"/>
        <v>X</v>
      </c>
      <c r="AV427" s="66" t="str">
        <f t="shared" si="321"/>
        <v>X</v>
      </c>
      <c r="AW427" s="66" t="str">
        <f t="shared" si="322"/>
        <v>X</v>
      </c>
      <c r="AX427" s="66" t="str">
        <f t="shared" si="323"/>
        <v>X</v>
      </c>
      <c r="AY427" s="66" t="str">
        <f t="shared" si="324"/>
        <v>X</v>
      </c>
      <c r="AZ427" s="66" t="str">
        <f t="shared" si="325"/>
        <v>O</v>
      </c>
      <c r="BA427" s="66" t="str">
        <f t="shared" si="326"/>
        <v>X</v>
      </c>
      <c r="BB427" s="66">
        <f t="shared" si="327"/>
        <v>2</v>
      </c>
      <c r="BC427" s="127" t="str">
        <f t="shared" si="298"/>
        <v>1G</v>
      </c>
      <c r="BD427" s="127" t="str">
        <f t="shared" si="299"/>
        <v>2G</v>
      </c>
      <c r="BE427" s="127" t="str">
        <f t="shared" si="300"/>
        <v>2G</v>
      </c>
      <c r="BF427" s="127" t="str">
        <f t="shared" si="301"/>
        <v>2G</v>
      </c>
      <c r="BG427" s="127" t="str">
        <f t="shared" si="302"/>
        <v>2G</v>
      </c>
      <c r="BH427" s="127" t="str">
        <f t="shared" si="303"/>
        <v>3G</v>
      </c>
      <c r="BI427" s="127">
        <f t="shared" si="328"/>
        <v>1</v>
      </c>
      <c r="BJ427" s="127">
        <f t="shared" si="329"/>
        <v>4</v>
      </c>
      <c r="BK427" s="127">
        <f t="shared" si="330"/>
        <v>1</v>
      </c>
      <c r="BL427" s="127" t="str">
        <f t="shared" si="331"/>
        <v>141</v>
      </c>
      <c r="BS427"/>
      <c r="CL427" s="28">
        <v>172</v>
      </c>
      <c r="CM427" s="28">
        <v>170</v>
      </c>
      <c r="CO427"/>
    </row>
    <row r="428" spans="1:93" ht="16.5" hidden="1">
      <c r="B428" s="17">
        <v>424</v>
      </c>
      <c r="C428" s="363" t="s">
        <v>454</v>
      </c>
      <c r="D428" s="18">
        <v>10</v>
      </c>
      <c r="E428" s="20">
        <v>1109480813</v>
      </c>
      <c r="F428" s="18">
        <v>51</v>
      </c>
      <c r="G428" s="20">
        <v>36257543</v>
      </c>
      <c r="H428" s="20">
        <v>1686</v>
      </c>
      <c r="I428" s="20">
        <v>1096759</v>
      </c>
      <c r="J428" s="20">
        <v>75456</v>
      </c>
      <c r="K428" s="20">
        <v>50000</v>
      </c>
      <c r="L428" s="20">
        <v>1159669</v>
      </c>
      <c r="M428" s="20">
        <v>5000</v>
      </c>
      <c r="N428" s="167">
        <v>10</v>
      </c>
      <c r="O428" s="167">
        <v>11</v>
      </c>
      <c r="P428" s="167">
        <v>26</v>
      </c>
      <c r="Q428" s="167">
        <v>31</v>
      </c>
      <c r="R428" s="167">
        <v>34</v>
      </c>
      <c r="S428" s="167">
        <v>44</v>
      </c>
      <c r="T428" s="167">
        <v>30</v>
      </c>
      <c r="U428" s="28">
        <f t="shared" si="304"/>
        <v>156</v>
      </c>
      <c r="W428" s="32" t="str">
        <f t="shared" si="289"/>
        <v>짝수</v>
      </c>
      <c r="X428" s="32" t="str">
        <f t="shared" si="290"/>
        <v>홀수</v>
      </c>
      <c r="Y428" s="32" t="str">
        <f t="shared" si="291"/>
        <v>짝수</v>
      </c>
      <c r="Z428" s="32" t="str">
        <f t="shared" si="292"/>
        <v>홀수</v>
      </c>
      <c r="AA428" s="32" t="str">
        <f t="shared" si="293"/>
        <v>짝수</v>
      </c>
      <c r="AB428" s="32" t="str">
        <f t="shared" si="294"/>
        <v>짝수</v>
      </c>
      <c r="AC428" s="58" t="str">
        <f t="shared" si="295"/>
        <v>2 : 4</v>
      </c>
      <c r="AD428" s="32">
        <f t="shared" si="296"/>
        <v>2</v>
      </c>
      <c r="AE428" s="32">
        <f t="shared" si="297"/>
        <v>4</v>
      </c>
      <c r="AF428" s="66" t="str">
        <f t="shared" si="305"/>
        <v>저수</v>
      </c>
      <c r="AG428" s="66" t="str">
        <f t="shared" si="306"/>
        <v>저수</v>
      </c>
      <c r="AH428" s="66" t="str">
        <f t="shared" si="307"/>
        <v>고수</v>
      </c>
      <c r="AI428" s="66" t="str">
        <f t="shared" si="308"/>
        <v>고수</v>
      </c>
      <c r="AJ428" s="66" t="str">
        <f t="shared" si="309"/>
        <v>고수</v>
      </c>
      <c r="AK428" s="66" t="str">
        <f t="shared" si="310"/>
        <v>고수</v>
      </c>
      <c r="AL428" s="58" t="str">
        <f t="shared" si="311"/>
        <v>2 : 4</v>
      </c>
      <c r="AM428" s="66">
        <f t="shared" si="312"/>
        <v>2</v>
      </c>
      <c r="AN428" s="66">
        <f t="shared" si="313"/>
        <v>4</v>
      </c>
      <c r="AO428" s="66">
        <f t="shared" si="314"/>
        <v>16</v>
      </c>
      <c r="AP428" s="66" t="str">
        <f t="shared" si="315"/>
        <v>X</v>
      </c>
      <c r="AQ428" s="66" t="str">
        <f t="shared" si="316"/>
        <v>O</v>
      </c>
      <c r="AR428" s="66" t="str">
        <f t="shared" si="317"/>
        <v>X</v>
      </c>
      <c r="AS428" s="66" t="str">
        <f t="shared" si="318"/>
        <v>X</v>
      </c>
      <c r="AT428" s="66" t="str">
        <f t="shared" si="319"/>
        <v>X</v>
      </c>
      <c r="AU428" s="66" t="str">
        <f t="shared" si="320"/>
        <v>X</v>
      </c>
      <c r="AV428" s="66" t="str">
        <f t="shared" si="321"/>
        <v>X</v>
      </c>
      <c r="AW428" s="66" t="str">
        <f t="shared" si="322"/>
        <v>X</v>
      </c>
      <c r="AX428" s="66" t="str">
        <f t="shared" si="323"/>
        <v>X</v>
      </c>
      <c r="AY428" s="66" t="str">
        <f t="shared" si="324"/>
        <v>O</v>
      </c>
      <c r="AZ428" s="66" t="str">
        <f t="shared" si="325"/>
        <v>X</v>
      </c>
      <c r="BA428" s="66" t="str">
        <f t="shared" si="326"/>
        <v>X</v>
      </c>
      <c r="BB428" s="66">
        <f t="shared" si="327"/>
        <v>2</v>
      </c>
      <c r="BC428" s="127" t="str">
        <f t="shared" si="298"/>
        <v>1G</v>
      </c>
      <c r="BD428" s="127" t="str">
        <f t="shared" si="299"/>
        <v>1G</v>
      </c>
      <c r="BE428" s="127" t="str">
        <f t="shared" si="300"/>
        <v>2G</v>
      </c>
      <c r="BF428" s="127" t="str">
        <f t="shared" si="301"/>
        <v>3G</v>
      </c>
      <c r="BG428" s="127" t="str">
        <f t="shared" si="302"/>
        <v>3G</v>
      </c>
      <c r="BH428" s="127" t="str">
        <f t="shared" si="303"/>
        <v>3G</v>
      </c>
      <c r="BI428" s="127">
        <f t="shared" si="328"/>
        <v>2</v>
      </c>
      <c r="BJ428" s="127">
        <f t="shared" si="329"/>
        <v>1</v>
      </c>
      <c r="BK428" s="127">
        <f t="shared" si="330"/>
        <v>3</v>
      </c>
      <c r="BL428" s="127" t="str">
        <f t="shared" si="331"/>
        <v>213</v>
      </c>
      <c r="BS428"/>
      <c r="CL428" s="28">
        <v>173</v>
      </c>
      <c r="CM428" s="28">
        <v>170</v>
      </c>
      <c r="CO428"/>
    </row>
    <row r="429" spans="1:93" ht="16.5" hidden="1">
      <c r="B429" s="17">
        <v>425</v>
      </c>
      <c r="C429" s="363" t="s">
        <v>455</v>
      </c>
      <c r="D429" s="18">
        <v>8</v>
      </c>
      <c r="E429" s="20">
        <v>1534833000</v>
      </c>
      <c r="F429" s="18">
        <v>41</v>
      </c>
      <c r="G429" s="20">
        <v>49913269</v>
      </c>
      <c r="H429" s="20">
        <v>1297</v>
      </c>
      <c r="I429" s="20">
        <v>1577829</v>
      </c>
      <c r="J429" s="20">
        <v>66071</v>
      </c>
      <c r="K429" s="20">
        <v>50000</v>
      </c>
      <c r="L429" s="20">
        <v>1110949</v>
      </c>
      <c r="M429" s="20">
        <v>5000</v>
      </c>
      <c r="N429" s="167">
        <v>8</v>
      </c>
      <c r="O429" s="167">
        <v>10</v>
      </c>
      <c r="P429" s="167">
        <v>14</v>
      </c>
      <c r="Q429" s="167">
        <v>27</v>
      </c>
      <c r="R429" s="167">
        <v>33</v>
      </c>
      <c r="S429" s="167">
        <v>38</v>
      </c>
      <c r="T429" s="167">
        <v>3</v>
      </c>
      <c r="U429" s="28">
        <f t="shared" si="304"/>
        <v>130</v>
      </c>
      <c r="W429" s="32" t="str">
        <f t="shared" si="289"/>
        <v>짝수</v>
      </c>
      <c r="X429" s="32" t="str">
        <f t="shared" si="290"/>
        <v>짝수</v>
      </c>
      <c r="Y429" s="32" t="str">
        <f t="shared" si="291"/>
        <v>짝수</v>
      </c>
      <c r="Z429" s="32" t="str">
        <f t="shared" si="292"/>
        <v>홀수</v>
      </c>
      <c r="AA429" s="32" t="str">
        <f t="shared" si="293"/>
        <v>홀수</v>
      </c>
      <c r="AB429" s="32" t="str">
        <f t="shared" si="294"/>
        <v>짝수</v>
      </c>
      <c r="AC429" s="58" t="str">
        <f t="shared" si="295"/>
        <v>2 : 4</v>
      </c>
      <c r="AD429" s="32">
        <f t="shared" si="296"/>
        <v>2</v>
      </c>
      <c r="AE429" s="32">
        <f t="shared" si="297"/>
        <v>4</v>
      </c>
      <c r="AF429" s="66" t="str">
        <f t="shared" si="305"/>
        <v>저수</v>
      </c>
      <c r="AG429" s="66" t="str">
        <f t="shared" si="306"/>
        <v>저수</v>
      </c>
      <c r="AH429" s="66" t="str">
        <f t="shared" si="307"/>
        <v>저수</v>
      </c>
      <c r="AI429" s="66" t="str">
        <f t="shared" si="308"/>
        <v>고수</v>
      </c>
      <c r="AJ429" s="66" t="str">
        <f t="shared" si="309"/>
        <v>고수</v>
      </c>
      <c r="AK429" s="66" t="str">
        <f t="shared" si="310"/>
        <v>고수</v>
      </c>
      <c r="AL429" s="58" t="str">
        <f t="shared" si="311"/>
        <v>3 : 3</v>
      </c>
      <c r="AM429" s="66">
        <f t="shared" si="312"/>
        <v>3</v>
      </c>
      <c r="AN429" s="66">
        <f t="shared" si="313"/>
        <v>3</v>
      </c>
      <c r="AO429" s="66">
        <f t="shared" si="314"/>
        <v>30</v>
      </c>
      <c r="AP429" s="66" t="str">
        <f t="shared" si="315"/>
        <v>X</v>
      </c>
      <c r="AQ429" s="66" t="str">
        <f t="shared" si="316"/>
        <v>X</v>
      </c>
      <c r="AR429" s="66" t="str">
        <f t="shared" si="317"/>
        <v>X</v>
      </c>
      <c r="AS429" s="66" t="str">
        <f t="shared" si="318"/>
        <v>X</v>
      </c>
      <c r="AT429" s="66" t="str">
        <f t="shared" si="319"/>
        <v>X</v>
      </c>
      <c r="AU429" s="66" t="str">
        <f t="shared" si="320"/>
        <v>X</v>
      </c>
      <c r="AV429" s="66" t="str">
        <f t="shared" si="321"/>
        <v>X</v>
      </c>
      <c r="AW429" s="66" t="str">
        <f t="shared" si="322"/>
        <v>X</v>
      </c>
      <c r="AX429" s="66" t="str">
        <f t="shared" si="323"/>
        <v>X</v>
      </c>
      <c r="AY429" s="66" t="str">
        <f t="shared" si="324"/>
        <v>X</v>
      </c>
      <c r="AZ429" s="66" t="str">
        <f t="shared" si="325"/>
        <v>X</v>
      </c>
      <c r="BA429" s="66" t="str">
        <f t="shared" si="326"/>
        <v>X</v>
      </c>
      <c r="BB429" s="66">
        <f t="shared" si="327"/>
        <v>0</v>
      </c>
      <c r="BC429" s="127" t="str">
        <f t="shared" si="298"/>
        <v>1G</v>
      </c>
      <c r="BD429" s="127" t="str">
        <f t="shared" si="299"/>
        <v>1G</v>
      </c>
      <c r="BE429" s="127" t="str">
        <f t="shared" si="300"/>
        <v>1G</v>
      </c>
      <c r="BF429" s="127" t="str">
        <f t="shared" si="301"/>
        <v>2G</v>
      </c>
      <c r="BG429" s="127" t="str">
        <f t="shared" si="302"/>
        <v>3G</v>
      </c>
      <c r="BH429" s="127" t="str">
        <f t="shared" si="303"/>
        <v>3G</v>
      </c>
      <c r="BI429" s="127">
        <f t="shared" si="328"/>
        <v>3</v>
      </c>
      <c r="BJ429" s="127">
        <f t="shared" si="329"/>
        <v>1</v>
      </c>
      <c r="BK429" s="127">
        <f t="shared" si="330"/>
        <v>2</v>
      </c>
      <c r="BL429" s="127" t="str">
        <f t="shared" si="331"/>
        <v>312</v>
      </c>
      <c r="BS429"/>
      <c r="CL429" s="28">
        <v>173</v>
      </c>
      <c r="CM429" s="28">
        <v>170</v>
      </c>
      <c r="CO429"/>
    </row>
    <row r="430" spans="1:93" ht="16.5" hidden="1">
      <c r="B430" s="17">
        <v>426</v>
      </c>
      <c r="C430" s="363" t="s">
        <v>456</v>
      </c>
      <c r="D430" s="18">
        <v>4</v>
      </c>
      <c r="E430" s="20">
        <v>3057233625</v>
      </c>
      <c r="F430" s="18">
        <v>63</v>
      </c>
      <c r="G430" s="20">
        <v>32351679</v>
      </c>
      <c r="H430" s="20">
        <v>1463</v>
      </c>
      <c r="I430" s="20">
        <v>1393135</v>
      </c>
      <c r="J430" s="20">
        <v>71102</v>
      </c>
      <c r="K430" s="20">
        <v>50000</v>
      </c>
      <c r="L430" s="20">
        <v>1174590</v>
      </c>
      <c r="M430" s="20">
        <v>5000</v>
      </c>
      <c r="N430" s="167">
        <v>4</v>
      </c>
      <c r="O430" s="167">
        <v>17</v>
      </c>
      <c r="P430" s="167">
        <v>18</v>
      </c>
      <c r="Q430" s="167">
        <v>27</v>
      </c>
      <c r="R430" s="167">
        <v>39</v>
      </c>
      <c r="S430" s="167">
        <v>43</v>
      </c>
      <c r="T430" s="167">
        <v>19</v>
      </c>
      <c r="U430" s="28">
        <f t="shared" si="304"/>
        <v>148</v>
      </c>
      <c r="W430" s="32" t="str">
        <f t="shared" si="289"/>
        <v>짝수</v>
      </c>
      <c r="X430" s="32" t="str">
        <f t="shared" si="290"/>
        <v>홀수</v>
      </c>
      <c r="Y430" s="32" t="str">
        <f t="shared" si="291"/>
        <v>짝수</v>
      </c>
      <c r="Z430" s="32" t="str">
        <f t="shared" si="292"/>
        <v>홀수</v>
      </c>
      <c r="AA430" s="32" t="str">
        <f t="shared" si="293"/>
        <v>홀수</v>
      </c>
      <c r="AB430" s="32" t="str">
        <f t="shared" si="294"/>
        <v>홀수</v>
      </c>
      <c r="AC430" s="58" t="str">
        <f t="shared" si="295"/>
        <v>4 : 2</v>
      </c>
      <c r="AD430" s="32">
        <f t="shared" si="296"/>
        <v>4</v>
      </c>
      <c r="AE430" s="32">
        <f t="shared" si="297"/>
        <v>2</v>
      </c>
      <c r="AF430" s="66" t="str">
        <f t="shared" si="305"/>
        <v>저수</v>
      </c>
      <c r="AG430" s="66" t="str">
        <f t="shared" si="306"/>
        <v>저수</v>
      </c>
      <c r="AH430" s="66" t="str">
        <f t="shared" si="307"/>
        <v>저수</v>
      </c>
      <c r="AI430" s="66" t="str">
        <f t="shared" si="308"/>
        <v>고수</v>
      </c>
      <c r="AJ430" s="66" t="str">
        <f t="shared" si="309"/>
        <v>고수</v>
      </c>
      <c r="AK430" s="66" t="str">
        <f t="shared" si="310"/>
        <v>고수</v>
      </c>
      <c r="AL430" s="58" t="str">
        <f t="shared" si="311"/>
        <v>3 : 3</v>
      </c>
      <c r="AM430" s="66">
        <f t="shared" si="312"/>
        <v>3</v>
      </c>
      <c r="AN430" s="66">
        <f t="shared" si="313"/>
        <v>3</v>
      </c>
      <c r="AO430" s="66">
        <f t="shared" si="314"/>
        <v>38</v>
      </c>
      <c r="AP430" s="66" t="str">
        <f t="shared" si="315"/>
        <v>X</v>
      </c>
      <c r="AQ430" s="66" t="str">
        <f t="shared" si="316"/>
        <v>O</v>
      </c>
      <c r="AR430" s="66" t="str">
        <f t="shared" si="317"/>
        <v>X</v>
      </c>
      <c r="AS430" s="66" t="str">
        <f t="shared" si="318"/>
        <v>X</v>
      </c>
      <c r="AT430" s="66" t="str">
        <f t="shared" si="319"/>
        <v>X</v>
      </c>
      <c r="AU430" s="66" t="str">
        <f t="shared" si="320"/>
        <v>X</v>
      </c>
      <c r="AV430" s="66" t="str">
        <f t="shared" si="321"/>
        <v>X</v>
      </c>
      <c r="AW430" s="66" t="str">
        <f t="shared" si="322"/>
        <v>X</v>
      </c>
      <c r="AX430" s="66" t="str">
        <f t="shared" si="323"/>
        <v>X</v>
      </c>
      <c r="AY430" s="66" t="str">
        <f t="shared" si="324"/>
        <v>X</v>
      </c>
      <c r="AZ430" s="66" t="str">
        <f t="shared" si="325"/>
        <v>X</v>
      </c>
      <c r="BA430" s="66" t="str">
        <f t="shared" si="326"/>
        <v>O</v>
      </c>
      <c r="BB430" s="66">
        <f t="shared" si="327"/>
        <v>2</v>
      </c>
      <c r="BC430" s="127" t="str">
        <f t="shared" si="298"/>
        <v>1G</v>
      </c>
      <c r="BD430" s="127" t="str">
        <f t="shared" si="299"/>
        <v>2G</v>
      </c>
      <c r="BE430" s="127" t="str">
        <f t="shared" si="300"/>
        <v>2G</v>
      </c>
      <c r="BF430" s="127" t="str">
        <f t="shared" si="301"/>
        <v>2G</v>
      </c>
      <c r="BG430" s="127" t="str">
        <f t="shared" si="302"/>
        <v>3G</v>
      </c>
      <c r="BH430" s="127" t="str">
        <f t="shared" si="303"/>
        <v>3G</v>
      </c>
      <c r="BI430" s="127">
        <f t="shared" si="328"/>
        <v>1</v>
      </c>
      <c r="BJ430" s="127">
        <f t="shared" si="329"/>
        <v>3</v>
      </c>
      <c r="BK430" s="127">
        <f t="shared" si="330"/>
        <v>2</v>
      </c>
      <c r="BL430" s="127" t="str">
        <f t="shared" si="331"/>
        <v>132</v>
      </c>
      <c r="BS430"/>
      <c r="CL430" s="28">
        <v>174</v>
      </c>
      <c r="CM430" s="28">
        <v>170</v>
      </c>
      <c r="CO430"/>
    </row>
    <row r="431" spans="1:93" ht="16.5" hidden="1">
      <c r="B431" s="17">
        <v>427</v>
      </c>
      <c r="C431" s="363" t="s">
        <v>457</v>
      </c>
      <c r="D431" s="18">
        <v>1</v>
      </c>
      <c r="E431" s="20">
        <v>12571445625</v>
      </c>
      <c r="F431" s="18">
        <v>33</v>
      </c>
      <c r="G431" s="20">
        <v>63492150</v>
      </c>
      <c r="H431" s="20">
        <v>1415</v>
      </c>
      <c r="I431" s="20">
        <v>1480736</v>
      </c>
      <c r="J431" s="20">
        <v>71400</v>
      </c>
      <c r="K431" s="20">
        <v>50000</v>
      </c>
      <c r="L431" s="20">
        <v>1184720</v>
      </c>
      <c r="M431" s="20">
        <v>5000</v>
      </c>
      <c r="N431" s="167">
        <v>6</v>
      </c>
      <c r="O431" s="167">
        <v>7</v>
      </c>
      <c r="P431" s="167">
        <v>15</v>
      </c>
      <c r="Q431" s="167">
        <v>24</v>
      </c>
      <c r="R431" s="167">
        <v>28</v>
      </c>
      <c r="S431" s="167">
        <v>30</v>
      </c>
      <c r="T431" s="167">
        <v>21</v>
      </c>
      <c r="U431" s="28">
        <f t="shared" si="304"/>
        <v>110</v>
      </c>
      <c r="W431" s="32" t="str">
        <f t="shared" si="289"/>
        <v>짝수</v>
      </c>
      <c r="X431" s="32" t="str">
        <f t="shared" si="290"/>
        <v>홀수</v>
      </c>
      <c r="Y431" s="32" t="str">
        <f t="shared" si="291"/>
        <v>홀수</v>
      </c>
      <c r="Z431" s="32" t="str">
        <f t="shared" si="292"/>
        <v>짝수</v>
      </c>
      <c r="AA431" s="32" t="str">
        <f t="shared" si="293"/>
        <v>짝수</v>
      </c>
      <c r="AB431" s="32" t="str">
        <f t="shared" si="294"/>
        <v>짝수</v>
      </c>
      <c r="AC431" s="58" t="str">
        <f t="shared" si="295"/>
        <v>2 : 4</v>
      </c>
      <c r="AD431" s="32">
        <f t="shared" si="296"/>
        <v>2</v>
      </c>
      <c r="AE431" s="32">
        <f t="shared" si="297"/>
        <v>4</v>
      </c>
      <c r="AF431" s="66" t="str">
        <f t="shared" si="305"/>
        <v>저수</v>
      </c>
      <c r="AG431" s="66" t="str">
        <f t="shared" si="306"/>
        <v>저수</v>
      </c>
      <c r="AH431" s="66" t="str">
        <f t="shared" si="307"/>
        <v>저수</v>
      </c>
      <c r="AI431" s="66" t="str">
        <f t="shared" si="308"/>
        <v>고수</v>
      </c>
      <c r="AJ431" s="66" t="str">
        <f t="shared" si="309"/>
        <v>고수</v>
      </c>
      <c r="AK431" s="66" t="str">
        <f t="shared" si="310"/>
        <v>고수</v>
      </c>
      <c r="AL431" s="58" t="str">
        <f t="shared" si="311"/>
        <v>3 : 3</v>
      </c>
      <c r="AM431" s="66">
        <f t="shared" si="312"/>
        <v>3</v>
      </c>
      <c r="AN431" s="66">
        <f t="shared" si="313"/>
        <v>3</v>
      </c>
      <c r="AO431" s="66">
        <f t="shared" si="314"/>
        <v>30</v>
      </c>
      <c r="AP431" s="66" t="str">
        <f t="shared" si="315"/>
        <v>X</v>
      </c>
      <c r="AQ431" s="66" t="str">
        <f t="shared" si="316"/>
        <v>O</v>
      </c>
      <c r="AR431" s="66" t="str">
        <f t="shared" si="317"/>
        <v>X</v>
      </c>
      <c r="AS431" s="66" t="str">
        <f t="shared" si="318"/>
        <v>X</v>
      </c>
      <c r="AT431" s="66" t="str">
        <f t="shared" si="319"/>
        <v>X</v>
      </c>
      <c r="AU431" s="66" t="str">
        <f t="shared" si="320"/>
        <v>X</v>
      </c>
      <c r="AV431" s="66" t="str">
        <f t="shared" si="321"/>
        <v>X</v>
      </c>
      <c r="AW431" s="66" t="str">
        <f t="shared" si="322"/>
        <v>X</v>
      </c>
      <c r="AX431" s="66" t="str">
        <f t="shared" si="323"/>
        <v>X</v>
      </c>
      <c r="AY431" s="66" t="str">
        <f t="shared" si="324"/>
        <v>X</v>
      </c>
      <c r="AZ431" s="66" t="str">
        <f t="shared" si="325"/>
        <v>X</v>
      </c>
      <c r="BA431" s="66" t="str">
        <f t="shared" si="326"/>
        <v>X</v>
      </c>
      <c r="BB431" s="66">
        <f t="shared" si="327"/>
        <v>1</v>
      </c>
      <c r="BC431" s="127" t="str">
        <f t="shared" si="298"/>
        <v>1G</v>
      </c>
      <c r="BD431" s="127" t="str">
        <f t="shared" si="299"/>
        <v>1G</v>
      </c>
      <c r="BE431" s="127" t="str">
        <f t="shared" si="300"/>
        <v>1G</v>
      </c>
      <c r="BF431" s="127" t="str">
        <f t="shared" si="301"/>
        <v>2G</v>
      </c>
      <c r="BG431" s="127" t="str">
        <f t="shared" si="302"/>
        <v>2G</v>
      </c>
      <c r="BH431" s="127" t="str">
        <f t="shared" si="303"/>
        <v>2G</v>
      </c>
      <c r="BI431" s="127">
        <f t="shared" si="328"/>
        <v>3</v>
      </c>
      <c r="BJ431" s="127">
        <f t="shared" si="329"/>
        <v>3</v>
      </c>
      <c r="BK431" s="127">
        <f t="shared" si="330"/>
        <v>0</v>
      </c>
      <c r="BL431" s="127" t="str">
        <f t="shared" si="331"/>
        <v>330</v>
      </c>
      <c r="BS431"/>
      <c r="CL431" s="28">
        <v>174</v>
      </c>
      <c r="CM431" s="28">
        <v>170</v>
      </c>
      <c r="CO431"/>
    </row>
    <row r="432" spans="1:93" ht="16.5" hidden="1">
      <c r="B432" s="17">
        <v>428</v>
      </c>
      <c r="C432" s="363" t="s">
        <v>458</v>
      </c>
      <c r="D432" s="18">
        <v>9</v>
      </c>
      <c r="E432" s="20">
        <v>1437683209</v>
      </c>
      <c r="F432" s="18">
        <v>30</v>
      </c>
      <c r="G432" s="20">
        <v>71884161</v>
      </c>
      <c r="H432" s="20">
        <v>1568</v>
      </c>
      <c r="I432" s="20">
        <v>1375335</v>
      </c>
      <c r="J432" s="20">
        <v>76003</v>
      </c>
      <c r="K432" s="20">
        <v>50000</v>
      </c>
      <c r="L432" s="20">
        <v>1258031</v>
      </c>
      <c r="M432" s="20">
        <v>5000</v>
      </c>
      <c r="N432" s="167">
        <v>12</v>
      </c>
      <c r="O432" s="167">
        <v>16</v>
      </c>
      <c r="P432" s="167">
        <v>19</v>
      </c>
      <c r="Q432" s="167">
        <v>22</v>
      </c>
      <c r="R432" s="167">
        <v>37</v>
      </c>
      <c r="S432" s="167">
        <v>40</v>
      </c>
      <c r="T432" s="167">
        <v>8</v>
      </c>
      <c r="U432" s="28">
        <f t="shared" si="304"/>
        <v>146</v>
      </c>
      <c r="W432" s="32" t="str">
        <f t="shared" si="289"/>
        <v>짝수</v>
      </c>
      <c r="X432" s="32" t="str">
        <f t="shared" si="290"/>
        <v>짝수</v>
      </c>
      <c r="Y432" s="32" t="str">
        <f t="shared" si="291"/>
        <v>홀수</v>
      </c>
      <c r="Z432" s="32" t="str">
        <f t="shared" si="292"/>
        <v>짝수</v>
      </c>
      <c r="AA432" s="32" t="str">
        <f t="shared" si="293"/>
        <v>홀수</v>
      </c>
      <c r="AB432" s="32" t="str">
        <f t="shared" si="294"/>
        <v>짝수</v>
      </c>
      <c r="AC432" s="58" t="str">
        <f t="shared" si="295"/>
        <v>2 : 4</v>
      </c>
      <c r="AD432" s="32">
        <f t="shared" si="296"/>
        <v>2</v>
      </c>
      <c r="AE432" s="32">
        <f t="shared" si="297"/>
        <v>4</v>
      </c>
      <c r="AF432" s="66" t="str">
        <f t="shared" si="305"/>
        <v>저수</v>
      </c>
      <c r="AG432" s="66" t="str">
        <f t="shared" si="306"/>
        <v>저수</v>
      </c>
      <c r="AH432" s="66" t="str">
        <f t="shared" si="307"/>
        <v>저수</v>
      </c>
      <c r="AI432" s="66" t="str">
        <f t="shared" si="308"/>
        <v>저수</v>
      </c>
      <c r="AJ432" s="66" t="str">
        <f t="shared" si="309"/>
        <v>고수</v>
      </c>
      <c r="AK432" s="66" t="str">
        <f t="shared" si="310"/>
        <v>고수</v>
      </c>
      <c r="AL432" s="58" t="str">
        <f t="shared" si="311"/>
        <v>4 : 2</v>
      </c>
      <c r="AM432" s="66">
        <f t="shared" si="312"/>
        <v>4</v>
      </c>
      <c r="AN432" s="66">
        <f t="shared" si="313"/>
        <v>2</v>
      </c>
      <c r="AO432" s="66">
        <f t="shared" si="314"/>
        <v>26</v>
      </c>
      <c r="AP432" s="66" t="str">
        <f t="shared" si="315"/>
        <v>X</v>
      </c>
      <c r="AQ432" s="66" t="str">
        <f t="shared" si="316"/>
        <v>X</v>
      </c>
      <c r="AR432" s="66" t="str">
        <f t="shared" si="317"/>
        <v>O</v>
      </c>
      <c r="AS432" s="66" t="str">
        <f t="shared" si="318"/>
        <v>X</v>
      </c>
      <c r="AT432" s="66" t="str">
        <f t="shared" si="319"/>
        <v>X</v>
      </c>
      <c r="AU432" s="66" t="str">
        <f t="shared" si="320"/>
        <v>X</v>
      </c>
      <c r="AV432" s="66" t="str">
        <f t="shared" si="321"/>
        <v>X</v>
      </c>
      <c r="AW432" s="66" t="str">
        <f t="shared" si="322"/>
        <v>X</v>
      </c>
      <c r="AX432" s="66" t="str">
        <f t="shared" si="323"/>
        <v>X</v>
      </c>
      <c r="AY432" s="66" t="str">
        <f t="shared" si="324"/>
        <v>X</v>
      </c>
      <c r="AZ432" s="66" t="str">
        <f t="shared" si="325"/>
        <v>O</v>
      </c>
      <c r="BA432" s="66" t="str">
        <f t="shared" si="326"/>
        <v>X</v>
      </c>
      <c r="BB432" s="66">
        <f t="shared" si="327"/>
        <v>2</v>
      </c>
      <c r="BC432" s="127" t="str">
        <f t="shared" si="298"/>
        <v>1G</v>
      </c>
      <c r="BD432" s="127" t="str">
        <f t="shared" si="299"/>
        <v>2G</v>
      </c>
      <c r="BE432" s="127" t="str">
        <f t="shared" si="300"/>
        <v>2G</v>
      </c>
      <c r="BF432" s="127" t="str">
        <f t="shared" si="301"/>
        <v>2G</v>
      </c>
      <c r="BG432" s="127" t="str">
        <f t="shared" si="302"/>
        <v>3G</v>
      </c>
      <c r="BH432" s="127" t="str">
        <f t="shared" si="303"/>
        <v>3G</v>
      </c>
      <c r="BI432" s="127">
        <f t="shared" si="328"/>
        <v>1</v>
      </c>
      <c r="BJ432" s="127">
        <f t="shared" si="329"/>
        <v>3</v>
      </c>
      <c r="BK432" s="127">
        <f t="shared" si="330"/>
        <v>2</v>
      </c>
      <c r="BL432" s="127" t="str">
        <f t="shared" si="331"/>
        <v>132</v>
      </c>
      <c r="BS432"/>
      <c r="CL432" s="28">
        <v>174</v>
      </c>
      <c r="CM432" s="28">
        <v>170</v>
      </c>
      <c r="CO432"/>
    </row>
    <row r="433" spans="2:93" ht="16.5" hidden="1">
      <c r="B433" s="17">
        <v>429</v>
      </c>
      <c r="C433" s="363" t="s">
        <v>459</v>
      </c>
      <c r="D433" s="18">
        <v>9</v>
      </c>
      <c r="E433" s="20">
        <v>1485904709</v>
      </c>
      <c r="F433" s="18">
        <v>37</v>
      </c>
      <c r="G433" s="20">
        <v>60239381</v>
      </c>
      <c r="H433" s="20">
        <v>1389</v>
      </c>
      <c r="I433" s="20">
        <v>1604649</v>
      </c>
      <c r="J433" s="20">
        <v>68256</v>
      </c>
      <c r="K433" s="20">
        <v>50000</v>
      </c>
      <c r="L433" s="20">
        <v>1150652</v>
      </c>
      <c r="M433" s="20">
        <v>5000</v>
      </c>
      <c r="N433" s="167">
        <v>3</v>
      </c>
      <c r="O433" s="167">
        <v>23</v>
      </c>
      <c r="P433" s="167">
        <v>28</v>
      </c>
      <c r="Q433" s="167">
        <v>34</v>
      </c>
      <c r="R433" s="167">
        <v>39</v>
      </c>
      <c r="S433" s="167">
        <v>42</v>
      </c>
      <c r="T433" s="167">
        <v>16</v>
      </c>
      <c r="U433" s="28">
        <f t="shared" si="304"/>
        <v>169</v>
      </c>
      <c r="W433" s="32" t="str">
        <f t="shared" si="289"/>
        <v>홀수</v>
      </c>
      <c r="X433" s="32" t="str">
        <f t="shared" si="290"/>
        <v>홀수</v>
      </c>
      <c r="Y433" s="32" t="str">
        <f t="shared" si="291"/>
        <v>짝수</v>
      </c>
      <c r="Z433" s="32" t="str">
        <f t="shared" si="292"/>
        <v>짝수</v>
      </c>
      <c r="AA433" s="32" t="str">
        <f t="shared" si="293"/>
        <v>홀수</v>
      </c>
      <c r="AB433" s="32" t="str">
        <f t="shared" si="294"/>
        <v>짝수</v>
      </c>
      <c r="AC433" s="58" t="str">
        <f t="shared" si="295"/>
        <v>3 : 3</v>
      </c>
      <c r="AD433" s="32">
        <f t="shared" si="296"/>
        <v>3</v>
      </c>
      <c r="AE433" s="32">
        <f t="shared" si="297"/>
        <v>3</v>
      </c>
      <c r="AF433" s="66" t="str">
        <f t="shared" si="305"/>
        <v>저수</v>
      </c>
      <c r="AG433" s="66" t="str">
        <f t="shared" si="306"/>
        <v>고수</v>
      </c>
      <c r="AH433" s="66" t="str">
        <f t="shared" si="307"/>
        <v>고수</v>
      </c>
      <c r="AI433" s="66" t="str">
        <f t="shared" si="308"/>
        <v>고수</v>
      </c>
      <c r="AJ433" s="66" t="str">
        <f t="shared" si="309"/>
        <v>고수</v>
      </c>
      <c r="AK433" s="66" t="str">
        <f t="shared" si="310"/>
        <v>고수</v>
      </c>
      <c r="AL433" s="58" t="str">
        <f t="shared" si="311"/>
        <v>1 : 5</v>
      </c>
      <c r="AM433" s="66">
        <f t="shared" si="312"/>
        <v>1</v>
      </c>
      <c r="AN433" s="66">
        <f t="shared" si="313"/>
        <v>5</v>
      </c>
      <c r="AO433" s="66">
        <f t="shared" si="314"/>
        <v>29</v>
      </c>
      <c r="AP433" s="66" t="str">
        <f>IF(N433=2,"O",IF(N433=3,"O",IF(N433=5,"O",IF(N433=7,"O",IF(N433=11,"O",IF(N433=13,"O",IF(N433=17,"O",IF(N433=19,"O","X"))))))))</f>
        <v>O</v>
      </c>
      <c r="AQ433" s="66" t="str">
        <f t="shared" si="316"/>
        <v>X</v>
      </c>
      <c r="AR433" s="66" t="str">
        <f t="shared" si="317"/>
        <v>X</v>
      </c>
      <c r="AS433" s="66" t="str">
        <f t="shared" si="318"/>
        <v>X</v>
      </c>
      <c r="AT433" s="66" t="str">
        <f t="shared" si="319"/>
        <v>X</v>
      </c>
      <c r="AU433" s="66" t="str">
        <f t="shared" si="320"/>
        <v>X</v>
      </c>
      <c r="AV433" s="66" t="str">
        <f t="shared" si="321"/>
        <v>X</v>
      </c>
      <c r="AW433" s="66" t="str">
        <f t="shared" si="322"/>
        <v>O</v>
      </c>
      <c r="AX433" s="66" t="str">
        <f t="shared" si="323"/>
        <v>X</v>
      </c>
      <c r="AY433" s="66" t="str">
        <f t="shared" si="324"/>
        <v>X</v>
      </c>
      <c r="AZ433" s="66" t="str">
        <f t="shared" si="325"/>
        <v>X</v>
      </c>
      <c r="BA433" s="66" t="str">
        <f t="shared" si="326"/>
        <v>X</v>
      </c>
      <c r="BB433" s="66">
        <f t="shared" si="327"/>
        <v>2</v>
      </c>
      <c r="BC433" s="127" t="str">
        <f t="shared" si="298"/>
        <v>1G</v>
      </c>
      <c r="BD433" s="127" t="str">
        <f t="shared" si="299"/>
        <v>2G</v>
      </c>
      <c r="BE433" s="127" t="str">
        <f t="shared" si="300"/>
        <v>2G</v>
      </c>
      <c r="BF433" s="127" t="str">
        <f t="shared" si="301"/>
        <v>3G</v>
      </c>
      <c r="BG433" s="127" t="str">
        <f t="shared" si="302"/>
        <v>3G</v>
      </c>
      <c r="BH433" s="127" t="str">
        <f t="shared" si="303"/>
        <v>3G</v>
      </c>
      <c r="BI433" s="127">
        <f t="shared" si="328"/>
        <v>1</v>
      </c>
      <c r="BJ433" s="127">
        <f t="shared" si="329"/>
        <v>2</v>
      </c>
      <c r="BK433" s="127">
        <f t="shared" si="330"/>
        <v>3</v>
      </c>
      <c r="BL433" s="127" t="str">
        <f t="shared" si="331"/>
        <v>123</v>
      </c>
      <c r="BS433"/>
      <c r="CL433" s="28">
        <v>174</v>
      </c>
      <c r="CM433" s="28">
        <v>170</v>
      </c>
      <c r="CO433"/>
    </row>
    <row r="434" spans="2:93" ht="16.5" hidden="1">
      <c r="B434" s="17">
        <v>430</v>
      </c>
      <c r="C434" s="363" t="s">
        <v>460</v>
      </c>
      <c r="D434" s="18">
        <v>8</v>
      </c>
      <c r="E434" s="20">
        <v>1611763219</v>
      </c>
      <c r="F434" s="18">
        <v>45</v>
      </c>
      <c r="G434" s="20">
        <v>47755948</v>
      </c>
      <c r="H434" s="20">
        <v>1449</v>
      </c>
      <c r="I434" s="20">
        <v>1483104</v>
      </c>
      <c r="J434" s="20">
        <v>70039</v>
      </c>
      <c r="K434" s="20">
        <v>50000</v>
      </c>
      <c r="L434" s="20">
        <v>1180669</v>
      </c>
      <c r="M434" s="20">
        <v>5000</v>
      </c>
      <c r="N434" s="167">
        <v>1</v>
      </c>
      <c r="O434" s="167">
        <v>3</v>
      </c>
      <c r="P434" s="167">
        <v>16</v>
      </c>
      <c r="Q434" s="167">
        <v>18</v>
      </c>
      <c r="R434" s="167">
        <v>30</v>
      </c>
      <c r="S434" s="167">
        <v>34</v>
      </c>
      <c r="T434" s="167">
        <v>44</v>
      </c>
      <c r="U434" s="28">
        <f t="shared" si="304"/>
        <v>102</v>
      </c>
      <c r="W434" s="32" t="str">
        <f t="shared" si="289"/>
        <v>홀수</v>
      </c>
      <c r="X434" s="32" t="str">
        <f t="shared" si="290"/>
        <v>홀수</v>
      </c>
      <c r="Y434" s="32" t="str">
        <f t="shared" si="291"/>
        <v>짝수</v>
      </c>
      <c r="Z434" s="32" t="str">
        <f t="shared" si="292"/>
        <v>짝수</v>
      </c>
      <c r="AA434" s="32" t="str">
        <f t="shared" si="293"/>
        <v>짝수</v>
      </c>
      <c r="AB434" s="32" t="str">
        <f t="shared" si="294"/>
        <v>짝수</v>
      </c>
      <c r="AC434" s="58" t="str">
        <f t="shared" si="295"/>
        <v>2 : 4</v>
      </c>
      <c r="AD434" s="32">
        <f t="shared" si="296"/>
        <v>2</v>
      </c>
      <c r="AE434" s="32">
        <f t="shared" si="297"/>
        <v>4</v>
      </c>
      <c r="AF434" s="66" t="str">
        <f t="shared" si="305"/>
        <v>저수</v>
      </c>
      <c r="AG434" s="66" t="str">
        <f t="shared" si="306"/>
        <v>저수</v>
      </c>
      <c r="AH434" s="66" t="str">
        <f t="shared" si="307"/>
        <v>저수</v>
      </c>
      <c r="AI434" s="66" t="str">
        <f t="shared" si="308"/>
        <v>저수</v>
      </c>
      <c r="AJ434" s="66" t="str">
        <f t="shared" si="309"/>
        <v>고수</v>
      </c>
      <c r="AK434" s="66" t="str">
        <f t="shared" si="310"/>
        <v>고수</v>
      </c>
      <c r="AL434" s="58" t="str">
        <f t="shared" si="311"/>
        <v>4 : 2</v>
      </c>
      <c r="AM434" s="66">
        <f t="shared" si="312"/>
        <v>4</v>
      </c>
      <c r="AN434" s="66">
        <f t="shared" si="313"/>
        <v>2</v>
      </c>
      <c r="AO434" s="66">
        <f t="shared" si="314"/>
        <v>22</v>
      </c>
      <c r="AP434" s="66" t="str">
        <f t="shared" si="315"/>
        <v>X</v>
      </c>
      <c r="AQ434" s="66" t="str">
        <f>IF(O434=2,"O",IF(O434=3,"O",IF(O434=5,"O",IF(O434=7,"O",IF(O434=11,"O",IF(O434=13,"O",IF(O434=17,"O",IF(O434=19,"O","X"))))))))</f>
        <v>O</v>
      </c>
      <c r="AR434" s="66" t="str">
        <f t="shared" si="317"/>
        <v>X</v>
      </c>
      <c r="AS434" s="66" t="str">
        <f t="shared" si="318"/>
        <v>X</v>
      </c>
      <c r="AT434" s="66" t="str">
        <f t="shared" si="319"/>
        <v>X</v>
      </c>
      <c r="AU434" s="66" t="str">
        <f t="shared" si="320"/>
        <v>X</v>
      </c>
      <c r="AV434" s="66" t="str">
        <f t="shared" si="321"/>
        <v>X</v>
      </c>
      <c r="AW434" s="66" t="str">
        <f t="shared" si="322"/>
        <v>X</v>
      </c>
      <c r="AX434" s="66" t="str">
        <f t="shared" si="323"/>
        <v>X</v>
      </c>
      <c r="AY434" s="66" t="str">
        <f t="shared" si="324"/>
        <v>X</v>
      </c>
      <c r="AZ434" s="66" t="str">
        <f t="shared" si="325"/>
        <v>X</v>
      </c>
      <c r="BA434" s="66" t="str">
        <f t="shared" si="326"/>
        <v>X</v>
      </c>
      <c r="BB434" s="66">
        <f t="shared" si="327"/>
        <v>1</v>
      </c>
      <c r="BC434" s="127" t="str">
        <f t="shared" si="298"/>
        <v>1G</v>
      </c>
      <c r="BD434" s="127" t="str">
        <f t="shared" si="299"/>
        <v>1G</v>
      </c>
      <c r="BE434" s="127" t="str">
        <f t="shared" si="300"/>
        <v>2G</v>
      </c>
      <c r="BF434" s="127" t="str">
        <f t="shared" si="301"/>
        <v>2G</v>
      </c>
      <c r="BG434" s="127" t="str">
        <f t="shared" si="302"/>
        <v>2G</v>
      </c>
      <c r="BH434" s="127" t="str">
        <f t="shared" si="303"/>
        <v>3G</v>
      </c>
      <c r="BI434" s="127">
        <f t="shared" si="328"/>
        <v>2</v>
      </c>
      <c r="BJ434" s="127">
        <f t="shared" si="329"/>
        <v>3</v>
      </c>
      <c r="BK434" s="127">
        <f t="shared" si="330"/>
        <v>1</v>
      </c>
      <c r="BL434" s="127" t="str">
        <f t="shared" si="331"/>
        <v>231</v>
      </c>
      <c r="BS434"/>
      <c r="CL434" s="28">
        <v>175</v>
      </c>
      <c r="CM434" s="28">
        <v>170</v>
      </c>
      <c r="CO434"/>
    </row>
    <row r="435" spans="2:93" ht="16.5" hidden="1">
      <c r="B435" s="17">
        <v>431</v>
      </c>
      <c r="C435" s="363" t="s">
        <v>461</v>
      </c>
      <c r="D435" s="18">
        <v>10</v>
      </c>
      <c r="E435" s="20">
        <v>1268434013</v>
      </c>
      <c r="F435" s="18">
        <v>43</v>
      </c>
      <c r="G435" s="20">
        <v>49164110</v>
      </c>
      <c r="H435" s="20">
        <v>1337</v>
      </c>
      <c r="I435" s="20">
        <v>1581195</v>
      </c>
      <c r="J435" s="20">
        <v>66865</v>
      </c>
      <c r="K435" s="20">
        <v>50000</v>
      </c>
      <c r="L435" s="20">
        <v>1115054</v>
      </c>
      <c r="M435" s="20">
        <v>5000</v>
      </c>
      <c r="N435" s="167">
        <v>18</v>
      </c>
      <c r="O435" s="167">
        <v>22</v>
      </c>
      <c r="P435" s="167">
        <v>25</v>
      </c>
      <c r="Q435" s="167">
        <v>31</v>
      </c>
      <c r="R435" s="167">
        <v>38</v>
      </c>
      <c r="S435" s="167">
        <v>45</v>
      </c>
      <c r="T435" s="167">
        <v>6</v>
      </c>
      <c r="U435" s="28">
        <f t="shared" si="304"/>
        <v>179</v>
      </c>
      <c r="W435" s="32" t="str">
        <f t="shared" si="289"/>
        <v>짝수</v>
      </c>
      <c r="X435" s="32" t="str">
        <f t="shared" si="290"/>
        <v>짝수</v>
      </c>
      <c r="Y435" s="32" t="str">
        <f t="shared" si="291"/>
        <v>홀수</v>
      </c>
      <c r="Z435" s="32" t="str">
        <f t="shared" si="292"/>
        <v>홀수</v>
      </c>
      <c r="AA435" s="32" t="str">
        <f t="shared" si="293"/>
        <v>짝수</v>
      </c>
      <c r="AB435" s="32" t="str">
        <f t="shared" si="294"/>
        <v>홀수</v>
      </c>
      <c r="AC435" s="58" t="str">
        <f t="shared" si="295"/>
        <v>3 : 3</v>
      </c>
      <c r="AD435" s="32">
        <f t="shared" si="296"/>
        <v>3</v>
      </c>
      <c r="AE435" s="32">
        <f t="shared" si="297"/>
        <v>3</v>
      </c>
      <c r="AF435" s="66" t="str">
        <f t="shared" si="305"/>
        <v>저수</v>
      </c>
      <c r="AG435" s="66" t="str">
        <f t="shared" si="306"/>
        <v>저수</v>
      </c>
      <c r="AH435" s="66" t="str">
        <f t="shared" si="307"/>
        <v>고수</v>
      </c>
      <c r="AI435" s="66" t="str">
        <f t="shared" si="308"/>
        <v>고수</v>
      </c>
      <c r="AJ435" s="66" t="str">
        <f t="shared" si="309"/>
        <v>고수</v>
      </c>
      <c r="AK435" s="66" t="str">
        <f t="shared" si="310"/>
        <v>고수</v>
      </c>
      <c r="AL435" s="58" t="str">
        <f t="shared" si="311"/>
        <v>2 : 4</v>
      </c>
      <c r="AM435" s="66">
        <f t="shared" si="312"/>
        <v>2</v>
      </c>
      <c r="AN435" s="66">
        <f t="shared" si="313"/>
        <v>4</v>
      </c>
      <c r="AO435" s="66">
        <f t="shared" si="314"/>
        <v>29</v>
      </c>
      <c r="AP435" s="66" t="str">
        <f t="shared" si="315"/>
        <v>X</v>
      </c>
      <c r="AQ435" s="66" t="str">
        <f t="shared" si="316"/>
        <v>X</v>
      </c>
      <c r="AR435" s="66" t="str">
        <f t="shared" si="317"/>
        <v>X</v>
      </c>
      <c r="AS435" s="66" t="str">
        <f t="shared" si="318"/>
        <v>X</v>
      </c>
      <c r="AT435" s="66" t="str">
        <f t="shared" si="319"/>
        <v>X</v>
      </c>
      <c r="AU435" s="66" t="str">
        <f t="shared" si="320"/>
        <v>X</v>
      </c>
      <c r="AV435" s="66" t="str">
        <f t="shared" si="321"/>
        <v>X</v>
      </c>
      <c r="AW435" s="66" t="str">
        <f t="shared" si="322"/>
        <v>X</v>
      </c>
      <c r="AX435" s="66" t="str">
        <f t="shared" si="323"/>
        <v>X</v>
      </c>
      <c r="AY435" s="66" t="str">
        <f t="shared" si="324"/>
        <v>O</v>
      </c>
      <c r="AZ435" s="66" t="str">
        <f t="shared" si="325"/>
        <v>X</v>
      </c>
      <c r="BA435" s="66" t="str">
        <f t="shared" si="326"/>
        <v>X</v>
      </c>
      <c r="BB435" s="66">
        <f t="shared" si="327"/>
        <v>1</v>
      </c>
      <c r="BC435" s="127" t="str">
        <f t="shared" si="298"/>
        <v>2G</v>
      </c>
      <c r="BD435" s="127" t="str">
        <f t="shared" si="299"/>
        <v>2G</v>
      </c>
      <c r="BE435" s="127" t="str">
        <f t="shared" si="300"/>
        <v>2G</v>
      </c>
      <c r="BF435" s="127" t="str">
        <f t="shared" si="301"/>
        <v>3G</v>
      </c>
      <c r="BG435" s="127" t="str">
        <f t="shared" si="302"/>
        <v>3G</v>
      </c>
      <c r="BH435" s="127" t="str">
        <f t="shared" si="303"/>
        <v>3G</v>
      </c>
      <c r="BI435" s="127">
        <f t="shared" si="328"/>
        <v>0</v>
      </c>
      <c r="BJ435" s="127">
        <f t="shared" si="329"/>
        <v>3</v>
      </c>
      <c r="BK435" s="127">
        <f t="shared" si="330"/>
        <v>3</v>
      </c>
      <c r="BL435" s="127" t="str">
        <f t="shared" si="331"/>
        <v>033</v>
      </c>
      <c r="BS435"/>
      <c r="CL435" s="28">
        <v>175</v>
      </c>
      <c r="CM435" s="28">
        <v>170</v>
      </c>
      <c r="CO435"/>
    </row>
    <row r="436" spans="2:93" ht="16.5" hidden="1">
      <c r="B436" s="17">
        <v>432</v>
      </c>
      <c r="C436" s="356" t="s">
        <v>462</v>
      </c>
      <c r="D436" s="22">
        <v>5</v>
      </c>
      <c r="E436" s="19">
        <v>2299427550</v>
      </c>
      <c r="F436" s="22">
        <v>48</v>
      </c>
      <c r="G436" s="19">
        <v>39920618</v>
      </c>
      <c r="H436" s="19">
        <v>1747</v>
      </c>
      <c r="I436" s="19">
        <v>1096846</v>
      </c>
      <c r="J436" s="19">
        <v>83754</v>
      </c>
      <c r="K436" s="19">
        <v>50000</v>
      </c>
      <c r="L436" s="19">
        <v>1331414</v>
      </c>
      <c r="M436" s="19">
        <v>5000</v>
      </c>
      <c r="N436" s="149">
        <v>2</v>
      </c>
      <c r="O436" s="149">
        <v>3</v>
      </c>
      <c r="P436" s="149">
        <v>5</v>
      </c>
      <c r="Q436" s="149">
        <v>11</v>
      </c>
      <c r="R436" s="149">
        <v>27</v>
      </c>
      <c r="S436" s="149">
        <v>39</v>
      </c>
      <c r="T436" s="149">
        <v>33</v>
      </c>
      <c r="U436" s="28">
        <f t="shared" si="304"/>
        <v>87</v>
      </c>
      <c r="W436" s="32" t="str">
        <f t="shared" si="289"/>
        <v>짝수</v>
      </c>
      <c r="X436" s="32" t="str">
        <f t="shared" si="290"/>
        <v>홀수</v>
      </c>
      <c r="Y436" s="32" t="str">
        <f t="shared" si="291"/>
        <v>홀수</v>
      </c>
      <c r="Z436" s="32" t="str">
        <f t="shared" si="292"/>
        <v>홀수</v>
      </c>
      <c r="AA436" s="32" t="str">
        <f t="shared" si="293"/>
        <v>홀수</v>
      </c>
      <c r="AB436" s="32" t="str">
        <f t="shared" si="294"/>
        <v>홀수</v>
      </c>
      <c r="AC436" s="58" t="str">
        <f t="shared" si="295"/>
        <v>5 : 1</v>
      </c>
      <c r="AD436" s="32">
        <f t="shared" si="296"/>
        <v>5</v>
      </c>
      <c r="AE436" s="32">
        <f t="shared" si="297"/>
        <v>1</v>
      </c>
      <c r="AF436" s="66" t="str">
        <f t="shared" si="305"/>
        <v>저수</v>
      </c>
      <c r="AG436" s="66" t="str">
        <f t="shared" si="306"/>
        <v>저수</v>
      </c>
      <c r="AH436" s="66" t="str">
        <f t="shared" si="307"/>
        <v>저수</v>
      </c>
      <c r="AI436" s="66" t="str">
        <f t="shared" si="308"/>
        <v>저수</v>
      </c>
      <c r="AJ436" s="66" t="str">
        <f t="shared" si="309"/>
        <v>고수</v>
      </c>
      <c r="AK436" s="66" t="str">
        <f t="shared" si="310"/>
        <v>고수</v>
      </c>
      <c r="AL436" s="58" t="str">
        <f t="shared" si="311"/>
        <v>4 : 2</v>
      </c>
      <c r="AM436" s="66">
        <f t="shared" si="312"/>
        <v>4</v>
      </c>
      <c r="AN436" s="66">
        <f t="shared" si="313"/>
        <v>2</v>
      </c>
      <c r="AO436" s="66">
        <f t="shared" si="314"/>
        <v>27</v>
      </c>
      <c r="AP436" s="66" t="str">
        <f t="shared" si="315"/>
        <v>O</v>
      </c>
      <c r="AQ436" s="66" t="str">
        <f t="shared" si="316"/>
        <v>O</v>
      </c>
      <c r="AR436" s="66" t="str">
        <f t="shared" si="317"/>
        <v>O</v>
      </c>
      <c r="AS436" s="66" t="str">
        <f t="shared" si="318"/>
        <v>O</v>
      </c>
      <c r="AT436" s="66" t="str">
        <f t="shared" si="319"/>
        <v>X</v>
      </c>
      <c r="AU436" s="66" t="str">
        <f t="shared" si="320"/>
        <v>X</v>
      </c>
      <c r="AV436" s="66" t="str">
        <f t="shared" si="321"/>
        <v>X</v>
      </c>
      <c r="AW436" s="66" t="str">
        <f t="shared" si="322"/>
        <v>X</v>
      </c>
      <c r="AX436" s="66" t="str">
        <f t="shared" si="323"/>
        <v>X</v>
      </c>
      <c r="AY436" s="66" t="str">
        <f t="shared" si="324"/>
        <v>X</v>
      </c>
      <c r="AZ436" s="66" t="str">
        <f t="shared" si="325"/>
        <v>X</v>
      </c>
      <c r="BA436" s="66" t="str">
        <f t="shared" si="326"/>
        <v>X</v>
      </c>
      <c r="BB436" s="66">
        <f t="shared" si="327"/>
        <v>4</v>
      </c>
      <c r="BC436" s="127" t="str">
        <f t="shared" si="298"/>
        <v>1G</v>
      </c>
      <c r="BD436" s="127" t="str">
        <f t="shared" si="299"/>
        <v>1G</v>
      </c>
      <c r="BE436" s="127" t="str">
        <f t="shared" si="300"/>
        <v>1G</v>
      </c>
      <c r="BF436" s="127" t="str">
        <f t="shared" si="301"/>
        <v>1G</v>
      </c>
      <c r="BG436" s="127" t="str">
        <f t="shared" si="302"/>
        <v>2G</v>
      </c>
      <c r="BH436" s="127" t="str">
        <f t="shared" si="303"/>
        <v>3G</v>
      </c>
      <c r="BI436" s="127">
        <f t="shared" si="328"/>
        <v>4</v>
      </c>
      <c r="BJ436" s="127">
        <f t="shared" si="329"/>
        <v>1</v>
      </c>
      <c r="BK436" s="127">
        <f t="shared" si="330"/>
        <v>1</v>
      </c>
      <c r="BL436" s="127" t="str">
        <f t="shared" si="331"/>
        <v>411</v>
      </c>
      <c r="BS436"/>
      <c r="CL436" s="28">
        <v>175</v>
      </c>
      <c r="CM436" s="28">
        <v>170</v>
      </c>
      <c r="CO436"/>
    </row>
    <row r="437" spans="2:93" ht="16.5" hidden="1">
      <c r="B437" s="17">
        <v>433</v>
      </c>
      <c r="C437" s="356" t="s">
        <v>463</v>
      </c>
      <c r="D437" s="22">
        <v>11</v>
      </c>
      <c r="E437" s="19">
        <v>1182294410</v>
      </c>
      <c r="F437" s="22">
        <v>41</v>
      </c>
      <c r="G437" s="19">
        <v>52866824</v>
      </c>
      <c r="H437" s="19">
        <v>1278</v>
      </c>
      <c r="I437" s="19">
        <v>1696041</v>
      </c>
      <c r="J437" s="19">
        <v>65906</v>
      </c>
      <c r="K437" s="19">
        <v>50000</v>
      </c>
      <c r="L437" s="19">
        <v>1112537</v>
      </c>
      <c r="M437" s="19">
        <v>5000</v>
      </c>
      <c r="N437" s="149">
        <v>19</v>
      </c>
      <c r="O437" s="149">
        <v>23</v>
      </c>
      <c r="P437" s="149">
        <v>29</v>
      </c>
      <c r="Q437" s="149">
        <v>33</v>
      </c>
      <c r="R437" s="149">
        <v>35</v>
      </c>
      <c r="S437" s="149">
        <v>43</v>
      </c>
      <c r="T437" s="149">
        <v>27</v>
      </c>
      <c r="U437" s="28">
        <f t="shared" si="304"/>
        <v>182</v>
      </c>
      <c r="W437" s="32" t="str">
        <f t="shared" si="289"/>
        <v>홀수</v>
      </c>
      <c r="X437" s="32" t="str">
        <f t="shared" si="290"/>
        <v>홀수</v>
      </c>
      <c r="Y437" s="32" t="str">
        <f t="shared" si="291"/>
        <v>홀수</v>
      </c>
      <c r="Z437" s="32" t="str">
        <f t="shared" si="292"/>
        <v>홀수</v>
      </c>
      <c r="AA437" s="32" t="str">
        <f t="shared" si="293"/>
        <v>홀수</v>
      </c>
      <c r="AB437" s="32" t="str">
        <f t="shared" si="294"/>
        <v>홀수</v>
      </c>
      <c r="AC437" s="58" t="str">
        <f t="shared" si="295"/>
        <v>6 : 0</v>
      </c>
      <c r="AD437" s="32">
        <f t="shared" si="296"/>
        <v>6</v>
      </c>
      <c r="AE437" s="32">
        <f t="shared" si="297"/>
        <v>0</v>
      </c>
      <c r="AF437" s="66" t="str">
        <f t="shared" si="305"/>
        <v>저수</v>
      </c>
      <c r="AG437" s="66" t="str">
        <f t="shared" si="306"/>
        <v>고수</v>
      </c>
      <c r="AH437" s="66" t="str">
        <f t="shared" si="307"/>
        <v>고수</v>
      </c>
      <c r="AI437" s="66" t="str">
        <f t="shared" si="308"/>
        <v>고수</v>
      </c>
      <c r="AJ437" s="66" t="str">
        <f t="shared" si="309"/>
        <v>고수</v>
      </c>
      <c r="AK437" s="66" t="str">
        <f t="shared" si="310"/>
        <v>고수</v>
      </c>
      <c r="AL437" s="58" t="str">
        <f t="shared" si="311"/>
        <v>1 : 5</v>
      </c>
      <c r="AM437" s="66">
        <f t="shared" si="312"/>
        <v>1</v>
      </c>
      <c r="AN437" s="66">
        <f t="shared" si="313"/>
        <v>5</v>
      </c>
      <c r="AO437" s="66">
        <f t="shared" si="314"/>
        <v>32</v>
      </c>
      <c r="AP437" s="66" t="str">
        <f t="shared" si="315"/>
        <v>O</v>
      </c>
      <c r="AQ437" s="66" t="str">
        <f t="shared" si="316"/>
        <v>X</v>
      </c>
      <c r="AR437" s="66" t="str">
        <f t="shared" si="317"/>
        <v>X</v>
      </c>
      <c r="AS437" s="66" t="str">
        <f t="shared" si="318"/>
        <v>X</v>
      </c>
      <c r="AT437" s="66" t="str">
        <f t="shared" si="319"/>
        <v>X</v>
      </c>
      <c r="AU437" s="66" t="str">
        <f t="shared" si="320"/>
        <v>X</v>
      </c>
      <c r="AV437" s="66" t="str">
        <f t="shared" si="321"/>
        <v>X</v>
      </c>
      <c r="AW437" s="66" t="str">
        <f t="shared" si="322"/>
        <v>O</v>
      </c>
      <c r="AX437" s="66" t="str">
        <f t="shared" si="323"/>
        <v>O</v>
      </c>
      <c r="AY437" s="66" t="str">
        <f t="shared" si="324"/>
        <v>X</v>
      </c>
      <c r="AZ437" s="66" t="str">
        <f t="shared" si="325"/>
        <v>X</v>
      </c>
      <c r="BA437" s="66" t="str">
        <f t="shared" si="326"/>
        <v>O</v>
      </c>
      <c r="BB437" s="66">
        <f t="shared" si="327"/>
        <v>4</v>
      </c>
      <c r="BC437" s="127" t="str">
        <f t="shared" si="298"/>
        <v>2G</v>
      </c>
      <c r="BD437" s="127" t="str">
        <f t="shared" si="299"/>
        <v>2G</v>
      </c>
      <c r="BE437" s="127" t="str">
        <f t="shared" si="300"/>
        <v>2G</v>
      </c>
      <c r="BF437" s="127" t="str">
        <f t="shared" si="301"/>
        <v>3G</v>
      </c>
      <c r="BG437" s="127" t="str">
        <f t="shared" si="302"/>
        <v>3G</v>
      </c>
      <c r="BH437" s="127" t="str">
        <f t="shared" si="303"/>
        <v>3G</v>
      </c>
      <c r="BI437" s="127">
        <f t="shared" si="328"/>
        <v>0</v>
      </c>
      <c r="BJ437" s="127">
        <f t="shared" si="329"/>
        <v>3</v>
      </c>
      <c r="BK437" s="127">
        <f t="shared" si="330"/>
        <v>3</v>
      </c>
      <c r="BL437" s="127" t="str">
        <f t="shared" si="331"/>
        <v>033</v>
      </c>
      <c r="BS437"/>
      <c r="CL437" s="28">
        <v>175</v>
      </c>
      <c r="CM437" s="28">
        <v>170</v>
      </c>
      <c r="CO437"/>
    </row>
    <row r="438" spans="2:93" ht="16.5" hidden="1">
      <c r="B438" s="17">
        <v>434</v>
      </c>
      <c r="C438" s="356" t="s">
        <v>464</v>
      </c>
      <c r="D438" s="22">
        <v>8</v>
      </c>
      <c r="E438" s="19">
        <v>1480060266</v>
      </c>
      <c r="F438" s="22">
        <v>37</v>
      </c>
      <c r="G438" s="19">
        <v>53335506</v>
      </c>
      <c r="H438" s="19">
        <v>1867</v>
      </c>
      <c r="I438" s="19">
        <v>1056998</v>
      </c>
      <c r="J438" s="19">
        <v>78263</v>
      </c>
      <c r="K438" s="19">
        <v>50000</v>
      </c>
      <c r="L438" s="19">
        <v>1217852</v>
      </c>
      <c r="M438" s="19">
        <v>5000</v>
      </c>
      <c r="N438" s="149">
        <v>3</v>
      </c>
      <c r="O438" s="149">
        <v>13</v>
      </c>
      <c r="P438" s="149">
        <v>20</v>
      </c>
      <c r="Q438" s="149">
        <v>24</v>
      </c>
      <c r="R438" s="149">
        <v>33</v>
      </c>
      <c r="S438" s="149">
        <v>37</v>
      </c>
      <c r="T438" s="149">
        <v>35</v>
      </c>
      <c r="U438" s="28">
        <f t="shared" si="304"/>
        <v>130</v>
      </c>
      <c r="W438" s="32" t="str">
        <f t="shared" ref="W438:W506" si="332">IF(RIGHT(N438,1)="1","홀수",IF(RIGHT(N438,1)="3","홀수",IF(RIGHT(N438,1)="5","홀수",IF(RIGHT(N438,1)="7","홀수",IF(RIGHT(N438,1)="9","홀수","짝수")))))</f>
        <v>홀수</v>
      </c>
      <c r="X438" s="32" t="str">
        <f t="shared" ref="X438:X506" si="333">IF(RIGHT(O438,1)="1","홀수",IF(RIGHT(O438,1)="3","홀수",IF(RIGHT(O438,1)="5","홀수",IF(RIGHT(O438,1)="7","홀수",IF(RIGHT(O438,1)="9","홀수","짝수")))))</f>
        <v>홀수</v>
      </c>
      <c r="Y438" s="32" t="str">
        <f t="shared" ref="Y438:Y506" si="334">IF(RIGHT(P438,1)="1","홀수",IF(RIGHT(P438,1)="3","홀수",IF(RIGHT(P438,1)="5","홀수",IF(RIGHT(P438,1)="7","홀수",IF(RIGHT(P438,1)="9","홀수","짝수")))))</f>
        <v>짝수</v>
      </c>
      <c r="Z438" s="32" t="str">
        <f t="shared" ref="Z438:Z506" si="335">IF(RIGHT(Q438,1)="1","홀수",IF(RIGHT(Q438,1)="3","홀수",IF(RIGHT(Q438,1)="5","홀수",IF(RIGHT(Q438,1)="7","홀수",IF(RIGHT(Q438,1)="9","홀수","짝수")))))</f>
        <v>짝수</v>
      </c>
      <c r="AA438" s="32" t="str">
        <f t="shared" ref="AA438:AA506" si="336">IF(RIGHT(R438,1)="1","홀수",IF(RIGHT(R438,1)="3","홀수",IF(RIGHT(R438,1)="5","홀수",IF(RIGHT(R438,1)="7","홀수",IF(RIGHT(R438,1)="9","홀수","짝수")))))</f>
        <v>홀수</v>
      </c>
      <c r="AB438" s="32" t="str">
        <f t="shared" ref="AB438:AB506" si="337">IF(RIGHT(S438,1)="1","홀수",IF(RIGHT(S438,1)="3","홀수",IF(RIGHT(S438,1)="5","홀수",IF(RIGHT(S438,1)="7","홀수",IF(RIGHT(S438,1)="9","홀수","짝수")))))</f>
        <v>홀수</v>
      </c>
      <c r="AC438" s="58" t="str">
        <f t="shared" ref="AC438:AC506" si="338">AD438&amp;" : "&amp;AE438</f>
        <v>4 : 2</v>
      </c>
      <c r="AD438" s="32">
        <f t="shared" ref="AD438:AD506" si="339">COUNTIF(W438:AB438,"홀수")</f>
        <v>4</v>
      </c>
      <c r="AE438" s="32">
        <f t="shared" ref="AE438:AE506" si="340">COUNTIF(W438:AB438,"짝수")</f>
        <v>2</v>
      </c>
      <c r="AF438" s="66" t="str">
        <f t="shared" si="305"/>
        <v>저수</v>
      </c>
      <c r="AG438" s="66" t="str">
        <f t="shared" si="306"/>
        <v>저수</v>
      </c>
      <c r="AH438" s="66" t="str">
        <f t="shared" si="307"/>
        <v>저수</v>
      </c>
      <c r="AI438" s="66" t="str">
        <f t="shared" si="308"/>
        <v>고수</v>
      </c>
      <c r="AJ438" s="66" t="str">
        <f t="shared" si="309"/>
        <v>고수</v>
      </c>
      <c r="AK438" s="66" t="str">
        <f t="shared" si="310"/>
        <v>고수</v>
      </c>
      <c r="AL438" s="58" t="str">
        <f t="shared" si="311"/>
        <v>3 : 3</v>
      </c>
      <c r="AM438" s="66">
        <f t="shared" si="312"/>
        <v>3</v>
      </c>
      <c r="AN438" s="66">
        <f t="shared" si="313"/>
        <v>3</v>
      </c>
      <c r="AO438" s="66">
        <f t="shared" si="314"/>
        <v>20</v>
      </c>
      <c r="AP438" s="66" t="str">
        <f t="shared" si="315"/>
        <v>O</v>
      </c>
      <c r="AQ438" s="66" t="str">
        <f t="shared" si="316"/>
        <v>O</v>
      </c>
      <c r="AR438" s="66" t="str">
        <f t="shared" si="317"/>
        <v>X</v>
      </c>
      <c r="AS438" s="66" t="str">
        <f t="shared" si="318"/>
        <v>X</v>
      </c>
      <c r="AT438" s="66" t="str">
        <f t="shared" si="319"/>
        <v>X</v>
      </c>
      <c r="AU438" s="66" t="str">
        <f t="shared" si="320"/>
        <v>X</v>
      </c>
      <c r="AV438" s="66" t="str">
        <f t="shared" si="321"/>
        <v>X</v>
      </c>
      <c r="AW438" s="66" t="str">
        <f t="shared" si="322"/>
        <v>X</v>
      </c>
      <c r="AX438" s="66" t="str">
        <f t="shared" si="323"/>
        <v>X</v>
      </c>
      <c r="AY438" s="66" t="str">
        <f t="shared" si="324"/>
        <v>X</v>
      </c>
      <c r="AZ438" s="66" t="str">
        <f t="shared" si="325"/>
        <v>X</v>
      </c>
      <c r="BA438" s="66" t="str">
        <f t="shared" si="326"/>
        <v>O</v>
      </c>
      <c r="BB438" s="66">
        <f t="shared" si="327"/>
        <v>3</v>
      </c>
      <c r="BC438" s="127" t="str">
        <f t="shared" si="298"/>
        <v>1G</v>
      </c>
      <c r="BD438" s="127" t="str">
        <f t="shared" si="299"/>
        <v>1G</v>
      </c>
      <c r="BE438" s="127" t="str">
        <f t="shared" si="300"/>
        <v>2G</v>
      </c>
      <c r="BF438" s="127" t="str">
        <f t="shared" si="301"/>
        <v>2G</v>
      </c>
      <c r="BG438" s="127" t="str">
        <f t="shared" si="302"/>
        <v>3G</v>
      </c>
      <c r="BH438" s="127" t="str">
        <f t="shared" si="303"/>
        <v>3G</v>
      </c>
      <c r="BI438" s="127">
        <f t="shared" si="328"/>
        <v>2</v>
      </c>
      <c r="BJ438" s="127">
        <f t="shared" si="329"/>
        <v>2</v>
      </c>
      <c r="BK438" s="127">
        <f t="shared" si="330"/>
        <v>2</v>
      </c>
      <c r="BL438" s="127" t="str">
        <f t="shared" si="331"/>
        <v>222</v>
      </c>
      <c r="BS438"/>
      <c r="CL438" s="28">
        <v>175</v>
      </c>
      <c r="CM438" s="28">
        <v>170</v>
      </c>
      <c r="CO438"/>
    </row>
    <row r="439" spans="2:93" ht="16.5" hidden="1">
      <c r="B439" s="17">
        <v>435</v>
      </c>
      <c r="C439" s="356" t="s">
        <v>465</v>
      </c>
      <c r="D439" s="22">
        <v>10</v>
      </c>
      <c r="E439" s="19">
        <v>1287550013</v>
      </c>
      <c r="F439" s="22">
        <v>31</v>
      </c>
      <c r="G439" s="19">
        <v>69223119</v>
      </c>
      <c r="H439" s="19">
        <v>1426</v>
      </c>
      <c r="I439" s="19">
        <v>1504851</v>
      </c>
      <c r="J439" s="19">
        <v>67838</v>
      </c>
      <c r="K439" s="19">
        <v>50000</v>
      </c>
      <c r="L439" s="19">
        <v>1122280</v>
      </c>
      <c r="M439" s="19">
        <v>5000</v>
      </c>
      <c r="N439" s="149">
        <v>8</v>
      </c>
      <c r="O439" s="149">
        <v>16</v>
      </c>
      <c r="P439" s="149">
        <v>26</v>
      </c>
      <c r="Q439" s="149">
        <v>30</v>
      </c>
      <c r="R439" s="149">
        <v>38</v>
      </c>
      <c r="S439" s="149">
        <v>45</v>
      </c>
      <c r="T439" s="149">
        <v>42</v>
      </c>
      <c r="U439" s="28">
        <f t="shared" si="304"/>
        <v>163</v>
      </c>
      <c r="W439" s="32" t="str">
        <f t="shared" si="332"/>
        <v>짝수</v>
      </c>
      <c r="X439" s="32" t="str">
        <f t="shared" si="333"/>
        <v>짝수</v>
      </c>
      <c r="Y439" s="32" t="str">
        <f t="shared" si="334"/>
        <v>짝수</v>
      </c>
      <c r="Z439" s="32" t="str">
        <f t="shared" si="335"/>
        <v>짝수</v>
      </c>
      <c r="AA439" s="32" t="str">
        <f t="shared" si="336"/>
        <v>짝수</v>
      </c>
      <c r="AB439" s="32" t="str">
        <f t="shared" si="337"/>
        <v>홀수</v>
      </c>
      <c r="AC439" s="58" t="str">
        <f t="shared" si="338"/>
        <v>1 : 5</v>
      </c>
      <c r="AD439" s="32">
        <f t="shared" si="339"/>
        <v>1</v>
      </c>
      <c r="AE439" s="32">
        <f t="shared" si="340"/>
        <v>5</v>
      </c>
      <c r="AF439" s="66" t="str">
        <f t="shared" si="305"/>
        <v>저수</v>
      </c>
      <c r="AG439" s="66" t="str">
        <f t="shared" si="306"/>
        <v>저수</v>
      </c>
      <c r="AH439" s="66" t="str">
        <f t="shared" si="307"/>
        <v>고수</v>
      </c>
      <c r="AI439" s="66" t="str">
        <f t="shared" si="308"/>
        <v>고수</v>
      </c>
      <c r="AJ439" s="66" t="str">
        <f t="shared" si="309"/>
        <v>고수</v>
      </c>
      <c r="AK439" s="66" t="str">
        <f t="shared" si="310"/>
        <v>고수</v>
      </c>
      <c r="AL439" s="58" t="str">
        <f t="shared" si="311"/>
        <v>2 : 4</v>
      </c>
      <c r="AM439" s="66">
        <f t="shared" si="312"/>
        <v>2</v>
      </c>
      <c r="AN439" s="66">
        <f t="shared" si="313"/>
        <v>4</v>
      </c>
      <c r="AO439" s="66">
        <f t="shared" si="314"/>
        <v>33</v>
      </c>
      <c r="AP439" s="66" t="str">
        <f t="shared" si="315"/>
        <v>X</v>
      </c>
      <c r="AQ439" s="66" t="str">
        <f t="shared" si="316"/>
        <v>X</v>
      </c>
      <c r="AR439" s="66" t="str">
        <f t="shared" si="317"/>
        <v>X</v>
      </c>
      <c r="AS439" s="66" t="str">
        <f t="shared" si="318"/>
        <v>X</v>
      </c>
      <c r="AT439" s="66" t="str">
        <f t="shared" si="319"/>
        <v>X</v>
      </c>
      <c r="AU439" s="66" t="str">
        <f t="shared" si="320"/>
        <v>X</v>
      </c>
      <c r="AV439" s="66" t="str">
        <f t="shared" si="321"/>
        <v>X</v>
      </c>
      <c r="AW439" s="66" t="str">
        <f t="shared" si="322"/>
        <v>X</v>
      </c>
      <c r="AX439" s="66" t="str">
        <f t="shared" si="323"/>
        <v>X</v>
      </c>
      <c r="AY439" s="66" t="str">
        <f t="shared" si="324"/>
        <v>X</v>
      </c>
      <c r="AZ439" s="66" t="str">
        <f t="shared" si="325"/>
        <v>X</v>
      </c>
      <c r="BA439" s="66" t="str">
        <f t="shared" si="326"/>
        <v>X</v>
      </c>
      <c r="BB439" s="66">
        <f t="shared" si="327"/>
        <v>0</v>
      </c>
      <c r="BC439" s="127" t="str">
        <f t="shared" si="298"/>
        <v>1G</v>
      </c>
      <c r="BD439" s="127" t="str">
        <f t="shared" si="299"/>
        <v>2G</v>
      </c>
      <c r="BE439" s="127" t="str">
        <f t="shared" si="300"/>
        <v>2G</v>
      </c>
      <c r="BF439" s="127" t="str">
        <f t="shared" si="301"/>
        <v>2G</v>
      </c>
      <c r="BG439" s="127" t="str">
        <f t="shared" si="302"/>
        <v>3G</v>
      </c>
      <c r="BH439" s="127" t="str">
        <f t="shared" si="303"/>
        <v>3G</v>
      </c>
      <c r="BI439" s="127">
        <f t="shared" si="328"/>
        <v>1</v>
      </c>
      <c r="BJ439" s="127">
        <f t="shared" si="329"/>
        <v>3</v>
      </c>
      <c r="BK439" s="127">
        <f t="shared" si="330"/>
        <v>2</v>
      </c>
      <c r="BL439" s="127" t="str">
        <f t="shared" si="331"/>
        <v>132</v>
      </c>
      <c r="BS439"/>
      <c r="CL439" s="28">
        <v>175</v>
      </c>
      <c r="CM439" s="28">
        <v>170</v>
      </c>
      <c r="CO439"/>
    </row>
    <row r="440" spans="2:93" ht="16.5" hidden="1">
      <c r="B440" s="17">
        <v>436</v>
      </c>
      <c r="C440" s="356" t="s">
        <v>466</v>
      </c>
      <c r="D440" s="22">
        <v>8</v>
      </c>
      <c r="E440" s="19">
        <v>1512266579</v>
      </c>
      <c r="F440" s="22">
        <v>44</v>
      </c>
      <c r="G440" s="19">
        <v>45826260</v>
      </c>
      <c r="H440" s="19">
        <v>1425</v>
      </c>
      <c r="I440" s="19">
        <v>1414987</v>
      </c>
      <c r="J440" s="19">
        <v>70742</v>
      </c>
      <c r="K440" s="19">
        <v>50000</v>
      </c>
      <c r="L440" s="19">
        <v>1153313</v>
      </c>
      <c r="M440" s="19">
        <v>5000</v>
      </c>
      <c r="N440" s="149">
        <v>9</v>
      </c>
      <c r="O440" s="149">
        <v>14</v>
      </c>
      <c r="P440" s="149">
        <v>20</v>
      </c>
      <c r="Q440" s="149">
        <v>22</v>
      </c>
      <c r="R440" s="149">
        <v>33</v>
      </c>
      <c r="S440" s="149">
        <v>34</v>
      </c>
      <c r="T440" s="149">
        <v>28</v>
      </c>
      <c r="U440" s="28">
        <f t="shared" si="304"/>
        <v>132</v>
      </c>
      <c r="W440" s="32" t="str">
        <f t="shared" si="332"/>
        <v>홀수</v>
      </c>
      <c r="X440" s="32" t="str">
        <f t="shared" si="333"/>
        <v>짝수</v>
      </c>
      <c r="Y440" s="32" t="str">
        <f t="shared" si="334"/>
        <v>짝수</v>
      </c>
      <c r="Z440" s="32" t="str">
        <f t="shared" si="335"/>
        <v>짝수</v>
      </c>
      <c r="AA440" s="32" t="str">
        <f t="shared" si="336"/>
        <v>홀수</v>
      </c>
      <c r="AB440" s="32" t="str">
        <f t="shared" si="337"/>
        <v>짝수</v>
      </c>
      <c r="AC440" s="58" t="str">
        <f t="shared" si="338"/>
        <v>2 : 4</v>
      </c>
      <c r="AD440" s="32">
        <f t="shared" si="339"/>
        <v>2</v>
      </c>
      <c r="AE440" s="32">
        <f t="shared" si="340"/>
        <v>4</v>
      </c>
      <c r="AF440" s="66" t="str">
        <f t="shared" si="305"/>
        <v>저수</v>
      </c>
      <c r="AG440" s="66" t="str">
        <f t="shared" si="306"/>
        <v>저수</v>
      </c>
      <c r="AH440" s="66" t="str">
        <f t="shared" si="307"/>
        <v>저수</v>
      </c>
      <c r="AI440" s="66" t="str">
        <f t="shared" si="308"/>
        <v>저수</v>
      </c>
      <c r="AJ440" s="66" t="str">
        <f t="shared" si="309"/>
        <v>고수</v>
      </c>
      <c r="AK440" s="66" t="str">
        <f t="shared" si="310"/>
        <v>고수</v>
      </c>
      <c r="AL440" s="58" t="str">
        <f t="shared" si="311"/>
        <v>4 : 2</v>
      </c>
      <c r="AM440" s="66">
        <f t="shared" si="312"/>
        <v>4</v>
      </c>
      <c r="AN440" s="66">
        <f t="shared" si="313"/>
        <v>2</v>
      </c>
      <c r="AO440" s="66">
        <f t="shared" si="314"/>
        <v>22</v>
      </c>
      <c r="AP440" s="66" t="str">
        <f t="shared" si="315"/>
        <v>X</v>
      </c>
      <c r="AQ440" s="66" t="str">
        <f t="shared" si="316"/>
        <v>X</v>
      </c>
      <c r="AR440" s="66" t="str">
        <f t="shared" si="317"/>
        <v>X</v>
      </c>
      <c r="AS440" s="66" t="str">
        <f t="shared" si="318"/>
        <v>X</v>
      </c>
      <c r="AT440" s="66" t="str">
        <f t="shared" si="319"/>
        <v>X</v>
      </c>
      <c r="AU440" s="66" t="str">
        <f t="shared" si="320"/>
        <v>X</v>
      </c>
      <c r="AV440" s="66" t="str">
        <f t="shared" si="321"/>
        <v>X</v>
      </c>
      <c r="AW440" s="66" t="str">
        <f t="shared" si="322"/>
        <v>X</v>
      </c>
      <c r="AX440" s="66" t="str">
        <f t="shared" si="323"/>
        <v>X</v>
      </c>
      <c r="AY440" s="66" t="str">
        <f t="shared" si="324"/>
        <v>X</v>
      </c>
      <c r="AZ440" s="66" t="str">
        <f t="shared" si="325"/>
        <v>X</v>
      </c>
      <c r="BA440" s="66" t="str">
        <f t="shared" si="326"/>
        <v>X</v>
      </c>
      <c r="BB440" s="66">
        <f t="shared" si="327"/>
        <v>0</v>
      </c>
      <c r="BC440" s="127" t="str">
        <f t="shared" si="298"/>
        <v>1G</v>
      </c>
      <c r="BD440" s="127" t="str">
        <f t="shared" si="299"/>
        <v>1G</v>
      </c>
      <c r="BE440" s="127" t="str">
        <f t="shared" si="300"/>
        <v>2G</v>
      </c>
      <c r="BF440" s="127" t="str">
        <f t="shared" si="301"/>
        <v>2G</v>
      </c>
      <c r="BG440" s="127" t="str">
        <f t="shared" si="302"/>
        <v>3G</v>
      </c>
      <c r="BH440" s="127" t="str">
        <f t="shared" si="303"/>
        <v>3G</v>
      </c>
      <c r="BI440" s="127">
        <f t="shared" si="328"/>
        <v>2</v>
      </c>
      <c r="BJ440" s="127">
        <f t="shared" si="329"/>
        <v>2</v>
      </c>
      <c r="BK440" s="127">
        <f t="shared" si="330"/>
        <v>2</v>
      </c>
      <c r="BL440" s="127" t="str">
        <f t="shared" si="331"/>
        <v>222</v>
      </c>
      <c r="BS440"/>
      <c r="CL440" s="28">
        <v>176</v>
      </c>
      <c r="CM440" s="28">
        <v>170</v>
      </c>
      <c r="CO440"/>
    </row>
    <row r="441" spans="2:93" ht="16.5" hidden="1">
      <c r="B441" s="17">
        <v>437</v>
      </c>
      <c r="C441" s="356" t="s">
        <v>467</v>
      </c>
      <c r="D441" s="22">
        <v>6</v>
      </c>
      <c r="E441" s="19">
        <v>2096245438</v>
      </c>
      <c r="F441" s="22">
        <v>33</v>
      </c>
      <c r="G441" s="19">
        <v>63522590</v>
      </c>
      <c r="H441" s="19">
        <v>1286</v>
      </c>
      <c r="I441" s="19">
        <v>1630051</v>
      </c>
      <c r="J441" s="19">
        <v>64531</v>
      </c>
      <c r="K441" s="19">
        <v>50000</v>
      </c>
      <c r="L441" s="19">
        <v>1080539</v>
      </c>
      <c r="M441" s="19">
        <v>5000</v>
      </c>
      <c r="N441" s="149">
        <v>11</v>
      </c>
      <c r="O441" s="149">
        <v>16</v>
      </c>
      <c r="P441" s="149">
        <v>29</v>
      </c>
      <c r="Q441" s="149">
        <v>38</v>
      </c>
      <c r="R441" s="149">
        <v>41</v>
      </c>
      <c r="S441" s="149">
        <v>44</v>
      </c>
      <c r="T441" s="149">
        <v>21</v>
      </c>
      <c r="U441" s="28">
        <f t="shared" si="304"/>
        <v>179</v>
      </c>
      <c r="W441" s="32" t="str">
        <f t="shared" si="332"/>
        <v>홀수</v>
      </c>
      <c r="X441" s="32" t="str">
        <f t="shared" si="333"/>
        <v>짝수</v>
      </c>
      <c r="Y441" s="32" t="str">
        <f t="shared" si="334"/>
        <v>홀수</v>
      </c>
      <c r="Z441" s="32" t="str">
        <f t="shared" si="335"/>
        <v>짝수</v>
      </c>
      <c r="AA441" s="32" t="str">
        <f t="shared" si="336"/>
        <v>홀수</v>
      </c>
      <c r="AB441" s="32" t="str">
        <f t="shared" si="337"/>
        <v>짝수</v>
      </c>
      <c r="AC441" s="58" t="str">
        <f t="shared" si="338"/>
        <v>3 : 3</v>
      </c>
      <c r="AD441" s="32">
        <f t="shared" si="339"/>
        <v>3</v>
      </c>
      <c r="AE441" s="32">
        <f t="shared" si="340"/>
        <v>3</v>
      </c>
      <c r="AF441" s="66" t="str">
        <f t="shared" si="305"/>
        <v>저수</v>
      </c>
      <c r="AG441" s="66" t="str">
        <f t="shared" si="306"/>
        <v>저수</v>
      </c>
      <c r="AH441" s="66" t="str">
        <f t="shared" si="307"/>
        <v>고수</v>
      </c>
      <c r="AI441" s="66" t="str">
        <f t="shared" si="308"/>
        <v>고수</v>
      </c>
      <c r="AJ441" s="66" t="str">
        <f t="shared" si="309"/>
        <v>고수</v>
      </c>
      <c r="AK441" s="66" t="str">
        <f t="shared" si="310"/>
        <v>고수</v>
      </c>
      <c r="AL441" s="58" t="str">
        <f t="shared" si="311"/>
        <v>2 : 4</v>
      </c>
      <c r="AM441" s="66">
        <f t="shared" si="312"/>
        <v>2</v>
      </c>
      <c r="AN441" s="66">
        <f t="shared" si="313"/>
        <v>4</v>
      </c>
      <c r="AO441" s="66">
        <f t="shared" si="314"/>
        <v>29</v>
      </c>
      <c r="AP441" s="66" t="str">
        <f t="shared" si="315"/>
        <v>O</v>
      </c>
      <c r="AQ441" s="66" t="str">
        <f t="shared" si="316"/>
        <v>X</v>
      </c>
      <c r="AR441" s="66" t="str">
        <f t="shared" si="317"/>
        <v>X</v>
      </c>
      <c r="AS441" s="66" t="str">
        <f t="shared" si="318"/>
        <v>X</v>
      </c>
      <c r="AT441" s="66" t="str">
        <f t="shared" si="319"/>
        <v>X</v>
      </c>
      <c r="AU441" s="66" t="str">
        <f t="shared" si="320"/>
        <v>X</v>
      </c>
      <c r="AV441" s="66" t="str">
        <f t="shared" si="321"/>
        <v>X</v>
      </c>
      <c r="AW441" s="66" t="str">
        <f t="shared" si="322"/>
        <v>X</v>
      </c>
      <c r="AX441" s="66" t="str">
        <f t="shared" si="323"/>
        <v>O</v>
      </c>
      <c r="AY441" s="66" t="str">
        <f t="shared" si="324"/>
        <v>X</v>
      </c>
      <c r="AZ441" s="66" t="str">
        <f t="shared" si="325"/>
        <v>O</v>
      </c>
      <c r="BA441" s="66" t="str">
        <f t="shared" si="326"/>
        <v>X</v>
      </c>
      <c r="BB441" s="66">
        <f t="shared" si="327"/>
        <v>3</v>
      </c>
      <c r="BC441" s="127" t="str">
        <f t="shared" si="298"/>
        <v>1G</v>
      </c>
      <c r="BD441" s="127" t="str">
        <f t="shared" si="299"/>
        <v>2G</v>
      </c>
      <c r="BE441" s="127" t="str">
        <f t="shared" si="300"/>
        <v>2G</v>
      </c>
      <c r="BF441" s="127" t="str">
        <f t="shared" si="301"/>
        <v>3G</v>
      </c>
      <c r="BG441" s="127" t="str">
        <f t="shared" si="302"/>
        <v>3G</v>
      </c>
      <c r="BH441" s="127" t="str">
        <f t="shared" si="303"/>
        <v>3G</v>
      </c>
      <c r="BI441" s="127">
        <f t="shared" si="328"/>
        <v>1</v>
      </c>
      <c r="BJ441" s="127">
        <f t="shared" si="329"/>
        <v>2</v>
      </c>
      <c r="BK441" s="127">
        <f t="shared" si="330"/>
        <v>3</v>
      </c>
      <c r="BL441" s="127" t="str">
        <f t="shared" si="331"/>
        <v>123</v>
      </c>
      <c r="BS441"/>
      <c r="CL441" s="28">
        <v>176</v>
      </c>
      <c r="CM441" s="28">
        <v>170</v>
      </c>
      <c r="CO441"/>
    </row>
    <row r="442" spans="2:93" ht="16.5" hidden="1">
      <c r="B442" s="17">
        <v>438</v>
      </c>
      <c r="C442" s="356" t="s">
        <v>497</v>
      </c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149">
        <v>6</v>
      </c>
      <c r="O442" s="149">
        <v>12</v>
      </c>
      <c r="P442" s="149">
        <v>20</v>
      </c>
      <c r="Q442" s="149">
        <v>26</v>
      </c>
      <c r="R442" s="149">
        <v>29</v>
      </c>
      <c r="S442" s="149">
        <v>38</v>
      </c>
      <c r="T442" s="149">
        <v>45</v>
      </c>
      <c r="U442" s="28">
        <f t="shared" si="304"/>
        <v>131</v>
      </c>
      <c r="W442" s="32" t="str">
        <f t="shared" si="332"/>
        <v>짝수</v>
      </c>
      <c r="X442" s="32" t="str">
        <f t="shared" si="333"/>
        <v>짝수</v>
      </c>
      <c r="Y442" s="32" t="str">
        <f t="shared" si="334"/>
        <v>짝수</v>
      </c>
      <c r="Z442" s="32" t="str">
        <f t="shared" si="335"/>
        <v>짝수</v>
      </c>
      <c r="AA442" s="32" t="str">
        <f t="shared" si="336"/>
        <v>홀수</v>
      </c>
      <c r="AB442" s="32" t="str">
        <f t="shared" si="337"/>
        <v>짝수</v>
      </c>
      <c r="AC442" s="58" t="str">
        <f t="shared" si="338"/>
        <v>1 : 5</v>
      </c>
      <c r="AD442" s="32">
        <f t="shared" si="339"/>
        <v>1</v>
      </c>
      <c r="AE442" s="32">
        <f t="shared" si="340"/>
        <v>5</v>
      </c>
      <c r="AF442" s="66" t="str">
        <f t="shared" si="305"/>
        <v>저수</v>
      </c>
      <c r="AG442" s="66" t="str">
        <f t="shared" si="306"/>
        <v>저수</v>
      </c>
      <c r="AH442" s="66" t="str">
        <f t="shared" si="307"/>
        <v>저수</v>
      </c>
      <c r="AI442" s="66" t="str">
        <f t="shared" si="308"/>
        <v>고수</v>
      </c>
      <c r="AJ442" s="66" t="str">
        <f t="shared" si="309"/>
        <v>고수</v>
      </c>
      <c r="AK442" s="66" t="str">
        <f t="shared" si="310"/>
        <v>고수</v>
      </c>
      <c r="AL442" s="58" t="str">
        <f t="shared" si="311"/>
        <v>3 : 3</v>
      </c>
      <c r="AM442" s="66">
        <f t="shared" si="312"/>
        <v>3</v>
      </c>
      <c r="AN442" s="66">
        <f t="shared" si="313"/>
        <v>3</v>
      </c>
      <c r="AO442" s="66">
        <f t="shared" si="314"/>
        <v>31</v>
      </c>
      <c r="AP442" s="66" t="str">
        <f t="shared" si="315"/>
        <v>X</v>
      </c>
      <c r="AQ442" s="66" t="str">
        <f t="shared" si="316"/>
        <v>X</v>
      </c>
      <c r="AR442" s="66" t="str">
        <f t="shared" si="317"/>
        <v>X</v>
      </c>
      <c r="AS442" s="66" t="str">
        <f t="shared" si="318"/>
        <v>X</v>
      </c>
      <c r="AT442" s="66" t="str">
        <f t="shared" si="319"/>
        <v>X</v>
      </c>
      <c r="AU442" s="66" t="str">
        <f t="shared" si="320"/>
        <v>X</v>
      </c>
      <c r="AV442" s="66" t="str">
        <f t="shared" si="321"/>
        <v>X</v>
      </c>
      <c r="AW442" s="66" t="str">
        <f t="shared" si="322"/>
        <v>X</v>
      </c>
      <c r="AX442" s="66" t="str">
        <f t="shared" si="323"/>
        <v>X</v>
      </c>
      <c r="AY442" s="66" t="str">
        <f t="shared" si="324"/>
        <v>X</v>
      </c>
      <c r="AZ442" s="66" t="str">
        <f t="shared" si="325"/>
        <v>O</v>
      </c>
      <c r="BA442" s="66" t="str">
        <f t="shared" si="326"/>
        <v>X</v>
      </c>
      <c r="BB442" s="66">
        <f t="shared" si="327"/>
        <v>1</v>
      </c>
      <c r="BC442" s="127" t="str">
        <f t="shared" si="298"/>
        <v>1G</v>
      </c>
      <c r="BD442" s="127" t="str">
        <f t="shared" si="299"/>
        <v>1G</v>
      </c>
      <c r="BE442" s="127" t="str">
        <f t="shared" si="300"/>
        <v>2G</v>
      </c>
      <c r="BF442" s="127" t="str">
        <f t="shared" si="301"/>
        <v>2G</v>
      </c>
      <c r="BG442" s="127" t="str">
        <f t="shared" si="302"/>
        <v>2G</v>
      </c>
      <c r="BH442" s="127" t="str">
        <f t="shared" si="303"/>
        <v>3G</v>
      </c>
      <c r="BI442" s="127">
        <f t="shared" si="328"/>
        <v>2</v>
      </c>
      <c r="BJ442" s="127">
        <f t="shared" si="329"/>
        <v>3</v>
      </c>
      <c r="BK442" s="127">
        <f t="shared" si="330"/>
        <v>1</v>
      </c>
      <c r="BL442" s="127" t="str">
        <f t="shared" si="331"/>
        <v>231</v>
      </c>
      <c r="BS442"/>
      <c r="CL442" s="28">
        <v>176</v>
      </c>
      <c r="CM442" s="28">
        <v>170</v>
      </c>
      <c r="CO442"/>
    </row>
    <row r="443" spans="2:93" ht="16.5" hidden="1">
      <c r="B443" s="17">
        <v>439</v>
      </c>
      <c r="C443" s="356" t="s">
        <v>498</v>
      </c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149">
        <v>17</v>
      </c>
      <c r="O443" s="149">
        <v>20</v>
      </c>
      <c r="P443" s="149">
        <v>30</v>
      </c>
      <c r="Q443" s="149">
        <v>31</v>
      </c>
      <c r="R443" s="149">
        <v>37</v>
      </c>
      <c r="S443" s="149">
        <v>40</v>
      </c>
      <c r="T443" s="149">
        <v>25</v>
      </c>
      <c r="U443" s="28">
        <f t="shared" si="304"/>
        <v>175</v>
      </c>
      <c r="W443" s="32" t="str">
        <f t="shared" si="332"/>
        <v>홀수</v>
      </c>
      <c r="X443" s="32" t="str">
        <f t="shared" si="333"/>
        <v>짝수</v>
      </c>
      <c r="Y443" s="32" t="str">
        <f t="shared" si="334"/>
        <v>짝수</v>
      </c>
      <c r="Z443" s="32" t="str">
        <f t="shared" si="335"/>
        <v>홀수</v>
      </c>
      <c r="AA443" s="32" t="str">
        <f t="shared" si="336"/>
        <v>홀수</v>
      </c>
      <c r="AB443" s="32" t="str">
        <f t="shared" si="337"/>
        <v>짝수</v>
      </c>
      <c r="AC443" s="58" t="str">
        <f t="shared" si="338"/>
        <v>3 : 3</v>
      </c>
      <c r="AD443" s="32">
        <f t="shared" si="339"/>
        <v>3</v>
      </c>
      <c r="AE443" s="32">
        <f t="shared" si="340"/>
        <v>3</v>
      </c>
      <c r="AF443" s="66" t="str">
        <f t="shared" si="305"/>
        <v>저수</v>
      </c>
      <c r="AG443" s="66" t="str">
        <f t="shared" si="306"/>
        <v>저수</v>
      </c>
      <c r="AH443" s="66" t="str">
        <f t="shared" si="307"/>
        <v>고수</v>
      </c>
      <c r="AI443" s="66" t="str">
        <f t="shared" si="308"/>
        <v>고수</v>
      </c>
      <c r="AJ443" s="66" t="str">
        <f t="shared" si="309"/>
        <v>고수</v>
      </c>
      <c r="AK443" s="66" t="str">
        <f t="shared" si="310"/>
        <v>고수</v>
      </c>
      <c r="AL443" s="58" t="str">
        <f t="shared" si="311"/>
        <v>2 : 4</v>
      </c>
      <c r="AM443" s="66">
        <f t="shared" si="312"/>
        <v>2</v>
      </c>
      <c r="AN443" s="66">
        <f t="shared" si="313"/>
        <v>4</v>
      </c>
      <c r="AO443" s="66">
        <f t="shared" si="314"/>
        <v>15</v>
      </c>
      <c r="AP443" s="66" t="str">
        <f t="shared" si="315"/>
        <v>O</v>
      </c>
      <c r="AQ443" s="66" t="str">
        <f t="shared" si="316"/>
        <v>X</v>
      </c>
      <c r="AR443" s="66" t="str">
        <f t="shared" si="317"/>
        <v>X</v>
      </c>
      <c r="AS443" s="66" t="str">
        <f t="shared" si="318"/>
        <v>X</v>
      </c>
      <c r="AT443" s="66" t="str">
        <f t="shared" si="319"/>
        <v>X</v>
      </c>
      <c r="AU443" s="66" t="str">
        <f t="shared" si="320"/>
        <v>X</v>
      </c>
      <c r="AV443" s="66" t="str">
        <f t="shared" si="321"/>
        <v>X</v>
      </c>
      <c r="AW443" s="66" t="str">
        <f t="shared" si="322"/>
        <v>X</v>
      </c>
      <c r="AX443" s="66" t="str">
        <f t="shared" si="323"/>
        <v>X</v>
      </c>
      <c r="AY443" s="66" t="str">
        <f t="shared" si="324"/>
        <v>O</v>
      </c>
      <c r="AZ443" s="66" t="str">
        <f t="shared" si="325"/>
        <v>O</v>
      </c>
      <c r="BA443" s="66" t="str">
        <f t="shared" si="326"/>
        <v>X</v>
      </c>
      <c r="BB443" s="66">
        <f t="shared" si="327"/>
        <v>3</v>
      </c>
      <c r="BC443" s="127" t="str">
        <f t="shared" si="298"/>
        <v>2G</v>
      </c>
      <c r="BD443" s="127" t="str">
        <f t="shared" si="299"/>
        <v>2G</v>
      </c>
      <c r="BE443" s="127" t="str">
        <f t="shared" si="300"/>
        <v>2G</v>
      </c>
      <c r="BF443" s="127" t="str">
        <f t="shared" si="301"/>
        <v>3G</v>
      </c>
      <c r="BG443" s="127" t="str">
        <f t="shared" si="302"/>
        <v>3G</v>
      </c>
      <c r="BH443" s="127" t="str">
        <f t="shared" si="303"/>
        <v>3G</v>
      </c>
      <c r="BI443" s="127">
        <f t="shared" si="328"/>
        <v>0</v>
      </c>
      <c r="BJ443" s="127">
        <f t="shared" si="329"/>
        <v>3</v>
      </c>
      <c r="BK443" s="127">
        <f t="shared" si="330"/>
        <v>3</v>
      </c>
      <c r="BL443" s="127" t="str">
        <f t="shared" si="331"/>
        <v>033</v>
      </c>
      <c r="BS443"/>
      <c r="CL443" s="28">
        <v>177</v>
      </c>
      <c r="CM443" s="28">
        <v>170</v>
      </c>
      <c r="CO443"/>
    </row>
    <row r="444" spans="2:93" ht="16.5" hidden="1">
      <c r="B444" s="17">
        <v>440</v>
      </c>
      <c r="C444" s="356" t="s">
        <v>499</v>
      </c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149">
        <v>10</v>
      </c>
      <c r="O444" s="149">
        <v>22</v>
      </c>
      <c r="P444" s="149">
        <v>28</v>
      </c>
      <c r="Q444" s="149">
        <v>34</v>
      </c>
      <c r="R444" s="149">
        <v>36</v>
      </c>
      <c r="S444" s="149">
        <v>44</v>
      </c>
      <c r="T444" s="149">
        <v>2</v>
      </c>
      <c r="U444" s="28">
        <f t="shared" si="304"/>
        <v>174</v>
      </c>
      <c r="W444" s="32" t="str">
        <f t="shared" si="332"/>
        <v>짝수</v>
      </c>
      <c r="X444" s="32" t="str">
        <f t="shared" si="333"/>
        <v>짝수</v>
      </c>
      <c r="Y444" s="32" t="str">
        <f t="shared" si="334"/>
        <v>짝수</v>
      </c>
      <c r="Z444" s="32" t="str">
        <f t="shared" si="335"/>
        <v>짝수</v>
      </c>
      <c r="AA444" s="32" t="str">
        <f t="shared" si="336"/>
        <v>짝수</v>
      </c>
      <c r="AB444" s="32" t="str">
        <f t="shared" si="337"/>
        <v>짝수</v>
      </c>
      <c r="AC444" s="58" t="str">
        <f t="shared" si="338"/>
        <v>0 : 6</v>
      </c>
      <c r="AD444" s="32">
        <f t="shared" si="339"/>
        <v>0</v>
      </c>
      <c r="AE444" s="32">
        <f t="shared" si="340"/>
        <v>6</v>
      </c>
      <c r="AF444" s="66" t="str">
        <f t="shared" si="305"/>
        <v>저수</v>
      </c>
      <c r="AG444" s="66" t="str">
        <f t="shared" si="306"/>
        <v>저수</v>
      </c>
      <c r="AH444" s="66" t="str">
        <f t="shared" si="307"/>
        <v>고수</v>
      </c>
      <c r="AI444" s="66" t="str">
        <f t="shared" si="308"/>
        <v>고수</v>
      </c>
      <c r="AJ444" s="66" t="str">
        <f t="shared" si="309"/>
        <v>고수</v>
      </c>
      <c r="AK444" s="66" t="str">
        <f t="shared" si="310"/>
        <v>고수</v>
      </c>
      <c r="AL444" s="58" t="str">
        <f t="shared" si="311"/>
        <v>2 : 4</v>
      </c>
      <c r="AM444" s="66">
        <f t="shared" si="312"/>
        <v>2</v>
      </c>
      <c r="AN444" s="66">
        <f t="shared" si="313"/>
        <v>4</v>
      </c>
      <c r="AO444" s="66">
        <f t="shared" si="314"/>
        <v>24</v>
      </c>
      <c r="AP444" s="66" t="str">
        <f t="shared" si="315"/>
        <v>X</v>
      </c>
      <c r="AQ444" s="66" t="str">
        <f t="shared" si="316"/>
        <v>X</v>
      </c>
      <c r="AR444" s="66" t="str">
        <f t="shared" si="317"/>
        <v>X</v>
      </c>
      <c r="AS444" s="66" t="str">
        <f t="shared" si="318"/>
        <v>X</v>
      </c>
      <c r="AT444" s="66" t="str">
        <f t="shared" si="319"/>
        <v>X</v>
      </c>
      <c r="AU444" s="66" t="str">
        <f t="shared" si="320"/>
        <v>X</v>
      </c>
      <c r="AV444" s="66" t="str">
        <f t="shared" si="321"/>
        <v>X</v>
      </c>
      <c r="AW444" s="66" t="str">
        <f t="shared" si="322"/>
        <v>X</v>
      </c>
      <c r="AX444" s="66" t="str">
        <f t="shared" si="323"/>
        <v>X</v>
      </c>
      <c r="AY444" s="66" t="str">
        <f t="shared" si="324"/>
        <v>X</v>
      </c>
      <c r="AZ444" s="66" t="str">
        <f t="shared" si="325"/>
        <v>X</v>
      </c>
      <c r="BA444" s="66" t="str">
        <f t="shared" si="326"/>
        <v>X</v>
      </c>
      <c r="BB444" s="66">
        <f t="shared" si="327"/>
        <v>0</v>
      </c>
      <c r="BC444" s="127" t="str">
        <f t="shared" si="298"/>
        <v>1G</v>
      </c>
      <c r="BD444" s="127" t="str">
        <f t="shared" si="299"/>
        <v>2G</v>
      </c>
      <c r="BE444" s="127" t="str">
        <f t="shared" si="300"/>
        <v>2G</v>
      </c>
      <c r="BF444" s="127" t="str">
        <f t="shared" si="301"/>
        <v>3G</v>
      </c>
      <c r="BG444" s="127" t="str">
        <f t="shared" si="302"/>
        <v>3G</v>
      </c>
      <c r="BH444" s="127" t="str">
        <f t="shared" si="303"/>
        <v>3G</v>
      </c>
      <c r="BI444" s="127">
        <f t="shared" si="328"/>
        <v>1</v>
      </c>
      <c r="BJ444" s="127">
        <f t="shared" si="329"/>
        <v>2</v>
      </c>
      <c r="BK444" s="127">
        <f t="shared" si="330"/>
        <v>3</v>
      </c>
      <c r="BL444" s="127" t="str">
        <f t="shared" si="331"/>
        <v>123</v>
      </c>
      <c r="BS444"/>
      <c r="CL444" s="28">
        <v>177</v>
      </c>
      <c r="CM444" s="28">
        <v>170</v>
      </c>
      <c r="CO444"/>
    </row>
    <row r="445" spans="2:93" ht="16.5" hidden="1">
      <c r="B445" s="17">
        <v>441</v>
      </c>
      <c r="C445" s="363" t="s">
        <v>500</v>
      </c>
      <c r="N445" s="167">
        <v>1</v>
      </c>
      <c r="O445" s="167">
        <v>23</v>
      </c>
      <c r="P445" s="167">
        <v>28</v>
      </c>
      <c r="Q445" s="167">
        <v>30</v>
      </c>
      <c r="R445" s="167">
        <v>34</v>
      </c>
      <c r="S445" s="167">
        <v>35</v>
      </c>
      <c r="T445" s="167">
        <v>9</v>
      </c>
      <c r="U445" s="28">
        <f t="shared" si="304"/>
        <v>151</v>
      </c>
      <c r="W445" s="32" t="str">
        <f t="shared" si="332"/>
        <v>홀수</v>
      </c>
      <c r="X445" s="32" t="str">
        <f t="shared" si="333"/>
        <v>홀수</v>
      </c>
      <c r="Y445" s="32" t="str">
        <f t="shared" si="334"/>
        <v>짝수</v>
      </c>
      <c r="Z445" s="32" t="str">
        <f t="shared" si="335"/>
        <v>짝수</v>
      </c>
      <c r="AA445" s="32" t="str">
        <f t="shared" si="336"/>
        <v>짝수</v>
      </c>
      <c r="AB445" s="32" t="str">
        <f t="shared" si="337"/>
        <v>홀수</v>
      </c>
      <c r="AC445" s="58" t="str">
        <f t="shared" si="338"/>
        <v>3 : 3</v>
      </c>
      <c r="AD445" s="32">
        <f t="shared" si="339"/>
        <v>3</v>
      </c>
      <c r="AE445" s="32">
        <f t="shared" si="340"/>
        <v>3</v>
      </c>
      <c r="AF445" s="66" t="str">
        <f t="shared" si="305"/>
        <v>저수</v>
      </c>
      <c r="AG445" s="66" t="str">
        <f t="shared" si="306"/>
        <v>고수</v>
      </c>
      <c r="AH445" s="66" t="str">
        <f t="shared" si="307"/>
        <v>고수</v>
      </c>
      <c r="AI445" s="66" t="str">
        <f t="shared" si="308"/>
        <v>고수</v>
      </c>
      <c r="AJ445" s="66" t="str">
        <f t="shared" si="309"/>
        <v>고수</v>
      </c>
      <c r="AK445" s="66" t="str">
        <f t="shared" si="310"/>
        <v>고수</v>
      </c>
      <c r="AL445" s="58" t="str">
        <f t="shared" si="311"/>
        <v>1 : 5</v>
      </c>
      <c r="AM445" s="66">
        <f t="shared" si="312"/>
        <v>1</v>
      </c>
      <c r="AN445" s="66">
        <f t="shared" si="313"/>
        <v>5</v>
      </c>
      <c r="AO445" s="66">
        <f t="shared" si="314"/>
        <v>21</v>
      </c>
      <c r="AP445" s="66" t="str">
        <f t="shared" si="315"/>
        <v>X</v>
      </c>
      <c r="AQ445" s="66" t="str">
        <f t="shared" si="316"/>
        <v>X</v>
      </c>
      <c r="AR445" s="66" t="str">
        <f t="shared" si="317"/>
        <v>X</v>
      </c>
      <c r="AS445" s="66" t="str">
        <f t="shared" si="318"/>
        <v>X</v>
      </c>
      <c r="AT445" s="66" t="str">
        <f t="shared" si="319"/>
        <v>X</v>
      </c>
      <c r="AU445" s="66" t="str">
        <f t="shared" si="320"/>
        <v>X</v>
      </c>
      <c r="AV445" s="66" t="str">
        <f t="shared" si="321"/>
        <v>X</v>
      </c>
      <c r="AW445" s="66" t="str">
        <f t="shared" si="322"/>
        <v>O</v>
      </c>
      <c r="AX445" s="66" t="str">
        <f t="shared" si="323"/>
        <v>X</v>
      </c>
      <c r="AY445" s="66" t="str">
        <f t="shared" si="324"/>
        <v>X</v>
      </c>
      <c r="AZ445" s="66" t="str">
        <f t="shared" si="325"/>
        <v>X</v>
      </c>
      <c r="BA445" s="66" t="str">
        <f t="shared" si="326"/>
        <v>X</v>
      </c>
      <c r="BB445" s="66">
        <f t="shared" si="327"/>
        <v>1</v>
      </c>
      <c r="BC445" s="127" t="str">
        <f t="shared" si="298"/>
        <v>1G</v>
      </c>
      <c r="BD445" s="127" t="str">
        <f t="shared" si="299"/>
        <v>2G</v>
      </c>
      <c r="BE445" s="127" t="str">
        <f t="shared" si="300"/>
        <v>2G</v>
      </c>
      <c r="BF445" s="127" t="str">
        <f t="shared" si="301"/>
        <v>2G</v>
      </c>
      <c r="BG445" s="127" t="str">
        <f t="shared" si="302"/>
        <v>3G</v>
      </c>
      <c r="BH445" s="127" t="str">
        <f t="shared" si="303"/>
        <v>3G</v>
      </c>
      <c r="BI445" s="127">
        <f t="shared" si="328"/>
        <v>1</v>
      </c>
      <c r="BJ445" s="127">
        <f t="shared" si="329"/>
        <v>3</v>
      </c>
      <c r="BK445" s="127">
        <f t="shared" si="330"/>
        <v>2</v>
      </c>
      <c r="BL445" s="127" t="str">
        <f t="shared" si="331"/>
        <v>132</v>
      </c>
      <c r="BS445"/>
      <c r="CL445" s="28">
        <v>177</v>
      </c>
      <c r="CM445" s="28">
        <v>170</v>
      </c>
      <c r="CO445"/>
    </row>
    <row r="446" spans="2:93" ht="16.5" hidden="1">
      <c r="B446" s="17">
        <v>442</v>
      </c>
      <c r="C446" s="363" t="s">
        <v>501</v>
      </c>
      <c r="N446" s="167">
        <v>25</v>
      </c>
      <c r="O446" s="167">
        <v>27</v>
      </c>
      <c r="P446" s="167">
        <v>29</v>
      </c>
      <c r="Q446" s="167">
        <v>36</v>
      </c>
      <c r="R446" s="167">
        <v>38</v>
      </c>
      <c r="S446" s="167">
        <v>40</v>
      </c>
      <c r="T446" s="167">
        <v>41</v>
      </c>
      <c r="U446" s="28">
        <f t="shared" si="304"/>
        <v>195</v>
      </c>
      <c r="W446" s="32" t="str">
        <f t="shared" si="332"/>
        <v>홀수</v>
      </c>
      <c r="X446" s="32" t="str">
        <f t="shared" si="333"/>
        <v>홀수</v>
      </c>
      <c r="Y446" s="32" t="str">
        <f t="shared" si="334"/>
        <v>홀수</v>
      </c>
      <c r="Z446" s="32" t="str">
        <f t="shared" si="335"/>
        <v>짝수</v>
      </c>
      <c r="AA446" s="32" t="str">
        <f t="shared" si="336"/>
        <v>짝수</v>
      </c>
      <c r="AB446" s="32" t="str">
        <f t="shared" si="337"/>
        <v>짝수</v>
      </c>
      <c r="AC446" s="58" t="str">
        <f t="shared" si="338"/>
        <v>3 : 3</v>
      </c>
      <c r="AD446" s="32">
        <f t="shared" si="339"/>
        <v>3</v>
      </c>
      <c r="AE446" s="32">
        <f t="shared" si="340"/>
        <v>3</v>
      </c>
      <c r="AF446" s="66" t="str">
        <f t="shared" si="305"/>
        <v>고수</v>
      </c>
      <c r="AG446" s="66" t="str">
        <f t="shared" si="306"/>
        <v>고수</v>
      </c>
      <c r="AH446" s="66" t="str">
        <f t="shared" si="307"/>
        <v>고수</v>
      </c>
      <c r="AI446" s="66" t="str">
        <f t="shared" si="308"/>
        <v>고수</v>
      </c>
      <c r="AJ446" s="66" t="str">
        <f t="shared" si="309"/>
        <v>고수</v>
      </c>
      <c r="AK446" s="66" t="str">
        <f t="shared" si="310"/>
        <v>고수</v>
      </c>
      <c r="AL446" s="58" t="str">
        <f t="shared" si="311"/>
        <v>0 : 6</v>
      </c>
      <c r="AM446" s="66">
        <f t="shared" si="312"/>
        <v>0</v>
      </c>
      <c r="AN446" s="66">
        <f t="shared" si="313"/>
        <v>6</v>
      </c>
      <c r="AO446" s="66">
        <f t="shared" si="314"/>
        <v>35</v>
      </c>
      <c r="AP446" s="66" t="str">
        <f t="shared" si="315"/>
        <v>X</v>
      </c>
      <c r="AQ446" s="66" t="str">
        <f t="shared" si="316"/>
        <v>X</v>
      </c>
      <c r="AR446" s="66" t="str">
        <f t="shared" si="317"/>
        <v>X</v>
      </c>
      <c r="AS446" s="66" t="str">
        <f t="shared" si="318"/>
        <v>X</v>
      </c>
      <c r="AT446" s="66" t="str">
        <f t="shared" si="319"/>
        <v>X</v>
      </c>
      <c r="AU446" s="66" t="str">
        <f t="shared" si="320"/>
        <v>X</v>
      </c>
      <c r="AV446" s="66" t="str">
        <f t="shared" si="321"/>
        <v>X</v>
      </c>
      <c r="AW446" s="66" t="str">
        <f t="shared" si="322"/>
        <v>X</v>
      </c>
      <c r="AX446" s="66" t="str">
        <f t="shared" si="323"/>
        <v>O</v>
      </c>
      <c r="AY446" s="66" t="str">
        <f t="shared" si="324"/>
        <v>X</v>
      </c>
      <c r="AZ446" s="66" t="str">
        <f t="shared" si="325"/>
        <v>X</v>
      </c>
      <c r="BA446" s="66" t="str">
        <f t="shared" si="326"/>
        <v>X</v>
      </c>
      <c r="BB446" s="66">
        <f t="shared" si="327"/>
        <v>1</v>
      </c>
      <c r="BC446" s="127" t="str">
        <f t="shared" si="298"/>
        <v>2G</v>
      </c>
      <c r="BD446" s="127" t="str">
        <f t="shared" si="299"/>
        <v>2G</v>
      </c>
      <c r="BE446" s="127" t="str">
        <f t="shared" si="300"/>
        <v>2G</v>
      </c>
      <c r="BF446" s="127" t="str">
        <f t="shared" si="301"/>
        <v>3G</v>
      </c>
      <c r="BG446" s="127" t="str">
        <f t="shared" si="302"/>
        <v>3G</v>
      </c>
      <c r="BH446" s="127" t="str">
        <f t="shared" si="303"/>
        <v>3G</v>
      </c>
      <c r="BI446" s="127">
        <f t="shared" si="328"/>
        <v>0</v>
      </c>
      <c r="BJ446" s="127">
        <f t="shared" si="329"/>
        <v>3</v>
      </c>
      <c r="BK446" s="127">
        <f t="shared" si="330"/>
        <v>3</v>
      </c>
      <c r="BL446" s="127" t="str">
        <f t="shared" si="331"/>
        <v>033</v>
      </c>
      <c r="BS446"/>
      <c r="CL446" s="28">
        <v>178</v>
      </c>
      <c r="CM446" s="28">
        <v>170</v>
      </c>
      <c r="CO446"/>
    </row>
    <row r="447" spans="2:93" ht="16.5" hidden="1">
      <c r="B447" s="17">
        <v>443</v>
      </c>
      <c r="C447" s="363" t="s">
        <v>502</v>
      </c>
      <c r="N447" s="167">
        <v>4</v>
      </c>
      <c r="O447" s="167">
        <v>6</v>
      </c>
      <c r="P447" s="167">
        <v>10</v>
      </c>
      <c r="Q447" s="167">
        <v>19</v>
      </c>
      <c r="R447" s="167">
        <v>20</v>
      </c>
      <c r="S447" s="167">
        <v>44</v>
      </c>
      <c r="T447" s="167">
        <v>14</v>
      </c>
      <c r="U447" s="28">
        <f t="shared" si="304"/>
        <v>103</v>
      </c>
      <c r="W447" s="32" t="str">
        <f t="shared" si="332"/>
        <v>짝수</v>
      </c>
      <c r="X447" s="32" t="str">
        <f t="shared" si="333"/>
        <v>짝수</v>
      </c>
      <c r="Y447" s="32" t="str">
        <f t="shared" si="334"/>
        <v>짝수</v>
      </c>
      <c r="Z447" s="32" t="str">
        <f t="shared" si="335"/>
        <v>홀수</v>
      </c>
      <c r="AA447" s="32" t="str">
        <f t="shared" si="336"/>
        <v>짝수</v>
      </c>
      <c r="AB447" s="32" t="str">
        <f t="shared" si="337"/>
        <v>짝수</v>
      </c>
      <c r="AC447" s="58" t="str">
        <f t="shared" si="338"/>
        <v>1 : 5</v>
      </c>
      <c r="AD447" s="32">
        <f t="shared" si="339"/>
        <v>1</v>
      </c>
      <c r="AE447" s="32">
        <f t="shared" si="340"/>
        <v>5</v>
      </c>
      <c r="AF447" s="66" t="str">
        <f t="shared" si="305"/>
        <v>저수</v>
      </c>
      <c r="AG447" s="66" t="str">
        <f t="shared" si="306"/>
        <v>저수</v>
      </c>
      <c r="AH447" s="66" t="str">
        <f t="shared" si="307"/>
        <v>저수</v>
      </c>
      <c r="AI447" s="66" t="str">
        <f t="shared" si="308"/>
        <v>저수</v>
      </c>
      <c r="AJ447" s="66" t="str">
        <f t="shared" si="309"/>
        <v>저수</v>
      </c>
      <c r="AK447" s="66" t="str">
        <f t="shared" si="310"/>
        <v>고수</v>
      </c>
      <c r="AL447" s="58" t="str">
        <f t="shared" si="311"/>
        <v>5 : 1</v>
      </c>
      <c r="AM447" s="66">
        <f t="shared" si="312"/>
        <v>5</v>
      </c>
      <c r="AN447" s="66">
        <f t="shared" si="313"/>
        <v>1</v>
      </c>
      <c r="AO447" s="66">
        <f t="shared" si="314"/>
        <v>23</v>
      </c>
      <c r="AP447" s="66" t="str">
        <f t="shared" si="315"/>
        <v>X</v>
      </c>
      <c r="AQ447" s="66" t="str">
        <f t="shared" si="316"/>
        <v>X</v>
      </c>
      <c r="AR447" s="66" t="str">
        <f t="shared" si="317"/>
        <v>X</v>
      </c>
      <c r="AS447" s="66" t="str">
        <f t="shared" si="318"/>
        <v>O</v>
      </c>
      <c r="AT447" s="66" t="str">
        <f t="shared" si="319"/>
        <v>X</v>
      </c>
      <c r="AU447" s="66" t="str">
        <f t="shared" si="320"/>
        <v>X</v>
      </c>
      <c r="AV447" s="66" t="str">
        <f t="shared" si="321"/>
        <v>X</v>
      </c>
      <c r="AW447" s="66" t="str">
        <f t="shared" si="322"/>
        <v>X</v>
      </c>
      <c r="AX447" s="66" t="str">
        <f t="shared" si="323"/>
        <v>X</v>
      </c>
      <c r="AY447" s="66" t="str">
        <f t="shared" si="324"/>
        <v>X</v>
      </c>
      <c r="AZ447" s="66" t="str">
        <f t="shared" si="325"/>
        <v>X</v>
      </c>
      <c r="BA447" s="66" t="str">
        <f t="shared" si="326"/>
        <v>X</v>
      </c>
      <c r="BB447" s="66">
        <f t="shared" si="327"/>
        <v>1</v>
      </c>
      <c r="BC447" s="127" t="str">
        <f t="shared" si="298"/>
        <v>1G</v>
      </c>
      <c r="BD447" s="127" t="str">
        <f t="shared" si="299"/>
        <v>1G</v>
      </c>
      <c r="BE447" s="127" t="str">
        <f t="shared" si="300"/>
        <v>1G</v>
      </c>
      <c r="BF447" s="127" t="str">
        <f t="shared" si="301"/>
        <v>2G</v>
      </c>
      <c r="BG447" s="127" t="str">
        <f t="shared" si="302"/>
        <v>2G</v>
      </c>
      <c r="BH447" s="127" t="str">
        <f t="shared" si="303"/>
        <v>3G</v>
      </c>
      <c r="BI447" s="127">
        <f t="shared" si="328"/>
        <v>3</v>
      </c>
      <c r="BJ447" s="127">
        <f t="shared" si="329"/>
        <v>2</v>
      </c>
      <c r="BK447" s="127">
        <f t="shared" si="330"/>
        <v>1</v>
      </c>
      <c r="BL447" s="127" t="str">
        <f t="shared" si="331"/>
        <v>321</v>
      </c>
      <c r="BS447"/>
      <c r="CL447" s="28">
        <v>178</v>
      </c>
      <c r="CM447" s="28">
        <v>170</v>
      </c>
      <c r="CO447"/>
    </row>
    <row r="448" spans="2:93" ht="16.5" hidden="1">
      <c r="B448" s="17">
        <v>444</v>
      </c>
      <c r="C448" s="363" t="s">
        <v>503</v>
      </c>
      <c r="N448" s="167">
        <v>11</v>
      </c>
      <c r="O448" s="167">
        <v>13</v>
      </c>
      <c r="P448" s="167">
        <v>23</v>
      </c>
      <c r="Q448" s="167">
        <v>35</v>
      </c>
      <c r="R448" s="167">
        <v>43</v>
      </c>
      <c r="S448" s="167">
        <v>45</v>
      </c>
      <c r="T448" s="167">
        <v>17</v>
      </c>
      <c r="U448" s="28">
        <f t="shared" si="304"/>
        <v>170</v>
      </c>
      <c r="W448" s="32" t="str">
        <f t="shared" si="332"/>
        <v>홀수</v>
      </c>
      <c r="X448" s="32" t="str">
        <f t="shared" si="333"/>
        <v>홀수</v>
      </c>
      <c r="Y448" s="32" t="str">
        <f t="shared" si="334"/>
        <v>홀수</v>
      </c>
      <c r="Z448" s="32" t="str">
        <f t="shared" si="335"/>
        <v>홀수</v>
      </c>
      <c r="AA448" s="32" t="str">
        <f t="shared" si="336"/>
        <v>홀수</v>
      </c>
      <c r="AB448" s="32" t="str">
        <f t="shared" si="337"/>
        <v>홀수</v>
      </c>
      <c r="AC448" s="58" t="str">
        <f t="shared" si="338"/>
        <v>6 : 0</v>
      </c>
      <c r="AD448" s="32">
        <f t="shared" si="339"/>
        <v>6</v>
      </c>
      <c r="AE448" s="32">
        <f t="shared" si="340"/>
        <v>0</v>
      </c>
      <c r="AF448" s="66" t="str">
        <f t="shared" si="305"/>
        <v>저수</v>
      </c>
      <c r="AG448" s="66" t="str">
        <f t="shared" si="306"/>
        <v>저수</v>
      </c>
      <c r="AH448" s="66" t="str">
        <f t="shared" si="307"/>
        <v>고수</v>
      </c>
      <c r="AI448" s="66" t="str">
        <f t="shared" si="308"/>
        <v>고수</v>
      </c>
      <c r="AJ448" s="66" t="str">
        <f t="shared" si="309"/>
        <v>고수</v>
      </c>
      <c r="AK448" s="66" t="str">
        <f t="shared" si="310"/>
        <v>고수</v>
      </c>
      <c r="AL448" s="58" t="str">
        <f t="shared" si="311"/>
        <v>2 : 4</v>
      </c>
      <c r="AM448" s="66">
        <f t="shared" si="312"/>
        <v>2</v>
      </c>
      <c r="AN448" s="66">
        <f t="shared" si="313"/>
        <v>4</v>
      </c>
      <c r="AO448" s="66">
        <f t="shared" si="314"/>
        <v>20</v>
      </c>
      <c r="AP448" s="66" t="str">
        <f t="shared" si="315"/>
        <v>O</v>
      </c>
      <c r="AQ448" s="66" t="str">
        <f t="shared" si="316"/>
        <v>O</v>
      </c>
      <c r="AR448" s="66" t="str">
        <f t="shared" si="317"/>
        <v>X</v>
      </c>
      <c r="AS448" s="66" t="str">
        <f t="shared" si="318"/>
        <v>X</v>
      </c>
      <c r="AT448" s="66" t="str">
        <f t="shared" si="319"/>
        <v>X</v>
      </c>
      <c r="AU448" s="66" t="str">
        <f t="shared" si="320"/>
        <v>X</v>
      </c>
      <c r="AV448" s="66" t="str">
        <f t="shared" si="321"/>
        <v>X</v>
      </c>
      <c r="AW448" s="66" t="str">
        <f t="shared" si="322"/>
        <v>X</v>
      </c>
      <c r="AX448" s="66" t="str">
        <f t="shared" si="323"/>
        <v>O</v>
      </c>
      <c r="AY448" s="66" t="str">
        <f t="shared" si="324"/>
        <v>X</v>
      </c>
      <c r="AZ448" s="66" t="str">
        <f t="shared" si="325"/>
        <v>O</v>
      </c>
      <c r="BA448" s="66" t="str">
        <f t="shared" si="326"/>
        <v>X</v>
      </c>
      <c r="BB448" s="66">
        <f t="shared" si="327"/>
        <v>4</v>
      </c>
      <c r="BC448" s="127" t="str">
        <f t="shared" si="298"/>
        <v>1G</v>
      </c>
      <c r="BD448" s="127" t="str">
        <f t="shared" si="299"/>
        <v>1G</v>
      </c>
      <c r="BE448" s="127" t="str">
        <f t="shared" si="300"/>
        <v>2G</v>
      </c>
      <c r="BF448" s="127" t="str">
        <f t="shared" si="301"/>
        <v>3G</v>
      </c>
      <c r="BG448" s="127" t="str">
        <f t="shared" si="302"/>
        <v>3G</v>
      </c>
      <c r="BH448" s="127" t="str">
        <f t="shared" si="303"/>
        <v>3G</v>
      </c>
      <c r="BI448" s="127">
        <f t="shared" si="328"/>
        <v>2</v>
      </c>
      <c r="BJ448" s="127">
        <f t="shared" si="329"/>
        <v>1</v>
      </c>
      <c r="BK448" s="127">
        <f t="shared" si="330"/>
        <v>3</v>
      </c>
      <c r="BL448" s="127" t="str">
        <f t="shared" si="331"/>
        <v>213</v>
      </c>
      <c r="BS448"/>
      <c r="CL448" s="28">
        <v>178</v>
      </c>
      <c r="CM448" s="28">
        <v>170</v>
      </c>
      <c r="CO448"/>
    </row>
    <row r="449" spans="2:93" ht="16.5" hidden="1">
      <c r="B449" s="17">
        <v>445</v>
      </c>
      <c r="C449" s="363" t="s">
        <v>504</v>
      </c>
      <c r="N449" s="167">
        <v>13</v>
      </c>
      <c r="O449" s="167">
        <v>20</v>
      </c>
      <c r="P449" s="167">
        <v>21</v>
      </c>
      <c r="Q449" s="167">
        <v>30</v>
      </c>
      <c r="R449" s="167">
        <v>39</v>
      </c>
      <c r="S449" s="167">
        <v>45</v>
      </c>
      <c r="T449" s="167">
        <v>32</v>
      </c>
      <c r="U449" s="28">
        <f t="shared" si="304"/>
        <v>168</v>
      </c>
      <c r="W449" s="32" t="str">
        <f t="shared" si="332"/>
        <v>홀수</v>
      </c>
      <c r="X449" s="32" t="str">
        <f t="shared" si="333"/>
        <v>짝수</v>
      </c>
      <c r="Y449" s="32" t="str">
        <f t="shared" si="334"/>
        <v>홀수</v>
      </c>
      <c r="Z449" s="32" t="str">
        <f t="shared" si="335"/>
        <v>짝수</v>
      </c>
      <c r="AA449" s="32" t="str">
        <f t="shared" si="336"/>
        <v>홀수</v>
      </c>
      <c r="AB449" s="32" t="str">
        <f t="shared" si="337"/>
        <v>홀수</v>
      </c>
      <c r="AC449" s="58" t="str">
        <f t="shared" si="338"/>
        <v>4 : 2</v>
      </c>
      <c r="AD449" s="32">
        <f t="shared" si="339"/>
        <v>4</v>
      </c>
      <c r="AE449" s="32">
        <f t="shared" si="340"/>
        <v>2</v>
      </c>
      <c r="AF449" s="66" t="str">
        <f t="shared" si="305"/>
        <v>저수</v>
      </c>
      <c r="AG449" s="66" t="str">
        <f t="shared" si="306"/>
        <v>저수</v>
      </c>
      <c r="AH449" s="66" t="str">
        <f t="shared" si="307"/>
        <v>저수</v>
      </c>
      <c r="AI449" s="66" t="str">
        <f t="shared" si="308"/>
        <v>고수</v>
      </c>
      <c r="AJ449" s="66" t="str">
        <f t="shared" si="309"/>
        <v>고수</v>
      </c>
      <c r="AK449" s="66" t="str">
        <f t="shared" si="310"/>
        <v>고수</v>
      </c>
      <c r="AL449" s="58" t="str">
        <f t="shared" si="311"/>
        <v>3 : 3</v>
      </c>
      <c r="AM449" s="66">
        <f t="shared" si="312"/>
        <v>3</v>
      </c>
      <c r="AN449" s="66">
        <f t="shared" si="313"/>
        <v>3</v>
      </c>
      <c r="AO449" s="66">
        <f t="shared" si="314"/>
        <v>18</v>
      </c>
      <c r="AP449" s="66" t="str">
        <f t="shared" si="315"/>
        <v>O</v>
      </c>
      <c r="AQ449" s="66" t="str">
        <f t="shared" si="316"/>
        <v>X</v>
      </c>
      <c r="AR449" s="66" t="str">
        <f t="shared" si="317"/>
        <v>X</v>
      </c>
      <c r="AS449" s="66" t="str">
        <f t="shared" si="318"/>
        <v>X</v>
      </c>
      <c r="AT449" s="66" t="str">
        <f t="shared" si="319"/>
        <v>X</v>
      </c>
      <c r="AU449" s="66" t="str">
        <f t="shared" si="320"/>
        <v>X</v>
      </c>
      <c r="AV449" s="66" t="str">
        <f t="shared" si="321"/>
        <v>X</v>
      </c>
      <c r="AW449" s="66" t="str">
        <f t="shared" si="322"/>
        <v>X</v>
      </c>
      <c r="AX449" s="66" t="str">
        <f t="shared" si="323"/>
        <v>X</v>
      </c>
      <c r="AY449" s="66" t="str">
        <f t="shared" si="324"/>
        <v>X</v>
      </c>
      <c r="AZ449" s="66" t="str">
        <f t="shared" si="325"/>
        <v>X</v>
      </c>
      <c r="BA449" s="66" t="str">
        <f t="shared" si="326"/>
        <v>X</v>
      </c>
      <c r="BB449" s="66">
        <f t="shared" si="327"/>
        <v>1</v>
      </c>
      <c r="BC449" s="127" t="str">
        <f t="shared" si="298"/>
        <v>1G</v>
      </c>
      <c r="BD449" s="127" t="str">
        <f t="shared" si="299"/>
        <v>2G</v>
      </c>
      <c r="BE449" s="127" t="str">
        <f t="shared" si="300"/>
        <v>2G</v>
      </c>
      <c r="BF449" s="127" t="str">
        <f t="shared" si="301"/>
        <v>2G</v>
      </c>
      <c r="BG449" s="127" t="str">
        <f t="shared" si="302"/>
        <v>3G</v>
      </c>
      <c r="BH449" s="127" t="str">
        <f t="shared" si="303"/>
        <v>3G</v>
      </c>
      <c r="BI449" s="127">
        <f t="shared" si="328"/>
        <v>1</v>
      </c>
      <c r="BJ449" s="127">
        <f t="shared" si="329"/>
        <v>3</v>
      </c>
      <c r="BK449" s="127">
        <f t="shared" si="330"/>
        <v>2</v>
      </c>
      <c r="BL449" s="127" t="str">
        <f t="shared" si="331"/>
        <v>132</v>
      </c>
      <c r="BS449"/>
      <c r="CL449" s="28">
        <v>178</v>
      </c>
      <c r="CM449" s="28">
        <v>170</v>
      </c>
      <c r="CO449"/>
    </row>
    <row r="450" spans="2:93" ht="16.5" hidden="1">
      <c r="B450" s="17">
        <v>446</v>
      </c>
      <c r="C450" s="363" t="s">
        <v>505</v>
      </c>
      <c r="N450" s="167">
        <v>1</v>
      </c>
      <c r="O450" s="167">
        <v>11</v>
      </c>
      <c r="P450" s="167">
        <v>12</v>
      </c>
      <c r="Q450" s="167">
        <v>14</v>
      </c>
      <c r="R450" s="167">
        <v>26</v>
      </c>
      <c r="S450" s="167">
        <v>35</v>
      </c>
      <c r="T450" s="167">
        <v>6</v>
      </c>
      <c r="U450" s="28">
        <f t="shared" si="304"/>
        <v>99</v>
      </c>
      <c r="W450" s="32" t="str">
        <f t="shared" si="332"/>
        <v>홀수</v>
      </c>
      <c r="X450" s="32" t="str">
        <f t="shared" si="333"/>
        <v>홀수</v>
      </c>
      <c r="Y450" s="32" t="str">
        <f t="shared" si="334"/>
        <v>짝수</v>
      </c>
      <c r="Z450" s="32" t="str">
        <f t="shared" si="335"/>
        <v>짝수</v>
      </c>
      <c r="AA450" s="32" t="str">
        <f t="shared" si="336"/>
        <v>짝수</v>
      </c>
      <c r="AB450" s="32" t="str">
        <f t="shared" si="337"/>
        <v>홀수</v>
      </c>
      <c r="AC450" s="58" t="str">
        <f t="shared" si="338"/>
        <v>3 : 3</v>
      </c>
      <c r="AD450" s="32">
        <f t="shared" si="339"/>
        <v>3</v>
      </c>
      <c r="AE450" s="32">
        <f t="shared" si="340"/>
        <v>3</v>
      </c>
      <c r="AF450" s="66" t="str">
        <f t="shared" si="305"/>
        <v>저수</v>
      </c>
      <c r="AG450" s="66" t="str">
        <f t="shared" si="306"/>
        <v>저수</v>
      </c>
      <c r="AH450" s="66" t="str">
        <f t="shared" si="307"/>
        <v>저수</v>
      </c>
      <c r="AI450" s="66" t="str">
        <f t="shared" si="308"/>
        <v>저수</v>
      </c>
      <c r="AJ450" s="66" t="str">
        <f t="shared" si="309"/>
        <v>고수</v>
      </c>
      <c r="AK450" s="66" t="str">
        <f t="shared" si="310"/>
        <v>고수</v>
      </c>
      <c r="AL450" s="58" t="str">
        <f t="shared" si="311"/>
        <v>4 : 2</v>
      </c>
      <c r="AM450" s="66">
        <f t="shared" si="312"/>
        <v>4</v>
      </c>
      <c r="AN450" s="66">
        <f t="shared" si="313"/>
        <v>2</v>
      </c>
      <c r="AO450" s="66">
        <f t="shared" si="314"/>
        <v>19</v>
      </c>
      <c r="AP450" s="66" t="str">
        <f t="shared" si="315"/>
        <v>X</v>
      </c>
      <c r="AQ450" s="66" t="str">
        <f t="shared" si="316"/>
        <v>O</v>
      </c>
      <c r="AR450" s="66" t="str">
        <f t="shared" si="317"/>
        <v>X</v>
      </c>
      <c r="AS450" s="66" t="str">
        <f t="shared" si="318"/>
        <v>X</v>
      </c>
      <c r="AT450" s="66" t="str">
        <f t="shared" si="319"/>
        <v>X</v>
      </c>
      <c r="AU450" s="66" t="str">
        <f t="shared" si="320"/>
        <v>X</v>
      </c>
      <c r="AV450" s="66" t="str">
        <f t="shared" si="321"/>
        <v>X</v>
      </c>
      <c r="AW450" s="66" t="str">
        <f t="shared" si="322"/>
        <v>X</v>
      </c>
      <c r="AX450" s="66" t="str">
        <f t="shared" si="323"/>
        <v>X</v>
      </c>
      <c r="AY450" s="66" t="str">
        <f t="shared" si="324"/>
        <v>X</v>
      </c>
      <c r="AZ450" s="66" t="str">
        <f t="shared" si="325"/>
        <v>X</v>
      </c>
      <c r="BA450" s="66" t="str">
        <f t="shared" si="326"/>
        <v>X</v>
      </c>
      <c r="BB450" s="66">
        <f t="shared" si="327"/>
        <v>1</v>
      </c>
      <c r="BC450" s="127" t="str">
        <f t="shared" si="298"/>
        <v>1G</v>
      </c>
      <c r="BD450" s="127" t="str">
        <f t="shared" si="299"/>
        <v>1G</v>
      </c>
      <c r="BE450" s="127" t="str">
        <f t="shared" si="300"/>
        <v>1G</v>
      </c>
      <c r="BF450" s="127" t="str">
        <f t="shared" si="301"/>
        <v>1G</v>
      </c>
      <c r="BG450" s="127" t="str">
        <f t="shared" si="302"/>
        <v>2G</v>
      </c>
      <c r="BH450" s="127" t="str">
        <f t="shared" si="303"/>
        <v>3G</v>
      </c>
      <c r="BI450" s="127">
        <f t="shared" si="328"/>
        <v>4</v>
      </c>
      <c r="BJ450" s="127">
        <f t="shared" si="329"/>
        <v>1</v>
      </c>
      <c r="BK450" s="127">
        <f t="shared" si="330"/>
        <v>1</v>
      </c>
      <c r="BL450" s="127" t="str">
        <f t="shared" si="331"/>
        <v>411</v>
      </c>
      <c r="BS450"/>
      <c r="CL450" s="28">
        <v>179</v>
      </c>
      <c r="CM450" s="28">
        <v>170</v>
      </c>
      <c r="CO450"/>
    </row>
    <row r="451" spans="2:93" ht="16.5" hidden="1">
      <c r="B451" s="17">
        <v>447</v>
      </c>
      <c r="C451" s="363" t="s">
        <v>506</v>
      </c>
      <c r="N451" s="167">
        <v>2</v>
      </c>
      <c r="O451" s="167">
        <v>7</v>
      </c>
      <c r="P451" s="167">
        <v>8</v>
      </c>
      <c r="Q451" s="167">
        <v>9</v>
      </c>
      <c r="R451" s="167">
        <v>17</v>
      </c>
      <c r="S451" s="167">
        <v>33</v>
      </c>
      <c r="T451" s="167">
        <v>34</v>
      </c>
      <c r="U451" s="28">
        <f t="shared" si="304"/>
        <v>76</v>
      </c>
      <c r="W451" s="32" t="str">
        <f t="shared" si="332"/>
        <v>짝수</v>
      </c>
      <c r="X451" s="32" t="str">
        <f t="shared" si="333"/>
        <v>홀수</v>
      </c>
      <c r="Y451" s="32" t="str">
        <f t="shared" si="334"/>
        <v>짝수</v>
      </c>
      <c r="Z451" s="32" t="str">
        <f t="shared" si="335"/>
        <v>홀수</v>
      </c>
      <c r="AA451" s="32" t="str">
        <f t="shared" si="336"/>
        <v>홀수</v>
      </c>
      <c r="AB451" s="32" t="str">
        <f t="shared" si="337"/>
        <v>홀수</v>
      </c>
      <c r="AC451" s="58" t="str">
        <f t="shared" si="338"/>
        <v>4 : 2</v>
      </c>
      <c r="AD451" s="32">
        <f t="shared" si="339"/>
        <v>4</v>
      </c>
      <c r="AE451" s="32">
        <f t="shared" si="340"/>
        <v>2</v>
      </c>
      <c r="AF451" s="66" t="str">
        <f t="shared" si="305"/>
        <v>저수</v>
      </c>
      <c r="AG451" s="66" t="str">
        <f t="shared" si="306"/>
        <v>저수</v>
      </c>
      <c r="AH451" s="66" t="str">
        <f t="shared" si="307"/>
        <v>저수</v>
      </c>
      <c r="AI451" s="66" t="str">
        <f t="shared" si="308"/>
        <v>저수</v>
      </c>
      <c r="AJ451" s="66" t="str">
        <f t="shared" si="309"/>
        <v>저수</v>
      </c>
      <c r="AK451" s="66" t="str">
        <f t="shared" si="310"/>
        <v>고수</v>
      </c>
      <c r="AL451" s="58" t="str">
        <f t="shared" si="311"/>
        <v>5 : 1</v>
      </c>
      <c r="AM451" s="66">
        <f t="shared" si="312"/>
        <v>5</v>
      </c>
      <c r="AN451" s="66">
        <f t="shared" si="313"/>
        <v>1</v>
      </c>
      <c r="AO451" s="66">
        <f t="shared" si="314"/>
        <v>36</v>
      </c>
      <c r="AP451" s="66" t="str">
        <f t="shared" si="315"/>
        <v>O</v>
      </c>
      <c r="AQ451" s="66" t="str">
        <f t="shared" si="316"/>
        <v>O</v>
      </c>
      <c r="AR451" s="66" t="str">
        <f t="shared" si="317"/>
        <v>X</v>
      </c>
      <c r="AS451" s="66" t="str">
        <f t="shared" si="318"/>
        <v>X</v>
      </c>
      <c r="AT451" s="66" t="str">
        <f t="shared" si="319"/>
        <v>O</v>
      </c>
      <c r="AU451" s="66" t="str">
        <f t="shared" si="320"/>
        <v>X</v>
      </c>
      <c r="AV451" s="66" t="str">
        <f t="shared" si="321"/>
        <v>X</v>
      </c>
      <c r="AW451" s="66" t="str">
        <f t="shared" si="322"/>
        <v>X</v>
      </c>
      <c r="AX451" s="66" t="str">
        <f t="shared" si="323"/>
        <v>X</v>
      </c>
      <c r="AY451" s="66" t="str">
        <f t="shared" si="324"/>
        <v>X</v>
      </c>
      <c r="AZ451" s="66" t="str">
        <f t="shared" si="325"/>
        <v>X</v>
      </c>
      <c r="BA451" s="66" t="str">
        <f t="shared" si="326"/>
        <v>X</v>
      </c>
      <c r="BB451" s="66">
        <f t="shared" si="327"/>
        <v>3</v>
      </c>
      <c r="BC451" s="127" t="str">
        <f t="shared" si="298"/>
        <v>1G</v>
      </c>
      <c r="BD451" s="127" t="str">
        <f t="shared" si="299"/>
        <v>1G</v>
      </c>
      <c r="BE451" s="127" t="str">
        <f t="shared" si="300"/>
        <v>1G</v>
      </c>
      <c r="BF451" s="127" t="str">
        <f t="shared" si="301"/>
        <v>1G</v>
      </c>
      <c r="BG451" s="127" t="str">
        <f t="shared" si="302"/>
        <v>2G</v>
      </c>
      <c r="BH451" s="127" t="str">
        <f t="shared" si="303"/>
        <v>3G</v>
      </c>
      <c r="BI451" s="127">
        <f t="shared" si="328"/>
        <v>4</v>
      </c>
      <c r="BJ451" s="127">
        <f t="shared" si="329"/>
        <v>1</v>
      </c>
      <c r="BK451" s="127">
        <f t="shared" si="330"/>
        <v>1</v>
      </c>
      <c r="BL451" s="127" t="str">
        <f t="shared" si="331"/>
        <v>411</v>
      </c>
      <c r="BS451"/>
      <c r="CL451" s="28">
        <v>179</v>
      </c>
      <c r="CM451" s="28">
        <v>170</v>
      </c>
      <c r="CO451"/>
    </row>
    <row r="452" spans="2:93" ht="16.5" hidden="1">
      <c r="B452" s="17">
        <v>448</v>
      </c>
      <c r="C452" s="363" t="s">
        <v>507</v>
      </c>
      <c r="N452" s="167">
        <v>3</v>
      </c>
      <c r="O452" s="167">
        <v>7</v>
      </c>
      <c r="P452" s="167">
        <v>13</v>
      </c>
      <c r="Q452" s="167">
        <v>27</v>
      </c>
      <c r="R452" s="167">
        <v>40</v>
      </c>
      <c r="S452" s="167">
        <v>41</v>
      </c>
      <c r="T452" s="167">
        <v>36</v>
      </c>
      <c r="U452" s="28">
        <f t="shared" si="304"/>
        <v>131</v>
      </c>
      <c r="W452" s="32" t="str">
        <f t="shared" si="332"/>
        <v>홀수</v>
      </c>
      <c r="X452" s="32" t="str">
        <f t="shared" si="333"/>
        <v>홀수</v>
      </c>
      <c r="Y452" s="32" t="str">
        <f t="shared" si="334"/>
        <v>홀수</v>
      </c>
      <c r="Z452" s="32" t="str">
        <f t="shared" si="335"/>
        <v>홀수</v>
      </c>
      <c r="AA452" s="32" t="str">
        <f t="shared" si="336"/>
        <v>짝수</v>
      </c>
      <c r="AB452" s="32" t="str">
        <f t="shared" si="337"/>
        <v>홀수</v>
      </c>
      <c r="AC452" s="58" t="str">
        <f t="shared" si="338"/>
        <v>5 : 1</v>
      </c>
      <c r="AD452" s="32">
        <f t="shared" si="339"/>
        <v>5</v>
      </c>
      <c r="AE452" s="32">
        <f t="shared" si="340"/>
        <v>1</v>
      </c>
      <c r="AF452" s="66" t="str">
        <f t="shared" si="305"/>
        <v>저수</v>
      </c>
      <c r="AG452" s="66" t="str">
        <f t="shared" si="306"/>
        <v>저수</v>
      </c>
      <c r="AH452" s="66" t="str">
        <f t="shared" si="307"/>
        <v>저수</v>
      </c>
      <c r="AI452" s="66" t="str">
        <f t="shared" si="308"/>
        <v>고수</v>
      </c>
      <c r="AJ452" s="66" t="str">
        <f t="shared" si="309"/>
        <v>고수</v>
      </c>
      <c r="AK452" s="66" t="str">
        <f t="shared" si="310"/>
        <v>고수</v>
      </c>
      <c r="AL452" s="58" t="str">
        <f t="shared" si="311"/>
        <v>3 : 3</v>
      </c>
      <c r="AM452" s="66">
        <f t="shared" si="312"/>
        <v>3</v>
      </c>
      <c r="AN452" s="66">
        <f t="shared" si="313"/>
        <v>3</v>
      </c>
      <c r="AO452" s="66">
        <f t="shared" si="314"/>
        <v>21</v>
      </c>
      <c r="AP452" s="66" t="str">
        <f t="shared" si="315"/>
        <v>O</v>
      </c>
      <c r="AQ452" s="66" t="str">
        <f t="shared" si="316"/>
        <v>O</v>
      </c>
      <c r="AR452" s="66" t="str">
        <f t="shared" si="317"/>
        <v>O</v>
      </c>
      <c r="AS452" s="66" t="str">
        <f t="shared" si="318"/>
        <v>X</v>
      </c>
      <c r="AT452" s="66" t="str">
        <f t="shared" si="319"/>
        <v>X</v>
      </c>
      <c r="AU452" s="66" t="str">
        <f t="shared" si="320"/>
        <v>X</v>
      </c>
      <c r="AV452" s="66" t="str">
        <f t="shared" si="321"/>
        <v>X</v>
      </c>
      <c r="AW452" s="66" t="str">
        <f t="shared" si="322"/>
        <v>X</v>
      </c>
      <c r="AX452" s="66" t="str">
        <f t="shared" si="323"/>
        <v>X</v>
      </c>
      <c r="AY452" s="66" t="str">
        <f t="shared" si="324"/>
        <v>X</v>
      </c>
      <c r="AZ452" s="66" t="str">
        <f t="shared" si="325"/>
        <v>X</v>
      </c>
      <c r="BA452" s="66" t="str">
        <f t="shared" si="326"/>
        <v>O</v>
      </c>
      <c r="BB452" s="66">
        <f t="shared" si="327"/>
        <v>4</v>
      </c>
      <c r="BC452" s="127" t="str">
        <f t="shared" si="298"/>
        <v>1G</v>
      </c>
      <c r="BD452" s="127" t="str">
        <f t="shared" si="299"/>
        <v>1G</v>
      </c>
      <c r="BE452" s="127" t="str">
        <f t="shared" si="300"/>
        <v>1G</v>
      </c>
      <c r="BF452" s="127" t="str">
        <f t="shared" si="301"/>
        <v>2G</v>
      </c>
      <c r="BG452" s="127" t="str">
        <f t="shared" si="302"/>
        <v>3G</v>
      </c>
      <c r="BH452" s="127" t="str">
        <f t="shared" si="303"/>
        <v>3G</v>
      </c>
      <c r="BI452" s="127">
        <f t="shared" si="328"/>
        <v>3</v>
      </c>
      <c r="BJ452" s="127">
        <f t="shared" si="329"/>
        <v>1</v>
      </c>
      <c r="BK452" s="127">
        <f t="shared" si="330"/>
        <v>2</v>
      </c>
      <c r="BL452" s="127" t="str">
        <f t="shared" si="331"/>
        <v>312</v>
      </c>
      <c r="BS452"/>
      <c r="CL452" s="28">
        <v>180</v>
      </c>
      <c r="CM452" s="28">
        <v>180</v>
      </c>
      <c r="CO452"/>
    </row>
    <row r="453" spans="2:93" ht="16.5" hidden="1">
      <c r="B453" s="17">
        <v>449</v>
      </c>
      <c r="C453" s="363" t="s">
        <v>508</v>
      </c>
      <c r="N453" s="167">
        <v>3</v>
      </c>
      <c r="O453" s="167">
        <v>10</v>
      </c>
      <c r="P453" s="167">
        <v>20</v>
      </c>
      <c r="Q453" s="167">
        <v>26</v>
      </c>
      <c r="R453" s="167">
        <v>35</v>
      </c>
      <c r="S453" s="167">
        <v>43</v>
      </c>
      <c r="T453" s="167">
        <v>36</v>
      </c>
      <c r="U453" s="28">
        <f t="shared" si="304"/>
        <v>137</v>
      </c>
      <c r="W453" s="32" t="str">
        <f t="shared" si="332"/>
        <v>홀수</v>
      </c>
      <c r="X453" s="32" t="str">
        <f t="shared" si="333"/>
        <v>짝수</v>
      </c>
      <c r="Y453" s="32" t="str">
        <f t="shared" si="334"/>
        <v>짝수</v>
      </c>
      <c r="Z453" s="32" t="str">
        <f t="shared" si="335"/>
        <v>짝수</v>
      </c>
      <c r="AA453" s="32" t="str">
        <f t="shared" si="336"/>
        <v>홀수</v>
      </c>
      <c r="AB453" s="32" t="str">
        <f t="shared" si="337"/>
        <v>홀수</v>
      </c>
      <c r="AC453" s="58" t="str">
        <f t="shared" si="338"/>
        <v>3 : 3</v>
      </c>
      <c r="AD453" s="32">
        <f t="shared" si="339"/>
        <v>3</v>
      </c>
      <c r="AE453" s="32">
        <f t="shared" si="340"/>
        <v>3</v>
      </c>
      <c r="AF453" s="66" t="str">
        <f t="shared" si="305"/>
        <v>저수</v>
      </c>
      <c r="AG453" s="66" t="str">
        <f t="shared" si="306"/>
        <v>저수</v>
      </c>
      <c r="AH453" s="66" t="str">
        <f t="shared" si="307"/>
        <v>저수</v>
      </c>
      <c r="AI453" s="66" t="str">
        <f t="shared" si="308"/>
        <v>고수</v>
      </c>
      <c r="AJ453" s="66" t="str">
        <f t="shared" si="309"/>
        <v>고수</v>
      </c>
      <c r="AK453" s="66" t="str">
        <f t="shared" si="310"/>
        <v>고수</v>
      </c>
      <c r="AL453" s="58" t="str">
        <f t="shared" si="311"/>
        <v>3 : 3</v>
      </c>
      <c r="AM453" s="66">
        <f t="shared" si="312"/>
        <v>3</v>
      </c>
      <c r="AN453" s="66">
        <f t="shared" si="313"/>
        <v>3</v>
      </c>
      <c r="AO453" s="66">
        <f t="shared" si="314"/>
        <v>17</v>
      </c>
      <c r="AP453" s="66" t="str">
        <f t="shared" si="315"/>
        <v>O</v>
      </c>
      <c r="AQ453" s="66" t="str">
        <f t="shared" si="316"/>
        <v>X</v>
      </c>
      <c r="AR453" s="66" t="str">
        <f t="shared" si="317"/>
        <v>X</v>
      </c>
      <c r="AS453" s="66" t="str">
        <f t="shared" si="318"/>
        <v>X</v>
      </c>
      <c r="AT453" s="66" t="str">
        <f t="shared" si="319"/>
        <v>X</v>
      </c>
      <c r="AU453" s="66" t="str">
        <f t="shared" si="320"/>
        <v>X</v>
      </c>
      <c r="AV453" s="66" t="str">
        <f t="shared" si="321"/>
        <v>X</v>
      </c>
      <c r="AW453" s="66" t="str">
        <f t="shared" si="322"/>
        <v>X</v>
      </c>
      <c r="AX453" s="66" t="str">
        <f t="shared" si="323"/>
        <v>X</v>
      </c>
      <c r="AY453" s="66" t="str">
        <f t="shared" si="324"/>
        <v>X</v>
      </c>
      <c r="AZ453" s="66" t="str">
        <f t="shared" si="325"/>
        <v>X</v>
      </c>
      <c r="BA453" s="66" t="str">
        <f t="shared" si="326"/>
        <v>O</v>
      </c>
      <c r="BB453" s="66">
        <f t="shared" si="327"/>
        <v>2</v>
      </c>
      <c r="BC453" s="127" t="str">
        <f t="shared" ref="BC453:BC506" si="341">VLOOKUP(N453,삼그룹,6,FALSE)</f>
        <v>1G</v>
      </c>
      <c r="BD453" s="127" t="str">
        <f t="shared" ref="BD453:BD506" si="342">VLOOKUP(O453,삼그룹,6,FALSE)</f>
        <v>1G</v>
      </c>
      <c r="BE453" s="127" t="str">
        <f t="shared" ref="BE453:BE506" si="343">VLOOKUP(P453,삼그룹,6,FALSE)</f>
        <v>2G</v>
      </c>
      <c r="BF453" s="127" t="str">
        <f t="shared" ref="BF453:BF506" si="344">VLOOKUP(Q453,삼그룹,6,FALSE)</f>
        <v>2G</v>
      </c>
      <c r="BG453" s="127" t="str">
        <f t="shared" ref="BG453:BG506" si="345">VLOOKUP(R453,삼그룹,6,FALSE)</f>
        <v>3G</v>
      </c>
      <c r="BH453" s="127" t="str">
        <f t="shared" ref="BH453:BH506" si="346">VLOOKUP(S453,삼그룹,6,FALSE)</f>
        <v>3G</v>
      </c>
      <c r="BI453" s="127">
        <f t="shared" si="328"/>
        <v>2</v>
      </c>
      <c r="BJ453" s="127">
        <f t="shared" si="329"/>
        <v>2</v>
      </c>
      <c r="BK453" s="127">
        <f t="shared" si="330"/>
        <v>2</v>
      </c>
      <c r="BL453" s="127" t="str">
        <f t="shared" si="331"/>
        <v>222</v>
      </c>
      <c r="BS453"/>
      <c r="CL453" s="28">
        <v>180</v>
      </c>
      <c r="CM453" s="28">
        <v>180</v>
      </c>
      <c r="CO453"/>
    </row>
    <row r="454" spans="2:93" ht="16.5" hidden="1">
      <c r="B454" s="17">
        <v>450</v>
      </c>
      <c r="C454" s="363" t="s">
        <v>509</v>
      </c>
      <c r="N454" s="167">
        <v>6</v>
      </c>
      <c r="O454" s="167">
        <v>14</v>
      </c>
      <c r="P454" s="167">
        <v>19</v>
      </c>
      <c r="Q454" s="167">
        <v>21</v>
      </c>
      <c r="R454" s="167">
        <v>23</v>
      </c>
      <c r="S454" s="167">
        <v>31</v>
      </c>
      <c r="T454" s="167">
        <v>13</v>
      </c>
      <c r="U454" s="28">
        <f t="shared" ref="U454:U488" si="347">SUM(N454:S454)</f>
        <v>114</v>
      </c>
      <c r="W454" s="32" t="str">
        <f t="shared" si="332"/>
        <v>짝수</v>
      </c>
      <c r="X454" s="32" t="str">
        <f t="shared" si="333"/>
        <v>짝수</v>
      </c>
      <c r="Y454" s="32" t="str">
        <f t="shared" si="334"/>
        <v>홀수</v>
      </c>
      <c r="Z454" s="32" t="str">
        <f t="shared" si="335"/>
        <v>홀수</v>
      </c>
      <c r="AA454" s="32" t="str">
        <f t="shared" si="336"/>
        <v>홀수</v>
      </c>
      <c r="AB454" s="32" t="str">
        <f t="shared" si="337"/>
        <v>홀수</v>
      </c>
      <c r="AC454" s="58" t="str">
        <f t="shared" si="338"/>
        <v>4 : 2</v>
      </c>
      <c r="AD454" s="32">
        <f t="shared" si="339"/>
        <v>4</v>
      </c>
      <c r="AE454" s="32">
        <f t="shared" si="340"/>
        <v>2</v>
      </c>
      <c r="AF454" s="66" t="str">
        <f t="shared" ref="AF454:AF506" si="348">IF(N454&lt;23,"저수","고수")</f>
        <v>저수</v>
      </c>
      <c r="AG454" s="66" t="str">
        <f t="shared" ref="AG454:AG506" si="349">IF(O454&lt;23,"저수","고수")</f>
        <v>저수</v>
      </c>
      <c r="AH454" s="66" t="str">
        <f t="shared" ref="AH454:AH506" si="350">IF(P454&lt;23,"저수","고수")</f>
        <v>저수</v>
      </c>
      <c r="AI454" s="66" t="str">
        <f t="shared" ref="AI454:AI506" si="351">IF(Q454&lt;23,"저수","고수")</f>
        <v>저수</v>
      </c>
      <c r="AJ454" s="66" t="str">
        <f t="shared" ref="AJ454:AJ506" si="352">IF(R454&lt;23,"저수","고수")</f>
        <v>고수</v>
      </c>
      <c r="AK454" s="66" t="str">
        <f t="shared" ref="AK454:AK506" si="353">IF(S454&lt;23,"저수","고수")</f>
        <v>고수</v>
      </c>
      <c r="AL454" s="58" t="str">
        <f t="shared" ref="AL454:AL506" si="354">AM454&amp;" : "&amp;AN454</f>
        <v>4 : 2</v>
      </c>
      <c r="AM454" s="66">
        <f t="shared" ref="AM454:AM506" si="355">COUNTIF(AF454:AK454,"저수")</f>
        <v>4</v>
      </c>
      <c r="AN454" s="66">
        <f t="shared" ref="AN454:AN506" si="356">COUNTIF(AF454:AK454,"고수")</f>
        <v>2</v>
      </c>
      <c r="AO454" s="66">
        <f t="shared" ref="AO454:AO506" si="357">RIGHT(N454,1)+RIGHT(O454,1)+RIGHT(P454,1)+RIGHT(Q454,1)+RIGHT(R454,1)+RIGHT(S454,1)</f>
        <v>24</v>
      </c>
      <c r="AP454" s="66" t="str">
        <f t="shared" ref="AP454:AP506" si="358">IF(N454=2,"O",IF(N454=3,"O",IF(N454=5,"O",IF(N454=7,"O",IF(N454=11,"O",IF(N454=13,"O",IF(N454=17,"O",IF(N454=19,"O","X"))))))))</f>
        <v>X</v>
      </c>
      <c r="AQ454" s="66" t="str">
        <f t="shared" ref="AQ454:AQ506" si="359">IF(O454=2,"O",IF(O454=3,"O",IF(O454=5,"O",IF(O454=7,"O",IF(O454=11,"O",IF(O454=13,"O",IF(O454=17,"O",IF(O454=19,"O","X"))))))))</f>
        <v>X</v>
      </c>
      <c r="AR454" s="66" t="str">
        <f t="shared" ref="AR454:AR506" si="360">IF(P454=2,"O",IF(P454=3,"O",IF(P454=5,"O",IF(P454=7,"O",IF(P454=11,"O",IF(P454=13,"O",IF(P454=17,"O",IF(P454=19,"O","X"))))))))</f>
        <v>O</v>
      </c>
      <c r="AS454" s="66" t="str">
        <f t="shared" ref="AS454:AS506" si="361">IF(Q454=2,"O",IF(Q454=3,"O",IF(Q454=5,"O",IF(Q454=7,"O",IF(Q454=11,"O",IF(Q454=13,"O",IF(Q454=17,"O",IF(Q454=19,"O","X"))))))))</f>
        <v>X</v>
      </c>
      <c r="AT454" s="66" t="str">
        <f t="shared" ref="AT454:AT506" si="362">IF(R454=2,"O",IF(R454=3,"O",IF(R454=5,"O",IF(R454=7,"O",IF(R454=11,"O",IF(R454=13,"O",IF(R454=17,"O",IF(R454=19,"O","X"))))))))</f>
        <v>X</v>
      </c>
      <c r="AU454" s="66" t="str">
        <f t="shared" ref="AU454:AU506" si="363">IF(S454=2,"O",IF(S454=3,"O",IF(S454=5,"O",IF(S454=7,"O",IF(S454=11,"O",IF(S454=13,"O",IF(S454=17,"O",IF(S454=19,"O","X"))))))))</f>
        <v>X</v>
      </c>
      <c r="AV454" s="66" t="str">
        <f t="shared" ref="AV454:AV506" si="364">IF(N454=23,"O",IF(N454=29,"O",IF(N454=31,"O",IF(N454=37,"O",IF(N454=41,"O",IF(N454=43,"O","X"))))))</f>
        <v>X</v>
      </c>
      <c r="AW454" s="66" t="str">
        <f t="shared" ref="AW454:AW506" si="365">IF(O454=23,"O",IF(O454=29,"O",IF(O454=31,"O",IF(O454=37,"O",IF(O454=41,"O",IF(O454=43,"O","X"))))))</f>
        <v>X</v>
      </c>
      <c r="AX454" s="66" t="str">
        <f t="shared" ref="AX454:AX506" si="366">IF(P454=23,"O",IF(P454=29,"O",IF(P454=31,"O",IF(P454=37,"O",IF(P454=41,"O",IF(P454=43,"O","X"))))))</f>
        <v>X</v>
      </c>
      <c r="AY454" s="66" t="str">
        <f t="shared" ref="AY454:AY506" si="367">IF(Q454=23,"O",IF(Q454=29,"O",IF(Q454=31,"O",IF(Q454=37,"O",IF(Q454=41,"O",IF(Q454=43,"O","X"))))))</f>
        <v>X</v>
      </c>
      <c r="AZ454" s="66" t="str">
        <f t="shared" ref="AZ454:AZ506" si="368">IF(R454=23,"O",IF(R454=29,"O",IF(R454=31,"O",IF(R454=37,"O",IF(R454=41,"O",IF(R454=43,"O","X"))))))</f>
        <v>O</v>
      </c>
      <c r="BA454" s="66" t="str">
        <f t="shared" ref="BA454:BA506" si="369">IF(S454=23,"O",IF(S454=29,"O",IF(S454=31,"O",IF(S454=37,"O",IF(S454=41,"O",IF(S454=43,"O","X"))))))</f>
        <v>O</v>
      </c>
      <c r="BB454" s="66">
        <f t="shared" ref="BB454:BB506" si="370">COUNTIF(AP454:BA454,"O")</f>
        <v>3</v>
      </c>
      <c r="BC454" s="127" t="str">
        <f t="shared" si="341"/>
        <v>1G</v>
      </c>
      <c r="BD454" s="127" t="str">
        <f t="shared" si="342"/>
        <v>1G</v>
      </c>
      <c r="BE454" s="127" t="str">
        <f t="shared" si="343"/>
        <v>2G</v>
      </c>
      <c r="BF454" s="127" t="str">
        <f t="shared" si="344"/>
        <v>2G</v>
      </c>
      <c r="BG454" s="127" t="str">
        <f t="shared" si="345"/>
        <v>2G</v>
      </c>
      <c r="BH454" s="127" t="str">
        <f t="shared" si="346"/>
        <v>3G</v>
      </c>
      <c r="BI454" s="127">
        <f t="shared" ref="BI454:BI517" si="371">COUNTIF($BC454:$BH454,"1G")</f>
        <v>2</v>
      </c>
      <c r="BJ454" s="127">
        <f t="shared" ref="BJ454:BJ517" si="372">COUNTIF($BC454:$BH454,"2G")</f>
        <v>3</v>
      </c>
      <c r="BK454" s="127">
        <f t="shared" ref="BK454:BK517" si="373">COUNTIF($BC454:$BH454,"3G")</f>
        <v>1</v>
      </c>
      <c r="BL454" s="127" t="str">
        <f t="shared" ref="BL454:BL506" si="374">BI454&amp;BJ454&amp;BK454</f>
        <v>231</v>
      </c>
      <c r="BS454"/>
      <c r="CL454" s="28">
        <v>181</v>
      </c>
      <c r="CM454" s="28">
        <v>180</v>
      </c>
      <c r="CO454"/>
    </row>
    <row r="455" spans="2:93" ht="16.5" hidden="1">
      <c r="B455" s="17">
        <v>451</v>
      </c>
      <c r="C455" s="363" t="s">
        <v>510</v>
      </c>
      <c r="N455" s="167">
        <v>12</v>
      </c>
      <c r="O455" s="167">
        <v>15</v>
      </c>
      <c r="P455" s="167">
        <v>20</v>
      </c>
      <c r="Q455" s="167">
        <v>24</v>
      </c>
      <c r="R455" s="167">
        <v>30</v>
      </c>
      <c r="S455" s="167">
        <v>38</v>
      </c>
      <c r="T455" s="167">
        <v>29</v>
      </c>
      <c r="U455" s="28">
        <f t="shared" si="347"/>
        <v>139</v>
      </c>
      <c r="W455" s="32" t="str">
        <f t="shared" si="332"/>
        <v>짝수</v>
      </c>
      <c r="X455" s="32" t="str">
        <f t="shared" si="333"/>
        <v>홀수</v>
      </c>
      <c r="Y455" s="32" t="str">
        <f t="shared" si="334"/>
        <v>짝수</v>
      </c>
      <c r="Z455" s="32" t="str">
        <f t="shared" si="335"/>
        <v>짝수</v>
      </c>
      <c r="AA455" s="32" t="str">
        <f t="shared" si="336"/>
        <v>짝수</v>
      </c>
      <c r="AB455" s="32" t="str">
        <f t="shared" si="337"/>
        <v>짝수</v>
      </c>
      <c r="AC455" s="58" t="str">
        <f t="shared" si="338"/>
        <v>1 : 5</v>
      </c>
      <c r="AD455" s="32">
        <f t="shared" si="339"/>
        <v>1</v>
      </c>
      <c r="AE455" s="32">
        <f t="shared" si="340"/>
        <v>5</v>
      </c>
      <c r="AF455" s="66" t="str">
        <f t="shared" si="348"/>
        <v>저수</v>
      </c>
      <c r="AG455" s="66" t="str">
        <f t="shared" si="349"/>
        <v>저수</v>
      </c>
      <c r="AH455" s="66" t="str">
        <f t="shared" si="350"/>
        <v>저수</v>
      </c>
      <c r="AI455" s="66" t="str">
        <f t="shared" si="351"/>
        <v>고수</v>
      </c>
      <c r="AJ455" s="66" t="str">
        <f t="shared" si="352"/>
        <v>고수</v>
      </c>
      <c r="AK455" s="66" t="str">
        <f t="shared" si="353"/>
        <v>고수</v>
      </c>
      <c r="AL455" s="58" t="str">
        <f t="shared" si="354"/>
        <v>3 : 3</v>
      </c>
      <c r="AM455" s="66">
        <f t="shared" si="355"/>
        <v>3</v>
      </c>
      <c r="AN455" s="66">
        <f t="shared" si="356"/>
        <v>3</v>
      </c>
      <c r="AO455" s="66">
        <f t="shared" si="357"/>
        <v>19</v>
      </c>
      <c r="AP455" s="66" t="str">
        <f t="shared" si="358"/>
        <v>X</v>
      </c>
      <c r="AQ455" s="66" t="str">
        <f t="shared" si="359"/>
        <v>X</v>
      </c>
      <c r="AR455" s="66" t="str">
        <f t="shared" si="360"/>
        <v>X</v>
      </c>
      <c r="AS455" s="66" t="str">
        <f t="shared" si="361"/>
        <v>X</v>
      </c>
      <c r="AT455" s="66" t="str">
        <f t="shared" si="362"/>
        <v>X</v>
      </c>
      <c r="AU455" s="66" t="str">
        <f t="shared" si="363"/>
        <v>X</v>
      </c>
      <c r="AV455" s="66" t="str">
        <f t="shared" si="364"/>
        <v>X</v>
      </c>
      <c r="AW455" s="66" t="str">
        <f t="shared" si="365"/>
        <v>X</v>
      </c>
      <c r="AX455" s="66" t="str">
        <f t="shared" si="366"/>
        <v>X</v>
      </c>
      <c r="AY455" s="66" t="str">
        <f t="shared" si="367"/>
        <v>X</v>
      </c>
      <c r="AZ455" s="66" t="str">
        <f t="shared" si="368"/>
        <v>X</v>
      </c>
      <c r="BA455" s="66" t="str">
        <f t="shared" si="369"/>
        <v>X</v>
      </c>
      <c r="BB455" s="66">
        <f t="shared" si="370"/>
        <v>0</v>
      </c>
      <c r="BC455" s="127" t="str">
        <f t="shared" si="341"/>
        <v>1G</v>
      </c>
      <c r="BD455" s="127" t="str">
        <f t="shared" si="342"/>
        <v>1G</v>
      </c>
      <c r="BE455" s="127" t="str">
        <f t="shared" si="343"/>
        <v>2G</v>
      </c>
      <c r="BF455" s="127" t="str">
        <f t="shared" si="344"/>
        <v>2G</v>
      </c>
      <c r="BG455" s="127" t="str">
        <f t="shared" si="345"/>
        <v>2G</v>
      </c>
      <c r="BH455" s="127" t="str">
        <f t="shared" si="346"/>
        <v>3G</v>
      </c>
      <c r="BI455" s="127">
        <f t="shared" si="371"/>
        <v>2</v>
      </c>
      <c r="BJ455" s="127">
        <f t="shared" si="372"/>
        <v>3</v>
      </c>
      <c r="BK455" s="127">
        <f t="shared" si="373"/>
        <v>1</v>
      </c>
      <c r="BL455" s="127" t="str">
        <f t="shared" si="374"/>
        <v>231</v>
      </c>
      <c r="BS455"/>
      <c r="CL455" s="28">
        <v>181</v>
      </c>
      <c r="CM455" s="28">
        <v>180</v>
      </c>
      <c r="CO455"/>
    </row>
    <row r="456" spans="2:93" ht="16.5" hidden="1">
      <c r="B456" s="17">
        <v>452</v>
      </c>
      <c r="C456" s="363" t="s">
        <v>511</v>
      </c>
      <c r="N456" s="167">
        <v>8</v>
      </c>
      <c r="O456" s="167">
        <v>10</v>
      </c>
      <c r="P456" s="167">
        <v>18</v>
      </c>
      <c r="Q456" s="167">
        <v>30</v>
      </c>
      <c r="R456" s="167">
        <v>32</v>
      </c>
      <c r="S456" s="167">
        <v>34</v>
      </c>
      <c r="T456" s="167">
        <v>27</v>
      </c>
      <c r="U456" s="28">
        <f t="shared" si="347"/>
        <v>132</v>
      </c>
      <c r="W456" s="32" t="str">
        <f t="shared" si="332"/>
        <v>짝수</v>
      </c>
      <c r="X456" s="32" t="str">
        <f t="shared" si="333"/>
        <v>짝수</v>
      </c>
      <c r="Y456" s="32" t="str">
        <f t="shared" si="334"/>
        <v>짝수</v>
      </c>
      <c r="Z456" s="32" t="str">
        <f t="shared" si="335"/>
        <v>짝수</v>
      </c>
      <c r="AA456" s="32" t="str">
        <f t="shared" si="336"/>
        <v>짝수</v>
      </c>
      <c r="AB456" s="32" t="str">
        <f t="shared" si="337"/>
        <v>짝수</v>
      </c>
      <c r="AC456" s="58" t="str">
        <f t="shared" si="338"/>
        <v>0 : 6</v>
      </c>
      <c r="AD456" s="32">
        <f t="shared" si="339"/>
        <v>0</v>
      </c>
      <c r="AE456" s="32">
        <f t="shared" si="340"/>
        <v>6</v>
      </c>
      <c r="AF456" s="66" t="str">
        <f t="shared" si="348"/>
        <v>저수</v>
      </c>
      <c r="AG456" s="66" t="str">
        <f t="shared" si="349"/>
        <v>저수</v>
      </c>
      <c r="AH456" s="66" t="str">
        <f t="shared" si="350"/>
        <v>저수</v>
      </c>
      <c r="AI456" s="66" t="str">
        <f t="shared" si="351"/>
        <v>고수</v>
      </c>
      <c r="AJ456" s="66" t="str">
        <f t="shared" si="352"/>
        <v>고수</v>
      </c>
      <c r="AK456" s="66" t="str">
        <f t="shared" si="353"/>
        <v>고수</v>
      </c>
      <c r="AL456" s="58" t="str">
        <f t="shared" si="354"/>
        <v>3 : 3</v>
      </c>
      <c r="AM456" s="66">
        <f t="shared" si="355"/>
        <v>3</v>
      </c>
      <c r="AN456" s="66">
        <f t="shared" si="356"/>
        <v>3</v>
      </c>
      <c r="AO456" s="66">
        <f t="shared" si="357"/>
        <v>22</v>
      </c>
      <c r="AP456" s="66" t="str">
        <f t="shared" si="358"/>
        <v>X</v>
      </c>
      <c r="AQ456" s="66" t="str">
        <f t="shared" si="359"/>
        <v>X</v>
      </c>
      <c r="AR456" s="66" t="str">
        <f t="shared" si="360"/>
        <v>X</v>
      </c>
      <c r="AS456" s="66" t="str">
        <f t="shared" si="361"/>
        <v>X</v>
      </c>
      <c r="AT456" s="66" t="str">
        <f t="shared" si="362"/>
        <v>X</v>
      </c>
      <c r="AU456" s="66" t="str">
        <f t="shared" si="363"/>
        <v>X</v>
      </c>
      <c r="AV456" s="66" t="str">
        <f t="shared" si="364"/>
        <v>X</v>
      </c>
      <c r="AW456" s="66" t="str">
        <f t="shared" si="365"/>
        <v>X</v>
      </c>
      <c r="AX456" s="66" t="str">
        <f t="shared" si="366"/>
        <v>X</v>
      </c>
      <c r="AY456" s="66" t="str">
        <f t="shared" si="367"/>
        <v>X</v>
      </c>
      <c r="AZ456" s="66" t="str">
        <f t="shared" si="368"/>
        <v>X</v>
      </c>
      <c r="BA456" s="66" t="str">
        <f t="shared" si="369"/>
        <v>X</v>
      </c>
      <c r="BB456" s="66">
        <f t="shared" si="370"/>
        <v>0</v>
      </c>
      <c r="BC456" s="127" t="str">
        <f t="shared" si="341"/>
        <v>1G</v>
      </c>
      <c r="BD456" s="127" t="str">
        <f t="shared" si="342"/>
        <v>1G</v>
      </c>
      <c r="BE456" s="127" t="str">
        <f t="shared" si="343"/>
        <v>2G</v>
      </c>
      <c r="BF456" s="127" t="str">
        <f t="shared" si="344"/>
        <v>2G</v>
      </c>
      <c r="BG456" s="127" t="str">
        <f t="shared" si="345"/>
        <v>3G</v>
      </c>
      <c r="BH456" s="127" t="str">
        <f t="shared" si="346"/>
        <v>3G</v>
      </c>
      <c r="BI456" s="127">
        <f t="shared" si="371"/>
        <v>2</v>
      </c>
      <c r="BJ456" s="127">
        <f t="shared" si="372"/>
        <v>2</v>
      </c>
      <c r="BK456" s="127">
        <f t="shared" si="373"/>
        <v>2</v>
      </c>
      <c r="BL456" s="127" t="str">
        <f t="shared" si="374"/>
        <v>222</v>
      </c>
      <c r="BS456"/>
      <c r="CL456" s="28">
        <v>182</v>
      </c>
      <c r="CM456" s="28">
        <v>180</v>
      </c>
      <c r="CO456"/>
    </row>
    <row r="457" spans="2:93" ht="16.5" hidden="1">
      <c r="B457" s="17">
        <v>453</v>
      </c>
      <c r="C457" s="363" t="s">
        <v>472</v>
      </c>
      <c r="N457" s="167">
        <v>12</v>
      </c>
      <c r="O457" s="167">
        <v>24</v>
      </c>
      <c r="P457" s="167">
        <v>33</v>
      </c>
      <c r="Q457" s="167">
        <v>38</v>
      </c>
      <c r="R457" s="167">
        <v>40</v>
      </c>
      <c r="S457" s="167">
        <v>42</v>
      </c>
      <c r="T457" s="167">
        <v>30</v>
      </c>
      <c r="U457" s="28">
        <f t="shared" si="347"/>
        <v>189</v>
      </c>
      <c r="W457" s="32" t="str">
        <f t="shared" si="332"/>
        <v>짝수</v>
      </c>
      <c r="X457" s="32" t="str">
        <f t="shared" si="333"/>
        <v>짝수</v>
      </c>
      <c r="Y457" s="32" t="str">
        <f t="shared" si="334"/>
        <v>홀수</v>
      </c>
      <c r="Z457" s="32" t="str">
        <f t="shared" si="335"/>
        <v>짝수</v>
      </c>
      <c r="AA457" s="32" t="str">
        <f t="shared" si="336"/>
        <v>짝수</v>
      </c>
      <c r="AB457" s="32" t="str">
        <f t="shared" si="337"/>
        <v>짝수</v>
      </c>
      <c r="AC457" s="58" t="str">
        <f t="shared" si="338"/>
        <v>1 : 5</v>
      </c>
      <c r="AD457" s="32">
        <f t="shared" si="339"/>
        <v>1</v>
      </c>
      <c r="AE457" s="32">
        <f t="shared" si="340"/>
        <v>5</v>
      </c>
      <c r="AF457" s="66" t="str">
        <f t="shared" si="348"/>
        <v>저수</v>
      </c>
      <c r="AG457" s="66" t="str">
        <f t="shared" si="349"/>
        <v>고수</v>
      </c>
      <c r="AH457" s="66" t="str">
        <f t="shared" si="350"/>
        <v>고수</v>
      </c>
      <c r="AI457" s="66" t="str">
        <f t="shared" si="351"/>
        <v>고수</v>
      </c>
      <c r="AJ457" s="66" t="str">
        <f t="shared" si="352"/>
        <v>고수</v>
      </c>
      <c r="AK457" s="66" t="str">
        <f t="shared" si="353"/>
        <v>고수</v>
      </c>
      <c r="AL457" s="58" t="str">
        <f t="shared" si="354"/>
        <v>1 : 5</v>
      </c>
      <c r="AM457" s="66">
        <f t="shared" si="355"/>
        <v>1</v>
      </c>
      <c r="AN457" s="66">
        <f t="shared" si="356"/>
        <v>5</v>
      </c>
      <c r="AO457" s="66">
        <f t="shared" si="357"/>
        <v>19</v>
      </c>
      <c r="AP457" s="66" t="str">
        <f t="shared" si="358"/>
        <v>X</v>
      </c>
      <c r="AQ457" s="66" t="str">
        <f t="shared" si="359"/>
        <v>X</v>
      </c>
      <c r="AR457" s="66" t="str">
        <f t="shared" si="360"/>
        <v>X</v>
      </c>
      <c r="AS457" s="66" t="str">
        <f t="shared" si="361"/>
        <v>X</v>
      </c>
      <c r="AT457" s="66" t="str">
        <f t="shared" si="362"/>
        <v>X</v>
      </c>
      <c r="AU457" s="66" t="str">
        <f t="shared" si="363"/>
        <v>X</v>
      </c>
      <c r="AV457" s="66" t="str">
        <f t="shared" si="364"/>
        <v>X</v>
      </c>
      <c r="AW457" s="66" t="str">
        <f t="shared" si="365"/>
        <v>X</v>
      </c>
      <c r="AX457" s="66" t="str">
        <f t="shared" si="366"/>
        <v>X</v>
      </c>
      <c r="AY457" s="66" t="str">
        <f t="shared" si="367"/>
        <v>X</v>
      </c>
      <c r="AZ457" s="66" t="str">
        <f t="shared" si="368"/>
        <v>X</v>
      </c>
      <c r="BA457" s="66" t="str">
        <f t="shared" si="369"/>
        <v>X</v>
      </c>
      <c r="BB457" s="66">
        <f t="shared" si="370"/>
        <v>0</v>
      </c>
      <c r="BC457" s="127" t="str">
        <f t="shared" si="341"/>
        <v>1G</v>
      </c>
      <c r="BD457" s="127" t="str">
        <f t="shared" si="342"/>
        <v>2G</v>
      </c>
      <c r="BE457" s="127" t="str">
        <f t="shared" si="343"/>
        <v>3G</v>
      </c>
      <c r="BF457" s="127" t="str">
        <f t="shared" si="344"/>
        <v>3G</v>
      </c>
      <c r="BG457" s="127" t="str">
        <f t="shared" si="345"/>
        <v>3G</v>
      </c>
      <c r="BH457" s="127" t="str">
        <f t="shared" si="346"/>
        <v>3G</v>
      </c>
      <c r="BI457" s="127">
        <f t="shared" si="371"/>
        <v>1</v>
      </c>
      <c r="BJ457" s="127">
        <f t="shared" si="372"/>
        <v>1</v>
      </c>
      <c r="BK457" s="127">
        <f t="shared" si="373"/>
        <v>4</v>
      </c>
      <c r="BL457" s="127" t="str">
        <f t="shared" si="374"/>
        <v>114</v>
      </c>
      <c r="BS457"/>
      <c r="CL457" s="28">
        <v>182</v>
      </c>
      <c r="CM457" s="28">
        <v>180</v>
      </c>
      <c r="CO457"/>
    </row>
    <row r="458" spans="2:93" ht="16.5" hidden="1">
      <c r="B458" s="17">
        <v>454</v>
      </c>
      <c r="C458" s="358" t="s">
        <v>473</v>
      </c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149">
        <v>13</v>
      </c>
      <c r="O458" s="167">
        <v>25</v>
      </c>
      <c r="P458" s="167">
        <v>27</v>
      </c>
      <c r="Q458" s="167">
        <v>34</v>
      </c>
      <c r="R458" s="167">
        <v>38</v>
      </c>
      <c r="S458" s="167">
        <v>41</v>
      </c>
      <c r="T458" s="167">
        <v>10</v>
      </c>
      <c r="U458" s="28">
        <f t="shared" si="347"/>
        <v>178</v>
      </c>
      <c r="W458" s="32" t="str">
        <f t="shared" si="332"/>
        <v>홀수</v>
      </c>
      <c r="X458" s="32" t="str">
        <f t="shared" si="333"/>
        <v>홀수</v>
      </c>
      <c r="Y458" s="32" t="str">
        <f t="shared" si="334"/>
        <v>홀수</v>
      </c>
      <c r="Z458" s="32" t="str">
        <f t="shared" si="335"/>
        <v>짝수</v>
      </c>
      <c r="AA458" s="32" t="str">
        <f t="shared" si="336"/>
        <v>짝수</v>
      </c>
      <c r="AB458" s="32" t="str">
        <f t="shared" si="337"/>
        <v>홀수</v>
      </c>
      <c r="AC458" s="58" t="str">
        <f t="shared" si="338"/>
        <v>4 : 2</v>
      </c>
      <c r="AD458" s="32">
        <f t="shared" si="339"/>
        <v>4</v>
      </c>
      <c r="AE458" s="32">
        <f t="shared" si="340"/>
        <v>2</v>
      </c>
      <c r="AF458" s="66" t="str">
        <f t="shared" si="348"/>
        <v>저수</v>
      </c>
      <c r="AG458" s="66" t="str">
        <f t="shared" si="349"/>
        <v>고수</v>
      </c>
      <c r="AH458" s="66" t="str">
        <f t="shared" si="350"/>
        <v>고수</v>
      </c>
      <c r="AI458" s="66" t="str">
        <f t="shared" si="351"/>
        <v>고수</v>
      </c>
      <c r="AJ458" s="66" t="str">
        <f t="shared" si="352"/>
        <v>고수</v>
      </c>
      <c r="AK458" s="66" t="str">
        <f t="shared" si="353"/>
        <v>고수</v>
      </c>
      <c r="AL458" s="58" t="str">
        <f t="shared" si="354"/>
        <v>1 : 5</v>
      </c>
      <c r="AM458" s="66">
        <f t="shared" si="355"/>
        <v>1</v>
      </c>
      <c r="AN458" s="66">
        <f t="shared" si="356"/>
        <v>5</v>
      </c>
      <c r="AO458" s="66">
        <f t="shared" si="357"/>
        <v>28</v>
      </c>
      <c r="AP458" s="66" t="str">
        <f t="shared" si="358"/>
        <v>O</v>
      </c>
      <c r="AQ458" s="66" t="str">
        <f t="shared" si="359"/>
        <v>X</v>
      </c>
      <c r="AR458" s="66" t="str">
        <f t="shared" si="360"/>
        <v>X</v>
      </c>
      <c r="AS458" s="66" t="str">
        <f t="shared" si="361"/>
        <v>X</v>
      </c>
      <c r="AT458" s="66" t="str">
        <f t="shared" si="362"/>
        <v>X</v>
      </c>
      <c r="AU458" s="66" t="str">
        <f t="shared" si="363"/>
        <v>X</v>
      </c>
      <c r="AV458" s="66" t="str">
        <f t="shared" si="364"/>
        <v>X</v>
      </c>
      <c r="AW458" s="66" t="str">
        <f t="shared" si="365"/>
        <v>X</v>
      </c>
      <c r="AX458" s="66" t="str">
        <f t="shared" si="366"/>
        <v>X</v>
      </c>
      <c r="AY458" s="66" t="str">
        <f t="shared" si="367"/>
        <v>X</v>
      </c>
      <c r="AZ458" s="66" t="str">
        <f t="shared" si="368"/>
        <v>X</v>
      </c>
      <c r="BA458" s="66" t="str">
        <f t="shared" si="369"/>
        <v>O</v>
      </c>
      <c r="BB458" s="66">
        <f t="shared" si="370"/>
        <v>2</v>
      </c>
      <c r="BC458" s="127" t="str">
        <f t="shared" si="341"/>
        <v>1G</v>
      </c>
      <c r="BD458" s="127" t="str">
        <f t="shared" si="342"/>
        <v>2G</v>
      </c>
      <c r="BE458" s="127" t="str">
        <f t="shared" si="343"/>
        <v>2G</v>
      </c>
      <c r="BF458" s="127" t="str">
        <f t="shared" si="344"/>
        <v>3G</v>
      </c>
      <c r="BG458" s="127" t="str">
        <f t="shared" si="345"/>
        <v>3G</v>
      </c>
      <c r="BH458" s="127" t="str">
        <f t="shared" si="346"/>
        <v>3G</v>
      </c>
      <c r="BI458" s="127">
        <f t="shared" si="371"/>
        <v>1</v>
      </c>
      <c r="BJ458" s="127">
        <f t="shared" si="372"/>
        <v>2</v>
      </c>
      <c r="BK458" s="127">
        <f t="shared" si="373"/>
        <v>3</v>
      </c>
      <c r="BL458" s="127" t="str">
        <f t="shared" si="374"/>
        <v>123</v>
      </c>
      <c r="BS458"/>
      <c r="CL458" s="28">
        <v>182</v>
      </c>
      <c r="CM458" s="28">
        <v>180</v>
      </c>
      <c r="CO458"/>
    </row>
    <row r="459" spans="2:93" ht="16.5" hidden="1">
      <c r="B459" s="17">
        <v>455</v>
      </c>
      <c r="C459" s="358" t="s">
        <v>474</v>
      </c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149">
        <v>4</v>
      </c>
      <c r="O459" s="167">
        <v>19</v>
      </c>
      <c r="P459" s="167">
        <v>20</v>
      </c>
      <c r="Q459" s="167">
        <v>26</v>
      </c>
      <c r="R459" s="167">
        <v>30</v>
      </c>
      <c r="S459" s="167">
        <v>35</v>
      </c>
      <c r="T459" s="167">
        <v>24</v>
      </c>
      <c r="U459" s="28">
        <f t="shared" si="347"/>
        <v>134</v>
      </c>
      <c r="W459" s="32" t="str">
        <f t="shared" si="332"/>
        <v>짝수</v>
      </c>
      <c r="X459" s="32" t="str">
        <f t="shared" si="333"/>
        <v>홀수</v>
      </c>
      <c r="Y459" s="32" t="str">
        <f t="shared" si="334"/>
        <v>짝수</v>
      </c>
      <c r="Z459" s="32" t="str">
        <f t="shared" si="335"/>
        <v>짝수</v>
      </c>
      <c r="AA459" s="32" t="str">
        <f t="shared" si="336"/>
        <v>짝수</v>
      </c>
      <c r="AB459" s="32" t="str">
        <f t="shared" si="337"/>
        <v>홀수</v>
      </c>
      <c r="AC459" s="58" t="str">
        <f t="shared" si="338"/>
        <v>2 : 4</v>
      </c>
      <c r="AD459" s="32">
        <f t="shared" si="339"/>
        <v>2</v>
      </c>
      <c r="AE459" s="32">
        <f t="shared" si="340"/>
        <v>4</v>
      </c>
      <c r="AF459" s="66" t="str">
        <f t="shared" si="348"/>
        <v>저수</v>
      </c>
      <c r="AG459" s="66" t="str">
        <f t="shared" si="349"/>
        <v>저수</v>
      </c>
      <c r="AH459" s="66" t="str">
        <f t="shared" si="350"/>
        <v>저수</v>
      </c>
      <c r="AI459" s="66" t="str">
        <f t="shared" si="351"/>
        <v>고수</v>
      </c>
      <c r="AJ459" s="66" t="str">
        <f t="shared" si="352"/>
        <v>고수</v>
      </c>
      <c r="AK459" s="66" t="str">
        <f t="shared" si="353"/>
        <v>고수</v>
      </c>
      <c r="AL459" s="58" t="str">
        <f t="shared" si="354"/>
        <v>3 : 3</v>
      </c>
      <c r="AM459" s="66">
        <f t="shared" si="355"/>
        <v>3</v>
      </c>
      <c r="AN459" s="66">
        <f t="shared" si="356"/>
        <v>3</v>
      </c>
      <c r="AO459" s="66">
        <f t="shared" si="357"/>
        <v>24</v>
      </c>
      <c r="AP459" s="66" t="str">
        <f t="shared" si="358"/>
        <v>X</v>
      </c>
      <c r="AQ459" s="66" t="str">
        <f t="shared" si="359"/>
        <v>O</v>
      </c>
      <c r="AR459" s="66" t="str">
        <f t="shared" si="360"/>
        <v>X</v>
      </c>
      <c r="AS459" s="66" t="str">
        <f t="shared" si="361"/>
        <v>X</v>
      </c>
      <c r="AT459" s="66" t="str">
        <f t="shared" si="362"/>
        <v>X</v>
      </c>
      <c r="AU459" s="66" t="str">
        <f t="shared" si="363"/>
        <v>X</v>
      </c>
      <c r="AV459" s="66" t="str">
        <f t="shared" si="364"/>
        <v>X</v>
      </c>
      <c r="AW459" s="66" t="str">
        <f t="shared" si="365"/>
        <v>X</v>
      </c>
      <c r="AX459" s="66" t="str">
        <f t="shared" si="366"/>
        <v>X</v>
      </c>
      <c r="AY459" s="66" t="str">
        <f t="shared" si="367"/>
        <v>X</v>
      </c>
      <c r="AZ459" s="66" t="str">
        <f t="shared" si="368"/>
        <v>X</v>
      </c>
      <c r="BA459" s="66" t="str">
        <f t="shared" si="369"/>
        <v>X</v>
      </c>
      <c r="BB459" s="66">
        <f t="shared" si="370"/>
        <v>1</v>
      </c>
      <c r="BC459" s="127" t="str">
        <f t="shared" si="341"/>
        <v>1G</v>
      </c>
      <c r="BD459" s="127" t="str">
        <f t="shared" si="342"/>
        <v>2G</v>
      </c>
      <c r="BE459" s="127" t="str">
        <f t="shared" si="343"/>
        <v>2G</v>
      </c>
      <c r="BF459" s="127" t="str">
        <f t="shared" si="344"/>
        <v>2G</v>
      </c>
      <c r="BG459" s="127" t="str">
        <f t="shared" si="345"/>
        <v>2G</v>
      </c>
      <c r="BH459" s="127" t="str">
        <f t="shared" si="346"/>
        <v>3G</v>
      </c>
      <c r="BI459" s="127">
        <f t="shared" si="371"/>
        <v>1</v>
      </c>
      <c r="BJ459" s="127">
        <f t="shared" si="372"/>
        <v>4</v>
      </c>
      <c r="BK459" s="127">
        <f t="shared" si="373"/>
        <v>1</v>
      </c>
      <c r="BL459" s="127" t="str">
        <f t="shared" si="374"/>
        <v>141</v>
      </c>
      <c r="BS459"/>
      <c r="CL459" s="28">
        <v>182</v>
      </c>
      <c r="CM459" s="28">
        <v>180</v>
      </c>
      <c r="CO459"/>
    </row>
    <row r="460" spans="2:93" ht="16.5" hidden="1">
      <c r="B460" s="17">
        <v>456</v>
      </c>
      <c r="C460" s="358" t="s">
        <v>475</v>
      </c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149">
        <v>1</v>
      </c>
      <c r="O460" s="167">
        <v>7</v>
      </c>
      <c r="P460" s="167">
        <v>12</v>
      </c>
      <c r="Q460" s="167">
        <v>18</v>
      </c>
      <c r="R460" s="167">
        <v>23</v>
      </c>
      <c r="S460" s="167">
        <v>27</v>
      </c>
      <c r="T460" s="167">
        <v>44</v>
      </c>
      <c r="U460" s="28">
        <f t="shared" si="347"/>
        <v>88</v>
      </c>
      <c r="W460" s="32" t="str">
        <f t="shared" si="332"/>
        <v>홀수</v>
      </c>
      <c r="X460" s="32" t="str">
        <f t="shared" si="333"/>
        <v>홀수</v>
      </c>
      <c r="Y460" s="32" t="str">
        <f t="shared" si="334"/>
        <v>짝수</v>
      </c>
      <c r="Z460" s="32" t="str">
        <f t="shared" si="335"/>
        <v>짝수</v>
      </c>
      <c r="AA460" s="32" t="str">
        <f t="shared" si="336"/>
        <v>홀수</v>
      </c>
      <c r="AB460" s="32" t="str">
        <f t="shared" si="337"/>
        <v>홀수</v>
      </c>
      <c r="AC460" s="58" t="str">
        <f t="shared" si="338"/>
        <v>4 : 2</v>
      </c>
      <c r="AD460" s="32">
        <f t="shared" si="339"/>
        <v>4</v>
      </c>
      <c r="AE460" s="32">
        <f t="shared" si="340"/>
        <v>2</v>
      </c>
      <c r="AF460" s="66" t="str">
        <f t="shared" si="348"/>
        <v>저수</v>
      </c>
      <c r="AG460" s="66" t="str">
        <f t="shared" si="349"/>
        <v>저수</v>
      </c>
      <c r="AH460" s="66" t="str">
        <f t="shared" si="350"/>
        <v>저수</v>
      </c>
      <c r="AI460" s="66" t="str">
        <f t="shared" si="351"/>
        <v>저수</v>
      </c>
      <c r="AJ460" s="66" t="str">
        <f t="shared" si="352"/>
        <v>고수</v>
      </c>
      <c r="AK460" s="66" t="str">
        <f t="shared" si="353"/>
        <v>고수</v>
      </c>
      <c r="AL460" s="58" t="str">
        <f t="shared" si="354"/>
        <v>4 : 2</v>
      </c>
      <c r="AM460" s="66">
        <f t="shared" si="355"/>
        <v>4</v>
      </c>
      <c r="AN460" s="66">
        <f t="shared" si="356"/>
        <v>2</v>
      </c>
      <c r="AO460" s="66">
        <f t="shared" si="357"/>
        <v>28</v>
      </c>
      <c r="AP460" s="66" t="str">
        <f t="shared" si="358"/>
        <v>X</v>
      </c>
      <c r="AQ460" s="66" t="str">
        <f t="shared" si="359"/>
        <v>O</v>
      </c>
      <c r="AR460" s="66" t="str">
        <f t="shared" si="360"/>
        <v>X</v>
      </c>
      <c r="AS460" s="66" t="str">
        <f t="shared" si="361"/>
        <v>X</v>
      </c>
      <c r="AT460" s="66" t="str">
        <f t="shared" si="362"/>
        <v>X</v>
      </c>
      <c r="AU460" s="66" t="str">
        <f t="shared" si="363"/>
        <v>X</v>
      </c>
      <c r="AV460" s="66" t="str">
        <f t="shared" si="364"/>
        <v>X</v>
      </c>
      <c r="AW460" s="66" t="str">
        <f t="shared" si="365"/>
        <v>X</v>
      </c>
      <c r="AX460" s="66" t="str">
        <f t="shared" si="366"/>
        <v>X</v>
      </c>
      <c r="AY460" s="66" t="str">
        <f t="shared" si="367"/>
        <v>X</v>
      </c>
      <c r="AZ460" s="66" t="str">
        <f t="shared" si="368"/>
        <v>O</v>
      </c>
      <c r="BA460" s="66" t="str">
        <f t="shared" si="369"/>
        <v>X</v>
      </c>
      <c r="BB460" s="66">
        <f t="shared" si="370"/>
        <v>2</v>
      </c>
      <c r="BC460" s="127" t="str">
        <f t="shared" si="341"/>
        <v>1G</v>
      </c>
      <c r="BD460" s="127" t="str">
        <f t="shared" si="342"/>
        <v>1G</v>
      </c>
      <c r="BE460" s="127" t="str">
        <f t="shared" si="343"/>
        <v>1G</v>
      </c>
      <c r="BF460" s="127" t="str">
        <f t="shared" si="344"/>
        <v>2G</v>
      </c>
      <c r="BG460" s="127" t="str">
        <f t="shared" si="345"/>
        <v>2G</v>
      </c>
      <c r="BH460" s="127" t="str">
        <f t="shared" si="346"/>
        <v>2G</v>
      </c>
      <c r="BI460" s="127">
        <f t="shared" si="371"/>
        <v>3</v>
      </c>
      <c r="BJ460" s="127">
        <f t="shared" si="372"/>
        <v>3</v>
      </c>
      <c r="BK460" s="127">
        <f t="shared" si="373"/>
        <v>0</v>
      </c>
      <c r="BL460" s="127" t="str">
        <f t="shared" si="374"/>
        <v>330</v>
      </c>
      <c r="BS460"/>
      <c r="CL460" s="28">
        <v>183</v>
      </c>
      <c r="CM460" s="28">
        <v>180</v>
      </c>
      <c r="CO460"/>
    </row>
    <row r="461" spans="2:93" ht="16.5" hidden="1">
      <c r="B461" s="17">
        <v>457</v>
      </c>
      <c r="C461" s="358" t="s">
        <v>476</v>
      </c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149">
        <v>8</v>
      </c>
      <c r="O461" s="167">
        <v>10</v>
      </c>
      <c r="P461" s="167">
        <v>18</v>
      </c>
      <c r="Q461" s="167">
        <v>23</v>
      </c>
      <c r="R461" s="167">
        <v>27</v>
      </c>
      <c r="S461" s="167">
        <v>40</v>
      </c>
      <c r="T461" s="167">
        <v>33</v>
      </c>
      <c r="U461" s="28">
        <f t="shared" si="347"/>
        <v>126</v>
      </c>
      <c r="W461" s="32" t="str">
        <f t="shared" si="332"/>
        <v>짝수</v>
      </c>
      <c r="X461" s="32" t="str">
        <f t="shared" si="333"/>
        <v>짝수</v>
      </c>
      <c r="Y461" s="32" t="str">
        <f t="shared" si="334"/>
        <v>짝수</v>
      </c>
      <c r="Z461" s="32" t="str">
        <f t="shared" si="335"/>
        <v>홀수</v>
      </c>
      <c r="AA461" s="32" t="str">
        <f t="shared" si="336"/>
        <v>홀수</v>
      </c>
      <c r="AB461" s="32" t="str">
        <f t="shared" si="337"/>
        <v>짝수</v>
      </c>
      <c r="AC461" s="58" t="str">
        <f t="shared" si="338"/>
        <v>2 : 4</v>
      </c>
      <c r="AD461" s="32">
        <f t="shared" si="339"/>
        <v>2</v>
      </c>
      <c r="AE461" s="32">
        <f t="shared" si="340"/>
        <v>4</v>
      </c>
      <c r="AF461" s="66" t="str">
        <f t="shared" si="348"/>
        <v>저수</v>
      </c>
      <c r="AG461" s="66" t="str">
        <f t="shared" si="349"/>
        <v>저수</v>
      </c>
      <c r="AH461" s="66" t="str">
        <f t="shared" si="350"/>
        <v>저수</v>
      </c>
      <c r="AI461" s="66" t="str">
        <f t="shared" si="351"/>
        <v>고수</v>
      </c>
      <c r="AJ461" s="66" t="str">
        <f t="shared" si="352"/>
        <v>고수</v>
      </c>
      <c r="AK461" s="66" t="str">
        <f t="shared" si="353"/>
        <v>고수</v>
      </c>
      <c r="AL461" s="58" t="str">
        <f t="shared" si="354"/>
        <v>3 : 3</v>
      </c>
      <c r="AM461" s="66">
        <f t="shared" si="355"/>
        <v>3</v>
      </c>
      <c r="AN461" s="66">
        <f t="shared" si="356"/>
        <v>3</v>
      </c>
      <c r="AO461" s="66">
        <f t="shared" si="357"/>
        <v>26</v>
      </c>
      <c r="AP461" s="66" t="str">
        <f t="shared" si="358"/>
        <v>X</v>
      </c>
      <c r="AQ461" s="66" t="str">
        <f t="shared" si="359"/>
        <v>X</v>
      </c>
      <c r="AR461" s="66" t="str">
        <f t="shared" si="360"/>
        <v>X</v>
      </c>
      <c r="AS461" s="66" t="str">
        <f t="shared" si="361"/>
        <v>X</v>
      </c>
      <c r="AT461" s="66" t="str">
        <f t="shared" si="362"/>
        <v>X</v>
      </c>
      <c r="AU461" s="66" t="str">
        <f t="shared" si="363"/>
        <v>X</v>
      </c>
      <c r="AV461" s="66" t="str">
        <f t="shared" si="364"/>
        <v>X</v>
      </c>
      <c r="AW461" s="66" t="str">
        <f t="shared" si="365"/>
        <v>X</v>
      </c>
      <c r="AX461" s="66" t="str">
        <f t="shared" si="366"/>
        <v>X</v>
      </c>
      <c r="AY461" s="66" t="str">
        <f t="shared" si="367"/>
        <v>O</v>
      </c>
      <c r="AZ461" s="66" t="str">
        <f t="shared" si="368"/>
        <v>X</v>
      </c>
      <c r="BA461" s="66" t="str">
        <f t="shared" si="369"/>
        <v>X</v>
      </c>
      <c r="BB461" s="66">
        <f t="shared" si="370"/>
        <v>1</v>
      </c>
      <c r="BC461" s="127" t="str">
        <f t="shared" si="341"/>
        <v>1G</v>
      </c>
      <c r="BD461" s="127" t="str">
        <f t="shared" si="342"/>
        <v>1G</v>
      </c>
      <c r="BE461" s="127" t="str">
        <f t="shared" si="343"/>
        <v>2G</v>
      </c>
      <c r="BF461" s="127" t="str">
        <f t="shared" si="344"/>
        <v>2G</v>
      </c>
      <c r="BG461" s="127" t="str">
        <f t="shared" si="345"/>
        <v>2G</v>
      </c>
      <c r="BH461" s="127" t="str">
        <f t="shared" si="346"/>
        <v>3G</v>
      </c>
      <c r="BI461" s="127">
        <f t="shared" si="371"/>
        <v>2</v>
      </c>
      <c r="BJ461" s="127">
        <f t="shared" si="372"/>
        <v>3</v>
      </c>
      <c r="BK461" s="127">
        <f t="shared" si="373"/>
        <v>1</v>
      </c>
      <c r="BL461" s="127" t="str">
        <f t="shared" si="374"/>
        <v>231</v>
      </c>
      <c r="BS461"/>
      <c r="CL461" s="28">
        <v>183</v>
      </c>
      <c r="CM461" s="28">
        <v>180</v>
      </c>
      <c r="CO461"/>
    </row>
    <row r="462" spans="2:93" ht="16.5" hidden="1">
      <c r="B462" s="17">
        <v>458</v>
      </c>
      <c r="C462" s="358" t="s">
        <v>477</v>
      </c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149">
        <v>4</v>
      </c>
      <c r="O462" s="167">
        <v>9</v>
      </c>
      <c r="P462" s="167">
        <v>10</v>
      </c>
      <c r="Q462" s="167">
        <v>32</v>
      </c>
      <c r="R462" s="167">
        <v>36</v>
      </c>
      <c r="S462" s="167">
        <v>40</v>
      </c>
      <c r="T462" s="167">
        <v>18</v>
      </c>
      <c r="U462" s="28">
        <f t="shared" si="347"/>
        <v>131</v>
      </c>
      <c r="W462" s="32" t="str">
        <f t="shared" si="332"/>
        <v>짝수</v>
      </c>
      <c r="X462" s="32" t="str">
        <f t="shared" si="333"/>
        <v>홀수</v>
      </c>
      <c r="Y462" s="32" t="str">
        <f t="shared" si="334"/>
        <v>짝수</v>
      </c>
      <c r="Z462" s="32" t="str">
        <f t="shared" si="335"/>
        <v>짝수</v>
      </c>
      <c r="AA462" s="32" t="str">
        <f t="shared" si="336"/>
        <v>짝수</v>
      </c>
      <c r="AB462" s="32" t="str">
        <f t="shared" si="337"/>
        <v>짝수</v>
      </c>
      <c r="AC462" s="58" t="str">
        <f t="shared" si="338"/>
        <v>1 : 5</v>
      </c>
      <c r="AD462" s="32">
        <f t="shared" si="339"/>
        <v>1</v>
      </c>
      <c r="AE462" s="32">
        <f t="shared" si="340"/>
        <v>5</v>
      </c>
      <c r="AF462" s="66" t="str">
        <f t="shared" si="348"/>
        <v>저수</v>
      </c>
      <c r="AG462" s="66" t="str">
        <f t="shared" si="349"/>
        <v>저수</v>
      </c>
      <c r="AH462" s="66" t="str">
        <f t="shared" si="350"/>
        <v>저수</v>
      </c>
      <c r="AI462" s="66" t="str">
        <f t="shared" si="351"/>
        <v>고수</v>
      </c>
      <c r="AJ462" s="66" t="str">
        <f t="shared" si="352"/>
        <v>고수</v>
      </c>
      <c r="AK462" s="66" t="str">
        <f t="shared" si="353"/>
        <v>고수</v>
      </c>
      <c r="AL462" s="58" t="str">
        <f t="shared" si="354"/>
        <v>3 : 3</v>
      </c>
      <c r="AM462" s="66">
        <f t="shared" si="355"/>
        <v>3</v>
      </c>
      <c r="AN462" s="66">
        <f t="shared" si="356"/>
        <v>3</v>
      </c>
      <c r="AO462" s="66">
        <f t="shared" si="357"/>
        <v>21</v>
      </c>
      <c r="AP462" s="66" t="str">
        <f t="shared" si="358"/>
        <v>X</v>
      </c>
      <c r="AQ462" s="66" t="str">
        <f t="shared" si="359"/>
        <v>X</v>
      </c>
      <c r="AR462" s="66" t="str">
        <f t="shared" si="360"/>
        <v>X</v>
      </c>
      <c r="AS462" s="66" t="str">
        <f t="shared" si="361"/>
        <v>X</v>
      </c>
      <c r="AT462" s="66" t="str">
        <f t="shared" si="362"/>
        <v>X</v>
      </c>
      <c r="AU462" s="66" t="str">
        <f t="shared" si="363"/>
        <v>X</v>
      </c>
      <c r="AV462" s="66" t="str">
        <f t="shared" si="364"/>
        <v>X</v>
      </c>
      <c r="AW462" s="66" t="str">
        <f t="shared" si="365"/>
        <v>X</v>
      </c>
      <c r="AX462" s="66" t="str">
        <f t="shared" si="366"/>
        <v>X</v>
      </c>
      <c r="AY462" s="66" t="str">
        <f t="shared" si="367"/>
        <v>X</v>
      </c>
      <c r="AZ462" s="66" t="str">
        <f t="shared" si="368"/>
        <v>X</v>
      </c>
      <c r="BA462" s="66" t="str">
        <f t="shared" si="369"/>
        <v>X</v>
      </c>
      <c r="BB462" s="66">
        <f t="shared" si="370"/>
        <v>0</v>
      </c>
      <c r="BC462" s="127" t="str">
        <f t="shared" si="341"/>
        <v>1G</v>
      </c>
      <c r="BD462" s="127" t="str">
        <f t="shared" si="342"/>
        <v>1G</v>
      </c>
      <c r="BE462" s="127" t="str">
        <f t="shared" si="343"/>
        <v>1G</v>
      </c>
      <c r="BF462" s="127" t="str">
        <f t="shared" si="344"/>
        <v>3G</v>
      </c>
      <c r="BG462" s="127" t="str">
        <f t="shared" si="345"/>
        <v>3G</v>
      </c>
      <c r="BH462" s="127" t="str">
        <f t="shared" si="346"/>
        <v>3G</v>
      </c>
      <c r="BI462" s="127">
        <f t="shared" si="371"/>
        <v>3</v>
      </c>
      <c r="BJ462" s="127">
        <f t="shared" si="372"/>
        <v>0</v>
      </c>
      <c r="BK462" s="127">
        <f t="shared" si="373"/>
        <v>3</v>
      </c>
      <c r="BL462" s="127" t="str">
        <f t="shared" si="374"/>
        <v>303</v>
      </c>
      <c r="BS462"/>
      <c r="CL462" s="28">
        <v>184</v>
      </c>
      <c r="CM462" s="28">
        <v>180</v>
      </c>
      <c r="CO462"/>
    </row>
    <row r="463" spans="2:93" ht="16.5" hidden="1">
      <c r="B463" s="17">
        <v>459</v>
      </c>
      <c r="C463" s="358" t="s">
        <v>478</v>
      </c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149">
        <v>4</v>
      </c>
      <c r="O463" s="167">
        <v>6</v>
      </c>
      <c r="P463" s="167">
        <v>10</v>
      </c>
      <c r="Q463" s="167">
        <v>14</v>
      </c>
      <c r="R463" s="167">
        <v>25</v>
      </c>
      <c r="S463" s="167">
        <v>40</v>
      </c>
      <c r="T463" s="167">
        <v>12</v>
      </c>
      <c r="U463" s="28">
        <f t="shared" si="347"/>
        <v>99</v>
      </c>
      <c r="W463" s="32" t="str">
        <f t="shared" si="332"/>
        <v>짝수</v>
      </c>
      <c r="X463" s="32" t="str">
        <f t="shared" si="333"/>
        <v>짝수</v>
      </c>
      <c r="Y463" s="32" t="str">
        <f t="shared" si="334"/>
        <v>짝수</v>
      </c>
      <c r="Z463" s="32" t="str">
        <f t="shared" si="335"/>
        <v>짝수</v>
      </c>
      <c r="AA463" s="32" t="str">
        <f t="shared" si="336"/>
        <v>홀수</v>
      </c>
      <c r="AB463" s="32" t="str">
        <f t="shared" si="337"/>
        <v>짝수</v>
      </c>
      <c r="AC463" s="58" t="str">
        <f t="shared" si="338"/>
        <v>1 : 5</v>
      </c>
      <c r="AD463" s="32">
        <f t="shared" si="339"/>
        <v>1</v>
      </c>
      <c r="AE463" s="32">
        <f t="shared" si="340"/>
        <v>5</v>
      </c>
      <c r="AF463" s="66" t="str">
        <f t="shared" si="348"/>
        <v>저수</v>
      </c>
      <c r="AG463" s="66" t="str">
        <f t="shared" si="349"/>
        <v>저수</v>
      </c>
      <c r="AH463" s="66" t="str">
        <f t="shared" si="350"/>
        <v>저수</v>
      </c>
      <c r="AI463" s="66" t="str">
        <f t="shared" si="351"/>
        <v>저수</v>
      </c>
      <c r="AJ463" s="66" t="str">
        <f t="shared" si="352"/>
        <v>고수</v>
      </c>
      <c r="AK463" s="66" t="str">
        <f t="shared" si="353"/>
        <v>고수</v>
      </c>
      <c r="AL463" s="58" t="str">
        <f t="shared" si="354"/>
        <v>4 : 2</v>
      </c>
      <c r="AM463" s="66">
        <f t="shared" si="355"/>
        <v>4</v>
      </c>
      <c r="AN463" s="66">
        <f t="shared" si="356"/>
        <v>2</v>
      </c>
      <c r="AO463" s="66">
        <f t="shared" si="357"/>
        <v>19</v>
      </c>
      <c r="AP463" s="66" t="str">
        <f t="shared" si="358"/>
        <v>X</v>
      </c>
      <c r="AQ463" s="66" t="str">
        <f t="shared" si="359"/>
        <v>X</v>
      </c>
      <c r="AR463" s="66" t="str">
        <f t="shared" si="360"/>
        <v>X</v>
      </c>
      <c r="AS463" s="66" t="str">
        <f t="shared" si="361"/>
        <v>X</v>
      </c>
      <c r="AT463" s="66" t="str">
        <f t="shared" si="362"/>
        <v>X</v>
      </c>
      <c r="AU463" s="66" t="str">
        <f t="shared" si="363"/>
        <v>X</v>
      </c>
      <c r="AV463" s="66" t="str">
        <f t="shared" si="364"/>
        <v>X</v>
      </c>
      <c r="AW463" s="66" t="str">
        <f t="shared" si="365"/>
        <v>X</v>
      </c>
      <c r="AX463" s="66" t="str">
        <f t="shared" si="366"/>
        <v>X</v>
      </c>
      <c r="AY463" s="66" t="str">
        <f t="shared" si="367"/>
        <v>X</v>
      </c>
      <c r="AZ463" s="66" t="str">
        <f t="shared" si="368"/>
        <v>X</v>
      </c>
      <c r="BA463" s="66" t="str">
        <f t="shared" si="369"/>
        <v>X</v>
      </c>
      <c r="BB463" s="66">
        <f t="shared" si="370"/>
        <v>0</v>
      </c>
      <c r="BC463" s="127" t="str">
        <f t="shared" si="341"/>
        <v>1G</v>
      </c>
      <c r="BD463" s="127" t="str">
        <f t="shared" si="342"/>
        <v>1G</v>
      </c>
      <c r="BE463" s="127" t="str">
        <f t="shared" si="343"/>
        <v>1G</v>
      </c>
      <c r="BF463" s="127" t="str">
        <f t="shared" si="344"/>
        <v>1G</v>
      </c>
      <c r="BG463" s="127" t="str">
        <f t="shared" si="345"/>
        <v>2G</v>
      </c>
      <c r="BH463" s="127" t="str">
        <f t="shared" si="346"/>
        <v>3G</v>
      </c>
      <c r="BI463" s="127">
        <f t="shared" si="371"/>
        <v>4</v>
      </c>
      <c r="BJ463" s="127">
        <f t="shared" si="372"/>
        <v>1</v>
      </c>
      <c r="BK463" s="127">
        <f t="shared" si="373"/>
        <v>1</v>
      </c>
      <c r="BL463" s="127" t="str">
        <f t="shared" si="374"/>
        <v>411</v>
      </c>
      <c r="BS463"/>
      <c r="CL463" s="28">
        <v>184</v>
      </c>
      <c r="CM463" s="28">
        <v>180</v>
      </c>
      <c r="CO463"/>
    </row>
    <row r="464" spans="2:93" ht="16.5" hidden="1">
      <c r="B464" s="17">
        <v>460</v>
      </c>
      <c r="C464" s="358" t="s">
        <v>479</v>
      </c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149">
        <v>8</v>
      </c>
      <c r="O464" s="167">
        <v>11</v>
      </c>
      <c r="P464" s="167">
        <v>28</v>
      </c>
      <c r="Q464" s="167">
        <v>30</v>
      </c>
      <c r="R464" s="167">
        <v>43</v>
      </c>
      <c r="S464" s="167">
        <v>45</v>
      </c>
      <c r="T464" s="167">
        <v>41</v>
      </c>
      <c r="U464" s="28">
        <f t="shared" si="347"/>
        <v>165</v>
      </c>
      <c r="W464" s="32" t="str">
        <f t="shared" si="332"/>
        <v>짝수</v>
      </c>
      <c r="X464" s="32" t="str">
        <f t="shared" si="333"/>
        <v>홀수</v>
      </c>
      <c r="Y464" s="32" t="str">
        <f t="shared" si="334"/>
        <v>짝수</v>
      </c>
      <c r="Z464" s="32" t="str">
        <f t="shared" si="335"/>
        <v>짝수</v>
      </c>
      <c r="AA464" s="32" t="str">
        <f t="shared" si="336"/>
        <v>홀수</v>
      </c>
      <c r="AB464" s="32" t="str">
        <f t="shared" si="337"/>
        <v>홀수</v>
      </c>
      <c r="AC464" s="58" t="str">
        <f t="shared" si="338"/>
        <v>3 : 3</v>
      </c>
      <c r="AD464" s="32">
        <f t="shared" si="339"/>
        <v>3</v>
      </c>
      <c r="AE464" s="32">
        <f t="shared" si="340"/>
        <v>3</v>
      </c>
      <c r="AF464" s="66" t="str">
        <f t="shared" si="348"/>
        <v>저수</v>
      </c>
      <c r="AG464" s="66" t="str">
        <f t="shared" si="349"/>
        <v>저수</v>
      </c>
      <c r="AH464" s="66" t="str">
        <f t="shared" si="350"/>
        <v>고수</v>
      </c>
      <c r="AI464" s="66" t="str">
        <f t="shared" si="351"/>
        <v>고수</v>
      </c>
      <c r="AJ464" s="66" t="str">
        <f t="shared" si="352"/>
        <v>고수</v>
      </c>
      <c r="AK464" s="66" t="str">
        <f t="shared" si="353"/>
        <v>고수</v>
      </c>
      <c r="AL464" s="58" t="str">
        <f t="shared" si="354"/>
        <v>2 : 4</v>
      </c>
      <c r="AM464" s="66">
        <f t="shared" si="355"/>
        <v>2</v>
      </c>
      <c r="AN464" s="66">
        <f t="shared" si="356"/>
        <v>4</v>
      </c>
      <c r="AO464" s="66">
        <f t="shared" si="357"/>
        <v>25</v>
      </c>
      <c r="AP464" s="66" t="str">
        <f t="shared" si="358"/>
        <v>X</v>
      </c>
      <c r="AQ464" s="66" t="str">
        <f t="shared" si="359"/>
        <v>O</v>
      </c>
      <c r="AR464" s="66" t="str">
        <f t="shared" si="360"/>
        <v>X</v>
      </c>
      <c r="AS464" s="66" t="str">
        <f t="shared" si="361"/>
        <v>X</v>
      </c>
      <c r="AT464" s="66" t="str">
        <f t="shared" si="362"/>
        <v>X</v>
      </c>
      <c r="AU464" s="66" t="str">
        <f t="shared" si="363"/>
        <v>X</v>
      </c>
      <c r="AV464" s="66" t="str">
        <f t="shared" si="364"/>
        <v>X</v>
      </c>
      <c r="AW464" s="66" t="str">
        <f t="shared" si="365"/>
        <v>X</v>
      </c>
      <c r="AX464" s="66" t="str">
        <f t="shared" si="366"/>
        <v>X</v>
      </c>
      <c r="AY464" s="66" t="str">
        <f t="shared" si="367"/>
        <v>X</v>
      </c>
      <c r="AZ464" s="66" t="str">
        <f t="shared" si="368"/>
        <v>O</v>
      </c>
      <c r="BA464" s="66" t="str">
        <f t="shared" si="369"/>
        <v>X</v>
      </c>
      <c r="BB464" s="66">
        <f t="shared" si="370"/>
        <v>2</v>
      </c>
      <c r="BC464" s="127" t="str">
        <f t="shared" si="341"/>
        <v>1G</v>
      </c>
      <c r="BD464" s="127" t="str">
        <f t="shared" si="342"/>
        <v>1G</v>
      </c>
      <c r="BE464" s="127" t="str">
        <f t="shared" si="343"/>
        <v>2G</v>
      </c>
      <c r="BF464" s="127" t="str">
        <f t="shared" si="344"/>
        <v>2G</v>
      </c>
      <c r="BG464" s="127" t="str">
        <f t="shared" si="345"/>
        <v>3G</v>
      </c>
      <c r="BH464" s="127" t="str">
        <f t="shared" si="346"/>
        <v>3G</v>
      </c>
      <c r="BI464" s="127">
        <f t="shared" si="371"/>
        <v>2</v>
      </c>
      <c r="BJ464" s="127">
        <f t="shared" si="372"/>
        <v>2</v>
      </c>
      <c r="BK464" s="127">
        <f t="shared" si="373"/>
        <v>2</v>
      </c>
      <c r="BL464" s="127" t="str">
        <f t="shared" si="374"/>
        <v>222</v>
      </c>
      <c r="BS464"/>
      <c r="CL464" s="28">
        <v>184</v>
      </c>
      <c r="CM464" s="28">
        <v>180</v>
      </c>
      <c r="CO464"/>
    </row>
    <row r="465" spans="2:93" ht="16.5" hidden="1">
      <c r="B465" s="17">
        <v>461</v>
      </c>
      <c r="C465" s="358" t="s">
        <v>480</v>
      </c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149">
        <v>11</v>
      </c>
      <c r="O465" s="167">
        <v>18</v>
      </c>
      <c r="P465" s="167">
        <v>26</v>
      </c>
      <c r="Q465" s="167">
        <v>31</v>
      </c>
      <c r="R465" s="167">
        <v>37</v>
      </c>
      <c r="S465" s="167">
        <v>40</v>
      </c>
      <c r="T465" s="167">
        <v>43</v>
      </c>
      <c r="U465" s="28">
        <f t="shared" si="347"/>
        <v>163</v>
      </c>
      <c r="W465" s="32" t="str">
        <f t="shared" si="332"/>
        <v>홀수</v>
      </c>
      <c r="X465" s="32" t="str">
        <f t="shared" si="333"/>
        <v>짝수</v>
      </c>
      <c r="Y465" s="32" t="str">
        <f t="shared" si="334"/>
        <v>짝수</v>
      </c>
      <c r="Z465" s="32" t="str">
        <f t="shared" si="335"/>
        <v>홀수</v>
      </c>
      <c r="AA465" s="32" t="str">
        <f t="shared" si="336"/>
        <v>홀수</v>
      </c>
      <c r="AB465" s="32" t="str">
        <f t="shared" si="337"/>
        <v>짝수</v>
      </c>
      <c r="AC465" s="58" t="str">
        <f t="shared" si="338"/>
        <v>3 : 3</v>
      </c>
      <c r="AD465" s="32">
        <f t="shared" si="339"/>
        <v>3</v>
      </c>
      <c r="AE465" s="32">
        <f t="shared" si="340"/>
        <v>3</v>
      </c>
      <c r="AF465" s="66" t="str">
        <f t="shared" si="348"/>
        <v>저수</v>
      </c>
      <c r="AG465" s="66" t="str">
        <f t="shared" si="349"/>
        <v>저수</v>
      </c>
      <c r="AH465" s="66" t="str">
        <f t="shared" si="350"/>
        <v>고수</v>
      </c>
      <c r="AI465" s="66" t="str">
        <f t="shared" si="351"/>
        <v>고수</v>
      </c>
      <c r="AJ465" s="66" t="str">
        <f t="shared" si="352"/>
        <v>고수</v>
      </c>
      <c r="AK465" s="66" t="str">
        <f t="shared" si="353"/>
        <v>고수</v>
      </c>
      <c r="AL465" s="58" t="str">
        <f t="shared" si="354"/>
        <v>2 : 4</v>
      </c>
      <c r="AM465" s="66">
        <f t="shared" si="355"/>
        <v>2</v>
      </c>
      <c r="AN465" s="66">
        <f t="shared" si="356"/>
        <v>4</v>
      </c>
      <c r="AO465" s="66">
        <f t="shared" si="357"/>
        <v>23</v>
      </c>
      <c r="AP465" s="66" t="str">
        <f t="shared" si="358"/>
        <v>O</v>
      </c>
      <c r="AQ465" s="66" t="str">
        <f t="shared" si="359"/>
        <v>X</v>
      </c>
      <c r="AR465" s="66" t="str">
        <f t="shared" si="360"/>
        <v>X</v>
      </c>
      <c r="AS465" s="66" t="str">
        <f t="shared" si="361"/>
        <v>X</v>
      </c>
      <c r="AT465" s="66" t="str">
        <f t="shared" si="362"/>
        <v>X</v>
      </c>
      <c r="AU465" s="66" t="str">
        <f t="shared" si="363"/>
        <v>X</v>
      </c>
      <c r="AV465" s="66" t="str">
        <f t="shared" si="364"/>
        <v>X</v>
      </c>
      <c r="AW465" s="66" t="str">
        <f t="shared" si="365"/>
        <v>X</v>
      </c>
      <c r="AX465" s="66" t="str">
        <f t="shared" si="366"/>
        <v>X</v>
      </c>
      <c r="AY465" s="66" t="str">
        <f t="shared" si="367"/>
        <v>O</v>
      </c>
      <c r="AZ465" s="66" t="str">
        <f t="shared" si="368"/>
        <v>O</v>
      </c>
      <c r="BA465" s="66" t="str">
        <f t="shared" si="369"/>
        <v>X</v>
      </c>
      <c r="BB465" s="66">
        <f t="shared" si="370"/>
        <v>3</v>
      </c>
      <c r="BC465" s="127" t="str">
        <f t="shared" si="341"/>
        <v>1G</v>
      </c>
      <c r="BD465" s="127" t="str">
        <f t="shared" si="342"/>
        <v>2G</v>
      </c>
      <c r="BE465" s="127" t="str">
        <f t="shared" si="343"/>
        <v>2G</v>
      </c>
      <c r="BF465" s="127" t="str">
        <f t="shared" si="344"/>
        <v>3G</v>
      </c>
      <c r="BG465" s="127" t="str">
        <f t="shared" si="345"/>
        <v>3G</v>
      </c>
      <c r="BH465" s="127" t="str">
        <f t="shared" si="346"/>
        <v>3G</v>
      </c>
      <c r="BI465" s="127">
        <f t="shared" si="371"/>
        <v>1</v>
      </c>
      <c r="BJ465" s="127">
        <f t="shared" si="372"/>
        <v>2</v>
      </c>
      <c r="BK465" s="127">
        <f t="shared" si="373"/>
        <v>3</v>
      </c>
      <c r="BL465" s="127" t="str">
        <f t="shared" si="374"/>
        <v>123</v>
      </c>
      <c r="BS465"/>
      <c r="CL465" s="28">
        <v>185</v>
      </c>
      <c r="CM465" s="28">
        <v>180</v>
      </c>
      <c r="CO465"/>
    </row>
    <row r="466" spans="2:93" ht="16.5" hidden="1">
      <c r="B466" s="17">
        <v>462</v>
      </c>
      <c r="C466" s="356" t="s">
        <v>481</v>
      </c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149">
        <v>3</v>
      </c>
      <c r="O466" s="167">
        <v>20</v>
      </c>
      <c r="P466" s="167">
        <v>24</v>
      </c>
      <c r="Q466" s="167">
        <v>32</v>
      </c>
      <c r="R466" s="167">
        <v>37</v>
      </c>
      <c r="S466" s="167">
        <v>45</v>
      </c>
      <c r="T466" s="167">
        <v>4</v>
      </c>
      <c r="U466" s="28">
        <f t="shared" si="347"/>
        <v>161</v>
      </c>
      <c r="W466" s="32" t="str">
        <f t="shared" si="332"/>
        <v>홀수</v>
      </c>
      <c r="X466" s="32" t="str">
        <f t="shared" si="333"/>
        <v>짝수</v>
      </c>
      <c r="Y466" s="32" t="str">
        <f t="shared" si="334"/>
        <v>짝수</v>
      </c>
      <c r="Z466" s="32" t="str">
        <f t="shared" si="335"/>
        <v>짝수</v>
      </c>
      <c r="AA466" s="32" t="str">
        <f t="shared" si="336"/>
        <v>홀수</v>
      </c>
      <c r="AB466" s="32" t="str">
        <f t="shared" si="337"/>
        <v>홀수</v>
      </c>
      <c r="AC466" s="58" t="str">
        <f t="shared" si="338"/>
        <v>3 : 3</v>
      </c>
      <c r="AD466" s="32">
        <f t="shared" si="339"/>
        <v>3</v>
      </c>
      <c r="AE466" s="32">
        <f t="shared" si="340"/>
        <v>3</v>
      </c>
      <c r="AF466" s="66" t="str">
        <f t="shared" si="348"/>
        <v>저수</v>
      </c>
      <c r="AG466" s="66" t="str">
        <f t="shared" si="349"/>
        <v>저수</v>
      </c>
      <c r="AH466" s="66" t="str">
        <f t="shared" si="350"/>
        <v>고수</v>
      </c>
      <c r="AI466" s="66" t="str">
        <f t="shared" si="351"/>
        <v>고수</v>
      </c>
      <c r="AJ466" s="66" t="str">
        <f t="shared" si="352"/>
        <v>고수</v>
      </c>
      <c r="AK466" s="66" t="str">
        <f t="shared" si="353"/>
        <v>고수</v>
      </c>
      <c r="AL466" s="58" t="str">
        <f t="shared" si="354"/>
        <v>2 : 4</v>
      </c>
      <c r="AM466" s="66">
        <f t="shared" si="355"/>
        <v>2</v>
      </c>
      <c r="AN466" s="66">
        <f t="shared" si="356"/>
        <v>4</v>
      </c>
      <c r="AO466" s="66">
        <f t="shared" si="357"/>
        <v>21</v>
      </c>
      <c r="AP466" s="66" t="str">
        <f t="shared" si="358"/>
        <v>O</v>
      </c>
      <c r="AQ466" s="66" t="str">
        <f t="shared" si="359"/>
        <v>X</v>
      </c>
      <c r="AR466" s="66" t="str">
        <f t="shared" si="360"/>
        <v>X</v>
      </c>
      <c r="AS466" s="66" t="str">
        <f t="shared" si="361"/>
        <v>X</v>
      </c>
      <c r="AT466" s="66" t="str">
        <f t="shared" si="362"/>
        <v>X</v>
      </c>
      <c r="AU466" s="66" t="str">
        <f t="shared" si="363"/>
        <v>X</v>
      </c>
      <c r="AV466" s="66" t="str">
        <f t="shared" si="364"/>
        <v>X</v>
      </c>
      <c r="AW466" s="66" t="str">
        <f t="shared" si="365"/>
        <v>X</v>
      </c>
      <c r="AX466" s="66" t="str">
        <f t="shared" si="366"/>
        <v>X</v>
      </c>
      <c r="AY466" s="66" t="str">
        <f t="shared" si="367"/>
        <v>X</v>
      </c>
      <c r="AZ466" s="66" t="str">
        <f t="shared" si="368"/>
        <v>O</v>
      </c>
      <c r="BA466" s="66" t="str">
        <f t="shared" si="369"/>
        <v>X</v>
      </c>
      <c r="BB466" s="66">
        <f t="shared" si="370"/>
        <v>2</v>
      </c>
      <c r="BC466" s="127" t="str">
        <f t="shared" si="341"/>
        <v>1G</v>
      </c>
      <c r="BD466" s="127" t="str">
        <f t="shared" si="342"/>
        <v>2G</v>
      </c>
      <c r="BE466" s="127" t="str">
        <f t="shared" si="343"/>
        <v>2G</v>
      </c>
      <c r="BF466" s="127" t="str">
        <f t="shared" si="344"/>
        <v>3G</v>
      </c>
      <c r="BG466" s="127" t="str">
        <f t="shared" si="345"/>
        <v>3G</v>
      </c>
      <c r="BH466" s="127" t="str">
        <f t="shared" si="346"/>
        <v>3G</v>
      </c>
      <c r="BI466" s="127">
        <f t="shared" si="371"/>
        <v>1</v>
      </c>
      <c r="BJ466" s="127">
        <f t="shared" si="372"/>
        <v>2</v>
      </c>
      <c r="BK466" s="127">
        <f t="shared" si="373"/>
        <v>3</v>
      </c>
      <c r="BL466" s="127" t="str">
        <f t="shared" si="374"/>
        <v>123</v>
      </c>
      <c r="BS466"/>
      <c r="CL466" s="28">
        <v>187</v>
      </c>
      <c r="CM466" s="28">
        <v>180</v>
      </c>
      <c r="CO466"/>
    </row>
    <row r="467" spans="2:93" ht="16.5" hidden="1">
      <c r="B467" s="17">
        <v>463</v>
      </c>
      <c r="C467" s="356" t="s">
        <v>482</v>
      </c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149">
        <v>23</v>
      </c>
      <c r="O467" s="167">
        <v>29</v>
      </c>
      <c r="P467" s="167">
        <v>31</v>
      </c>
      <c r="Q467" s="167">
        <v>33</v>
      </c>
      <c r="R467" s="167">
        <v>34</v>
      </c>
      <c r="S467" s="167">
        <v>44</v>
      </c>
      <c r="T467" s="167">
        <v>40</v>
      </c>
      <c r="U467" s="28">
        <f t="shared" si="347"/>
        <v>194</v>
      </c>
      <c r="W467" s="32" t="str">
        <f t="shared" si="332"/>
        <v>홀수</v>
      </c>
      <c r="X467" s="32" t="str">
        <f t="shared" si="333"/>
        <v>홀수</v>
      </c>
      <c r="Y467" s="32" t="str">
        <f t="shared" si="334"/>
        <v>홀수</v>
      </c>
      <c r="Z467" s="32" t="str">
        <f t="shared" si="335"/>
        <v>홀수</v>
      </c>
      <c r="AA467" s="32" t="str">
        <f t="shared" si="336"/>
        <v>짝수</v>
      </c>
      <c r="AB467" s="32" t="str">
        <f t="shared" si="337"/>
        <v>짝수</v>
      </c>
      <c r="AC467" s="58" t="str">
        <f t="shared" si="338"/>
        <v>4 : 2</v>
      </c>
      <c r="AD467" s="32">
        <f t="shared" si="339"/>
        <v>4</v>
      </c>
      <c r="AE467" s="32">
        <f t="shared" si="340"/>
        <v>2</v>
      </c>
      <c r="AF467" s="66" t="str">
        <f t="shared" si="348"/>
        <v>고수</v>
      </c>
      <c r="AG467" s="66" t="str">
        <f t="shared" si="349"/>
        <v>고수</v>
      </c>
      <c r="AH467" s="66" t="str">
        <f t="shared" si="350"/>
        <v>고수</v>
      </c>
      <c r="AI467" s="66" t="str">
        <f t="shared" si="351"/>
        <v>고수</v>
      </c>
      <c r="AJ467" s="66" t="str">
        <f t="shared" si="352"/>
        <v>고수</v>
      </c>
      <c r="AK467" s="66" t="str">
        <f t="shared" si="353"/>
        <v>고수</v>
      </c>
      <c r="AL467" s="58" t="str">
        <f t="shared" si="354"/>
        <v>0 : 6</v>
      </c>
      <c r="AM467" s="66">
        <f t="shared" si="355"/>
        <v>0</v>
      </c>
      <c r="AN467" s="66">
        <f t="shared" si="356"/>
        <v>6</v>
      </c>
      <c r="AO467" s="66">
        <f t="shared" si="357"/>
        <v>24</v>
      </c>
      <c r="AP467" s="66" t="str">
        <f t="shared" si="358"/>
        <v>X</v>
      </c>
      <c r="AQ467" s="66" t="str">
        <f t="shared" si="359"/>
        <v>X</v>
      </c>
      <c r="AR467" s="66" t="str">
        <f t="shared" si="360"/>
        <v>X</v>
      </c>
      <c r="AS467" s="66" t="str">
        <f t="shared" si="361"/>
        <v>X</v>
      </c>
      <c r="AT467" s="66" t="str">
        <f t="shared" si="362"/>
        <v>X</v>
      </c>
      <c r="AU467" s="66" t="str">
        <f t="shared" si="363"/>
        <v>X</v>
      </c>
      <c r="AV467" s="66" t="str">
        <f t="shared" si="364"/>
        <v>O</v>
      </c>
      <c r="AW467" s="66" t="str">
        <f t="shared" si="365"/>
        <v>O</v>
      </c>
      <c r="AX467" s="66" t="str">
        <f t="shared" si="366"/>
        <v>O</v>
      </c>
      <c r="AY467" s="66" t="str">
        <f t="shared" si="367"/>
        <v>X</v>
      </c>
      <c r="AZ467" s="66" t="str">
        <f t="shared" si="368"/>
        <v>X</v>
      </c>
      <c r="BA467" s="66" t="str">
        <f t="shared" si="369"/>
        <v>X</v>
      </c>
      <c r="BB467" s="66">
        <f t="shared" si="370"/>
        <v>3</v>
      </c>
      <c r="BC467" s="127" t="str">
        <f t="shared" si="341"/>
        <v>2G</v>
      </c>
      <c r="BD467" s="127" t="str">
        <f t="shared" si="342"/>
        <v>2G</v>
      </c>
      <c r="BE467" s="127" t="str">
        <f t="shared" si="343"/>
        <v>3G</v>
      </c>
      <c r="BF467" s="127" t="str">
        <f t="shared" si="344"/>
        <v>3G</v>
      </c>
      <c r="BG467" s="127" t="str">
        <f t="shared" si="345"/>
        <v>3G</v>
      </c>
      <c r="BH467" s="127" t="str">
        <f t="shared" si="346"/>
        <v>3G</v>
      </c>
      <c r="BI467" s="127">
        <f t="shared" si="371"/>
        <v>0</v>
      </c>
      <c r="BJ467" s="127">
        <f t="shared" si="372"/>
        <v>2</v>
      </c>
      <c r="BK467" s="127">
        <f t="shared" si="373"/>
        <v>4</v>
      </c>
      <c r="BL467" s="127" t="str">
        <f t="shared" si="374"/>
        <v>024</v>
      </c>
      <c r="BS467"/>
      <c r="CL467" s="28">
        <v>187</v>
      </c>
      <c r="CM467" s="28">
        <v>180</v>
      </c>
      <c r="CO467"/>
    </row>
    <row r="468" spans="2:93" ht="16.5" hidden="1">
      <c r="B468" s="17">
        <v>464</v>
      </c>
      <c r="C468" s="356" t="s">
        <v>483</v>
      </c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149">
        <v>6</v>
      </c>
      <c r="O468" s="167">
        <v>12</v>
      </c>
      <c r="P468" s="167">
        <v>15</v>
      </c>
      <c r="Q468" s="167">
        <v>34</v>
      </c>
      <c r="R468" s="167">
        <v>42</v>
      </c>
      <c r="S468" s="167">
        <v>44</v>
      </c>
      <c r="T468" s="167">
        <v>4</v>
      </c>
      <c r="U468" s="28">
        <f t="shared" si="347"/>
        <v>153</v>
      </c>
      <c r="W468" s="32" t="str">
        <f t="shared" si="332"/>
        <v>짝수</v>
      </c>
      <c r="X468" s="32" t="str">
        <f t="shared" si="333"/>
        <v>짝수</v>
      </c>
      <c r="Y468" s="32" t="str">
        <f t="shared" si="334"/>
        <v>홀수</v>
      </c>
      <c r="Z468" s="32" t="str">
        <f t="shared" si="335"/>
        <v>짝수</v>
      </c>
      <c r="AA468" s="32" t="str">
        <f t="shared" si="336"/>
        <v>짝수</v>
      </c>
      <c r="AB468" s="32" t="str">
        <f t="shared" si="337"/>
        <v>짝수</v>
      </c>
      <c r="AC468" s="58" t="str">
        <f t="shared" si="338"/>
        <v>1 : 5</v>
      </c>
      <c r="AD468" s="32">
        <f t="shared" si="339"/>
        <v>1</v>
      </c>
      <c r="AE468" s="32">
        <f t="shared" si="340"/>
        <v>5</v>
      </c>
      <c r="AF468" s="66" t="str">
        <f t="shared" si="348"/>
        <v>저수</v>
      </c>
      <c r="AG468" s="66" t="str">
        <f t="shared" si="349"/>
        <v>저수</v>
      </c>
      <c r="AH468" s="66" t="str">
        <f t="shared" si="350"/>
        <v>저수</v>
      </c>
      <c r="AI468" s="66" t="str">
        <f t="shared" si="351"/>
        <v>고수</v>
      </c>
      <c r="AJ468" s="66" t="str">
        <f t="shared" si="352"/>
        <v>고수</v>
      </c>
      <c r="AK468" s="66" t="str">
        <f t="shared" si="353"/>
        <v>고수</v>
      </c>
      <c r="AL468" s="58" t="str">
        <f t="shared" si="354"/>
        <v>3 : 3</v>
      </c>
      <c r="AM468" s="66">
        <f t="shared" si="355"/>
        <v>3</v>
      </c>
      <c r="AN468" s="66">
        <f t="shared" si="356"/>
        <v>3</v>
      </c>
      <c r="AO468" s="66">
        <f t="shared" si="357"/>
        <v>23</v>
      </c>
      <c r="AP468" s="66" t="str">
        <f t="shared" si="358"/>
        <v>X</v>
      </c>
      <c r="AQ468" s="66" t="str">
        <f t="shared" si="359"/>
        <v>X</v>
      </c>
      <c r="AR468" s="66" t="str">
        <f t="shared" si="360"/>
        <v>X</v>
      </c>
      <c r="AS468" s="66" t="str">
        <f t="shared" si="361"/>
        <v>X</v>
      </c>
      <c r="AT468" s="66" t="str">
        <f t="shared" si="362"/>
        <v>X</v>
      </c>
      <c r="AU468" s="66" t="str">
        <f t="shared" si="363"/>
        <v>X</v>
      </c>
      <c r="AV468" s="66" t="str">
        <f t="shared" si="364"/>
        <v>X</v>
      </c>
      <c r="AW468" s="66" t="str">
        <f t="shared" si="365"/>
        <v>X</v>
      </c>
      <c r="AX468" s="66" t="str">
        <f t="shared" si="366"/>
        <v>X</v>
      </c>
      <c r="AY468" s="66" t="str">
        <f t="shared" si="367"/>
        <v>X</v>
      </c>
      <c r="AZ468" s="66" t="str">
        <f t="shared" si="368"/>
        <v>X</v>
      </c>
      <c r="BA468" s="66" t="str">
        <f t="shared" si="369"/>
        <v>X</v>
      </c>
      <c r="BB468" s="66">
        <f t="shared" si="370"/>
        <v>0</v>
      </c>
      <c r="BC468" s="127" t="str">
        <f t="shared" si="341"/>
        <v>1G</v>
      </c>
      <c r="BD468" s="127" t="str">
        <f t="shared" si="342"/>
        <v>1G</v>
      </c>
      <c r="BE468" s="127" t="str">
        <f t="shared" si="343"/>
        <v>1G</v>
      </c>
      <c r="BF468" s="127" t="str">
        <f t="shared" si="344"/>
        <v>3G</v>
      </c>
      <c r="BG468" s="127" t="str">
        <f t="shared" si="345"/>
        <v>3G</v>
      </c>
      <c r="BH468" s="127" t="str">
        <f t="shared" si="346"/>
        <v>3G</v>
      </c>
      <c r="BI468" s="127">
        <f t="shared" si="371"/>
        <v>3</v>
      </c>
      <c r="BJ468" s="127">
        <f t="shared" si="372"/>
        <v>0</v>
      </c>
      <c r="BK468" s="127">
        <f t="shared" si="373"/>
        <v>3</v>
      </c>
      <c r="BL468" s="127" t="str">
        <f t="shared" si="374"/>
        <v>303</v>
      </c>
      <c r="BS468"/>
      <c r="CL468" s="28">
        <v>187</v>
      </c>
      <c r="CM468" s="28">
        <v>180</v>
      </c>
      <c r="CO468"/>
    </row>
    <row r="469" spans="2:93" ht="16.5" hidden="1">
      <c r="B469" s="17">
        <v>465</v>
      </c>
      <c r="C469" s="356" t="s">
        <v>484</v>
      </c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149">
        <v>1</v>
      </c>
      <c r="O469" s="167">
        <v>8</v>
      </c>
      <c r="P469" s="167">
        <v>11</v>
      </c>
      <c r="Q469" s="167">
        <v>13</v>
      </c>
      <c r="R469" s="167">
        <v>22</v>
      </c>
      <c r="S469" s="167">
        <v>38</v>
      </c>
      <c r="T469" s="167">
        <v>31</v>
      </c>
      <c r="U469" s="28">
        <f t="shared" si="347"/>
        <v>93</v>
      </c>
      <c r="W469" s="32" t="str">
        <f t="shared" si="332"/>
        <v>홀수</v>
      </c>
      <c r="X469" s="32" t="str">
        <f t="shared" si="333"/>
        <v>짝수</v>
      </c>
      <c r="Y469" s="32" t="str">
        <f t="shared" si="334"/>
        <v>홀수</v>
      </c>
      <c r="Z469" s="32" t="str">
        <f t="shared" si="335"/>
        <v>홀수</v>
      </c>
      <c r="AA469" s="32" t="str">
        <f t="shared" si="336"/>
        <v>짝수</v>
      </c>
      <c r="AB469" s="32" t="str">
        <f t="shared" si="337"/>
        <v>짝수</v>
      </c>
      <c r="AC469" s="58" t="str">
        <f t="shared" si="338"/>
        <v>3 : 3</v>
      </c>
      <c r="AD469" s="32">
        <f t="shared" si="339"/>
        <v>3</v>
      </c>
      <c r="AE469" s="32">
        <f t="shared" si="340"/>
        <v>3</v>
      </c>
      <c r="AF469" s="66" t="str">
        <f t="shared" si="348"/>
        <v>저수</v>
      </c>
      <c r="AG469" s="66" t="str">
        <f t="shared" si="349"/>
        <v>저수</v>
      </c>
      <c r="AH469" s="66" t="str">
        <f t="shared" si="350"/>
        <v>저수</v>
      </c>
      <c r="AI469" s="66" t="str">
        <f t="shared" si="351"/>
        <v>저수</v>
      </c>
      <c r="AJ469" s="66" t="str">
        <f t="shared" si="352"/>
        <v>저수</v>
      </c>
      <c r="AK469" s="66" t="str">
        <f t="shared" si="353"/>
        <v>고수</v>
      </c>
      <c r="AL469" s="58" t="str">
        <f t="shared" si="354"/>
        <v>5 : 1</v>
      </c>
      <c r="AM469" s="66">
        <f t="shared" si="355"/>
        <v>5</v>
      </c>
      <c r="AN469" s="66">
        <f t="shared" si="356"/>
        <v>1</v>
      </c>
      <c r="AO469" s="66">
        <f t="shared" si="357"/>
        <v>23</v>
      </c>
      <c r="AP469" s="66" t="str">
        <f t="shared" si="358"/>
        <v>X</v>
      </c>
      <c r="AQ469" s="66" t="str">
        <f t="shared" si="359"/>
        <v>X</v>
      </c>
      <c r="AR469" s="66" t="str">
        <f t="shared" si="360"/>
        <v>O</v>
      </c>
      <c r="AS469" s="66" t="str">
        <f t="shared" si="361"/>
        <v>O</v>
      </c>
      <c r="AT469" s="66" t="str">
        <f t="shared" si="362"/>
        <v>X</v>
      </c>
      <c r="AU469" s="66" t="str">
        <f t="shared" si="363"/>
        <v>X</v>
      </c>
      <c r="AV469" s="66" t="str">
        <f t="shared" si="364"/>
        <v>X</v>
      </c>
      <c r="AW469" s="66" t="str">
        <f t="shared" si="365"/>
        <v>X</v>
      </c>
      <c r="AX469" s="66" t="str">
        <f t="shared" si="366"/>
        <v>X</v>
      </c>
      <c r="AY469" s="66" t="str">
        <f t="shared" si="367"/>
        <v>X</v>
      </c>
      <c r="AZ469" s="66" t="str">
        <f t="shared" si="368"/>
        <v>X</v>
      </c>
      <c r="BA469" s="66" t="str">
        <f t="shared" si="369"/>
        <v>X</v>
      </c>
      <c r="BB469" s="66">
        <f t="shared" si="370"/>
        <v>2</v>
      </c>
      <c r="BC469" s="127" t="str">
        <f t="shared" si="341"/>
        <v>1G</v>
      </c>
      <c r="BD469" s="127" t="str">
        <f t="shared" si="342"/>
        <v>1G</v>
      </c>
      <c r="BE469" s="127" t="str">
        <f t="shared" si="343"/>
        <v>1G</v>
      </c>
      <c r="BF469" s="127" t="str">
        <f t="shared" si="344"/>
        <v>1G</v>
      </c>
      <c r="BG469" s="127" t="str">
        <f t="shared" si="345"/>
        <v>2G</v>
      </c>
      <c r="BH469" s="127" t="str">
        <f t="shared" si="346"/>
        <v>3G</v>
      </c>
      <c r="BI469" s="127">
        <f t="shared" si="371"/>
        <v>4</v>
      </c>
      <c r="BJ469" s="127">
        <f t="shared" si="372"/>
        <v>1</v>
      </c>
      <c r="BK469" s="127">
        <f t="shared" si="373"/>
        <v>1</v>
      </c>
      <c r="BL469" s="127" t="str">
        <f t="shared" si="374"/>
        <v>411</v>
      </c>
      <c r="BS469"/>
      <c r="CL469" s="28">
        <v>188</v>
      </c>
      <c r="CM469" s="28">
        <v>180</v>
      </c>
      <c r="CO469"/>
    </row>
    <row r="470" spans="2:93" ht="16.5" hidden="1">
      <c r="B470" s="17">
        <v>466</v>
      </c>
      <c r="C470" s="363" t="s">
        <v>485</v>
      </c>
      <c r="N470" s="167">
        <v>4</v>
      </c>
      <c r="O470" s="167">
        <v>10</v>
      </c>
      <c r="P470" s="167">
        <v>13</v>
      </c>
      <c r="Q470" s="167">
        <v>23</v>
      </c>
      <c r="R470" s="167">
        <v>32</v>
      </c>
      <c r="S470" s="167">
        <v>44</v>
      </c>
      <c r="T470" s="167">
        <v>20</v>
      </c>
      <c r="U470" s="28">
        <f t="shared" si="347"/>
        <v>126</v>
      </c>
      <c r="W470" s="32" t="str">
        <f t="shared" si="332"/>
        <v>짝수</v>
      </c>
      <c r="X470" s="32" t="str">
        <f t="shared" si="333"/>
        <v>짝수</v>
      </c>
      <c r="Y470" s="32" t="str">
        <f t="shared" si="334"/>
        <v>홀수</v>
      </c>
      <c r="Z470" s="32" t="str">
        <f t="shared" si="335"/>
        <v>홀수</v>
      </c>
      <c r="AA470" s="32" t="str">
        <f t="shared" si="336"/>
        <v>짝수</v>
      </c>
      <c r="AB470" s="32" t="str">
        <f t="shared" si="337"/>
        <v>짝수</v>
      </c>
      <c r="AC470" s="58" t="str">
        <f t="shared" si="338"/>
        <v>2 : 4</v>
      </c>
      <c r="AD470" s="32">
        <f t="shared" si="339"/>
        <v>2</v>
      </c>
      <c r="AE470" s="32">
        <f t="shared" si="340"/>
        <v>4</v>
      </c>
      <c r="AF470" s="66" t="str">
        <f t="shared" si="348"/>
        <v>저수</v>
      </c>
      <c r="AG470" s="66" t="str">
        <f t="shared" si="349"/>
        <v>저수</v>
      </c>
      <c r="AH470" s="66" t="str">
        <f t="shared" si="350"/>
        <v>저수</v>
      </c>
      <c r="AI470" s="66" t="str">
        <f t="shared" si="351"/>
        <v>고수</v>
      </c>
      <c r="AJ470" s="66" t="str">
        <f t="shared" si="352"/>
        <v>고수</v>
      </c>
      <c r="AK470" s="66" t="str">
        <f t="shared" si="353"/>
        <v>고수</v>
      </c>
      <c r="AL470" s="58" t="str">
        <f t="shared" si="354"/>
        <v>3 : 3</v>
      </c>
      <c r="AM470" s="66">
        <f t="shared" si="355"/>
        <v>3</v>
      </c>
      <c r="AN470" s="66">
        <f t="shared" si="356"/>
        <v>3</v>
      </c>
      <c r="AO470" s="66">
        <f t="shared" si="357"/>
        <v>16</v>
      </c>
      <c r="AP470" s="66" t="str">
        <f t="shared" si="358"/>
        <v>X</v>
      </c>
      <c r="AQ470" s="66" t="str">
        <f t="shared" si="359"/>
        <v>X</v>
      </c>
      <c r="AR470" s="66" t="str">
        <f t="shared" si="360"/>
        <v>O</v>
      </c>
      <c r="AS470" s="66" t="str">
        <f t="shared" si="361"/>
        <v>X</v>
      </c>
      <c r="AT470" s="66" t="str">
        <f t="shared" si="362"/>
        <v>X</v>
      </c>
      <c r="AU470" s="66" t="str">
        <f t="shared" si="363"/>
        <v>X</v>
      </c>
      <c r="AV470" s="66" t="str">
        <f t="shared" si="364"/>
        <v>X</v>
      </c>
      <c r="AW470" s="66" t="str">
        <f t="shared" si="365"/>
        <v>X</v>
      </c>
      <c r="AX470" s="66" t="str">
        <f t="shared" si="366"/>
        <v>X</v>
      </c>
      <c r="AY470" s="66" t="str">
        <f t="shared" si="367"/>
        <v>O</v>
      </c>
      <c r="AZ470" s="66" t="str">
        <f t="shared" si="368"/>
        <v>X</v>
      </c>
      <c r="BA470" s="66" t="str">
        <f t="shared" si="369"/>
        <v>X</v>
      </c>
      <c r="BB470" s="66">
        <f t="shared" si="370"/>
        <v>2</v>
      </c>
      <c r="BC470" s="127" t="str">
        <f t="shared" si="341"/>
        <v>1G</v>
      </c>
      <c r="BD470" s="127" t="str">
        <f t="shared" si="342"/>
        <v>1G</v>
      </c>
      <c r="BE470" s="127" t="str">
        <f t="shared" si="343"/>
        <v>1G</v>
      </c>
      <c r="BF470" s="127" t="str">
        <f t="shared" si="344"/>
        <v>2G</v>
      </c>
      <c r="BG470" s="127" t="str">
        <f t="shared" si="345"/>
        <v>3G</v>
      </c>
      <c r="BH470" s="127" t="str">
        <f t="shared" si="346"/>
        <v>3G</v>
      </c>
      <c r="BI470" s="127">
        <f t="shared" si="371"/>
        <v>3</v>
      </c>
      <c r="BJ470" s="127">
        <f t="shared" si="372"/>
        <v>1</v>
      </c>
      <c r="BK470" s="127">
        <f t="shared" si="373"/>
        <v>2</v>
      </c>
      <c r="BL470" s="127" t="str">
        <f t="shared" si="374"/>
        <v>312</v>
      </c>
      <c r="BS470"/>
      <c r="CL470" s="28">
        <v>188</v>
      </c>
      <c r="CM470" s="28">
        <v>180</v>
      </c>
      <c r="CO470"/>
    </row>
    <row r="471" spans="2:93" ht="16.5" hidden="1">
      <c r="B471" s="17">
        <v>467</v>
      </c>
      <c r="C471" s="363" t="s">
        <v>486</v>
      </c>
      <c r="N471" s="167">
        <v>2</v>
      </c>
      <c r="O471" s="167">
        <v>12</v>
      </c>
      <c r="P471" s="167">
        <v>14</v>
      </c>
      <c r="Q471" s="167">
        <v>17</v>
      </c>
      <c r="R471" s="167">
        <v>24</v>
      </c>
      <c r="S471" s="167">
        <v>40</v>
      </c>
      <c r="T471" s="167">
        <v>39</v>
      </c>
      <c r="U471" s="28">
        <f t="shared" si="347"/>
        <v>109</v>
      </c>
      <c r="W471" s="32" t="str">
        <f t="shared" si="332"/>
        <v>짝수</v>
      </c>
      <c r="X471" s="32" t="str">
        <f t="shared" si="333"/>
        <v>짝수</v>
      </c>
      <c r="Y471" s="32" t="str">
        <f t="shared" si="334"/>
        <v>짝수</v>
      </c>
      <c r="Z471" s="32" t="str">
        <f t="shared" si="335"/>
        <v>홀수</v>
      </c>
      <c r="AA471" s="32" t="str">
        <f t="shared" si="336"/>
        <v>짝수</v>
      </c>
      <c r="AB471" s="32" t="str">
        <f t="shared" si="337"/>
        <v>짝수</v>
      </c>
      <c r="AC471" s="58" t="str">
        <f t="shared" si="338"/>
        <v>1 : 5</v>
      </c>
      <c r="AD471" s="32">
        <f t="shared" si="339"/>
        <v>1</v>
      </c>
      <c r="AE471" s="32">
        <f t="shared" si="340"/>
        <v>5</v>
      </c>
      <c r="AF471" s="66" t="str">
        <f t="shared" si="348"/>
        <v>저수</v>
      </c>
      <c r="AG471" s="66" t="str">
        <f t="shared" si="349"/>
        <v>저수</v>
      </c>
      <c r="AH471" s="66" t="str">
        <f t="shared" si="350"/>
        <v>저수</v>
      </c>
      <c r="AI471" s="66" t="str">
        <f t="shared" si="351"/>
        <v>저수</v>
      </c>
      <c r="AJ471" s="66" t="str">
        <f t="shared" si="352"/>
        <v>고수</v>
      </c>
      <c r="AK471" s="66" t="str">
        <f t="shared" si="353"/>
        <v>고수</v>
      </c>
      <c r="AL471" s="58" t="str">
        <f t="shared" si="354"/>
        <v>4 : 2</v>
      </c>
      <c r="AM471" s="66">
        <f t="shared" si="355"/>
        <v>4</v>
      </c>
      <c r="AN471" s="66">
        <f t="shared" si="356"/>
        <v>2</v>
      </c>
      <c r="AO471" s="66">
        <f t="shared" si="357"/>
        <v>19</v>
      </c>
      <c r="AP471" s="66" t="str">
        <f t="shared" si="358"/>
        <v>O</v>
      </c>
      <c r="AQ471" s="66" t="str">
        <f t="shared" si="359"/>
        <v>X</v>
      </c>
      <c r="AR471" s="66" t="str">
        <f t="shared" si="360"/>
        <v>X</v>
      </c>
      <c r="AS471" s="66" t="str">
        <f t="shared" si="361"/>
        <v>O</v>
      </c>
      <c r="AT471" s="66" t="str">
        <f t="shared" si="362"/>
        <v>X</v>
      </c>
      <c r="AU471" s="66" t="str">
        <f t="shared" si="363"/>
        <v>X</v>
      </c>
      <c r="AV471" s="66" t="str">
        <f t="shared" si="364"/>
        <v>X</v>
      </c>
      <c r="AW471" s="66" t="str">
        <f t="shared" si="365"/>
        <v>X</v>
      </c>
      <c r="AX471" s="66" t="str">
        <f t="shared" si="366"/>
        <v>X</v>
      </c>
      <c r="AY471" s="66" t="str">
        <f t="shared" si="367"/>
        <v>X</v>
      </c>
      <c r="AZ471" s="66" t="str">
        <f t="shared" si="368"/>
        <v>X</v>
      </c>
      <c r="BA471" s="66" t="str">
        <f t="shared" si="369"/>
        <v>X</v>
      </c>
      <c r="BB471" s="66">
        <f t="shared" si="370"/>
        <v>2</v>
      </c>
      <c r="BC471" s="127" t="str">
        <f t="shared" si="341"/>
        <v>1G</v>
      </c>
      <c r="BD471" s="127" t="str">
        <f t="shared" si="342"/>
        <v>1G</v>
      </c>
      <c r="BE471" s="127" t="str">
        <f t="shared" si="343"/>
        <v>1G</v>
      </c>
      <c r="BF471" s="127" t="str">
        <f t="shared" si="344"/>
        <v>2G</v>
      </c>
      <c r="BG471" s="127" t="str">
        <f t="shared" si="345"/>
        <v>2G</v>
      </c>
      <c r="BH471" s="127" t="str">
        <f t="shared" si="346"/>
        <v>3G</v>
      </c>
      <c r="BI471" s="127">
        <f t="shared" si="371"/>
        <v>3</v>
      </c>
      <c r="BJ471" s="127">
        <f t="shared" si="372"/>
        <v>2</v>
      </c>
      <c r="BK471" s="127">
        <f t="shared" si="373"/>
        <v>1</v>
      </c>
      <c r="BL471" s="127" t="str">
        <f t="shared" si="374"/>
        <v>321</v>
      </c>
      <c r="BS471"/>
      <c r="CL471" s="28">
        <v>189</v>
      </c>
      <c r="CM471" s="28">
        <v>180</v>
      </c>
      <c r="CO471"/>
    </row>
    <row r="472" spans="2:93" ht="16.5" hidden="1">
      <c r="B472" s="17">
        <v>468</v>
      </c>
      <c r="C472" s="363" t="s">
        <v>487</v>
      </c>
      <c r="N472" s="167">
        <v>8</v>
      </c>
      <c r="O472" s="167">
        <v>13</v>
      </c>
      <c r="P472" s="167">
        <v>15</v>
      </c>
      <c r="Q472" s="167">
        <v>28</v>
      </c>
      <c r="R472" s="167">
        <v>37</v>
      </c>
      <c r="S472" s="167">
        <v>43</v>
      </c>
      <c r="T472" s="167">
        <v>17</v>
      </c>
      <c r="U472" s="28">
        <f t="shared" si="347"/>
        <v>144</v>
      </c>
      <c r="W472" s="32" t="str">
        <f t="shared" si="332"/>
        <v>짝수</v>
      </c>
      <c r="X472" s="32" t="str">
        <f t="shared" si="333"/>
        <v>홀수</v>
      </c>
      <c r="Y472" s="32" t="str">
        <f t="shared" si="334"/>
        <v>홀수</v>
      </c>
      <c r="Z472" s="32" t="str">
        <f t="shared" si="335"/>
        <v>짝수</v>
      </c>
      <c r="AA472" s="32" t="str">
        <f t="shared" si="336"/>
        <v>홀수</v>
      </c>
      <c r="AB472" s="32" t="str">
        <f t="shared" si="337"/>
        <v>홀수</v>
      </c>
      <c r="AC472" s="58" t="str">
        <f t="shared" si="338"/>
        <v>4 : 2</v>
      </c>
      <c r="AD472" s="32">
        <f t="shared" si="339"/>
        <v>4</v>
      </c>
      <c r="AE472" s="32">
        <f t="shared" si="340"/>
        <v>2</v>
      </c>
      <c r="AF472" s="66" t="str">
        <f t="shared" si="348"/>
        <v>저수</v>
      </c>
      <c r="AG472" s="66" t="str">
        <f t="shared" si="349"/>
        <v>저수</v>
      </c>
      <c r="AH472" s="66" t="str">
        <f t="shared" si="350"/>
        <v>저수</v>
      </c>
      <c r="AI472" s="66" t="str">
        <f t="shared" si="351"/>
        <v>고수</v>
      </c>
      <c r="AJ472" s="66" t="str">
        <f t="shared" si="352"/>
        <v>고수</v>
      </c>
      <c r="AK472" s="66" t="str">
        <f t="shared" si="353"/>
        <v>고수</v>
      </c>
      <c r="AL472" s="58" t="str">
        <f t="shared" si="354"/>
        <v>3 : 3</v>
      </c>
      <c r="AM472" s="66">
        <f t="shared" si="355"/>
        <v>3</v>
      </c>
      <c r="AN472" s="66">
        <f t="shared" si="356"/>
        <v>3</v>
      </c>
      <c r="AO472" s="66">
        <f t="shared" si="357"/>
        <v>34</v>
      </c>
      <c r="AP472" s="66" t="str">
        <f t="shared" si="358"/>
        <v>X</v>
      </c>
      <c r="AQ472" s="66" t="str">
        <f t="shared" si="359"/>
        <v>O</v>
      </c>
      <c r="AR472" s="66" t="str">
        <f t="shared" si="360"/>
        <v>X</v>
      </c>
      <c r="AS472" s="66" t="str">
        <f t="shared" si="361"/>
        <v>X</v>
      </c>
      <c r="AT472" s="66" t="str">
        <f t="shared" si="362"/>
        <v>X</v>
      </c>
      <c r="AU472" s="66" t="str">
        <f t="shared" si="363"/>
        <v>X</v>
      </c>
      <c r="AV472" s="66" t="str">
        <f t="shared" si="364"/>
        <v>X</v>
      </c>
      <c r="AW472" s="66" t="str">
        <f t="shared" si="365"/>
        <v>X</v>
      </c>
      <c r="AX472" s="66" t="str">
        <f t="shared" si="366"/>
        <v>X</v>
      </c>
      <c r="AY472" s="66" t="str">
        <f t="shared" si="367"/>
        <v>X</v>
      </c>
      <c r="AZ472" s="66" t="str">
        <f t="shared" si="368"/>
        <v>O</v>
      </c>
      <c r="BA472" s="66" t="str">
        <f t="shared" si="369"/>
        <v>O</v>
      </c>
      <c r="BB472" s="66">
        <f t="shared" si="370"/>
        <v>3</v>
      </c>
      <c r="BC472" s="127" t="str">
        <f t="shared" si="341"/>
        <v>1G</v>
      </c>
      <c r="BD472" s="127" t="str">
        <f t="shared" si="342"/>
        <v>1G</v>
      </c>
      <c r="BE472" s="127" t="str">
        <f t="shared" si="343"/>
        <v>1G</v>
      </c>
      <c r="BF472" s="127" t="str">
        <f t="shared" si="344"/>
        <v>2G</v>
      </c>
      <c r="BG472" s="127" t="str">
        <f t="shared" si="345"/>
        <v>3G</v>
      </c>
      <c r="BH472" s="127" t="str">
        <f t="shared" si="346"/>
        <v>3G</v>
      </c>
      <c r="BI472" s="127">
        <f t="shared" si="371"/>
        <v>3</v>
      </c>
      <c r="BJ472" s="127">
        <f t="shared" si="372"/>
        <v>1</v>
      </c>
      <c r="BK472" s="127">
        <f t="shared" si="373"/>
        <v>2</v>
      </c>
      <c r="BL472" s="127" t="str">
        <f t="shared" si="374"/>
        <v>312</v>
      </c>
      <c r="BS472"/>
      <c r="CL472" s="28">
        <v>189</v>
      </c>
      <c r="CM472" s="28">
        <v>180</v>
      </c>
      <c r="CO472"/>
    </row>
    <row r="473" spans="2:93" ht="16.5" hidden="1">
      <c r="B473" s="17">
        <v>469</v>
      </c>
      <c r="C473" s="363" t="s">
        <v>488</v>
      </c>
      <c r="N473" s="167">
        <v>4</v>
      </c>
      <c r="O473" s="167">
        <v>21</v>
      </c>
      <c r="P473" s="167">
        <v>22</v>
      </c>
      <c r="Q473" s="167">
        <v>34</v>
      </c>
      <c r="R473" s="167">
        <v>37</v>
      </c>
      <c r="S473" s="167">
        <v>38</v>
      </c>
      <c r="T473" s="167">
        <v>33</v>
      </c>
      <c r="U473" s="28">
        <f t="shared" si="347"/>
        <v>156</v>
      </c>
      <c r="W473" s="32" t="str">
        <f t="shared" si="332"/>
        <v>짝수</v>
      </c>
      <c r="X473" s="32" t="str">
        <f t="shared" si="333"/>
        <v>홀수</v>
      </c>
      <c r="Y473" s="32" t="str">
        <f t="shared" si="334"/>
        <v>짝수</v>
      </c>
      <c r="Z473" s="32" t="str">
        <f t="shared" si="335"/>
        <v>짝수</v>
      </c>
      <c r="AA473" s="32" t="str">
        <f t="shared" si="336"/>
        <v>홀수</v>
      </c>
      <c r="AB473" s="32" t="str">
        <f t="shared" si="337"/>
        <v>짝수</v>
      </c>
      <c r="AC473" s="58" t="str">
        <f t="shared" si="338"/>
        <v>2 : 4</v>
      </c>
      <c r="AD473" s="32">
        <f t="shared" si="339"/>
        <v>2</v>
      </c>
      <c r="AE473" s="32">
        <f t="shared" si="340"/>
        <v>4</v>
      </c>
      <c r="AF473" s="66" t="str">
        <f t="shared" si="348"/>
        <v>저수</v>
      </c>
      <c r="AG473" s="66" t="str">
        <f t="shared" si="349"/>
        <v>저수</v>
      </c>
      <c r="AH473" s="66" t="str">
        <f t="shared" si="350"/>
        <v>저수</v>
      </c>
      <c r="AI473" s="66" t="str">
        <f t="shared" si="351"/>
        <v>고수</v>
      </c>
      <c r="AJ473" s="66" t="str">
        <f t="shared" si="352"/>
        <v>고수</v>
      </c>
      <c r="AK473" s="66" t="str">
        <f t="shared" si="353"/>
        <v>고수</v>
      </c>
      <c r="AL473" s="58" t="str">
        <f t="shared" si="354"/>
        <v>3 : 3</v>
      </c>
      <c r="AM473" s="66">
        <f t="shared" si="355"/>
        <v>3</v>
      </c>
      <c r="AN473" s="66">
        <f t="shared" si="356"/>
        <v>3</v>
      </c>
      <c r="AO473" s="66">
        <f t="shared" si="357"/>
        <v>26</v>
      </c>
      <c r="AP473" s="66" t="str">
        <f t="shared" si="358"/>
        <v>X</v>
      </c>
      <c r="AQ473" s="66" t="str">
        <f t="shared" si="359"/>
        <v>X</v>
      </c>
      <c r="AR473" s="66" t="str">
        <f t="shared" si="360"/>
        <v>X</v>
      </c>
      <c r="AS473" s="66" t="str">
        <f t="shared" si="361"/>
        <v>X</v>
      </c>
      <c r="AT473" s="66" t="str">
        <f t="shared" si="362"/>
        <v>X</v>
      </c>
      <c r="AU473" s="66" t="str">
        <f t="shared" si="363"/>
        <v>X</v>
      </c>
      <c r="AV473" s="66" t="str">
        <f t="shared" si="364"/>
        <v>X</v>
      </c>
      <c r="AW473" s="66" t="str">
        <f t="shared" si="365"/>
        <v>X</v>
      </c>
      <c r="AX473" s="66" t="str">
        <f t="shared" si="366"/>
        <v>X</v>
      </c>
      <c r="AY473" s="66" t="str">
        <f t="shared" si="367"/>
        <v>X</v>
      </c>
      <c r="AZ473" s="66" t="str">
        <f t="shared" si="368"/>
        <v>O</v>
      </c>
      <c r="BA473" s="66" t="str">
        <f t="shared" si="369"/>
        <v>X</v>
      </c>
      <c r="BB473" s="66">
        <f t="shared" si="370"/>
        <v>1</v>
      </c>
      <c r="BC473" s="127" t="str">
        <f t="shared" si="341"/>
        <v>1G</v>
      </c>
      <c r="BD473" s="127" t="str">
        <f t="shared" si="342"/>
        <v>2G</v>
      </c>
      <c r="BE473" s="127" t="str">
        <f t="shared" si="343"/>
        <v>2G</v>
      </c>
      <c r="BF473" s="127" t="str">
        <f t="shared" si="344"/>
        <v>3G</v>
      </c>
      <c r="BG473" s="127" t="str">
        <f t="shared" si="345"/>
        <v>3G</v>
      </c>
      <c r="BH473" s="127" t="str">
        <f t="shared" si="346"/>
        <v>3G</v>
      </c>
      <c r="BI473" s="127">
        <f t="shared" si="371"/>
        <v>1</v>
      </c>
      <c r="BJ473" s="127">
        <f t="shared" si="372"/>
        <v>2</v>
      </c>
      <c r="BK473" s="127">
        <f t="shared" si="373"/>
        <v>3</v>
      </c>
      <c r="BL473" s="127" t="str">
        <f t="shared" si="374"/>
        <v>123</v>
      </c>
      <c r="BS473"/>
      <c r="CL473" s="28">
        <v>189</v>
      </c>
      <c r="CM473" s="28">
        <v>180</v>
      </c>
      <c r="CO473"/>
    </row>
    <row r="474" spans="2:93" ht="16.5" hidden="1">
      <c r="B474" s="17">
        <v>470</v>
      </c>
      <c r="C474" s="363" t="s">
        <v>489</v>
      </c>
      <c r="N474" s="167">
        <v>10</v>
      </c>
      <c r="O474" s="167">
        <v>16</v>
      </c>
      <c r="P474" s="167">
        <v>20</v>
      </c>
      <c r="Q474" s="167">
        <v>39</v>
      </c>
      <c r="R474" s="167">
        <v>41</v>
      </c>
      <c r="S474" s="167">
        <v>42</v>
      </c>
      <c r="T474" s="167">
        <v>27</v>
      </c>
      <c r="U474" s="28">
        <f t="shared" si="347"/>
        <v>168</v>
      </c>
      <c r="W474" s="32" t="str">
        <f t="shared" si="332"/>
        <v>짝수</v>
      </c>
      <c r="X474" s="32" t="str">
        <f t="shared" si="333"/>
        <v>짝수</v>
      </c>
      <c r="Y474" s="32" t="str">
        <f t="shared" si="334"/>
        <v>짝수</v>
      </c>
      <c r="Z474" s="32" t="str">
        <f t="shared" si="335"/>
        <v>홀수</v>
      </c>
      <c r="AA474" s="32" t="str">
        <f t="shared" si="336"/>
        <v>홀수</v>
      </c>
      <c r="AB474" s="32" t="str">
        <f t="shared" si="337"/>
        <v>짝수</v>
      </c>
      <c r="AC474" s="58" t="str">
        <f t="shared" si="338"/>
        <v>2 : 4</v>
      </c>
      <c r="AD474" s="32">
        <f t="shared" si="339"/>
        <v>2</v>
      </c>
      <c r="AE474" s="32">
        <f t="shared" si="340"/>
        <v>4</v>
      </c>
      <c r="AF474" s="66" t="str">
        <f t="shared" si="348"/>
        <v>저수</v>
      </c>
      <c r="AG474" s="66" t="str">
        <f t="shared" si="349"/>
        <v>저수</v>
      </c>
      <c r="AH474" s="66" t="str">
        <f t="shared" si="350"/>
        <v>저수</v>
      </c>
      <c r="AI474" s="66" t="str">
        <f t="shared" si="351"/>
        <v>고수</v>
      </c>
      <c r="AJ474" s="66" t="str">
        <f t="shared" si="352"/>
        <v>고수</v>
      </c>
      <c r="AK474" s="66" t="str">
        <f t="shared" si="353"/>
        <v>고수</v>
      </c>
      <c r="AL474" s="58" t="str">
        <f t="shared" si="354"/>
        <v>3 : 3</v>
      </c>
      <c r="AM474" s="66">
        <f t="shared" si="355"/>
        <v>3</v>
      </c>
      <c r="AN474" s="66">
        <f t="shared" si="356"/>
        <v>3</v>
      </c>
      <c r="AO474" s="66">
        <f t="shared" si="357"/>
        <v>18</v>
      </c>
      <c r="AP474" s="66" t="str">
        <f t="shared" si="358"/>
        <v>X</v>
      </c>
      <c r="AQ474" s="66" t="str">
        <f t="shared" si="359"/>
        <v>X</v>
      </c>
      <c r="AR474" s="66" t="str">
        <f t="shared" si="360"/>
        <v>X</v>
      </c>
      <c r="AS474" s="66" t="str">
        <f t="shared" si="361"/>
        <v>X</v>
      </c>
      <c r="AT474" s="66" t="str">
        <f t="shared" si="362"/>
        <v>X</v>
      </c>
      <c r="AU474" s="66" t="str">
        <f t="shared" si="363"/>
        <v>X</v>
      </c>
      <c r="AV474" s="66" t="str">
        <f t="shared" si="364"/>
        <v>X</v>
      </c>
      <c r="AW474" s="66" t="str">
        <f t="shared" si="365"/>
        <v>X</v>
      </c>
      <c r="AX474" s="66" t="str">
        <f t="shared" si="366"/>
        <v>X</v>
      </c>
      <c r="AY474" s="66" t="str">
        <f t="shared" si="367"/>
        <v>X</v>
      </c>
      <c r="AZ474" s="66" t="str">
        <f t="shared" si="368"/>
        <v>O</v>
      </c>
      <c r="BA474" s="66" t="str">
        <f t="shared" si="369"/>
        <v>X</v>
      </c>
      <c r="BB474" s="66">
        <f t="shared" si="370"/>
        <v>1</v>
      </c>
      <c r="BC474" s="127" t="str">
        <f t="shared" si="341"/>
        <v>1G</v>
      </c>
      <c r="BD474" s="127" t="str">
        <f t="shared" si="342"/>
        <v>2G</v>
      </c>
      <c r="BE474" s="127" t="str">
        <f t="shared" si="343"/>
        <v>2G</v>
      </c>
      <c r="BF474" s="127" t="str">
        <f t="shared" si="344"/>
        <v>3G</v>
      </c>
      <c r="BG474" s="127" t="str">
        <f t="shared" si="345"/>
        <v>3G</v>
      </c>
      <c r="BH474" s="127" t="str">
        <f t="shared" si="346"/>
        <v>3G</v>
      </c>
      <c r="BI474" s="127">
        <f t="shared" si="371"/>
        <v>1</v>
      </c>
      <c r="BJ474" s="127">
        <f t="shared" si="372"/>
        <v>2</v>
      </c>
      <c r="BK474" s="127">
        <f t="shared" si="373"/>
        <v>3</v>
      </c>
      <c r="BL474" s="127" t="str">
        <f t="shared" si="374"/>
        <v>123</v>
      </c>
      <c r="BS474"/>
      <c r="CL474" s="28">
        <v>189</v>
      </c>
      <c r="CM474" s="28">
        <v>180</v>
      </c>
      <c r="CO474"/>
    </row>
    <row r="475" spans="2:93" ht="16.5" hidden="1">
      <c r="B475" s="17">
        <v>471</v>
      </c>
      <c r="C475" s="363" t="s">
        <v>490</v>
      </c>
      <c r="N475" s="167">
        <v>6</v>
      </c>
      <c r="O475" s="167">
        <v>13</v>
      </c>
      <c r="P475" s="167">
        <v>29</v>
      </c>
      <c r="Q475" s="167">
        <v>37</v>
      </c>
      <c r="R475" s="167">
        <v>39</v>
      </c>
      <c r="S475" s="167">
        <v>41</v>
      </c>
      <c r="T475" s="167">
        <v>43</v>
      </c>
      <c r="U475" s="28">
        <f t="shared" si="347"/>
        <v>165</v>
      </c>
      <c r="W475" s="32" t="str">
        <f t="shared" si="332"/>
        <v>짝수</v>
      </c>
      <c r="X475" s="32" t="str">
        <f t="shared" si="333"/>
        <v>홀수</v>
      </c>
      <c r="Y475" s="32" t="str">
        <f t="shared" si="334"/>
        <v>홀수</v>
      </c>
      <c r="Z475" s="32" t="str">
        <f t="shared" si="335"/>
        <v>홀수</v>
      </c>
      <c r="AA475" s="32" t="str">
        <f t="shared" si="336"/>
        <v>홀수</v>
      </c>
      <c r="AB475" s="32" t="str">
        <f t="shared" si="337"/>
        <v>홀수</v>
      </c>
      <c r="AC475" s="58" t="str">
        <f t="shared" si="338"/>
        <v>5 : 1</v>
      </c>
      <c r="AD475" s="32">
        <f t="shared" si="339"/>
        <v>5</v>
      </c>
      <c r="AE475" s="32">
        <f t="shared" si="340"/>
        <v>1</v>
      </c>
      <c r="AF475" s="66" t="str">
        <f t="shared" si="348"/>
        <v>저수</v>
      </c>
      <c r="AG475" s="66" t="str">
        <f t="shared" si="349"/>
        <v>저수</v>
      </c>
      <c r="AH475" s="66" t="str">
        <f t="shared" si="350"/>
        <v>고수</v>
      </c>
      <c r="AI475" s="66" t="str">
        <f t="shared" si="351"/>
        <v>고수</v>
      </c>
      <c r="AJ475" s="66" t="str">
        <f t="shared" si="352"/>
        <v>고수</v>
      </c>
      <c r="AK475" s="66" t="str">
        <f t="shared" si="353"/>
        <v>고수</v>
      </c>
      <c r="AL475" s="58" t="str">
        <f t="shared" si="354"/>
        <v>2 : 4</v>
      </c>
      <c r="AM475" s="66">
        <f t="shared" si="355"/>
        <v>2</v>
      </c>
      <c r="AN475" s="66">
        <f t="shared" si="356"/>
        <v>4</v>
      </c>
      <c r="AO475" s="66">
        <f t="shared" si="357"/>
        <v>35</v>
      </c>
      <c r="AP475" s="66" t="str">
        <f t="shared" si="358"/>
        <v>X</v>
      </c>
      <c r="AQ475" s="66" t="str">
        <f t="shared" si="359"/>
        <v>O</v>
      </c>
      <c r="AR475" s="66" t="str">
        <f t="shared" si="360"/>
        <v>X</v>
      </c>
      <c r="AS475" s="66" t="str">
        <f t="shared" si="361"/>
        <v>X</v>
      </c>
      <c r="AT475" s="66" t="str">
        <f t="shared" si="362"/>
        <v>X</v>
      </c>
      <c r="AU475" s="66" t="str">
        <f t="shared" si="363"/>
        <v>X</v>
      </c>
      <c r="AV475" s="66" t="str">
        <f t="shared" si="364"/>
        <v>X</v>
      </c>
      <c r="AW475" s="66" t="str">
        <f t="shared" si="365"/>
        <v>X</v>
      </c>
      <c r="AX475" s="66" t="str">
        <f t="shared" si="366"/>
        <v>O</v>
      </c>
      <c r="AY475" s="66" t="str">
        <f t="shared" si="367"/>
        <v>O</v>
      </c>
      <c r="AZ475" s="66" t="str">
        <f t="shared" si="368"/>
        <v>X</v>
      </c>
      <c r="BA475" s="66" t="str">
        <f t="shared" si="369"/>
        <v>O</v>
      </c>
      <c r="BB475" s="66">
        <f t="shared" si="370"/>
        <v>4</v>
      </c>
      <c r="BC475" s="127" t="str">
        <f t="shared" si="341"/>
        <v>1G</v>
      </c>
      <c r="BD475" s="127" t="str">
        <f t="shared" si="342"/>
        <v>1G</v>
      </c>
      <c r="BE475" s="127" t="str">
        <f t="shared" si="343"/>
        <v>2G</v>
      </c>
      <c r="BF475" s="127" t="str">
        <f t="shared" si="344"/>
        <v>3G</v>
      </c>
      <c r="BG475" s="127" t="str">
        <f t="shared" si="345"/>
        <v>3G</v>
      </c>
      <c r="BH475" s="127" t="str">
        <f t="shared" si="346"/>
        <v>3G</v>
      </c>
      <c r="BI475" s="127">
        <f t="shared" si="371"/>
        <v>2</v>
      </c>
      <c r="BJ475" s="127">
        <f t="shared" si="372"/>
        <v>1</v>
      </c>
      <c r="BK475" s="127">
        <f t="shared" si="373"/>
        <v>3</v>
      </c>
      <c r="BL475" s="127" t="str">
        <f t="shared" si="374"/>
        <v>213</v>
      </c>
      <c r="BS475"/>
      <c r="CL475" s="28">
        <v>190</v>
      </c>
      <c r="CM475" s="28">
        <v>190</v>
      </c>
      <c r="CO475"/>
    </row>
    <row r="476" spans="2:93" ht="16.5" hidden="1">
      <c r="B476" s="17">
        <v>472</v>
      </c>
      <c r="C476" s="363" t="s">
        <v>491</v>
      </c>
      <c r="N476" s="167">
        <v>16</v>
      </c>
      <c r="O476" s="167">
        <v>25</v>
      </c>
      <c r="P476" s="167">
        <v>26</v>
      </c>
      <c r="Q476" s="167">
        <v>31</v>
      </c>
      <c r="R476" s="167">
        <v>36</v>
      </c>
      <c r="S476" s="167">
        <v>43</v>
      </c>
      <c r="T476" s="167">
        <v>44</v>
      </c>
      <c r="U476" s="28">
        <f t="shared" si="347"/>
        <v>177</v>
      </c>
      <c r="W476" s="32" t="str">
        <f t="shared" si="332"/>
        <v>짝수</v>
      </c>
      <c r="X476" s="32" t="str">
        <f t="shared" si="333"/>
        <v>홀수</v>
      </c>
      <c r="Y476" s="32" t="str">
        <f t="shared" si="334"/>
        <v>짝수</v>
      </c>
      <c r="Z476" s="32" t="str">
        <f t="shared" si="335"/>
        <v>홀수</v>
      </c>
      <c r="AA476" s="32" t="str">
        <f t="shared" si="336"/>
        <v>짝수</v>
      </c>
      <c r="AB476" s="32" t="str">
        <f t="shared" si="337"/>
        <v>홀수</v>
      </c>
      <c r="AC476" s="58" t="str">
        <f t="shared" si="338"/>
        <v>3 : 3</v>
      </c>
      <c r="AD476" s="32">
        <f t="shared" si="339"/>
        <v>3</v>
      </c>
      <c r="AE476" s="32">
        <f t="shared" si="340"/>
        <v>3</v>
      </c>
      <c r="AF476" s="66" t="str">
        <f t="shared" si="348"/>
        <v>저수</v>
      </c>
      <c r="AG476" s="66" t="str">
        <f t="shared" si="349"/>
        <v>고수</v>
      </c>
      <c r="AH476" s="66" t="str">
        <f t="shared" si="350"/>
        <v>고수</v>
      </c>
      <c r="AI476" s="66" t="str">
        <f t="shared" si="351"/>
        <v>고수</v>
      </c>
      <c r="AJ476" s="66" t="str">
        <f t="shared" si="352"/>
        <v>고수</v>
      </c>
      <c r="AK476" s="66" t="str">
        <f t="shared" si="353"/>
        <v>고수</v>
      </c>
      <c r="AL476" s="58" t="str">
        <f t="shared" si="354"/>
        <v>1 : 5</v>
      </c>
      <c r="AM476" s="66">
        <f t="shared" si="355"/>
        <v>1</v>
      </c>
      <c r="AN476" s="66">
        <f t="shared" si="356"/>
        <v>5</v>
      </c>
      <c r="AO476" s="66">
        <f t="shared" si="357"/>
        <v>27</v>
      </c>
      <c r="AP476" s="66" t="str">
        <f t="shared" si="358"/>
        <v>X</v>
      </c>
      <c r="AQ476" s="66" t="str">
        <f t="shared" si="359"/>
        <v>X</v>
      </c>
      <c r="AR476" s="66" t="str">
        <f t="shared" si="360"/>
        <v>X</v>
      </c>
      <c r="AS476" s="66" t="str">
        <f t="shared" si="361"/>
        <v>X</v>
      </c>
      <c r="AT476" s="66" t="str">
        <f t="shared" si="362"/>
        <v>X</v>
      </c>
      <c r="AU476" s="66" t="str">
        <f t="shared" si="363"/>
        <v>X</v>
      </c>
      <c r="AV476" s="66" t="str">
        <f t="shared" si="364"/>
        <v>X</v>
      </c>
      <c r="AW476" s="66" t="str">
        <f t="shared" si="365"/>
        <v>X</v>
      </c>
      <c r="AX476" s="66" t="str">
        <f t="shared" si="366"/>
        <v>X</v>
      </c>
      <c r="AY476" s="66" t="str">
        <f t="shared" si="367"/>
        <v>O</v>
      </c>
      <c r="AZ476" s="66" t="str">
        <f t="shared" si="368"/>
        <v>X</v>
      </c>
      <c r="BA476" s="66" t="str">
        <f t="shared" si="369"/>
        <v>O</v>
      </c>
      <c r="BB476" s="66">
        <f t="shared" si="370"/>
        <v>2</v>
      </c>
      <c r="BC476" s="127" t="str">
        <f t="shared" si="341"/>
        <v>2G</v>
      </c>
      <c r="BD476" s="127" t="str">
        <f t="shared" si="342"/>
        <v>2G</v>
      </c>
      <c r="BE476" s="127" t="str">
        <f t="shared" si="343"/>
        <v>2G</v>
      </c>
      <c r="BF476" s="127" t="str">
        <f t="shared" si="344"/>
        <v>3G</v>
      </c>
      <c r="BG476" s="127" t="str">
        <f t="shared" si="345"/>
        <v>3G</v>
      </c>
      <c r="BH476" s="127" t="str">
        <f t="shared" si="346"/>
        <v>3G</v>
      </c>
      <c r="BI476" s="127">
        <f t="shared" si="371"/>
        <v>0</v>
      </c>
      <c r="BJ476" s="127">
        <f t="shared" si="372"/>
        <v>3</v>
      </c>
      <c r="BK476" s="127">
        <f t="shared" si="373"/>
        <v>3</v>
      </c>
      <c r="BL476" s="127" t="str">
        <f t="shared" si="374"/>
        <v>033</v>
      </c>
      <c r="BS476"/>
      <c r="CL476" s="28">
        <v>190</v>
      </c>
      <c r="CM476" s="28">
        <v>190</v>
      </c>
      <c r="CO476"/>
    </row>
    <row r="477" spans="2:93" ht="16.5" hidden="1">
      <c r="B477" s="17">
        <v>473</v>
      </c>
      <c r="C477" s="363" t="s">
        <v>492</v>
      </c>
      <c r="N477" s="167">
        <v>8</v>
      </c>
      <c r="O477" s="167">
        <v>13</v>
      </c>
      <c r="P477" s="167">
        <v>20</v>
      </c>
      <c r="Q477" s="167">
        <v>22</v>
      </c>
      <c r="R477" s="167">
        <v>23</v>
      </c>
      <c r="S477" s="167">
        <v>36</v>
      </c>
      <c r="T477" s="167">
        <v>34</v>
      </c>
      <c r="U477" s="28">
        <f t="shared" si="347"/>
        <v>122</v>
      </c>
      <c r="W477" s="32" t="str">
        <f t="shared" si="332"/>
        <v>짝수</v>
      </c>
      <c r="X477" s="32" t="str">
        <f t="shared" si="333"/>
        <v>홀수</v>
      </c>
      <c r="Y477" s="32" t="str">
        <f t="shared" si="334"/>
        <v>짝수</v>
      </c>
      <c r="Z477" s="32" t="str">
        <f t="shared" si="335"/>
        <v>짝수</v>
      </c>
      <c r="AA477" s="32" t="str">
        <f t="shared" si="336"/>
        <v>홀수</v>
      </c>
      <c r="AB477" s="32" t="str">
        <f t="shared" si="337"/>
        <v>짝수</v>
      </c>
      <c r="AC477" s="58" t="str">
        <f t="shared" si="338"/>
        <v>2 : 4</v>
      </c>
      <c r="AD477" s="32">
        <f t="shared" si="339"/>
        <v>2</v>
      </c>
      <c r="AE477" s="32">
        <f t="shared" si="340"/>
        <v>4</v>
      </c>
      <c r="AF477" s="66" t="str">
        <f t="shared" si="348"/>
        <v>저수</v>
      </c>
      <c r="AG477" s="66" t="str">
        <f t="shared" si="349"/>
        <v>저수</v>
      </c>
      <c r="AH477" s="66" t="str">
        <f t="shared" si="350"/>
        <v>저수</v>
      </c>
      <c r="AI477" s="66" t="str">
        <f t="shared" si="351"/>
        <v>저수</v>
      </c>
      <c r="AJ477" s="66" t="str">
        <f t="shared" si="352"/>
        <v>고수</v>
      </c>
      <c r="AK477" s="66" t="str">
        <f t="shared" si="353"/>
        <v>고수</v>
      </c>
      <c r="AL477" s="58" t="str">
        <f t="shared" si="354"/>
        <v>4 : 2</v>
      </c>
      <c r="AM477" s="66">
        <f t="shared" si="355"/>
        <v>4</v>
      </c>
      <c r="AN477" s="66">
        <f t="shared" si="356"/>
        <v>2</v>
      </c>
      <c r="AO477" s="66">
        <f t="shared" si="357"/>
        <v>22</v>
      </c>
      <c r="AP477" s="66" t="str">
        <f t="shared" si="358"/>
        <v>X</v>
      </c>
      <c r="AQ477" s="66" t="str">
        <f t="shared" si="359"/>
        <v>O</v>
      </c>
      <c r="AR477" s="66" t="str">
        <f t="shared" si="360"/>
        <v>X</v>
      </c>
      <c r="AS477" s="66" t="str">
        <f t="shared" si="361"/>
        <v>X</v>
      </c>
      <c r="AT477" s="66" t="str">
        <f t="shared" si="362"/>
        <v>X</v>
      </c>
      <c r="AU477" s="66" t="str">
        <f t="shared" si="363"/>
        <v>X</v>
      </c>
      <c r="AV477" s="66" t="str">
        <f t="shared" si="364"/>
        <v>X</v>
      </c>
      <c r="AW477" s="66" t="str">
        <f t="shared" si="365"/>
        <v>X</v>
      </c>
      <c r="AX477" s="66" t="str">
        <f t="shared" si="366"/>
        <v>X</v>
      </c>
      <c r="AY477" s="66" t="str">
        <f t="shared" si="367"/>
        <v>X</v>
      </c>
      <c r="AZ477" s="66" t="str">
        <f t="shared" si="368"/>
        <v>O</v>
      </c>
      <c r="BA477" s="66" t="str">
        <f t="shared" si="369"/>
        <v>X</v>
      </c>
      <c r="BB477" s="66">
        <f t="shared" si="370"/>
        <v>2</v>
      </c>
      <c r="BC477" s="127" t="str">
        <f t="shared" si="341"/>
        <v>1G</v>
      </c>
      <c r="BD477" s="127" t="str">
        <f t="shared" si="342"/>
        <v>1G</v>
      </c>
      <c r="BE477" s="127" t="str">
        <f t="shared" si="343"/>
        <v>2G</v>
      </c>
      <c r="BF477" s="127" t="str">
        <f t="shared" si="344"/>
        <v>2G</v>
      </c>
      <c r="BG477" s="127" t="str">
        <f t="shared" si="345"/>
        <v>2G</v>
      </c>
      <c r="BH477" s="127" t="str">
        <f t="shared" si="346"/>
        <v>3G</v>
      </c>
      <c r="BI477" s="127">
        <f t="shared" si="371"/>
        <v>2</v>
      </c>
      <c r="BJ477" s="127">
        <f t="shared" si="372"/>
        <v>3</v>
      </c>
      <c r="BK477" s="127">
        <f t="shared" si="373"/>
        <v>1</v>
      </c>
      <c r="BL477" s="127" t="str">
        <f t="shared" si="374"/>
        <v>231</v>
      </c>
      <c r="BS477"/>
      <c r="CL477" s="28">
        <v>192</v>
      </c>
      <c r="CM477" s="28">
        <v>190</v>
      </c>
      <c r="CO477"/>
    </row>
    <row r="478" spans="2:93" ht="16.5" hidden="1">
      <c r="B478" s="17">
        <v>474</v>
      </c>
      <c r="C478" s="363" t="s">
        <v>493</v>
      </c>
      <c r="N478" s="167">
        <v>4</v>
      </c>
      <c r="O478" s="167">
        <v>13</v>
      </c>
      <c r="P478" s="167">
        <v>18</v>
      </c>
      <c r="Q478" s="167">
        <v>31</v>
      </c>
      <c r="R478" s="167">
        <v>33</v>
      </c>
      <c r="S478" s="167">
        <v>45</v>
      </c>
      <c r="T478" s="167">
        <v>43</v>
      </c>
      <c r="U478" s="28">
        <f t="shared" si="347"/>
        <v>144</v>
      </c>
      <c r="W478" s="32" t="str">
        <f t="shared" si="332"/>
        <v>짝수</v>
      </c>
      <c r="X478" s="32" t="str">
        <f t="shared" si="333"/>
        <v>홀수</v>
      </c>
      <c r="Y478" s="32" t="str">
        <f t="shared" si="334"/>
        <v>짝수</v>
      </c>
      <c r="Z478" s="32" t="str">
        <f t="shared" si="335"/>
        <v>홀수</v>
      </c>
      <c r="AA478" s="32" t="str">
        <f t="shared" si="336"/>
        <v>홀수</v>
      </c>
      <c r="AB478" s="32" t="str">
        <f t="shared" si="337"/>
        <v>홀수</v>
      </c>
      <c r="AC478" s="58" t="str">
        <f t="shared" si="338"/>
        <v>4 : 2</v>
      </c>
      <c r="AD478" s="32">
        <f t="shared" si="339"/>
        <v>4</v>
      </c>
      <c r="AE478" s="32">
        <f t="shared" si="340"/>
        <v>2</v>
      </c>
      <c r="AF478" s="66" t="str">
        <f t="shared" si="348"/>
        <v>저수</v>
      </c>
      <c r="AG478" s="66" t="str">
        <f t="shared" si="349"/>
        <v>저수</v>
      </c>
      <c r="AH478" s="66" t="str">
        <f t="shared" si="350"/>
        <v>저수</v>
      </c>
      <c r="AI478" s="66" t="str">
        <f t="shared" si="351"/>
        <v>고수</v>
      </c>
      <c r="AJ478" s="66" t="str">
        <f t="shared" si="352"/>
        <v>고수</v>
      </c>
      <c r="AK478" s="66" t="str">
        <f t="shared" si="353"/>
        <v>고수</v>
      </c>
      <c r="AL478" s="58" t="str">
        <f t="shared" si="354"/>
        <v>3 : 3</v>
      </c>
      <c r="AM478" s="66">
        <f t="shared" si="355"/>
        <v>3</v>
      </c>
      <c r="AN478" s="66">
        <f t="shared" si="356"/>
        <v>3</v>
      </c>
      <c r="AO478" s="66">
        <f t="shared" si="357"/>
        <v>24</v>
      </c>
      <c r="AP478" s="66" t="str">
        <f t="shared" si="358"/>
        <v>X</v>
      </c>
      <c r="AQ478" s="66" t="str">
        <f t="shared" si="359"/>
        <v>O</v>
      </c>
      <c r="AR478" s="66" t="str">
        <f t="shared" si="360"/>
        <v>X</v>
      </c>
      <c r="AS478" s="66" t="str">
        <f t="shared" si="361"/>
        <v>X</v>
      </c>
      <c r="AT478" s="66" t="str">
        <f t="shared" si="362"/>
        <v>X</v>
      </c>
      <c r="AU478" s="66" t="str">
        <f t="shared" si="363"/>
        <v>X</v>
      </c>
      <c r="AV478" s="66" t="str">
        <f t="shared" si="364"/>
        <v>X</v>
      </c>
      <c r="AW478" s="66" t="str">
        <f t="shared" si="365"/>
        <v>X</v>
      </c>
      <c r="AX478" s="66" t="str">
        <f t="shared" si="366"/>
        <v>X</v>
      </c>
      <c r="AY478" s="66" t="str">
        <f t="shared" si="367"/>
        <v>O</v>
      </c>
      <c r="AZ478" s="66" t="str">
        <f t="shared" si="368"/>
        <v>X</v>
      </c>
      <c r="BA478" s="66" t="str">
        <f t="shared" si="369"/>
        <v>X</v>
      </c>
      <c r="BB478" s="66">
        <f t="shared" si="370"/>
        <v>2</v>
      </c>
      <c r="BC478" s="127" t="str">
        <f t="shared" si="341"/>
        <v>1G</v>
      </c>
      <c r="BD478" s="127" t="str">
        <f t="shared" si="342"/>
        <v>1G</v>
      </c>
      <c r="BE478" s="127" t="str">
        <f t="shared" si="343"/>
        <v>2G</v>
      </c>
      <c r="BF478" s="127" t="str">
        <f t="shared" si="344"/>
        <v>3G</v>
      </c>
      <c r="BG478" s="127" t="str">
        <f t="shared" si="345"/>
        <v>3G</v>
      </c>
      <c r="BH478" s="127" t="str">
        <f t="shared" si="346"/>
        <v>3G</v>
      </c>
      <c r="BI478" s="127">
        <f t="shared" si="371"/>
        <v>2</v>
      </c>
      <c r="BJ478" s="127">
        <f t="shared" si="372"/>
        <v>1</v>
      </c>
      <c r="BK478" s="127">
        <f t="shared" si="373"/>
        <v>3</v>
      </c>
      <c r="BL478" s="127" t="str">
        <f t="shared" si="374"/>
        <v>213</v>
      </c>
      <c r="BS478"/>
      <c r="CL478" s="28">
        <v>192</v>
      </c>
      <c r="CM478" s="28">
        <v>190</v>
      </c>
      <c r="CO478"/>
    </row>
    <row r="479" spans="2:93" ht="16.5" hidden="1">
      <c r="B479" s="17">
        <v>475</v>
      </c>
      <c r="C479" s="363" t="s">
        <v>494</v>
      </c>
      <c r="N479" s="167">
        <v>1</v>
      </c>
      <c r="O479" s="167">
        <v>9</v>
      </c>
      <c r="P479" s="167">
        <v>14</v>
      </c>
      <c r="Q479" s="167">
        <v>16</v>
      </c>
      <c r="R479" s="167">
        <v>21</v>
      </c>
      <c r="S479" s="167">
        <v>29</v>
      </c>
      <c r="T479" s="167">
        <v>3</v>
      </c>
      <c r="U479" s="28">
        <f t="shared" si="347"/>
        <v>90</v>
      </c>
      <c r="W479" s="32" t="str">
        <f t="shared" si="332"/>
        <v>홀수</v>
      </c>
      <c r="X479" s="32" t="str">
        <f t="shared" si="333"/>
        <v>홀수</v>
      </c>
      <c r="Y479" s="32" t="str">
        <f t="shared" si="334"/>
        <v>짝수</v>
      </c>
      <c r="Z479" s="32" t="str">
        <f t="shared" si="335"/>
        <v>짝수</v>
      </c>
      <c r="AA479" s="32" t="str">
        <f t="shared" si="336"/>
        <v>홀수</v>
      </c>
      <c r="AB479" s="32" t="str">
        <f t="shared" si="337"/>
        <v>홀수</v>
      </c>
      <c r="AC479" s="58" t="str">
        <f t="shared" si="338"/>
        <v>4 : 2</v>
      </c>
      <c r="AD479" s="32">
        <f t="shared" si="339"/>
        <v>4</v>
      </c>
      <c r="AE479" s="32">
        <f t="shared" si="340"/>
        <v>2</v>
      </c>
      <c r="AF479" s="66" t="str">
        <f t="shared" si="348"/>
        <v>저수</v>
      </c>
      <c r="AG479" s="66" t="str">
        <f t="shared" si="349"/>
        <v>저수</v>
      </c>
      <c r="AH479" s="66" t="str">
        <f t="shared" si="350"/>
        <v>저수</v>
      </c>
      <c r="AI479" s="66" t="str">
        <f t="shared" si="351"/>
        <v>저수</v>
      </c>
      <c r="AJ479" s="66" t="str">
        <f t="shared" si="352"/>
        <v>저수</v>
      </c>
      <c r="AK479" s="66" t="str">
        <f t="shared" si="353"/>
        <v>고수</v>
      </c>
      <c r="AL479" s="58" t="str">
        <f t="shared" si="354"/>
        <v>5 : 1</v>
      </c>
      <c r="AM479" s="66">
        <f t="shared" si="355"/>
        <v>5</v>
      </c>
      <c r="AN479" s="66">
        <f t="shared" si="356"/>
        <v>1</v>
      </c>
      <c r="AO479" s="66">
        <f t="shared" si="357"/>
        <v>30</v>
      </c>
      <c r="AP479" s="66" t="str">
        <f t="shared" si="358"/>
        <v>X</v>
      </c>
      <c r="AQ479" s="66" t="str">
        <f t="shared" si="359"/>
        <v>X</v>
      </c>
      <c r="AR479" s="66" t="str">
        <f t="shared" si="360"/>
        <v>X</v>
      </c>
      <c r="AS479" s="66" t="str">
        <f t="shared" si="361"/>
        <v>X</v>
      </c>
      <c r="AT479" s="66" t="str">
        <f t="shared" si="362"/>
        <v>X</v>
      </c>
      <c r="AU479" s="66" t="str">
        <f t="shared" si="363"/>
        <v>X</v>
      </c>
      <c r="AV479" s="66" t="str">
        <f t="shared" si="364"/>
        <v>X</v>
      </c>
      <c r="AW479" s="66" t="str">
        <f t="shared" si="365"/>
        <v>X</v>
      </c>
      <c r="AX479" s="66" t="str">
        <f t="shared" si="366"/>
        <v>X</v>
      </c>
      <c r="AY479" s="66" t="str">
        <f t="shared" si="367"/>
        <v>X</v>
      </c>
      <c r="AZ479" s="66" t="str">
        <f t="shared" si="368"/>
        <v>X</v>
      </c>
      <c r="BA479" s="66" t="str">
        <f t="shared" si="369"/>
        <v>O</v>
      </c>
      <c r="BB479" s="66">
        <f t="shared" si="370"/>
        <v>1</v>
      </c>
      <c r="BC479" s="127" t="str">
        <f t="shared" si="341"/>
        <v>1G</v>
      </c>
      <c r="BD479" s="127" t="str">
        <f t="shared" si="342"/>
        <v>1G</v>
      </c>
      <c r="BE479" s="127" t="str">
        <f t="shared" si="343"/>
        <v>1G</v>
      </c>
      <c r="BF479" s="127" t="str">
        <f t="shared" si="344"/>
        <v>2G</v>
      </c>
      <c r="BG479" s="127" t="str">
        <f t="shared" si="345"/>
        <v>2G</v>
      </c>
      <c r="BH479" s="127" t="str">
        <f t="shared" si="346"/>
        <v>2G</v>
      </c>
      <c r="BI479" s="127">
        <f t="shared" si="371"/>
        <v>3</v>
      </c>
      <c r="BJ479" s="127">
        <f t="shared" si="372"/>
        <v>3</v>
      </c>
      <c r="BK479" s="127">
        <f t="shared" si="373"/>
        <v>0</v>
      </c>
      <c r="BL479" s="127" t="str">
        <f t="shared" si="374"/>
        <v>330</v>
      </c>
      <c r="BS479"/>
      <c r="CL479" s="28">
        <v>193</v>
      </c>
      <c r="CM479" s="28">
        <v>190</v>
      </c>
      <c r="CO479"/>
    </row>
    <row r="480" spans="2:93" ht="16.5" hidden="1">
      <c r="B480" s="17">
        <v>476</v>
      </c>
      <c r="C480" s="363" t="s">
        <v>495</v>
      </c>
      <c r="N480" s="167">
        <v>9</v>
      </c>
      <c r="O480" s="167">
        <v>12</v>
      </c>
      <c r="P480" s="167">
        <v>13</v>
      </c>
      <c r="Q480" s="167">
        <v>15</v>
      </c>
      <c r="R480" s="167">
        <v>37</v>
      </c>
      <c r="S480" s="167">
        <v>38</v>
      </c>
      <c r="T480" s="167">
        <v>27</v>
      </c>
      <c r="U480" s="28">
        <f t="shared" si="347"/>
        <v>124</v>
      </c>
      <c r="W480" s="32" t="str">
        <f t="shared" si="332"/>
        <v>홀수</v>
      </c>
      <c r="X480" s="32" t="str">
        <f t="shared" si="333"/>
        <v>짝수</v>
      </c>
      <c r="Y480" s="32" t="str">
        <f t="shared" si="334"/>
        <v>홀수</v>
      </c>
      <c r="Z480" s="32" t="str">
        <f t="shared" si="335"/>
        <v>홀수</v>
      </c>
      <c r="AA480" s="32" t="str">
        <f t="shared" si="336"/>
        <v>홀수</v>
      </c>
      <c r="AB480" s="32" t="str">
        <f t="shared" si="337"/>
        <v>짝수</v>
      </c>
      <c r="AC480" s="58" t="str">
        <f t="shared" si="338"/>
        <v>4 : 2</v>
      </c>
      <c r="AD480" s="32">
        <f t="shared" si="339"/>
        <v>4</v>
      </c>
      <c r="AE480" s="32">
        <f t="shared" si="340"/>
        <v>2</v>
      </c>
      <c r="AF480" s="66" t="str">
        <f t="shared" si="348"/>
        <v>저수</v>
      </c>
      <c r="AG480" s="66" t="str">
        <f t="shared" si="349"/>
        <v>저수</v>
      </c>
      <c r="AH480" s="66" t="str">
        <f t="shared" si="350"/>
        <v>저수</v>
      </c>
      <c r="AI480" s="66" t="str">
        <f t="shared" si="351"/>
        <v>저수</v>
      </c>
      <c r="AJ480" s="66" t="str">
        <f t="shared" si="352"/>
        <v>고수</v>
      </c>
      <c r="AK480" s="66" t="str">
        <f t="shared" si="353"/>
        <v>고수</v>
      </c>
      <c r="AL480" s="58" t="str">
        <f t="shared" si="354"/>
        <v>4 : 2</v>
      </c>
      <c r="AM480" s="66">
        <f t="shared" si="355"/>
        <v>4</v>
      </c>
      <c r="AN480" s="66">
        <f t="shared" si="356"/>
        <v>2</v>
      </c>
      <c r="AO480" s="66">
        <f t="shared" si="357"/>
        <v>34</v>
      </c>
      <c r="AP480" s="66" t="str">
        <f t="shared" si="358"/>
        <v>X</v>
      </c>
      <c r="AQ480" s="66" t="str">
        <f t="shared" si="359"/>
        <v>X</v>
      </c>
      <c r="AR480" s="66" t="str">
        <f t="shared" si="360"/>
        <v>O</v>
      </c>
      <c r="AS480" s="66" t="str">
        <f t="shared" si="361"/>
        <v>X</v>
      </c>
      <c r="AT480" s="66" t="str">
        <f t="shared" si="362"/>
        <v>X</v>
      </c>
      <c r="AU480" s="66" t="str">
        <f t="shared" si="363"/>
        <v>X</v>
      </c>
      <c r="AV480" s="66" t="str">
        <f t="shared" si="364"/>
        <v>X</v>
      </c>
      <c r="AW480" s="66" t="str">
        <f t="shared" si="365"/>
        <v>X</v>
      </c>
      <c r="AX480" s="66" t="str">
        <f t="shared" si="366"/>
        <v>X</v>
      </c>
      <c r="AY480" s="66" t="str">
        <f t="shared" si="367"/>
        <v>X</v>
      </c>
      <c r="AZ480" s="66" t="str">
        <f t="shared" si="368"/>
        <v>O</v>
      </c>
      <c r="BA480" s="66" t="str">
        <f t="shared" si="369"/>
        <v>X</v>
      </c>
      <c r="BB480" s="66">
        <f t="shared" si="370"/>
        <v>2</v>
      </c>
      <c r="BC480" s="127" t="str">
        <f t="shared" si="341"/>
        <v>1G</v>
      </c>
      <c r="BD480" s="127" t="str">
        <f t="shared" si="342"/>
        <v>1G</v>
      </c>
      <c r="BE480" s="127" t="str">
        <f t="shared" si="343"/>
        <v>1G</v>
      </c>
      <c r="BF480" s="127" t="str">
        <f t="shared" si="344"/>
        <v>1G</v>
      </c>
      <c r="BG480" s="127" t="str">
        <f t="shared" si="345"/>
        <v>3G</v>
      </c>
      <c r="BH480" s="127" t="str">
        <f t="shared" si="346"/>
        <v>3G</v>
      </c>
      <c r="BI480" s="127">
        <f t="shared" si="371"/>
        <v>4</v>
      </c>
      <c r="BJ480" s="127">
        <f t="shared" si="372"/>
        <v>0</v>
      </c>
      <c r="BK480" s="127">
        <f t="shared" si="373"/>
        <v>2</v>
      </c>
      <c r="BL480" s="127" t="str">
        <f t="shared" si="374"/>
        <v>402</v>
      </c>
      <c r="BS480"/>
      <c r="CL480" s="28">
        <v>194</v>
      </c>
      <c r="CM480" s="28">
        <v>190</v>
      </c>
      <c r="CO480"/>
    </row>
    <row r="481" spans="2:93" ht="16.5" hidden="1">
      <c r="B481" s="17">
        <v>477</v>
      </c>
      <c r="C481" s="363" t="s">
        <v>496</v>
      </c>
      <c r="N481" s="167">
        <v>14</v>
      </c>
      <c r="O481" s="167">
        <v>25</v>
      </c>
      <c r="P481" s="167">
        <v>29</v>
      </c>
      <c r="Q481" s="167">
        <v>32</v>
      </c>
      <c r="R481" s="167">
        <v>33</v>
      </c>
      <c r="S481" s="167">
        <v>45</v>
      </c>
      <c r="T481" s="167">
        <v>37</v>
      </c>
      <c r="U481" s="28">
        <f t="shared" si="347"/>
        <v>178</v>
      </c>
      <c r="W481" s="32" t="str">
        <f t="shared" si="332"/>
        <v>짝수</v>
      </c>
      <c r="X481" s="32" t="str">
        <f t="shared" si="333"/>
        <v>홀수</v>
      </c>
      <c r="Y481" s="32" t="str">
        <f t="shared" si="334"/>
        <v>홀수</v>
      </c>
      <c r="Z481" s="32" t="str">
        <f t="shared" si="335"/>
        <v>짝수</v>
      </c>
      <c r="AA481" s="32" t="str">
        <f t="shared" si="336"/>
        <v>홀수</v>
      </c>
      <c r="AB481" s="32" t="str">
        <f t="shared" si="337"/>
        <v>홀수</v>
      </c>
      <c r="AC481" s="58" t="str">
        <f t="shared" si="338"/>
        <v>4 : 2</v>
      </c>
      <c r="AD481" s="32">
        <f t="shared" si="339"/>
        <v>4</v>
      </c>
      <c r="AE481" s="32">
        <f t="shared" si="340"/>
        <v>2</v>
      </c>
      <c r="AF481" s="66" t="str">
        <f t="shared" si="348"/>
        <v>저수</v>
      </c>
      <c r="AG481" s="66" t="str">
        <f t="shared" si="349"/>
        <v>고수</v>
      </c>
      <c r="AH481" s="66" t="str">
        <f t="shared" si="350"/>
        <v>고수</v>
      </c>
      <c r="AI481" s="66" t="str">
        <f t="shared" si="351"/>
        <v>고수</v>
      </c>
      <c r="AJ481" s="66" t="str">
        <f t="shared" si="352"/>
        <v>고수</v>
      </c>
      <c r="AK481" s="66" t="str">
        <f t="shared" si="353"/>
        <v>고수</v>
      </c>
      <c r="AL481" s="58" t="str">
        <f t="shared" si="354"/>
        <v>1 : 5</v>
      </c>
      <c r="AM481" s="66">
        <f t="shared" si="355"/>
        <v>1</v>
      </c>
      <c r="AN481" s="66">
        <f t="shared" si="356"/>
        <v>5</v>
      </c>
      <c r="AO481" s="66">
        <f t="shared" si="357"/>
        <v>28</v>
      </c>
      <c r="AP481" s="66" t="str">
        <f t="shared" si="358"/>
        <v>X</v>
      </c>
      <c r="AQ481" s="66" t="str">
        <f t="shared" si="359"/>
        <v>X</v>
      </c>
      <c r="AR481" s="66" t="str">
        <f t="shared" si="360"/>
        <v>X</v>
      </c>
      <c r="AS481" s="66" t="str">
        <f t="shared" si="361"/>
        <v>X</v>
      </c>
      <c r="AT481" s="66" t="str">
        <f t="shared" si="362"/>
        <v>X</v>
      </c>
      <c r="AU481" s="66" t="str">
        <f t="shared" si="363"/>
        <v>X</v>
      </c>
      <c r="AV481" s="66" t="str">
        <f t="shared" si="364"/>
        <v>X</v>
      </c>
      <c r="AW481" s="66" t="str">
        <f t="shared" si="365"/>
        <v>X</v>
      </c>
      <c r="AX481" s="66" t="str">
        <f t="shared" si="366"/>
        <v>O</v>
      </c>
      <c r="AY481" s="66" t="str">
        <f t="shared" si="367"/>
        <v>X</v>
      </c>
      <c r="AZ481" s="66" t="str">
        <f t="shared" si="368"/>
        <v>X</v>
      </c>
      <c r="BA481" s="66" t="str">
        <f t="shared" si="369"/>
        <v>X</v>
      </c>
      <c r="BB481" s="66">
        <f t="shared" si="370"/>
        <v>1</v>
      </c>
      <c r="BC481" s="127" t="str">
        <f t="shared" si="341"/>
        <v>1G</v>
      </c>
      <c r="BD481" s="127" t="str">
        <f t="shared" si="342"/>
        <v>2G</v>
      </c>
      <c r="BE481" s="127" t="str">
        <f t="shared" si="343"/>
        <v>2G</v>
      </c>
      <c r="BF481" s="127" t="str">
        <f t="shared" si="344"/>
        <v>3G</v>
      </c>
      <c r="BG481" s="127" t="str">
        <f t="shared" si="345"/>
        <v>3G</v>
      </c>
      <c r="BH481" s="127" t="str">
        <f t="shared" si="346"/>
        <v>3G</v>
      </c>
      <c r="BI481" s="127">
        <f t="shared" si="371"/>
        <v>1</v>
      </c>
      <c r="BJ481" s="127">
        <f t="shared" si="372"/>
        <v>2</v>
      </c>
      <c r="BK481" s="127">
        <f t="shared" si="373"/>
        <v>3</v>
      </c>
      <c r="BL481" s="127" t="str">
        <f t="shared" si="374"/>
        <v>123</v>
      </c>
      <c r="BS481"/>
      <c r="CL481" s="28">
        <v>194</v>
      </c>
      <c r="CM481" s="28">
        <v>190</v>
      </c>
      <c r="CO481"/>
    </row>
    <row r="482" spans="2:93" ht="16.5" hidden="1">
      <c r="B482" s="17">
        <v>478</v>
      </c>
      <c r="C482" s="363" t="s">
        <v>512</v>
      </c>
      <c r="N482" s="167">
        <v>18</v>
      </c>
      <c r="O482" s="167">
        <v>29</v>
      </c>
      <c r="P482" s="167">
        <v>30</v>
      </c>
      <c r="Q482" s="167">
        <v>37</v>
      </c>
      <c r="R482" s="167">
        <v>39</v>
      </c>
      <c r="S482" s="167">
        <v>43</v>
      </c>
      <c r="T482" s="167">
        <v>8</v>
      </c>
      <c r="U482" s="28">
        <f t="shared" si="347"/>
        <v>196</v>
      </c>
      <c r="W482" s="32" t="str">
        <f t="shared" si="332"/>
        <v>짝수</v>
      </c>
      <c r="X482" s="32" t="str">
        <f t="shared" si="333"/>
        <v>홀수</v>
      </c>
      <c r="Y482" s="32" t="str">
        <f t="shared" si="334"/>
        <v>짝수</v>
      </c>
      <c r="Z482" s="32" t="str">
        <f t="shared" si="335"/>
        <v>홀수</v>
      </c>
      <c r="AA482" s="32" t="str">
        <f t="shared" si="336"/>
        <v>홀수</v>
      </c>
      <c r="AB482" s="32" t="str">
        <f t="shared" si="337"/>
        <v>홀수</v>
      </c>
      <c r="AC482" s="58" t="str">
        <f t="shared" si="338"/>
        <v>4 : 2</v>
      </c>
      <c r="AD482" s="32">
        <f t="shared" si="339"/>
        <v>4</v>
      </c>
      <c r="AE482" s="32">
        <f t="shared" si="340"/>
        <v>2</v>
      </c>
      <c r="AF482" s="66" t="str">
        <f t="shared" si="348"/>
        <v>저수</v>
      </c>
      <c r="AG482" s="66" t="str">
        <f t="shared" si="349"/>
        <v>고수</v>
      </c>
      <c r="AH482" s="66" t="str">
        <f t="shared" si="350"/>
        <v>고수</v>
      </c>
      <c r="AI482" s="66" t="str">
        <f t="shared" si="351"/>
        <v>고수</v>
      </c>
      <c r="AJ482" s="66" t="str">
        <f t="shared" si="352"/>
        <v>고수</v>
      </c>
      <c r="AK482" s="66" t="str">
        <f t="shared" si="353"/>
        <v>고수</v>
      </c>
      <c r="AL482" s="58" t="str">
        <f t="shared" si="354"/>
        <v>1 : 5</v>
      </c>
      <c r="AM482" s="66">
        <f t="shared" si="355"/>
        <v>1</v>
      </c>
      <c r="AN482" s="66">
        <f t="shared" si="356"/>
        <v>5</v>
      </c>
      <c r="AO482" s="66">
        <f t="shared" si="357"/>
        <v>36</v>
      </c>
      <c r="AP482" s="66" t="str">
        <f t="shared" si="358"/>
        <v>X</v>
      </c>
      <c r="AQ482" s="66" t="str">
        <f t="shared" si="359"/>
        <v>X</v>
      </c>
      <c r="AR482" s="66" t="str">
        <f t="shared" si="360"/>
        <v>X</v>
      </c>
      <c r="AS482" s="66" t="str">
        <f t="shared" si="361"/>
        <v>X</v>
      </c>
      <c r="AT482" s="66" t="str">
        <f t="shared" si="362"/>
        <v>X</v>
      </c>
      <c r="AU482" s="66" t="str">
        <f t="shared" si="363"/>
        <v>X</v>
      </c>
      <c r="AV482" s="66" t="str">
        <f t="shared" si="364"/>
        <v>X</v>
      </c>
      <c r="AW482" s="66" t="str">
        <f t="shared" si="365"/>
        <v>O</v>
      </c>
      <c r="AX482" s="66" t="str">
        <f t="shared" si="366"/>
        <v>X</v>
      </c>
      <c r="AY482" s="66" t="str">
        <f t="shared" si="367"/>
        <v>O</v>
      </c>
      <c r="AZ482" s="66" t="str">
        <f t="shared" si="368"/>
        <v>X</v>
      </c>
      <c r="BA482" s="66" t="str">
        <f t="shared" si="369"/>
        <v>O</v>
      </c>
      <c r="BB482" s="66">
        <f t="shared" si="370"/>
        <v>3</v>
      </c>
      <c r="BC482" s="127" t="str">
        <f t="shared" si="341"/>
        <v>2G</v>
      </c>
      <c r="BD482" s="127" t="str">
        <f t="shared" si="342"/>
        <v>2G</v>
      </c>
      <c r="BE482" s="127" t="str">
        <f t="shared" si="343"/>
        <v>2G</v>
      </c>
      <c r="BF482" s="127" t="str">
        <f t="shared" si="344"/>
        <v>3G</v>
      </c>
      <c r="BG482" s="127" t="str">
        <f t="shared" si="345"/>
        <v>3G</v>
      </c>
      <c r="BH482" s="127" t="str">
        <f t="shared" si="346"/>
        <v>3G</v>
      </c>
      <c r="BI482" s="127">
        <f t="shared" si="371"/>
        <v>0</v>
      </c>
      <c r="BJ482" s="127">
        <f t="shared" si="372"/>
        <v>3</v>
      </c>
      <c r="BK482" s="127">
        <f t="shared" si="373"/>
        <v>3</v>
      </c>
      <c r="BL482" s="127" t="str">
        <f t="shared" si="374"/>
        <v>033</v>
      </c>
      <c r="BS482"/>
      <c r="CL482" s="28">
        <v>195</v>
      </c>
      <c r="CM482" s="28">
        <v>190</v>
      </c>
      <c r="CO482"/>
    </row>
    <row r="483" spans="2:93" ht="16.5" hidden="1">
      <c r="B483" s="17">
        <v>479</v>
      </c>
      <c r="C483" s="363" t="s">
        <v>513</v>
      </c>
      <c r="N483" s="167">
        <v>8</v>
      </c>
      <c r="O483" s="167">
        <v>23</v>
      </c>
      <c r="P483" s="167">
        <v>25</v>
      </c>
      <c r="Q483" s="167">
        <v>27</v>
      </c>
      <c r="R483" s="167">
        <v>35</v>
      </c>
      <c r="S483" s="167">
        <v>44</v>
      </c>
      <c r="T483" s="167">
        <v>24</v>
      </c>
      <c r="U483" s="28">
        <f t="shared" si="347"/>
        <v>162</v>
      </c>
      <c r="W483" s="32" t="str">
        <f t="shared" si="332"/>
        <v>짝수</v>
      </c>
      <c r="X483" s="32" t="str">
        <f t="shared" si="333"/>
        <v>홀수</v>
      </c>
      <c r="Y483" s="32" t="str">
        <f t="shared" si="334"/>
        <v>홀수</v>
      </c>
      <c r="Z483" s="32" t="str">
        <f t="shared" si="335"/>
        <v>홀수</v>
      </c>
      <c r="AA483" s="32" t="str">
        <f t="shared" si="336"/>
        <v>홀수</v>
      </c>
      <c r="AB483" s="32" t="str">
        <f t="shared" si="337"/>
        <v>짝수</v>
      </c>
      <c r="AC483" s="58" t="str">
        <f t="shared" si="338"/>
        <v>4 : 2</v>
      </c>
      <c r="AD483" s="32">
        <f t="shared" si="339"/>
        <v>4</v>
      </c>
      <c r="AE483" s="32">
        <f t="shared" si="340"/>
        <v>2</v>
      </c>
      <c r="AF483" s="66" t="str">
        <f t="shared" si="348"/>
        <v>저수</v>
      </c>
      <c r="AG483" s="66" t="str">
        <f t="shared" si="349"/>
        <v>고수</v>
      </c>
      <c r="AH483" s="66" t="str">
        <f t="shared" si="350"/>
        <v>고수</v>
      </c>
      <c r="AI483" s="66" t="str">
        <f t="shared" si="351"/>
        <v>고수</v>
      </c>
      <c r="AJ483" s="66" t="str">
        <f t="shared" si="352"/>
        <v>고수</v>
      </c>
      <c r="AK483" s="66" t="str">
        <f t="shared" si="353"/>
        <v>고수</v>
      </c>
      <c r="AL483" s="58" t="str">
        <f t="shared" si="354"/>
        <v>1 : 5</v>
      </c>
      <c r="AM483" s="66">
        <f t="shared" si="355"/>
        <v>1</v>
      </c>
      <c r="AN483" s="66">
        <f t="shared" si="356"/>
        <v>5</v>
      </c>
      <c r="AO483" s="66">
        <f t="shared" si="357"/>
        <v>32</v>
      </c>
      <c r="AP483" s="66" t="str">
        <f t="shared" si="358"/>
        <v>X</v>
      </c>
      <c r="AQ483" s="66" t="str">
        <f t="shared" si="359"/>
        <v>X</v>
      </c>
      <c r="AR483" s="66" t="str">
        <f t="shared" si="360"/>
        <v>X</v>
      </c>
      <c r="AS483" s="66" t="str">
        <f t="shared" si="361"/>
        <v>X</v>
      </c>
      <c r="AT483" s="66" t="str">
        <f t="shared" si="362"/>
        <v>X</v>
      </c>
      <c r="AU483" s="66" t="str">
        <f t="shared" si="363"/>
        <v>X</v>
      </c>
      <c r="AV483" s="66" t="str">
        <f t="shared" si="364"/>
        <v>X</v>
      </c>
      <c r="AW483" s="66" t="str">
        <f t="shared" si="365"/>
        <v>O</v>
      </c>
      <c r="AX483" s="66" t="str">
        <f t="shared" si="366"/>
        <v>X</v>
      </c>
      <c r="AY483" s="66" t="str">
        <f t="shared" si="367"/>
        <v>X</v>
      </c>
      <c r="AZ483" s="66" t="str">
        <f t="shared" si="368"/>
        <v>X</v>
      </c>
      <c r="BA483" s="66" t="str">
        <f t="shared" si="369"/>
        <v>X</v>
      </c>
      <c r="BB483" s="66">
        <f t="shared" si="370"/>
        <v>1</v>
      </c>
      <c r="BC483" s="127" t="str">
        <f t="shared" si="341"/>
        <v>1G</v>
      </c>
      <c r="BD483" s="127" t="str">
        <f t="shared" si="342"/>
        <v>2G</v>
      </c>
      <c r="BE483" s="127" t="str">
        <f t="shared" si="343"/>
        <v>2G</v>
      </c>
      <c r="BF483" s="127" t="str">
        <f t="shared" si="344"/>
        <v>2G</v>
      </c>
      <c r="BG483" s="127" t="str">
        <f t="shared" si="345"/>
        <v>3G</v>
      </c>
      <c r="BH483" s="127" t="str">
        <f t="shared" si="346"/>
        <v>3G</v>
      </c>
      <c r="BI483" s="127">
        <f t="shared" si="371"/>
        <v>1</v>
      </c>
      <c r="BJ483" s="127">
        <f t="shared" si="372"/>
        <v>3</v>
      </c>
      <c r="BK483" s="127">
        <f t="shared" si="373"/>
        <v>2</v>
      </c>
      <c r="BL483" s="127" t="str">
        <f t="shared" si="374"/>
        <v>132</v>
      </c>
      <c r="BS483"/>
      <c r="CL483" s="28">
        <v>196</v>
      </c>
      <c r="CM483" s="28">
        <v>190</v>
      </c>
      <c r="CO483"/>
    </row>
    <row r="484" spans="2:93" ht="16.5" hidden="1">
      <c r="B484" s="17">
        <v>480</v>
      </c>
      <c r="C484" s="363" t="s">
        <v>514</v>
      </c>
      <c r="N484" s="167">
        <v>3</v>
      </c>
      <c r="O484" s="167">
        <v>5</v>
      </c>
      <c r="P484" s="167">
        <v>10</v>
      </c>
      <c r="Q484" s="167">
        <v>17</v>
      </c>
      <c r="R484" s="167">
        <v>30</v>
      </c>
      <c r="S484" s="167">
        <v>31</v>
      </c>
      <c r="T484" s="167">
        <v>16</v>
      </c>
      <c r="U484" s="28">
        <f t="shared" si="347"/>
        <v>96</v>
      </c>
      <c r="W484" s="32" t="str">
        <f t="shared" si="332"/>
        <v>홀수</v>
      </c>
      <c r="X484" s="32" t="str">
        <f t="shared" si="333"/>
        <v>홀수</v>
      </c>
      <c r="Y484" s="32" t="str">
        <f t="shared" si="334"/>
        <v>짝수</v>
      </c>
      <c r="Z484" s="32" t="str">
        <f t="shared" si="335"/>
        <v>홀수</v>
      </c>
      <c r="AA484" s="32" t="str">
        <f t="shared" si="336"/>
        <v>짝수</v>
      </c>
      <c r="AB484" s="32" t="str">
        <f t="shared" si="337"/>
        <v>홀수</v>
      </c>
      <c r="AC484" s="58" t="str">
        <f t="shared" si="338"/>
        <v>4 : 2</v>
      </c>
      <c r="AD484" s="32">
        <f t="shared" si="339"/>
        <v>4</v>
      </c>
      <c r="AE484" s="32">
        <f t="shared" si="340"/>
        <v>2</v>
      </c>
      <c r="AF484" s="66" t="str">
        <f t="shared" si="348"/>
        <v>저수</v>
      </c>
      <c r="AG484" s="66" t="str">
        <f t="shared" si="349"/>
        <v>저수</v>
      </c>
      <c r="AH484" s="66" t="str">
        <f t="shared" si="350"/>
        <v>저수</v>
      </c>
      <c r="AI484" s="66" t="str">
        <f t="shared" si="351"/>
        <v>저수</v>
      </c>
      <c r="AJ484" s="66" t="str">
        <f t="shared" si="352"/>
        <v>고수</v>
      </c>
      <c r="AK484" s="66" t="str">
        <f t="shared" si="353"/>
        <v>고수</v>
      </c>
      <c r="AL484" s="58" t="str">
        <f t="shared" si="354"/>
        <v>4 : 2</v>
      </c>
      <c r="AM484" s="66">
        <f t="shared" si="355"/>
        <v>4</v>
      </c>
      <c r="AN484" s="66">
        <f t="shared" si="356"/>
        <v>2</v>
      </c>
      <c r="AO484" s="66">
        <f t="shared" si="357"/>
        <v>16</v>
      </c>
      <c r="AP484" s="66" t="str">
        <f t="shared" si="358"/>
        <v>O</v>
      </c>
      <c r="AQ484" s="66" t="str">
        <f t="shared" si="359"/>
        <v>O</v>
      </c>
      <c r="AR484" s="66" t="str">
        <f t="shared" si="360"/>
        <v>X</v>
      </c>
      <c r="AS484" s="66" t="str">
        <f t="shared" si="361"/>
        <v>O</v>
      </c>
      <c r="AT484" s="66" t="str">
        <f t="shared" si="362"/>
        <v>X</v>
      </c>
      <c r="AU484" s="66" t="str">
        <f t="shared" si="363"/>
        <v>X</v>
      </c>
      <c r="AV484" s="66" t="str">
        <f t="shared" si="364"/>
        <v>X</v>
      </c>
      <c r="AW484" s="66" t="str">
        <f t="shared" si="365"/>
        <v>X</v>
      </c>
      <c r="AX484" s="66" t="str">
        <f t="shared" si="366"/>
        <v>X</v>
      </c>
      <c r="AY484" s="66" t="str">
        <f t="shared" si="367"/>
        <v>X</v>
      </c>
      <c r="AZ484" s="66" t="str">
        <f t="shared" si="368"/>
        <v>X</v>
      </c>
      <c r="BA484" s="66" t="str">
        <f t="shared" si="369"/>
        <v>O</v>
      </c>
      <c r="BB484" s="66">
        <f t="shared" si="370"/>
        <v>4</v>
      </c>
      <c r="BC484" s="127" t="str">
        <f t="shared" si="341"/>
        <v>1G</v>
      </c>
      <c r="BD484" s="127" t="str">
        <f t="shared" si="342"/>
        <v>1G</v>
      </c>
      <c r="BE484" s="127" t="str">
        <f t="shared" si="343"/>
        <v>1G</v>
      </c>
      <c r="BF484" s="127" t="str">
        <f t="shared" si="344"/>
        <v>2G</v>
      </c>
      <c r="BG484" s="127" t="str">
        <f t="shared" si="345"/>
        <v>2G</v>
      </c>
      <c r="BH484" s="127" t="str">
        <f t="shared" si="346"/>
        <v>3G</v>
      </c>
      <c r="BI484" s="127">
        <f t="shared" si="371"/>
        <v>3</v>
      </c>
      <c r="BJ484" s="127">
        <f t="shared" si="372"/>
        <v>2</v>
      </c>
      <c r="BK484" s="127">
        <f t="shared" si="373"/>
        <v>1</v>
      </c>
      <c r="BL484" s="127" t="str">
        <f t="shared" si="374"/>
        <v>321</v>
      </c>
      <c r="BS484"/>
      <c r="CL484" s="28">
        <v>196</v>
      </c>
      <c r="CM484" s="28">
        <v>190</v>
      </c>
      <c r="CO484"/>
    </row>
    <row r="485" spans="2:93" ht="16.5" hidden="1">
      <c r="B485" s="17">
        <v>481</v>
      </c>
      <c r="C485" s="363" t="s">
        <v>515</v>
      </c>
      <c r="N485" s="167">
        <v>3</v>
      </c>
      <c r="O485" s="167">
        <v>4</v>
      </c>
      <c r="P485" s="167">
        <v>23</v>
      </c>
      <c r="Q485" s="167">
        <v>29</v>
      </c>
      <c r="R485" s="167">
        <v>40</v>
      </c>
      <c r="S485" s="167">
        <v>41</v>
      </c>
      <c r="T485" s="167">
        <v>20</v>
      </c>
      <c r="U485" s="28">
        <f t="shared" si="347"/>
        <v>140</v>
      </c>
      <c r="W485" s="32" t="str">
        <f t="shared" si="332"/>
        <v>홀수</v>
      </c>
      <c r="X485" s="32" t="str">
        <f t="shared" si="333"/>
        <v>짝수</v>
      </c>
      <c r="Y485" s="32" t="str">
        <f t="shared" si="334"/>
        <v>홀수</v>
      </c>
      <c r="Z485" s="32" t="str">
        <f t="shared" si="335"/>
        <v>홀수</v>
      </c>
      <c r="AA485" s="32" t="str">
        <f t="shared" si="336"/>
        <v>짝수</v>
      </c>
      <c r="AB485" s="32" t="str">
        <f t="shared" si="337"/>
        <v>홀수</v>
      </c>
      <c r="AC485" s="58" t="str">
        <f t="shared" si="338"/>
        <v>4 : 2</v>
      </c>
      <c r="AD485" s="32">
        <f t="shared" si="339"/>
        <v>4</v>
      </c>
      <c r="AE485" s="32">
        <f t="shared" si="340"/>
        <v>2</v>
      </c>
      <c r="AF485" s="66" t="str">
        <f t="shared" si="348"/>
        <v>저수</v>
      </c>
      <c r="AG485" s="66" t="str">
        <f t="shared" si="349"/>
        <v>저수</v>
      </c>
      <c r="AH485" s="66" t="str">
        <f t="shared" si="350"/>
        <v>고수</v>
      </c>
      <c r="AI485" s="66" t="str">
        <f t="shared" si="351"/>
        <v>고수</v>
      </c>
      <c r="AJ485" s="66" t="str">
        <f t="shared" si="352"/>
        <v>고수</v>
      </c>
      <c r="AK485" s="66" t="str">
        <f t="shared" si="353"/>
        <v>고수</v>
      </c>
      <c r="AL485" s="58" t="str">
        <f t="shared" si="354"/>
        <v>2 : 4</v>
      </c>
      <c r="AM485" s="66">
        <f t="shared" si="355"/>
        <v>2</v>
      </c>
      <c r="AN485" s="66">
        <f t="shared" si="356"/>
        <v>4</v>
      </c>
      <c r="AO485" s="66">
        <f t="shared" si="357"/>
        <v>20</v>
      </c>
      <c r="AP485" s="66" t="str">
        <f t="shared" si="358"/>
        <v>O</v>
      </c>
      <c r="AQ485" s="66" t="str">
        <f t="shared" si="359"/>
        <v>X</v>
      </c>
      <c r="AR485" s="66" t="str">
        <f t="shared" si="360"/>
        <v>X</v>
      </c>
      <c r="AS485" s="66" t="str">
        <f t="shared" si="361"/>
        <v>X</v>
      </c>
      <c r="AT485" s="66" t="str">
        <f t="shared" si="362"/>
        <v>X</v>
      </c>
      <c r="AU485" s="66" t="str">
        <f t="shared" si="363"/>
        <v>X</v>
      </c>
      <c r="AV485" s="66" t="str">
        <f t="shared" si="364"/>
        <v>X</v>
      </c>
      <c r="AW485" s="66" t="str">
        <f t="shared" si="365"/>
        <v>X</v>
      </c>
      <c r="AX485" s="66" t="str">
        <f t="shared" si="366"/>
        <v>O</v>
      </c>
      <c r="AY485" s="66" t="str">
        <f t="shared" si="367"/>
        <v>O</v>
      </c>
      <c r="AZ485" s="66" t="str">
        <f t="shared" si="368"/>
        <v>X</v>
      </c>
      <c r="BA485" s="66" t="str">
        <f t="shared" si="369"/>
        <v>O</v>
      </c>
      <c r="BB485" s="66">
        <f t="shared" si="370"/>
        <v>4</v>
      </c>
      <c r="BC485" s="127" t="str">
        <f t="shared" si="341"/>
        <v>1G</v>
      </c>
      <c r="BD485" s="127" t="str">
        <f t="shared" si="342"/>
        <v>1G</v>
      </c>
      <c r="BE485" s="127" t="str">
        <f t="shared" si="343"/>
        <v>2G</v>
      </c>
      <c r="BF485" s="127" t="str">
        <f t="shared" si="344"/>
        <v>2G</v>
      </c>
      <c r="BG485" s="127" t="str">
        <f t="shared" si="345"/>
        <v>3G</v>
      </c>
      <c r="BH485" s="127" t="str">
        <f t="shared" si="346"/>
        <v>3G</v>
      </c>
      <c r="BI485" s="127">
        <f t="shared" si="371"/>
        <v>2</v>
      </c>
      <c r="BJ485" s="127">
        <f t="shared" si="372"/>
        <v>2</v>
      </c>
      <c r="BK485" s="127">
        <f t="shared" si="373"/>
        <v>2</v>
      </c>
      <c r="BL485" s="127" t="str">
        <f t="shared" si="374"/>
        <v>222</v>
      </c>
      <c r="BS485"/>
      <c r="CL485" s="28">
        <v>196</v>
      </c>
      <c r="CM485" s="28">
        <v>190</v>
      </c>
      <c r="CO485"/>
    </row>
    <row r="486" spans="2:93" ht="16.5" hidden="1">
      <c r="B486" s="17">
        <v>482</v>
      </c>
      <c r="C486" s="363" t="s">
        <v>516</v>
      </c>
      <c r="N486" s="167">
        <v>1</v>
      </c>
      <c r="O486" s="167">
        <v>10</v>
      </c>
      <c r="P486" s="167">
        <v>16</v>
      </c>
      <c r="Q486" s="167">
        <v>24</v>
      </c>
      <c r="R486" s="167">
        <v>25</v>
      </c>
      <c r="S486" s="167">
        <v>35</v>
      </c>
      <c r="T486" s="167">
        <v>43</v>
      </c>
      <c r="U486" s="28">
        <f t="shared" si="347"/>
        <v>111</v>
      </c>
      <c r="W486" s="32" t="str">
        <f t="shared" si="332"/>
        <v>홀수</v>
      </c>
      <c r="X486" s="32" t="str">
        <f t="shared" si="333"/>
        <v>짝수</v>
      </c>
      <c r="Y486" s="32" t="str">
        <f t="shared" si="334"/>
        <v>짝수</v>
      </c>
      <c r="Z486" s="32" t="str">
        <f t="shared" si="335"/>
        <v>짝수</v>
      </c>
      <c r="AA486" s="32" t="str">
        <f t="shared" si="336"/>
        <v>홀수</v>
      </c>
      <c r="AB486" s="32" t="str">
        <f t="shared" si="337"/>
        <v>홀수</v>
      </c>
      <c r="AC486" s="58" t="str">
        <f t="shared" si="338"/>
        <v>3 : 3</v>
      </c>
      <c r="AD486" s="32">
        <f t="shared" si="339"/>
        <v>3</v>
      </c>
      <c r="AE486" s="32">
        <f t="shared" si="340"/>
        <v>3</v>
      </c>
      <c r="AF486" s="66" t="str">
        <f t="shared" si="348"/>
        <v>저수</v>
      </c>
      <c r="AG486" s="66" t="str">
        <f t="shared" si="349"/>
        <v>저수</v>
      </c>
      <c r="AH486" s="66" t="str">
        <f t="shared" si="350"/>
        <v>저수</v>
      </c>
      <c r="AI486" s="66" t="str">
        <f t="shared" si="351"/>
        <v>고수</v>
      </c>
      <c r="AJ486" s="66" t="str">
        <f t="shared" si="352"/>
        <v>고수</v>
      </c>
      <c r="AK486" s="66" t="str">
        <f t="shared" si="353"/>
        <v>고수</v>
      </c>
      <c r="AL486" s="58" t="str">
        <f t="shared" si="354"/>
        <v>3 : 3</v>
      </c>
      <c r="AM486" s="66">
        <f t="shared" si="355"/>
        <v>3</v>
      </c>
      <c r="AN486" s="66">
        <f t="shared" si="356"/>
        <v>3</v>
      </c>
      <c r="AO486" s="66">
        <f t="shared" si="357"/>
        <v>21</v>
      </c>
      <c r="AP486" s="66" t="str">
        <f t="shared" si="358"/>
        <v>X</v>
      </c>
      <c r="AQ486" s="66" t="str">
        <f t="shared" si="359"/>
        <v>X</v>
      </c>
      <c r="AR486" s="66" t="str">
        <f t="shared" si="360"/>
        <v>X</v>
      </c>
      <c r="AS486" s="66" t="str">
        <f t="shared" si="361"/>
        <v>X</v>
      </c>
      <c r="AT486" s="66" t="str">
        <f t="shared" si="362"/>
        <v>X</v>
      </c>
      <c r="AU486" s="66" t="str">
        <f t="shared" si="363"/>
        <v>X</v>
      </c>
      <c r="AV486" s="66" t="str">
        <f t="shared" si="364"/>
        <v>X</v>
      </c>
      <c r="AW486" s="66" t="str">
        <f t="shared" si="365"/>
        <v>X</v>
      </c>
      <c r="AX486" s="66" t="str">
        <f t="shared" si="366"/>
        <v>X</v>
      </c>
      <c r="AY486" s="66" t="str">
        <f t="shared" si="367"/>
        <v>X</v>
      </c>
      <c r="AZ486" s="66" t="str">
        <f t="shared" si="368"/>
        <v>X</v>
      </c>
      <c r="BA486" s="66" t="str">
        <f t="shared" si="369"/>
        <v>X</v>
      </c>
      <c r="BB486" s="66">
        <f t="shared" si="370"/>
        <v>0</v>
      </c>
      <c r="BC486" s="127" t="str">
        <f t="shared" si="341"/>
        <v>1G</v>
      </c>
      <c r="BD486" s="127" t="str">
        <f t="shared" si="342"/>
        <v>1G</v>
      </c>
      <c r="BE486" s="127" t="str">
        <f t="shared" si="343"/>
        <v>2G</v>
      </c>
      <c r="BF486" s="127" t="str">
        <f t="shared" si="344"/>
        <v>2G</v>
      </c>
      <c r="BG486" s="127" t="str">
        <f t="shared" si="345"/>
        <v>2G</v>
      </c>
      <c r="BH486" s="127" t="str">
        <f t="shared" si="346"/>
        <v>3G</v>
      </c>
      <c r="BI486" s="127">
        <f t="shared" si="371"/>
        <v>2</v>
      </c>
      <c r="BJ486" s="127">
        <f t="shared" si="372"/>
        <v>3</v>
      </c>
      <c r="BK486" s="127">
        <f t="shared" si="373"/>
        <v>1</v>
      </c>
      <c r="BL486" s="127" t="str">
        <f t="shared" si="374"/>
        <v>231</v>
      </c>
      <c r="BS486"/>
      <c r="CL486" s="28">
        <v>196</v>
      </c>
      <c r="CM486" s="28">
        <v>190</v>
      </c>
      <c r="CO486"/>
    </row>
    <row r="487" spans="2:93" ht="16.5" hidden="1">
      <c r="B487" s="17">
        <v>483</v>
      </c>
      <c r="C487" s="363" t="s">
        <v>517</v>
      </c>
      <c r="N487" s="167">
        <v>12</v>
      </c>
      <c r="O487" s="167">
        <v>15</v>
      </c>
      <c r="P487" s="167">
        <v>19</v>
      </c>
      <c r="Q487" s="167">
        <v>22</v>
      </c>
      <c r="R487" s="167">
        <v>28</v>
      </c>
      <c r="S487" s="167">
        <v>34</v>
      </c>
      <c r="T487" s="167">
        <v>5</v>
      </c>
      <c r="U487" s="28">
        <f t="shared" si="347"/>
        <v>130</v>
      </c>
      <c r="W487" s="32" t="str">
        <f t="shared" si="332"/>
        <v>짝수</v>
      </c>
      <c r="X487" s="32" t="str">
        <f t="shared" si="333"/>
        <v>홀수</v>
      </c>
      <c r="Y487" s="32" t="str">
        <f t="shared" si="334"/>
        <v>홀수</v>
      </c>
      <c r="Z487" s="32" t="str">
        <f t="shared" si="335"/>
        <v>짝수</v>
      </c>
      <c r="AA487" s="32" t="str">
        <f t="shared" si="336"/>
        <v>짝수</v>
      </c>
      <c r="AB487" s="32" t="str">
        <f t="shared" si="337"/>
        <v>짝수</v>
      </c>
      <c r="AC487" s="58" t="str">
        <f t="shared" si="338"/>
        <v>2 : 4</v>
      </c>
      <c r="AD487" s="32">
        <f t="shared" si="339"/>
        <v>2</v>
      </c>
      <c r="AE487" s="32">
        <f t="shared" si="340"/>
        <v>4</v>
      </c>
      <c r="AF487" s="66" t="str">
        <f t="shared" si="348"/>
        <v>저수</v>
      </c>
      <c r="AG487" s="66" t="str">
        <f t="shared" si="349"/>
        <v>저수</v>
      </c>
      <c r="AH487" s="66" t="str">
        <f t="shared" si="350"/>
        <v>저수</v>
      </c>
      <c r="AI487" s="66" t="str">
        <f t="shared" si="351"/>
        <v>저수</v>
      </c>
      <c r="AJ487" s="66" t="str">
        <f t="shared" si="352"/>
        <v>고수</v>
      </c>
      <c r="AK487" s="66" t="str">
        <f t="shared" si="353"/>
        <v>고수</v>
      </c>
      <c r="AL487" s="58" t="str">
        <f t="shared" si="354"/>
        <v>4 : 2</v>
      </c>
      <c r="AM487" s="66">
        <f t="shared" si="355"/>
        <v>4</v>
      </c>
      <c r="AN487" s="66">
        <f t="shared" si="356"/>
        <v>2</v>
      </c>
      <c r="AO487" s="66">
        <f t="shared" si="357"/>
        <v>30</v>
      </c>
      <c r="AP487" s="66" t="str">
        <f t="shared" si="358"/>
        <v>X</v>
      </c>
      <c r="AQ487" s="66" t="str">
        <f t="shared" si="359"/>
        <v>X</v>
      </c>
      <c r="AR487" s="66" t="str">
        <f t="shared" si="360"/>
        <v>O</v>
      </c>
      <c r="AS487" s="66" t="str">
        <f t="shared" si="361"/>
        <v>X</v>
      </c>
      <c r="AT487" s="66" t="str">
        <f t="shared" si="362"/>
        <v>X</v>
      </c>
      <c r="AU487" s="66" t="str">
        <f t="shared" si="363"/>
        <v>X</v>
      </c>
      <c r="AV487" s="66" t="str">
        <f t="shared" si="364"/>
        <v>X</v>
      </c>
      <c r="AW487" s="66" t="str">
        <f t="shared" si="365"/>
        <v>X</v>
      </c>
      <c r="AX487" s="66" t="str">
        <f t="shared" si="366"/>
        <v>X</v>
      </c>
      <c r="AY487" s="66" t="str">
        <f t="shared" si="367"/>
        <v>X</v>
      </c>
      <c r="AZ487" s="66" t="str">
        <f t="shared" si="368"/>
        <v>X</v>
      </c>
      <c r="BA487" s="66" t="str">
        <f t="shared" si="369"/>
        <v>X</v>
      </c>
      <c r="BB487" s="66">
        <f t="shared" si="370"/>
        <v>1</v>
      </c>
      <c r="BC487" s="127" t="str">
        <f t="shared" si="341"/>
        <v>1G</v>
      </c>
      <c r="BD487" s="127" t="str">
        <f t="shared" si="342"/>
        <v>1G</v>
      </c>
      <c r="BE487" s="127" t="str">
        <f t="shared" si="343"/>
        <v>2G</v>
      </c>
      <c r="BF487" s="127" t="str">
        <f t="shared" si="344"/>
        <v>2G</v>
      </c>
      <c r="BG487" s="127" t="str">
        <f t="shared" si="345"/>
        <v>2G</v>
      </c>
      <c r="BH487" s="127" t="str">
        <f t="shared" si="346"/>
        <v>3G</v>
      </c>
      <c r="BI487" s="127">
        <f t="shared" si="371"/>
        <v>2</v>
      </c>
      <c r="BJ487" s="127">
        <f t="shared" si="372"/>
        <v>3</v>
      </c>
      <c r="BK487" s="127">
        <f t="shared" si="373"/>
        <v>1</v>
      </c>
      <c r="BL487" s="127" t="str">
        <f t="shared" si="374"/>
        <v>231</v>
      </c>
      <c r="BS487"/>
      <c r="CL487" s="28">
        <v>197</v>
      </c>
      <c r="CM487" s="28">
        <v>190</v>
      </c>
      <c r="CO487"/>
    </row>
    <row r="488" spans="2:93" ht="16.5" hidden="1">
      <c r="B488" s="17">
        <v>484</v>
      </c>
      <c r="C488" s="363" t="s">
        <v>518</v>
      </c>
      <c r="N488" s="167">
        <v>1</v>
      </c>
      <c r="O488" s="167">
        <v>3</v>
      </c>
      <c r="P488" s="167">
        <v>27</v>
      </c>
      <c r="Q488" s="167">
        <v>28</v>
      </c>
      <c r="R488" s="167">
        <v>32</v>
      </c>
      <c r="S488" s="167">
        <v>45</v>
      </c>
      <c r="T488" s="167">
        <v>11</v>
      </c>
      <c r="U488" s="28">
        <f t="shared" si="347"/>
        <v>136</v>
      </c>
      <c r="W488" s="32" t="str">
        <f t="shared" si="332"/>
        <v>홀수</v>
      </c>
      <c r="X488" s="32" t="str">
        <f t="shared" si="333"/>
        <v>홀수</v>
      </c>
      <c r="Y488" s="32" t="str">
        <f t="shared" si="334"/>
        <v>홀수</v>
      </c>
      <c r="Z488" s="32" t="str">
        <f t="shared" si="335"/>
        <v>짝수</v>
      </c>
      <c r="AA488" s="32" t="str">
        <f t="shared" si="336"/>
        <v>짝수</v>
      </c>
      <c r="AB488" s="32" t="str">
        <f t="shared" si="337"/>
        <v>홀수</v>
      </c>
      <c r="AC488" s="58" t="str">
        <f t="shared" si="338"/>
        <v>4 : 2</v>
      </c>
      <c r="AD488" s="32">
        <f t="shared" si="339"/>
        <v>4</v>
      </c>
      <c r="AE488" s="32">
        <f t="shared" si="340"/>
        <v>2</v>
      </c>
      <c r="AF488" s="66" t="str">
        <f t="shared" si="348"/>
        <v>저수</v>
      </c>
      <c r="AG488" s="66" t="str">
        <f t="shared" si="349"/>
        <v>저수</v>
      </c>
      <c r="AH488" s="66" t="str">
        <f t="shared" si="350"/>
        <v>고수</v>
      </c>
      <c r="AI488" s="66" t="str">
        <f t="shared" si="351"/>
        <v>고수</v>
      </c>
      <c r="AJ488" s="66" t="str">
        <f t="shared" si="352"/>
        <v>고수</v>
      </c>
      <c r="AK488" s="66" t="str">
        <f t="shared" si="353"/>
        <v>고수</v>
      </c>
      <c r="AL488" s="58" t="str">
        <f t="shared" si="354"/>
        <v>2 : 4</v>
      </c>
      <c r="AM488" s="66">
        <f t="shared" si="355"/>
        <v>2</v>
      </c>
      <c r="AN488" s="66">
        <f t="shared" si="356"/>
        <v>4</v>
      </c>
      <c r="AO488" s="66">
        <f t="shared" si="357"/>
        <v>26</v>
      </c>
      <c r="AP488" s="66" t="str">
        <f t="shared" si="358"/>
        <v>X</v>
      </c>
      <c r="AQ488" s="66" t="str">
        <f t="shared" si="359"/>
        <v>O</v>
      </c>
      <c r="AR488" s="66" t="str">
        <f t="shared" si="360"/>
        <v>X</v>
      </c>
      <c r="AS488" s="66" t="str">
        <f t="shared" si="361"/>
        <v>X</v>
      </c>
      <c r="AT488" s="66" t="str">
        <f t="shared" si="362"/>
        <v>X</v>
      </c>
      <c r="AU488" s="66" t="str">
        <f t="shared" si="363"/>
        <v>X</v>
      </c>
      <c r="AV488" s="66" t="str">
        <f t="shared" si="364"/>
        <v>X</v>
      </c>
      <c r="AW488" s="66" t="str">
        <f t="shared" si="365"/>
        <v>X</v>
      </c>
      <c r="AX488" s="66" t="str">
        <f t="shared" si="366"/>
        <v>X</v>
      </c>
      <c r="AY488" s="66" t="str">
        <f t="shared" si="367"/>
        <v>X</v>
      </c>
      <c r="AZ488" s="66" t="str">
        <f t="shared" si="368"/>
        <v>X</v>
      </c>
      <c r="BA488" s="66" t="str">
        <f t="shared" si="369"/>
        <v>X</v>
      </c>
      <c r="BB488" s="66">
        <f t="shared" si="370"/>
        <v>1</v>
      </c>
      <c r="BC488" s="127" t="str">
        <f t="shared" si="341"/>
        <v>1G</v>
      </c>
      <c r="BD488" s="127" t="str">
        <f t="shared" si="342"/>
        <v>1G</v>
      </c>
      <c r="BE488" s="127" t="str">
        <f t="shared" si="343"/>
        <v>2G</v>
      </c>
      <c r="BF488" s="127" t="str">
        <f t="shared" si="344"/>
        <v>2G</v>
      </c>
      <c r="BG488" s="127" t="str">
        <f t="shared" si="345"/>
        <v>3G</v>
      </c>
      <c r="BH488" s="127" t="str">
        <f t="shared" si="346"/>
        <v>3G</v>
      </c>
      <c r="BI488" s="127">
        <f t="shared" si="371"/>
        <v>2</v>
      </c>
      <c r="BJ488" s="127">
        <f t="shared" si="372"/>
        <v>2</v>
      </c>
      <c r="BK488" s="127">
        <f t="shared" si="373"/>
        <v>2</v>
      </c>
      <c r="BL488" s="127" t="str">
        <f t="shared" si="374"/>
        <v>222</v>
      </c>
      <c r="BS488"/>
      <c r="CL488" s="28">
        <v>197</v>
      </c>
      <c r="CM488" s="28">
        <v>190</v>
      </c>
      <c r="CO488"/>
    </row>
    <row r="489" spans="2:93" ht="16.5" hidden="1">
      <c r="B489" s="17">
        <v>485</v>
      </c>
      <c r="C489" s="363" t="s">
        <v>541</v>
      </c>
      <c r="N489" s="167">
        <v>17</v>
      </c>
      <c r="O489" s="167">
        <v>22</v>
      </c>
      <c r="P489" s="167">
        <v>26</v>
      </c>
      <c r="Q489" s="167">
        <v>27</v>
      </c>
      <c r="R489" s="167">
        <v>36</v>
      </c>
      <c r="S489" s="167">
        <v>39</v>
      </c>
      <c r="T489" s="167">
        <v>20</v>
      </c>
      <c r="U489" s="28">
        <f t="shared" ref="U489:U505" si="375">SUM(N489:T489)</f>
        <v>187</v>
      </c>
      <c r="W489" s="27" t="str">
        <f t="shared" si="332"/>
        <v>홀수</v>
      </c>
      <c r="X489" s="27" t="str">
        <f t="shared" si="333"/>
        <v>짝수</v>
      </c>
      <c r="Y489" s="27" t="str">
        <f t="shared" si="334"/>
        <v>짝수</v>
      </c>
      <c r="Z489" s="27" t="str">
        <f t="shared" si="335"/>
        <v>홀수</v>
      </c>
      <c r="AA489" s="28" t="str">
        <f t="shared" si="336"/>
        <v>짝수</v>
      </c>
      <c r="AB489" s="28" t="str">
        <f t="shared" si="337"/>
        <v>홀수</v>
      </c>
      <c r="AC489" s="58" t="str">
        <f t="shared" si="338"/>
        <v>3 : 3</v>
      </c>
      <c r="AD489" s="32">
        <f t="shared" si="339"/>
        <v>3</v>
      </c>
      <c r="AE489" s="32">
        <f t="shared" si="340"/>
        <v>3</v>
      </c>
      <c r="AF489" s="66" t="str">
        <f t="shared" si="348"/>
        <v>저수</v>
      </c>
      <c r="AG489" s="66" t="str">
        <f t="shared" si="349"/>
        <v>저수</v>
      </c>
      <c r="AH489" s="66" t="str">
        <f t="shared" si="350"/>
        <v>고수</v>
      </c>
      <c r="AI489" s="66" t="str">
        <f t="shared" si="351"/>
        <v>고수</v>
      </c>
      <c r="AJ489" s="66" t="str">
        <f t="shared" si="352"/>
        <v>고수</v>
      </c>
      <c r="AK489" s="66" t="str">
        <f t="shared" si="353"/>
        <v>고수</v>
      </c>
      <c r="AL489" s="58" t="str">
        <f t="shared" si="354"/>
        <v>2 : 4</v>
      </c>
      <c r="AM489" s="66">
        <f t="shared" si="355"/>
        <v>2</v>
      </c>
      <c r="AN489" s="66">
        <f t="shared" si="356"/>
        <v>4</v>
      </c>
      <c r="AO489" s="66">
        <f t="shared" si="357"/>
        <v>37</v>
      </c>
      <c r="AP489" s="66" t="str">
        <f t="shared" si="358"/>
        <v>O</v>
      </c>
      <c r="AQ489" s="66" t="str">
        <f t="shared" si="359"/>
        <v>X</v>
      </c>
      <c r="AR489" s="66" t="str">
        <f t="shared" si="360"/>
        <v>X</v>
      </c>
      <c r="AS489" s="66" t="str">
        <f t="shared" si="361"/>
        <v>X</v>
      </c>
      <c r="AT489" s="66" t="str">
        <f t="shared" si="362"/>
        <v>X</v>
      </c>
      <c r="AU489" s="66" t="str">
        <f t="shared" si="363"/>
        <v>X</v>
      </c>
      <c r="AV489" s="66" t="str">
        <f t="shared" si="364"/>
        <v>X</v>
      </c>
      <c r="AW489" s="66" t="str">
        <f t="shared" si="365"/>
        <v>X</v>
      </c>
      <c r="AX489" s="66" t="str">
        <f t="shared" si="366"/>
        <v>X</v>
      </c>
      <c r="AY489" s="66" t="str">
        <f t="shared" si="367"/>
        <v>X</v>
      </c>
      <c r="AZ489" s="66" t="str">
        <f t="shared" si="368"/>
        <v>X</v>
      </c>
      <c r="BA489" s="66" t="str">
        <f t="shared" si="369"/>
        <v>X</v>
      </c>
      <c r="BB489" s="66">
        <f t="shared" si="370"/>
        <v>1</v>
      </c>
      <c r="BC489" s="127" t="str">
        <f t="shared" si="341"/>
        <v>2G</v>
      </c>
      <c r="BD489" s="127" t="str">
        <f t="shared" si="342"/>
        <v>2G</v>
      </c>
      <c r="BE489" s="127" t="str">
        <f t="shared" si="343"/>
        <v>2G</v>
      </c>
      <c r="BF489" s="127" t="str">
        <f t="shared" si="344"/>
        <v>2G</v>
      </c>
      <c r="BG489" s="127" t="str">
        <f t="shared" si="345"/>
        <v>3G</v>
      </c>
      <c r="BH489" s="127" t="str">
        <f t="shared" si="346"/>
        <v>3G</v>
      </c>
      <c r="BI489" s="127">
        <f t="shared" si="371"/>
        <v>0</v>
      </c>
      <c r="BJ489" s="127">
        <f t="shared" si="372"/>
        <v>4</v>
      </c>
      <c r="BK489" s="127">
        <f t="shared" si="373"/>
        <v>2</v>
      </c>
      <c r="BL489" s="127" t="str">
        <f t="shared" si="374"/>
        <v>042</v>
      </c>
      <c r="BS489"/>
      <c r="CL489" s="28">
        <v>199</v>
      </c>
      <c r="CM489" s="28">
        <v>190</v>
      </c>
      <c r="CO489"/>
    </row>
    <row r="490" spans="2:93" ht="16.5" hidden="1">
      <c r="B490" s="17">
        <v>486</v>
      </c>
      <c r="C490" s="363" t="s">
        <v>581</v>
      </c>
      <c r="N490" s="167">
        <v>1</v>
      </c>
      <c r="O490" s="167">
        <v>2</v>
      </c>
      <c r="P490" s="167">
        <v>23</v>
      </c>
      <c r="Q490" s="167">
        <v>25</v>
      </c>
      <c r="R490" s="167">
        <v>38</v>
      </c>
      <c r="S490" s="167">
        <v>40</v>
      </c>
      <c r="T490" s="167">
        <v>43</v>
      </c>
      <c r="U490" s="28">
        <f t="shared" si="375"/>
        <v>172</v>
      </c>
      <c r="W490" s="27" t="str">
        <f t="shared" si="332"/>
        <v>홀수</v>
      </c>
      <c r="X490" s="27" t="str">
        <f t="shared" si="333"/>
        <v>짝수</v>
      </c>
      <c r="Y490" s="27" t="str">
        <f t="shared" si="334"/>
        <v>홀수</v>
      </c>
      <c r="Z490" s="27" t="str">
        <f t="shared" si="335"/>
        <v>홀수</v>
      </c>
      <c r="AA490" s="28" t="str">
        <f t="shared" si="336"/>
        <v>짝수</v>
      </c>
      <c r="AB490" s="28" t="str">
        <f t="shared" si="337"/>
        <v>짝수</v>
      </c>
      <c r="AC490" s="58" t="str">
        <f t="shared" si="338"/>
        <v>3 : 3</v>
      </c>
      <c r="AD490" s="32">
        <f t="shared" si="339"/>
        <v>3</v>
      </c>
      <c r="AE490" s="32">
        <f t="shared" si="340"/>
        <v>3</v>
      </c>
      <c r="AF490" s="66" t="str">
        <f t="shared" si="348"/>
        <v>저수</v>
      </c>
      <c r="AG490" s="66" t="str">
        <f t="shared" si="349"/>
        <v>저수</v>
      </c>
      <c r="AH490" s="66" t="str">
        <f t="shared" si="350"/>
        <v>고수</v>
      </c>
      <c r="AI490" s="66" t="str">
        <f t="shared" si="351"/>
        <v>고수</v>
      </c>
      <c r="AJ490" s="66" t="str">
        <f t="shared" si="352"/>
        <v>고수</v>
      </c>
      <c r="AK490" s="66" t="str">
        <f t="shared" si="353"/>
        <v>고수</v>
      </c>
      <c r="AL490" s="58" t="str">
        <f t="shared" si="354"/>
        <v>2 : 4</v>
      </c>
      <c r="AM490" s="66">
        <f t="shared" si="355"/>
        <v>2</v>
      </c>
      <c r="AN490" s="66">
        <f t="shared" si="356"/>
        <v>4</v>
      </c>
      <c r="AO490" s="66">
        <f t="shared" si="357"/>
        <v>19</v>
      </c>
      <c r="AP490" s="66" t="str">
        <f t="shared" si="358"/>
        <v>X</v>
      </c>
      <c r="AQ490" s="66" t="str">
        <f t="shared" si="359"/>
        <v>O</v>
      </c>
      <c r="AR490" s="66" t="str">
        <f t="shared" si="360"/>
        <v>X</v>
      </c>
      <c r="AS490" s="66" t="str">
        <f t="shared" si="361"/>
        <v>X</v>
      </c>
      <c r="AT490" s="66" t="str">
        <f t="shared" si="362"/>
        <v>X</v>
      </c>
      <c r="AU490" s="66" t="str">
        <f t="shared" si="363"/>
        <v>X</v>
      </c>
      <c r="AV490" s="66" t="str">
        <f t="shared" si="364"/>
        <v>X</v>
      </c>
      <c r="AW490" s="66" t="str">
        <f t="shared" si="365"/>
        <v>X</v>
      </c>
      <c r="AX490" s="66" t="str">
        <f t="shared" si="366"/>
        <v>O</v>
      </c>
      <c r="AY490" s="66" t="str">
        <f t="shared" si="367"/>
        <v>X</v>
      </c>
      <c r="AZ490" s="66" t="str">
        <f t="shared" si="368"/>
        <v>X</v>
      </c>
      <c r="BA490" s="66" t="str">
        <f t="shared" si="369"/>
        <v>X</v>
      </c>
      <c r="BB490" s="66">
        <f t="shared" si="370"/>
        <v>2</v>
      </c>
      <c r="BC490" s="127" t="str">
        <f t="shared" si="341"/>
        <v>1G</v>
      </c>
      <c r="BD490" s="127" t="str">
        <f t="shared" si="342"/>
        <v>1G</v>
      </c>
      <c r="BE490" s="127" t="str">
        <f t="shared" si="343"/>
        <v>2G</v>
      </c>
      <c r="BF490" s="127" t="str">
        <f t="shared" si="344"/>
        <v>2G</v>
      </c>
      <c r="BG490" s="127" t="str">
        <f t="shared" si="345"/>
        <v>3G</v>
      </c>
      <c r="BH490" s="127" t="str">
        <f t="shared" si="346"/>
        <v>3G</v>
      </c>
      <c r="BI490" s="127">
        <f t="shared" si="371"/>
        <v>2</v>
      </c>
      <c r="BJ490" s="127">
        <f t="shared" si="372"/>
        <v>2</v>
      </c>
      <c r="BK490" s="127">
        <f t="shared" si="373"/>
        <v>2</v>
      </c>
      <c r="BL490" s="127" t="str">
        <f t="shared" si="374"/>
        <v>222</v>
      </c>
      <c r="BS490"/>
      <c r="CL490" s="28">
        <v>201</v>
      </c>
      <c r="CM490" s="28">
        <v>200</v>
      </c>
      <c r="CO490"/>
    </row>
    <row r="491" spans="2:93" ht="16.5" hidden="1">
      <c r="B491" s="17">
        <v>487</v>
      </c>
      <c r="C491" s="363" t="s">
        <v>582</v>
      </c>
      <c r="N491" s="167">
        <v>4</v>
      </c>
      <c r="O491" s="167">
        <v>8</v>
      </c>
      <c r="P491" s="167">
        <v>25</v>
      </c>
      <c r="Q491" s="167">
        <v>37</v>
      </c>
      <c r="R491" s="167">
        <v>41</v>
      </c>
      <c r="S491" s="167">
        <v>21</v>
      </c>
      <c r="T491" s="167">
        <v>44</v>
      </c>
      <c r="U491" s="28">
        <f t="shared" si="375"/>
        <v>180</v>
      </c>
      <c r="W491" s="27" t="str">
        <f t="shared" si="332"/>
        <v>짝수</v>
      </c>
      <c r="X491" s="27" t="str">
        <f t="shared" si="333"/>
        <v>짝수</v>
      </c>
      <c r="Y491" s="27" t="str">
        <f t="shared" si="334"/>
        <v>홀수</v>
      </c>
      <c r="Z491" s="27" t="str">
        <f t="shared" si="335"/>
        <v>홀수</v>
      </c>
      <c r="AA491" s="28" t="str">
        <f t="shared" si="336"/>
        <v>홀수</v>
      </c>
      <c r="AB491" s="28" t="str">
        <f t="shared" si="337"/>
        <v>홀수</v>
      </c>
      <c r="AC491" s="58" t="str">
        <f t="shared" si="338"/>
        <v>4 : 2</v>
      </c>
      <c r="AD491" s="32">
        <f t="shared" si="339"/>
        <v>4</v>
      </c>
      <c r="AE491" s="32">
        <f t="shared" si="340"/>
        <v>2</v>
      </c>
      <c r="AF491" s="66" t="str">
        <f t="shared" si="348"/>
        <v>저수</v>
      </c>
      <c r="AG491" s="66" t="str">
        <f t="shared" si="349"/>
        <v>저수</v>
      </c>
      <c r="AH491" s="66" t="str">
        <f t="shared" si="350"/>
        <v>고수</v>
      </c>
      <c r="AI491" s="66" t="str">
        <f t="shared" si="351"/>
        <v>고수</v>
      </c>
      <c r="AJ491" s="66" t="str">
        <f t="shared" si="352"/>
        <v>고수</v>
      </c>
      <c r="AK491" s="66" t="str">
        <f t="shared" si="353"/>
        <v>저수</v>
      </c>
      <c r="AL491" s="58" t="str">
        <f t="shared" si="354"/>
        <v>3 : 3</v>
      </c>
      <c r="AM491" s="66">
        <f t="shared" si="355"/>
        <v>3</v>
      </c>
      <c r="AN491" s="66">
        <f t="shared" si="356"/>
        <v>3</v>
      </c>
      <c r="AO491" s="66">
        <f t="shared" si="357"/>
        <v>26</v>
      </c>
      <c r="AP491" s="66" t="str">
        <f t="shared" si="358"/>
        <v>X</v>
      </c>
      <c r="AQ491" s="66" t="str">
        <f t="shared" si="359"/>
        <v>X</v>
      </c>
      <c r="AR491" s="66" t="str">
        <f t="shared" si="360"/>
        <v>X</v>
      </c>
      <c r="AS491" s="66" t="str">
        <f t="shared" si="361"/>
        <v>X</v>
      </c>
      <c r="AT491" s="66" t="str">
        <f t="shared" si="362"/>
        <v>X</v>
      </c>
      <c r="AU491" s="66" t="str">
        <f t="shared" si="363"/>
        <v>X</v>
      </c>
      <c r="AV491" s="66" t="str">
        <f t="shared" si="364"/>
        <v>X</v>
      </c>
      <c r="AW491" s="66" t="str">
        <f t="shared" si="365"/>
        <v>X</v>
      </c>
      <c r="AX491" s="66" t="str">
        <f t="shared" si="366"/>
        <v>X</v>
      </c>
      <c r="AY491" s="66" t="str">
        <f t="shared" si="367"/>
        <v>O</v>
      </c>
      <c r="AZ491" s="66" t="str">
        <f t="shared" si="368"/>
        <v>O</v>
      </c>
      <c r="BA491" s="66" t="str">
        <f t="shared" si="369"/>
        <v>X</v>
      </c>
      <c r="BB491" s="66">
        <f t="shared" si="370"/>
        <v>2</v>
      </c>
      <c r="BC491" s="127" t="str">
        <f t="shared" si="341"/>
        <v>1G</v>
      </c>
      <c r="BD491" s="127" t="str">
        <f t="shared" si="342"/>
        <v>1G</v>
      </c>
      <c r="BE491" s="127" t="str">
        <f t="shared" si="343"/>
        <v>2G</v>
      </c>
      <c r="BF491" s="127" t="str">
        <f t="shared" si="344"/>
        <v>3G</v>
      </c>
      <c r="BG491" s="127" t="str">
        <f t="shared" si="345"/>
        <v>3G</v>
      </c>
      <c r="BH491" s="127" t="str">
        <f t="shared" si="346"/>
        <v>2G</v>
      </c>
      <c r="BI491" s="127">
        <f t="shared" si="371"/>
        <v>2</v>
      </c>
      <c r="BJ491" s="127">
        <f t="shared" si="372"/>
        <v>2</v>
      </c>
      <c r="BK491" s="127">
        <f t="shared" si="373"/>
        <v>2</v>
      </c>
      <c r="BL491" s="127" t="str">
        <f t="shared" si="374"/>
        <v>222</v>
      </c>
      <c r="BS491"/>
      <c r="CL491" s="28">
        <v>201</v>
      </c>
      <c r="CM491" s="28">
        <v>200</v>
      </c>
      <c r="CO491"/>
    </row>
    <row r="492" spans="2:93" ht="16.5" hidden="1">
      <c r="B492" s="17">
        <v>488</v>
      </c>
      <c r="C492" s="363" t="s">
        <v>583</v>
      </c>
      <c r="N492" s="167">
        <v>2</v>
      </c>
      <c r="O492" s="167">
        <v>8</v>
      </c>
      <c r="P492" s="167">
        <v>17</v>
      </c>
      <c r="Q492" s="167">
        <v>30</v>
      </c>
      <c r="R492" s="167">
        <v>31</v>
      </c>
      <c r="S492" s="167">
        <v>38</v>
      </c>
      <c r="T492" s="167">
        <v>25</v>
      </c>
      <c r="U492" s="28">
        <f t="shared" si="375"/>
        <v>151</v>
      </c>
      <c r="W492" s="27" t="str">
        <f t="shared" si="332"/>
        <v>짝수</v>
      </c>
      <c r="X492" s="27" t="str">
        <f t="shared" si="333"/>
        <v>짝수</v>
      </c>
      <c r="Y492" s="27" t="str">
        <f t="shared" si="334"/>
        <v>홀수</v>
      </c>
      <c r="Z492" s="27" t="str">
        <f t="shared" si="335"/>
        <v>짝수</v>
      </c>
      <c r="AA492" s="28" t="str">
        <f t="shared" si="336"/>
        <v>홀수</v>
      </c>
      <c r="AB492" s="28" t="str">
        <f t="shared" si="337"/>
        <v>짝수</v>
      </c>
      <c r="AC492" s="58" t="str">
        <f t="shared" si="338"/>
        <v>2 : 4</v>
      </c>
      <c r="AD492" s="32">
        <f t="shared" si="339"/>
        <v>2</v>
      </c>
      <c r="AE492" s="32">
        <f t="shared" si="340"/>
        <v>4</v>
      </c>
      <c r="AF492" s="66" t="str">
        <f t="shared" si="348"/>
        <v>저수</v>
      </c>
      <c r="AG492" s="66" t="str">
        <f t="shared" si="349"/>
        <v>저수</v>
      </c>
      <c r="AH492" s="66" t="str">
        <f t="shared" si="350"/>
        <v>저수</v>
      </c>
      <c r="AI492" s="66" t="str">
        <f t="shared" si="351"/>
        <v>고수</v>
      </c>
      <c r="AJ492" s="66" t="str">
        <f t="shared" si="352"/>
        <v>고수</v>
      </c>
      <c r="AK492" s="66" t="str">
        <f t="shared" si="353"/>
        <v>고수</v>
      </c>
      <c r="AL492" s="58" t="str">
        <f t="shared" si="354"/>
        <v>3 : 3</v>
      </c>
      <c r="AM492" s="66">
        <f t="shared" si="355"/>
        <v>3</v>
      </c>
      <c r="AN492" s="66">
        <f t="shared" si="356"/>
        <v>3</v>
      </c>
      <c r="AO492" s="66">
        <f t="shared" si="357"/>
        <v>26</v>
      </c>
      <c r="AP492" s="66" t="str">
        <f t="shared" si="358"/>
        <v>O</v>
      </c>
      <c r="AQ492" s="66" t="str">
        <f t="shared" si="359"/>
        <v>X</v>
      </c>
      <c r="AR492" s="66" t="str">
        <f t="shared" si="360"/>
        <v>O</v>
      </c>
      <c r="AS492" s="66" t="str">
        <f t="shared" si="361"/>
        <v>X</v>
      </c>
      <c r="AT492" s="66" t="str">
        <f t="shared" si="362"/>
        <v>X</v>
      </c>
      <c r="AU492" s="66" t="str">
        <f t="shared" si="363"/>
        <v>X</v>
      </c>
      <c r="AV492" s="66" t="str">
        <f t="shared" si="364"/>
        <v>X</v>
      </c>
      <c r="AW492" s="66" t="str">
        <f t="shared" si="365"/>
        <v>X</v>
      </c>
      <c r="AX492" s="66" t="str">
        <f t="shared" si="366"/>
        <v>X</v>
      </c>
      <c r="AY492" s="66" t="str">
        <f t="shared" si="367"/>
        <v>X</v>
      </c>
      <c r="AZ492" s="66" t="str">
        <f t="shared" si="368"/>
        <v>O</v>
      </c>
      <c r="BA492" s="66" t="str">
        <f t="shared" si="369"/>
        <v>X</v>
      </c>
      <c r="BB492" s="66">
        <f t="shared" si="370"/>
        <v>3</v>
      </c>
      <c r="BC492" s="127" t="str">
        <f t="shared" si="341"/>
        <v>1G</v>
      </c>
      <c r="BD492" s="127" t="str">
        <f t="shared" si="342"/>
        <v>1G</v>
      </c>
      <c r="BE492" s="127" t="str">
        <f t="shared" si="343"/>
        <v>2G</v>
      </c>
      <c r="BF492" s="127" t="str">
        <f t="shared" si="344"/>
        <v>2G</v>
      </c>
      <c r="BG492" s="127" t="str">
        <f t="shared" si="345"/>
        <v>3G</v>
      </c>
      <c r="BH492" s="127" t="str">
        <f t="shared" si="346"/>
        <v>3G</v>
      </c>
      <c r="BI492" s="127">
        <f t="shared" si="371"/>
        <v>2</v>
      </c>
      <c r="BJ492" s="127">
        <f t="shared" si="372"/>
        <v>2</v>
      </c>
      <c r="BK492" s="127">
        <f t="shared" si="373"/>
        <v>2</v>
      </c>
      <c r="BL492" s="127" t="str">
        <f t="shared" si="374"/>
        <v>222</v>
      </c>
      <c r="BS492"/>
      <c r="CL492" s="28">
        <v>202</v>
      </c>
      <c r="CM492" s="28">
        <v>200</v>
      </c>
      <c r="CO492"/>
    </row>
    <row r="493" spans="2:93" ht="16.5" hidden="1">
      <c r="B493" s="17">
        <v>489</v>
      </c>
      <c r="C493" s="363" t="s">
        <v>585</v>
      </c>
      <c r="N493" s="167">
        <v>2</v>
      </c>
      <c r="O493" s="167">
        <v>4</v>
      </c>
      <c r="P493" s="167">
        <v>8</v>
      </c>
      <c r="Q493" s="167">
        <v>15</v>
      </c>
      <c r="R493" s="167">
        <v>20</v>
      </c>
      <c r="S493" s="167">
        <v>27</v>
      </c>
      <c r="T493" s="167">
        <v>11</v>
      </c>
      <c r="U493" s="28">
        <f t="shared" si="375"/>
        <v>87</v>
      </c>
      <c r="W493" s="27" t="str">
        <f t="shared" si="332"/>
        <v>짝수</v>
      </c>
      <c r="X493" s="27" t="str">
        <f t="shared" si="333"/>
        <v>짝수</v>
      </c>
      <c r="Y493" s="27" t="str">
        <f t="shared" si="334"/>
        <v>짝수</v>
      </c>
      <c r="Z493" s="27" t="str">
        <f t="shared" si="335"/>
        <v>홀수</v>
      </c>
      <c r="AA493" s="28" t="str">
        <f t="shared" si="336"/>
        <v>짝수</v>
      </c>
      <c r="AB493" s="28" t="str">
        <f t="shared" si="337"/>
        <v>홀수</v>
      </c>
      <c r="AC493" s="27" t="str">
        <f t="shared" si="338"/>
        <v>2 : 4</v>
      </c>
      <c r="AD493" s="32">
        <f t="shared" si="339"/>
        <v>2</v>
      </c>
      <c r="AE493" s="32">
        <f t="shared" si="340"/>
        <v>4</v>
      </c>
      <c r="AF493" s="66" t="str">
        <f t="shared" si="348"/>
        <v>저수</v>
      </c>
      <c r="AG493" s="66" t="str">
        <f t="shared" si="349"/>
        <v>저수</v>
      </c>
      <c r="AH493" s="66" t="str">
        <f t="shared" si="350"/>
        <v>저수</v>
      </c>
      <c r="AI493" s="66" t="str">
        <f t="shared" si="351"/>
        <v>저수</v>
      </c>
      <c r="AJ493" s="66" t="str">
        <f t="shared" si="352"/>
        <v>저수</v>
      </c>
      <c r="AK493" s="66" t="str">
        <f t="shared" si="353"/>
        <v>고수</v>
      </c>
      <c r="AL493" s="58" t="str">
        <f t="shared" si="354"/>
        <v>5 : 1</v>
      </c>
      <c r="AM493" s="66">
        <f t="shared" si="355"/>
        <v>5</v>
      </c>
      <c r="AN493" s="66">
        <f t="shared" si="356"/>
        <v>1</v>
      </c>
      <c r="AO493" s="66">
        <f t="shared" si="357"/>
        <v>26</v>
      </c>
      <c r="AP493" s="66" t="str">
        <f t="shared" si="358"/>
        <v>O</v>
      </c>
      <c r="AQ493" s="66" t="str">
        <f t="shared" si="359"/>
        <v>X</v>
      </c>
      <c r="AR493" s="66" t="str">
        <f t="shared" si="360"/>
        <v>X</v>
      </c>
      <c r="AS493" s="66" t="str">
        <f t="shared" si="361"/>
        <v>X</v>
      </c>
      <c r="AT493" s="66" t="str">
        <f t="shared" si="362"/>
        <v>X</v>
      </c>
      <c r="AU493" s="66" t="str">
        <f t="shared" si="363"/>
        <v>X</v>
      </c>
      <c r="AV493" s="66" t="str">
        <f t="shared" si="364"/>
        <v>X</v>
      </c>
      <c r="AW493" s="66" t="str">
        <f t="shared" si="365"/>
        <v>X</v>
      </c>
      <c r="AX493" s="66" t="str">
        <f t="shared" si="366"/>
        <v>X</v>
      </c>
      <c r="AY493" s="66" t="str">
        <f t="shared" si="367"/>
        <v>X</v>
      </c>
      <c r="AZ493" s="66" t="str">
        <f t="shared" si="368"/>
        <v>X</v>
      </c>
      <c r="BA493" s="66" t="str">
        <f t="shared" si="369"/>
        <v>X</v>
      </c>
      <c r="BB493" s="66">
        <f t="shared" si="370"/>
        <v>1</v>
      </c>
      <c r="BC493" s="127" t="str">
        <f t="shared" si="341"/>
        <v>1G</v>
      </c>
      <c r="BD493" s="127" t="str">
        <f t="shared" si="342"/>
        <v>1G</v>
      </c>
      <c r="BE493" s="127" t="str">
        <f t="shared" si="343"/>
        <v>1G</v>
      </c>
      <c r="BF493" s="127" t="str">
        <f t="shared" si="344"/>
        <v>1G</v>
      </c>
      <c r="BG493" s="127" t="str">
        <f t="shared" si="345"/>
        <v>2G</v>
      </c>
      <c r="BH493" s="127" t="str">
        <f t="shared" si="346"/>
        <v>2G</v>
      </c>
      <c r="BI493" s="127">
        <f t="shared" si="371"/>
        <v>4</v>
      </c>
      <c r="BJ493" s="127">
        <f t="shared" si="372"/>
        <v>2</v>
      </c>
      <c r="BK493" s="127">
        <f t="shared" si="373"/>
        <v>0</v>
      </c>
      <c r="BL493" s="127" t="str">
        <f t="shared" si="374"/>
        <v>420</v>
      </c>
      <c r="BS493"/>
      <c r="CL493" s="28">
        <v>203</v>
      </c>
      <c r="CM493" s="28">
        <v>200</v>
      </c>
      <c r="CO493"/>
    </row>
    <row r="494" spans="2:93" ht="16.5" hidden="1">
      <c r="B494" s="17">
        <v>490</v>
      </c>
      <c r="C494" s="363" t="s">
        <v>664</v>
      </c>
      <c r="N494" s="167">
        <v>2</v>
      </c>
      <c r="O494" s="167">
        <v>7</v>
      </c>
      <c r="P494" s="167">
        <v>26</v>
      </c>
      <c r="Q494" s="167">
        <v>29</v>
      </c>
      <c r="R494" s="167">
        <v>40</v>
      </c>
      <c r="S494" s="167">
        <v>43</v>
      </c>
      <c r="T494" s="167">
        <v>42</v>
      </c>
      <c r="U494" s="28">
        <f t="shared" si="375"/>
        <v>189</v>
      </c>
      <c r="W494" s="27" t="str">
        <f t="shared" si="332"/>
        <v>짝수</v>
      </c>
      <c r="X494" s="27" t="str">
        <f t="shared" si="333"/>
        <v>홀수</v>
      </c>
      <c r="Y494" s="27" t="str">
        <f t="shared" si="334"/>
        <v>짝수</v>
      </c>
      <c r="Z494" s="27" t="str">
        <f t="shared" si="335"/>
        <v>홀수</v>
      </c>
      <c r="AA494" s="28" t="str">
        <f t="shared" si="336"/>
        <v>짝수</v>
      </c>
      <c r="AB494" s="28" t="str">
        <f t="shared" si="337"/>
        <v>홀수</v>
      </c>
      <c r="AC494" s="27" t="str">
        <f t="shared" si="338"/>
        <v>3 : 3</v>
      </c>
      <c r="AD494" s="32">
        <f t="shared" si="339"/>
        <v>3</v>
      </c>
      <c r="AE494" s="32">
        <f t="shared" si="340"/>
        <v>3</v>
      </c>
      <c r="AF494" s="66" t="str">
        <f t="shared" si="348"/>
        <v>저수</v>
      </c>
      <c r="AG494" s="66" t="str">
        <f t="shared" si="349"/>
        <v>저수</v>
      </c>
      <c r="AH494" s="66" t="str">
        <f t="shared" si="350"/>
        <v>고수</v>
      </c>
      <c r="AI494" s="66" t="str">
        <f t="shared" si="351"/>
        <v>고수</v>
      </c>
      <c r="AJ494" s="66" t="str">
        <f t="shared" si="352"/>
        <v>고수</v>
      </c>
      <c r="AK494" s="66" t="str">
        <f t="shared" si="353"/>
        <v>고수</v>
      </c>
      <c r="AL494" s="66" t="str">
        <f t="shared" si="354"/>
        <v>2 : 4</v>
      </c>
      <c r="AM494" s="27">
        <f t="shared" si="355"/>
        <v>2</v>
      </c>
      <c r="AN494" s="27">
        <f t="shared" si="356"/>
        <v>4</v>
      </c>
      <c r="AO494" s="27">
        <f t="shared" si="357"/>
        <v>27</v>
      </c>
      <c r="AP494" s="66" t="str">
        <f t="shared" si="358"/>
        <v>O</v>
      </c>
      <c r="AQ494" s="66" t="str">
        <f t="shared" si="359"/>
        <v>O</v>
      </c>
      <c r="AR494" s="66" t="str">
        <f t="shared" si="360"/>
        <v>X</v>
      </c>
      <c r="AS494" s="66" t="str">
        <f t="shared" si="361"/>
        <v>X</v>
      </c>
      <c r="AT494" s="66" t="str">
        <f t="shared" si="362"/>
        <v>X</v>
      </c>
      <c r="AU494" s="66" t="str">
        <f t="shared" si="363"/>
        <v>X</v>
      </c>
      <c r="AV494" s="66" t="str">
        <f t="shared" si="364"/>
        <v>X</v>
      </c>
      <c r="AW494" s="66" t="str">
        <f t="shared" si="365"/>
        <v>X</v>
      </c>
      <c r="AX494" s="66" t="str">
        <f t="shared" si="366"/>
        <v>X</v>
      </c>
      <c r="AY494" s="66" t="str">
        <f t="shared" si="367"/>
        <v>O</v>
      </c>
      <c r="AZ494" s="66" t="str">
        <f t="shared" si="368"/>
        <v>X</v>
      </c>
      <c r="BA494" s="27" t="str">
        <f t="shared" si="369"/>
        <v>O</v>
      </c>
      <c r="BB494" s="27">
        <f t="shared" si="370"/>
        <v>4</v>
      </c>
      <c r="BC494" s="127" t="str">
        <f t="shared" si="341"/>
        <v>1G</v>
      </c>
      <c r="BD494" s="127" t="str">
        <f t="shared" si="342"/>
        <v>1G</v>
      </c>
      <c r="BE494" s="127" t="str">
        <f t="shared" si="343"/>
        <v>2G</v>
      </c>
      <c r="BF494" s="127" t="str">
        <f t="shared" si="344"/>
        <v>2G</v>
      </c>
      <c r="BG494" s="127" t="str">
        <f t="shared" si="345"/>
        <v>3G</v>
      </c>
      <c r="BH494" s="127" t="str">
        <f t="shared" si="346"/>
        <v>3G</v>
      </c>
      <c r="BI494" s="127">
        <f t="shared" si="371"/>
        <v>2</v>
      </c>
      <c r="BJ494" s="127">
        <f t="shared" si="372"/>
        <v>2</v>
      </c>
      <c r="BK494" s="127">
        <f t="shared" si="373"/>
        <v>2</v>
      </c>
      <c r="BL494" s="127" t="str">
        <f t="shared" si="374"/>
        <v>222</v>
      </c>
      <c r="BS494"/>
      <c r="CL494" s="28">
        <v>208</v>
      </c>
      <c r="CM494" s="28">
        <v>200</v>
      </c>
      <c r="CO494"/>
    </row>
    <row r="495" spans="2:93" ht="16.5" hidden="1">
      <c r="B495" s="17">
        <v>491</v>
      </c>
      <c r="C495" s="363" t="s">
        <v>672</v>
      </c>
      <c r="N495" s="167">
        <v>8</v>
      </c>
      <c r="O495" s="167">
        <v>17</v>
      </c>
      <c r="P495" s="167">
        <v>35</v>
      </c>
      <c r="Q495" s="167">
        <v>36</v>
      </c>
      <c r="R495" s="167">
        <v>39</v>
      </c>
      <c r="S495" s="167">
        <v>42</v>
      </c>
      <c r="T495" s="167">
        <v>4</v>
      </c>
      <c r="U495" s="28">
        <f t="shared" si="375"/>
        <v>181</v>
      </c>
      <c r="W495" s="27" t="str">
        <f t="shared" si="332"/>
        <v>짝수</v>
      </c>
      <c r="X495" s="27" t="str">
        <f t="shared" si="333"/>
        <v>홀수</v>
      </c>
      <c r="Y495" s="27" t="str">
        <f t="shared" si="334"/>
        <v>홀수</v>
      </c>
      <c r="Z495" s="27" t="str">
        <f t="shared" si="335"/>
        <v>짝수</v>
      </c>
      <c r="AA495" s="28" t="str">
        <f t="shared" si="336"/>
        <v>홀수</v>
      </c>
      <c r="AB495" s="28" t="str">
        <f t="shared" si="337"/>
        <v>짝수</v>
      </c>
      <c r="AC495" s="27" t="str">
        <f t="shared" si="338"/>
        <v>3 : 3</v>
      </c>
      <c r="AD495" s="32">
        <f t="shared" si="339"/>
        <v>3</v>
      </c>
      <c r="AE495" s="32">
        <f t="shared" si="340"/>
        <v>3</v>
      </c>
      <c r="AF495" s="66" t="str">
        <f t="shared" si="348"/>
        <v>저수</v>
      </c>
      <c r="AG495" s="66" t="str">
        <f t="shared" si="349"/>
        <v>저수</v>
      </c>
      <c r="AH495" s="66" t="str">
        <f t="shared" si="350"/>
        <v>고수</v>
      </c>
      <c r="AI495" s="66" t="str">
        <f t="shared" si="351"/>
        <v>고수</v>
      </c>
      <c r="AJ495" s="66" t="str">
        <f t="shared" si="352"/>
        <v>고수</v>
      </c>
      <c r="AK495" s="66" t="str">
        <f t="shared" si="353"/>
        <v>고수</v>
      </c>
      <c r="AL495" s="66" t="str">
        <f t="shared" si="354"/>
        <v>2 : 4</v>
      </c>
      <c r="AM495" s="27">
        <f t="shared" si="355"/>
        <v>2</v>
      </c>
      <c r="AN495" s="27">
        <f t="shared" si="356"/>
        <v>4</v>
      </c>
      <c r="AO495" s="27">
        <f t="shared" si="357"/>
        <v>37</v>
      </c>
      <c r="AP495" s="66" t="str">
        <f t="shared" si="358"/>
        <v>X</v>
      </c>
      <c r="AQ495" s="66" t="str">
        <f t="shared" si="359"/>
        <v>O</v>
      </c>
      <c r="AR495" s="66" t="str">
        <f t="shared" si="360"/>
        <v>X</v>
      </c>
      <c r="AS495" s="66" t="str">
        <f t="shared" si="361"/>
        <v>X</v>
      </c>
      <c r="AT495" s="66" t="str">
        <f t="shared" si="362"/>
        <v>X</v>
      </c>
      <c r="AU495" s="66" t="str">
        <f t="shared" si="363"/>
        <v>X</v>
      </c>
      <c r="AV495" s="66" t="str">
        <f t="shared" si="364"/>
        <v>X</v>
      </c>
      <c r="AW495" s="66" t="str">
        <f t="shared" si="365"/>
        <v>X</v>
      </c>
      <c r="AX495" s="66" t="str">
        <f t="shared" si="366"/>
        <v>X</v>
      </c>
      <c r="AY495" s="66" t="str">
        <f t="shared" si="367"/>
        <v>X</v>
      </c>
      <c r="AZ495" s="66" t="str">
        <f t="shared" si="368"/>
        <v>X</v>
      </c>
      <c r="BA495" s="27" t="str">
        <f t="shared" si="369"/>
        <v>X</v>
      </c>
      <c r="BB495" s="27">
        <f t="shared" si="370"/>
        <v>1</v>
      </c>
      <c r="BC495" s="127" t="str">
        <f t="shared" si="341"/>
        <v>1G</v>
      </c>
      <c r="BD495" s="127" t="str">
        <f t="shared" si="342"/>
        <v>2G</v>
      </c>
      <c r="BE495" s="127" t="str">
        <f t="shared" si="343"/>
        <v>3G</v>
      </c>
      <c r="BF495" s="127" t="str">
        <f t="shared" si="344"/>
        <v>3G</v>
      </c>
      <c r="BG495" s="127" t="str">
        <f t="shared" si="345"/>
        <v>3G</v>
      </c>
      <c r="BH495" s="127" t="str">
        <f t="shared" si="346"/>
        <v>3G</v>
      </c>
      <c r="BI495" s="127">
        <f t="shared" si="371"/>
        <v>1</v>
      </c>
      <c r="BJ495" s="127">
        <f t="shared" si="372"/>
        <v>1</v>
      </c>
      <c r="BK495" s="127">
        <f t="shared" si="373"/>
        <v>4</v>
      </c>
      <c r="BL495" s="127" t="str">
        <f t="shared" si="374"/>
        <v>114</v>
      </c>
      <c r="BS495"/>
      <c r="CL495" s="28">
        <v>209</v>
      </c>
      <c r="CM495" s="28">
        <v>200</v>
      </c>
      <c r="CO495"/>
    </row>
    <row r="496" spans="2:93" ht="16.5" hidden="1">
      <c r="B496" s="17">
        <v>492</v>
      </c>
      <c r="C496" s="363" t="s">
        <v>676</v>
      </c>
      <c r="N496" s="167">
        <v>22</v>
      </c>
      <c r="O496" s="167">
        <v>27</v>
      </c>
      <c r="P496" s="167">
        <v>31</v>
      </c>
      <c r="Q496" s="167">
        <v>35</v>
      </c>
      <c r="R496" s="167">
        <v>37</v>
      </c>
      <c r="S496" s="167">
        <v>40</v>
      </c>
      <c r="T496" s="167">
        <v>42</v>
      </c>
      <c r="U496" s="28">
        <f t="shared" si="375"/>
        <v>234</v>
      </c>
      <c r="W496" s="27" t="str">
        <f t="shared" si="332"/>
        <v>짝수</v>
      </c>
      <c r="X496" s="27" t="str">
        <f t="shared" si="333"/>
        <v>홀수</v>
      </c>
      <c r="Y496" s="27" t="str">
        <f t="shared" si="334"/>
        <v>홀수</v>
      </c>
      <c r="Z496" s="27" t="str">
        <f t="shared" si="335"/>
        <v>홀수</v>
      </c>
      <c r="AA496" s="28" t="str">
        <f t="shared" si="336"/>
        <v>홀수</v>
      </c>
      <c r="AB496" s="28" t="str">
        <f t="shared" si="337"/>
        <v>짝수</v>
      </c>
      <c r="AC496" s="27" t="str">
        <f t="shared" si="338"/>
        <v>4 : 2</v>
      </c>
      <c r="AD496" s="32">
        <f t="shared" si="339"/>
        <v>4</v>
      </c>
      <c r="AE496" s="32">
        <f t="shared" si="340"/>
        <v>2</v>
      </c>
      <c r="AF496" s="66" t="str">
        <f t="shared" si="348"/>
        <v>저수</v>
      </c>
      <c r="AG496" s="66" t="str">
        <f t="shared" si="349"/>
        <v>고수</v>
      </c>
      <c r="AH496" s="66" t="str">
        <f t="shared" si="350"/>
        <v>고수</v>
      </c>
      <c r="AI496" s="66" t="str">
        <f t="shared" si="351"/>
        <v>고수</v>
      </c>
      <c r="AJ496" s="66" t="str">
        <f t="shared" si="352"/>
        <v>고수</v>
      </c>
      <c r="AK496" s="66" t="str">
        <f t="shared" si="353"/>
        <v>고수</v>
      </c>
      <c r="AL496" s="66" t="str">
        <f t="shared" si="354"/>
        <v>1 : 5</v>
      </c>
      <c r="AM496" s="27">
        <f t="shared" si="355"/>
        <v>1</v>
      </c>
      <c r="AN496" s="27">
        <f t="shared" si="356"/>
        <v>5</v>
      </c>
      <c r="AO496" s="27">
        <f t="shared" si="357"/>
        <v>22</v>
      </c>
      <c r="AP496" s="66" t="str">
        <f t="shared" si="358"/>
        <v>X</v>
      </c>
      <c r="AQ496" s="66" t="str">
        <f t="shared" si="359"/>
        <v>X</v>
      </c>
      <c r="AR496" s="66" t="str">
        <f t="shared" si="360"/>
        <v>X</v>
      </c>
      <c r="AS496" s="66" t="str">
        <f t="shared" si="361"/>
        <v>X</v>
      </c>
      <c r="AT496" s="66" t="str">
        <f t="shared" si="362"/>
        <v>X</v>
      </c>
      <c r="AU496" s="66" t="str">
        <f t="shared" si="363"/>
        <v>X</v>
      </c>
      <c r="AV496" s="66" t="str">
        <f t="shared" si="364"/>
        <v>X</v>
      </c>
      <c r="AW496" s="66" t="str">
        <f t="shared" si="365"/>
        <v>X</v>
      </c>
      <c r="AX496" s="66" t="str">
        <f t="shared" si="366"/>
        <v>O</v>
      </c>
      <c r="AY496" s="66" t="str">
        <f t="shared" si="367"/>
        <v>X</v>
      </c>
      <c r="AZ496" s="66" t="str">
        <f t="shared" si="368"/>
        <v>O</v>
      </c>
      <c r="BA496" s="27" t="str">
        <f t="shared" si="369"/>
        <v>X</v>
      </c>
      <c r="BB496" s="27">
        <f t="shared" si="370"/>
        <v>2</v>
      </c>
      <c r="BC496" s="127" t="str">
        <f t="shared" si="341"/>
        <v>2G</v>
      </c>
      <c r="BD496" s="127" t="str">
        <f t="shared" si="342"/>
        <v>2G</v>
      </c>
      <c r="BE496" s="127" t="str">
        <f t="shared" si="343"/>
        <v>3G</v>
      </c>
      <c r="BF496" s="127" t="str">
        <f t="shared" si="344"/>
        <v>3G</v>
      </c>
      <c r="BG496" s="127" t="str">
        <f t="shared" si="345"/>
        <v>3G</v>
      </c>
      <c r="BH496" s="127" t="str">
        <f t="shared" si="346"/>
        <v>3G</v>
      </c>
      <c r="BI496" s="127">
        <f t="shared" si="371"/>
        <v>0</v>
      </c>
      <c r="BJ496" s="127">
        <f t="shared" si="372"/>
        <v>2</v>
      </c>
      <c r="BK496" s="127">
        <f t="shared" si="373"/>
        <v>4</v>
      </c>
      <c r="BL496" s="127" t="str">
        <f t="shared" si="374"/>
        <v>024</v>
      </c>
      <c r="BS496"/>
      <c r="CL496" s="28">
        <v>211</v>
      </c>
      <c r="CM496" s="28">
        <v>210</v>
      </c>
      <c r="CO496"/>
    </row>
    <row r="497" spans="1:93" ht="16.5" hidden="1">
      <c r="B497" s="17">
        <v>493</v>
      </c>
      <c r="C497" s="363" t="s">
        <v>702</v>
      </c>
      <c r="N497" s="167">
        <v>20</v>
      </c>
      <c r="O497" s="167">
        <v>22</v>
      </c>
      <c r="P497" s="167">
        <v>26</v>
      </c>
      <c r="Q497" s="167">
        <v>33</v>
      </c>
      <c r="R497" s="167">
        <v>36</v>
      </c>
      <c r="S497" s="167">
        <v>37</v>
      </c>
      <c r="T497" s="167">
        <v>25</v>
      </c>
      <c r="U497" s="28">
        <f t="shared" si="375"/>
        <v>199</v>
      </c>
      <c r="W497" s="27" t="str">
        <f t="shared" si="332"/>
        <v>짝수</v>
      </c>
      <c r="X497" s="27" t="str">
        <f t="shared" si="333"/>
        <v>짝수</v>
      </c>
      <c r="Y497" s="27" t="str">
        <f t="shared" si="334"/>
        <v>짝수</v>
      </c>
      <c r="Z497" s="27" t="str">
        <f t="shared" si="335"/>
        <v>홀수</v>
      </c>
      <c r="AA497" s="28" t="str">
        <f t="shared" si="336"/>
        <v>짝수</v>
      </c>
      <c r="AB497" s="28" t="str">
        <f t="shared" si="337"/>
        <v>홀수</v>
      </c>
      <c r="AC497" s="27" t="str">
        <f t="shared" si="338"/>
        <v>2 : 4</v>
      </c>
      <c r="AD497" s="32">
        <f t="shared" si="339"/>
        <v>2</v>
      </c>
      <c r="AE497" s="32">
        <f t="shared" si="340"/>
        <v>4</v>
      </c>
      <c r="AF497" s="66" t="str">
        <f t="shared" si="348"/>
        <v>저수</v>
      </c>
      <c r="AG497" s="66" t="str">
        <f t="shared" si="349"/>
        <v>저수</v>
      </c>
      <c r="AH497" s="66" t="str">
        <f t="shared" si="350"/>
        <v>고수</v>
      </c>
      <c r="AI497" s="66" t="str">
        <f t="shared" si="351"/>
        <v>고수</v>
      </c>
      <c r="AJ497" s="66" t="str">
        <f t="shared" si="352"/>
        <v>고수</v>
      </c>
      <c r="AK497" s="66" t="str">
        <f t="shared" si="353"/>
        <v>고수</v>
      </c>
      <c r="AL497" s="66" t="str">
        <f t="shared" si="354"/>
        <v>2 : 4</v>
      </c>
      <c r="AM497" s="27">
        <f t="shared" si="355"/>
        <v>2</v>
      </c>
      <c r="AN497" s="27">
        <f t="shared" si="356"/>
        <v>4</v>
      </c>
      <c r="AO497" s="27">
        <f t="shared" si="357"/>
        <v>24</v>
      </c>
      <c r="AP497" s="66" t="str">
        <f t="shared" si="358"/>
        <v>X</v>
      </c>
      <c r="AQ497" s="66" t="str">
        <f t="shared" si="359"/>
        <v>X</v>
      </c>
      <c r="AR497" s="66" t="str">
        <f t="shared" si="360"/>
        <v>X</v>
      </c>
      <c r="AS497" s="66" t="str">
        <f t="shared" si="361"/>
        <v>X</v>
      </c>
      <c r="AT497" s="66" t="str">
        <f t="shared" si="362"/>
        <v>X</v>
      </c>
      <c r="AU497" s="66" t="str">
        <f t="shared" si="363"/>
        <v>X</v>
      </c>
      <c r="AV497" s="66" t="str">
        <f t="shared" si="364"/>
        <v>X</v>
      </c>
      <c r="AW497" s="66" t="str">
        <f t="shared" si="365"/>
        <v>X</v>
      </c>
      <c r="AX497" s="66" t="str">
        <f t="shared" si="366"/>
        <v>X</v>
      </c>
      <c r="AY497" s="66" t="str">
        <f t="shared" si="367"/>
        <v>X</v>
      </c>
      <c r="AZ497" s="66" t="str">
        <f t="shared" si="368"/>
        <v>X</v>
      </c>
      <c r="BA497" s="27" t="str">
        <f t="shared" si="369"/>
        <v>O</v>
      </c>
      <c r="BB497" s="27">
        <f t="shared" si="370"/>
        <v>1</v>
      </c>
      <c r="BC497" s="127" t="str">
        <f t="shared" si="341"/>
        <v>2G</v>
      </c>
      <c r="BD497" s="127" t="str">
        <f t="shared" si="342"/>
        <v>2G</v>
      </c>
      <c r="BE497" s="127" t="str">
        <f t="shared" si="343"/>
        <v>2G</v>
      </c>
      <c r="BF497" s="127" t="str">
        <f t="shared" si="344"/>
        <v>3G</v>
      </c>
      <c r="BG497" s="127" t="str">
        <f t="shared" si="345"/>
        <v>3G</v>
      </c>
      <c r="BH497" s="127" t="str">
        <f t="shared" si="346"/>
        <v>3G</v>
      </c>
      <c r="BI497" s="127">
        <f t="shared" si="371"/>
        <v>0</v>
      </c>
      <c r="BJ497" s="127">
        <f t="shared" si="372"/>
        <v>3</v>
      </c>
      <c r="BK497" s="127">
        <f t="shared" si="373"/>
        <v>3</v>
      </c>
      <c r="BL497" s="127" t="str">
        <f t="shared" si="374"/>
        <v>033</v>
      </c>
      <c r="BS497"/>
      <c r="CL497" s="28">
        <v>219</v>
      </c>
      <c r="CM497" s="28">
        <v>210</v>
      </c>
      <c r="CO497"/>
    </row>
    <row r="498" spans="1:93" ht="16.5" hidden="1">
      <c r="B498" s="17">
        <v>494</v>
      </c>
      <c r="C498" s="363" t="s">
        <v>703</v>
      </c>
      <c r="N498" s="167">
        <v>5</v>
      </c>
      <c r="O498" s="167">
        <v>7</v>
      </c>
      <c r="P498" s="167">
        <v>8</v>
      </c>
      <c r="Q498" s="167">
        <v>15</v>
      </c>
      <c r="R498" s="167">
        <v>30</v>
      </c>
      <c r="S498" s="167">
        <v>43</v>
      </c>
      <c r="T498" s="167">
        <v>22</v>
      </c>
      <c r="U498" s="28">
        <f t="shared" si="375"/>
        <v>130</v>
      </c>
      <c r="W498" s="27" t="str">
        <f t="shared" si="332"/>
        <v>홀수</v>
      </c>
      <c r="X498" s="27" t="str">
        <f t="shared" si="333"/>
        <v>홀수</v>
      </c>
      <c r="Y498" s="27" t="str">
        <f t="shared" si="334"/>
        <v>짝수</v>
      </c>
      <c r="Z498" s="27" t="str">
        <f t="shared" si="335"/>
        <v>홀수</v>
      </c>
      <c r="AA498" s="28" t="str">
        <f t="shared" si="336"/>
        <v>짝수</v>
      </c>
      <c r="AB498" s="28" t="str">
        <f t="shared" si="337"/>
        <v>홀수</v>
      </c>
      <c r="AC498" s="27" t="str">
        <f t="shared" si="338"/>
        <v>4 : 2</v>
      </c>
      <c r="AD498" s="32">
        <f t="shared" si="339"/>
        <v>4</v>
      </c>
      <c r="AE498" s="32">
        <f t="shared" si="340"/>
        <v>2</v>
      </c>
      <c r="AF498" s="66" t="str">
        <f t="shared" si="348"/>
        <v>저수</v>
      </c>
      <c r="AG498" s="66" t="str">
        <f t="shared" si="349"/>
        <v>저수</v>
      </c>
      <c r="AH498" s="66" t="str">
        <f t="shared" si="350"/>
        <v>저수</v>
      </c>
      <c r="AI498" s="66" t="str">
        <f t="shared" si="351"/>
        <v>저수</v>
      </c>
      <c r="AJ498" s="66" t="str">
        <f t="shared" si="352"/>
        <v>고수</v>
      </c>
      <c r="AK498" s="66" t="str">
        <f t="shared" si="353"/>
        <v>고수</v>
      </c>
      <c r="AL498" s="66" t="str">
        <f t="shared" si="354"/>
        <v>4 : 2</v>
      </c>
      <c r="AM498" s="27">
        <f t="shared" si="355"/>
        <v>4</v>
      </c>
      <c r="AN498" s="27">
        <f t="shared" si="356"/>
        <v>2</v>
      </c>
      <c r="AO498" s="27">
        <f t="shared" si="357"/>
        <v>28</v>
      </c>
      <c r="AP498" s="66" t="str">
        <f t="shared" si="358"/>
        <v>O</v>
      </c>
      <c r="AQ498" s="66" t="str">
        <f t="shared" si="359"/>
        <v>O</v>
      </c>
      <c r="AR498" s="66" t="str">
        <f t="shared" si="360"/>
        <v>X</v>
      </c>
      <c r="AS498" s="66" t="str">
        <f t="shared" si="361"/>
        <v>X</v>
      </c>
      <c r="AT498" s="66" t="str">
        <f t="shared" si="362"/>
        <v>X</v>
      </c>
      <c r="AU498" s="66" t="str">
        <f t="shared" si="363"/>
        <v>X</v>
      </c>
      <c r="AV498" s="66" t="str">
        <f t="shared" si="364"/>
        <v>X</v>
      </c>
      <c r="AW498" s="66" t="str">
        <f t="shared" si="365"/>
        <v>X</v>
      </c>
      <c r="AX498" s="66" t="str">
        <f t="shared" si="366"/>
        <v>X</v>
      </c>
      <c r="AY498" s="66" t="str">
        <f t="shared" si="367"/>
        <v>X</v>
      </c>
      <c r="AZ498" s="66" t="str">
        <f t="shared" si="368"/>
        <v>X</v>
      </c>
      <c r="BA498" s="27" t="str">
        <f t="shared" si="369"/>
        <v>O</v>
      </c>
      <c r="BB498" s="27">
        <f t="shared" si="370"/>
        <v>3</v>
      </c>
      <c r="BC498" s="127" t="str">
        <f t="shared" si="341"/>
        <v>1G</v>
      </c>
      <c r="BD498" s="127" t="str">
        <f t="shared" si="342"/>
        <v>1G</v>
      </c>
      <c r="BE498" s="127" t="str">
        <f t="shared" si="343"/>
        <v>1G</v>
      </c>
      <c r="BF498" s="127" t="str">
        <f t="shared" si="344"/>
        <v>1G</v>
      </c>
      <c r="BG498" s="127" t="str">
        <f t="shared" si="345"/>
        <v>2G</v>
      </c>
      <c r="BH498" s="127" t="str">
        <f t="shared" si="346"/>
        <v>3G</v>
      </c>
      <c r="BI498" s="127">
        <f t="shared" si="371"/>
        <v>4</v>
      </c>
      <c r="BJ498" s="127">
        <f t="shared" si="372"/>
        <v>1</v>
      </c>
      <c r="BK498" s="127">
        <f t="shared" si="373"/>
        <v>1</v>
      </c>
      <c r="BL498" s="127" t="str">
        <f t="shared" si="374"/>
        <v>411</v>
      </c>
      <c r="BS498"/>
      <c r="CL498" s="28">
        <v>234</v>
      </c>
      <c r="CM498" s="28">
        <v>230</v>
      </c>
      <c r="CO498"/>
    </row>
    <row r="499" spans="1:93" ht="16.5" hidden="1">
      <c r="B499" s="17">
        <v>495</v>
      </c>
      <c r="C499" s="363" t="s">
        <v>705</v>
      </c>
      <c r="N499" s="167">
        <v>4</v>
      </c>
      <c r="O499" s="167">
        <v>13</v>
      </c>
      <c r="P499" s="167">
        <v>22</v>
      </c>
      <c r="Q499" s="167">
        <v>27</v>
      </c>
      <c r="R499" s="167">
        <v>34</v>
      </c>
      <c r="S499" s="167">
        <v>44</v>
      </c>
      <c r="T499" s="167">
        <v>6</v>
      </c>
      <c r="U499" s="28">
        <f t="shared" si="375"/>
        <v>150</v>
      </c>
      <c r="W499" s="27" t="str">
        <f t="shared" si="332"/>
        <v>짝수</v>
      </c>
      <c r="X499" s="27" t="str">
        <f t="shared" si="333"/>
        <v>홀수</v>
      </c>
      <c r="Y499" s="27" t="str">
        <f t="shared" si="334"/>
        <v>짝수</v>
      </c>
      <c r="Z499" s="27" t="str">
        <f t="shared" si="335"/>
        <v>홀수</v>
      </c>
      <c r="AA499" s="28" t="str">
        <f t="shared" si="336"/>
        <v>짝수</v>
      </c>
      <c r="AB499" s="28" t="str">
        <f t="shared" si="337"/>
        <v>짝수</v>
      </c>
      <c r="AC499" s="27" t="str">
        <f t="shared" si="338"/>
        <v>2 : 4</v>
      </c>
      <c r="AD499" s="32">
        <f t="shared" si="339"/>
        <v>2</v>
      </c>
      <c r="AE499" s="32">
        <f t="shared" si="340"/>
        <v>4</v>
      </c>
      <c r="AF499" s="66" t="str">
        <f t="shared" si="348"/>
        <v>저수</v>
      </c>
      <c r="AG499" s="66" t="str">
        <f t="shared" si="349"/>
        <v>저수</v>
      </c>
      <c r="AH499" s="66" t="str">
        <f t="shared" si="350"/>
        <v>저수</v>
      </c>
      <c r="AI499" s="66" t="str">
        <f t="shared" si="351"/>
        <v>고수</v>
      </c>
      <c r="AJ499" s="66" t="str">
        <f t="shared" si="352"/>
        <v>고수</v>
      </c>
      <c r="AK499" s="66" t="str">
        <f t="shared" si="353"/>
        <v>고수</v>
      </c>
      <c r="AL499" s="66" t="str">
        <f t="shared" si="354"/>
        <v>3 : 3</v>
      </c>
      <c r="AM499" s="27">
        <f t="shared" si="355"/>
        <v>3</v>
      </c>
      <c r="AN499" s="27">
        <f t="shared" si="356"/>
        <v>3</v>
      </c>
      <c r="AO499" s="66">
        <f t="shared" si="357"/>
        <v>24</v>
      </c>
      <c r="AP499" s="66" t="str">
        <f t="shared" si="358"/>
        <v>X</v>
      </c>
      <c r="AQ499" s="66" t="str">
        <f t="shared" si="359"/>
        <v>O</v>
      </c>
      <c r="AR499" s="66" t="str">
        <f t="shared" si="360"/>
        <v>X</v>
      </c>
      <c r="AS499" s="66" t="str">
        <f t="shared" si="361"/>
        <v>X</v>
      </c>
      <c r="AT499" s="66" t="str">
        <f t="shared" si="362"/>
        <v>X</v>
      </c>
      <c r="AU499" s="66" t="str">
        <f t="shared" si="363"/>
        <v>X</v>
      </c>
      <c r="AV499" s="66" t="str">
        <f t="shared" si="364"/>
        <v>X</v>
      </c>
      <c r="AW499" s="66" t="str">
        <f t="shared" si="365"/>
        <v>X</v>
      </c>
      <c r="AX499" s="66" t="str">
        <f t="shared" si="366"/>
        <v>X</v>
      </c>
      <c r="AY499" s="66" t="str">
        <f t="shared" si="367"/>
        <v>X</v>
      </c>
      <c r="AZ499" s="66" t="str">
        <f t="shared" si="368"/>
        <v>X</v>
      </c>
      <c r="BA499" s="27" t="str">
        <f t="shared" si="369"/>
        <v>X</v>
      </c>
      <c r="BB499" s="27">
        <f t="shared" si="370"/>
        <v>1</v>
      </c>
      <c r="BC499" s="127" t="str">
        <f t="shared" si="341"/>
        <v>1G</v>
      </c>
      <c r="BD499" s="127" t="str">
        <f t="shared" si="342"/>
        <v>1G</v>
      </c>
      <c r="BE499" s="127" t="str">
        <f t="shared" si="343"/>
        <v>2G</v>
      </c>
      <c r="BF499" s="127" t="str">
        <f t="shared" si="344"/>
        <v>2G</v>
      </c>
      <c r="BG499" s="127" t="str">
        <f t="shared" si="345"/>
        <v>3G</v>
      </c>
      <c r="BH499" s="127" t="str">
        <f t="shared" si="346"/>
        <v>3G</v>
      </c>
      <c r="BI499" s="127">
        <f t="shared" si="371"/>
        <v>2</v>
      </c>
      <c r="BJ499" s="127">
        <f t="shared" si="372"/>
        <v>2</v>
      </c>
      <c r="BK499" s="127">
        <f t="shared" si="373"/>
        <v>2</v>
      </c>
      <c r="BL499" s="127" t="str">
        <f t="shared" si="374"/>
        <v>222</v>
      </c>
      <c r="BS499"/>
      <c r="CL499" s="28">
        <v>238</v>
      </c>
      <c r="CM499" s="28">
        <v>230</v>
      </c>
      <c r="CO499"/>
    </row>
    <row r="500" spans="1:93" ht="16.5" hidden="1">
      <c r="B500" s="18">
        <v>496</v>
      </c>
      <c r="C500" s="363" t="s">
        <v>772</v>
      </c>
      <c r="N500" s="167">
        <v>4</v>
      </c>
      <c r="O500" s="167">
        <v>13</v>
      </c>
      <c r="P500" s="167">
        <v>20</v>
      </c>
      <c r="Q500" s="167">
        <v>29</v>
      </c>
      <c r="R500" s="167">
        <v>36</v>
      </c>
      <c r="S500" s="167">
        <v>41</v>
      </c>
      <c r="T500" s="167">
        <v>39</v>
      </c>
      <c r="U500" s="28">
        <f t="shared" si="375"/>
        <v>182</v>
      </c>
      <c r="W500" s="27" t="str">
        <f t="shared" si="332"/>
        <v>짝수</v>
      </c>
      <c r="X500" s="27" t="str">
        <f t="shared" si="333"/>
        <v>홀수</v>
      </c>
      <c r="Y500" s="27" t="str">
        <f t="shared" si="334"/>
        <v>짝수</v>
      </c>
      <c r="Z500" s="27" t="str">
        <f t="shared" si="335"/>
        <v>홀수</v>
      </c>
      <c r="AA500" s="28" t="str">
        <f t="shared" si="336"/>
        <v>짝수</v>
      </c>
      <c r="AB500" s="28" t="str">
        <f t="shared" si="337"/>
        <v>홀수</v>
      </c>
      <c r="AC500" s="27" t="str">
        <f t="shared" si="338"/>
        <v>3 : 3</v>
      </c>
      <c r="AD500" s="32">
        <f t="shared" si="339"/>
        <v>3</v>
      </c>
      <c r="AE500" s="32">
        <f t="shared" si="340"/>
        <v>3</v>
      </c>
      <c r="AF500" s="66" t="str">
        <f t="shared" si="348"/>
        <v>저수</v>
      </c>
      <c r="AG500" s="66" t="str">
        <f t="shared" si="349"/>
        <v>저수</v>
      </c>
      <c r="AH500" s="66" t="str">
        <f t="shared" si="350"/>
        <v>저수</v>
      </c>
      <c r="AI500" s="66" t="str">
        <f t="shared" si="351"/>
        <v>고수</v>
      </c>
      <c r="AJ500" s="66" t="str">
        <f t="shared" si="352"/>
        <v>고수</v>
      </c>
      <c r="AK500" s="66" t="str">
        <f t="shared" si="353"/>
        <v>고수</v>
      </c>
      <c r="AL500" s="66" t="str">
        <f t="shared" si="354"/>
        <v>3 : 3</v>
      </c>
      <c r="AM500" s="27">
        <f t="shared" si="355"/>
        <v>3</v>
      </c>
      <c r="AN500" s="27">
        <f t="shared" si="356"/>
        <v>3</v>
      </c>
      <c r="AO500" s="66">
        <f t="shared" si="357"/>
        <v>23</v>
      </c>
      <c r="AP500" s="66" t="str">
        <f t="shared" si="358"/>
        <v>X</v>
      </c>
      <c r="AQ500" s="66" t="str">
        <f t="shared" si="359"/>
        <v>O</v>
      </c>
      <c r="AR500" s="66" t="str">
        <f t="shared" si="360"/>
        <v>X</v>
      </c>
      <c r="AS500" s="66" t="str">
        <f t="shared" si="361"/>
        <v>X</v>
      </c>
      <c r="AT500" s="66" t="str">
        <f t="shared" si="362"/>
        <v>X</v>
      </c>
      <c r="AU500" s="66" t="str">
        <f t="shared" si="363"/>
        <v>X</v>
      </c>
      <c r="AV500" s="66" t="str">
        <f t="shared" si="364"/>
        <v>X</v>
      </c>
      <c r="AW500" s="66" t="str">
        <f t="shared" si="365"/>
        <v>X</v>
      </c>
      <c r="AX500" s="66" t="str">
        <f t="shared" si="366"/>
        <v>X</v>
      </c>
      <c r="AY500" s="66" t="str">
        <f t="shared" si="367"/>
        <v>O</v>
      </c>
      <c r="AZ500" s="66" t="str">
        <f t="shared" si="368"/>
        <v>X</v>
      </c>
      <c r="BA500" s="27" t="str">
        <f t="shared" si="369"/>
        <v>O</v>
      </c>
      <c r="BB500" s="27">
        <f t="shared" si="370"/>
        <v>3</v>
      </c>
      <c r="BC500" s="127" t="str">
        <f t="shared" si="341"/>
        <v>1G</v>
      </c>
      <c r="BD500" s="127" t="str">
        <f t="shared" si="342"/>
        <v>1G</v>
      </c>
      <c r="BE500" s="127" t="str">
        <f t="shared" si="343"/>
        <v>2G</v>
      </c>
      <c r="BF500" s="127" t="str">
        <f t="shared" si="344"/>
        <v>2G</v>
      </c>
      <c r="BG500" s="127" t="str">
        <f t="shared" si="345"/>
        <v>3G</v>
      </c>
      <c r="BH500" s="127" t="str">
        <f t="shared" si="346"/>
        <v>3G</v>
      </c>
      <c r="BI500" s="127">
        <f t="shared" si="371"/>
        <v>2</v>
      </c>
      <c r="BJ500" s="127">
        <f t="shared" si="372"/>
        <v>2</v>
      </c>
      <c r="BK500" s="127">
        <f t="shared" si="373"/>
        <v>2</v>
      </c>
      <c r="BL500" s="127" t="str">
        <f t="shared" si="374"/>
        <v>222</v>
      </c>
      <c r="BS500"/>
    </row>
    <row r="501" spans="1:93" ht="16.5" hidden="1">
      <c r="B501" s="18">
        <v>497</v>
      </c>
      <c r="C501" s="363" t="s">
        <v>773</v>
      </c>
      <c r="N501" s="167">
        <v>19</v>
      </c>
      <c r="O501" s="167">
        <v>20</v>
      </c>
      <c r="P501" s="167">
        <v>23</v>
      </c>
      <c r="Q501" s="167">
        <v>24</v>
      </c>
      <c r="R501" s="167">
        <v>43</v>
      </c>
      <c r="S501" s="167">
        <v>44</v>
      </c>
      <c r="T501" s="167">
        <v>13</v>
      </c>
      <c r="U501" s="28">
        <f t="shared" si="375"/>
        <v>186</v>
      </c>
      <c r="W501" s="27" t="str">
        <f t="shared" si="332"/>
        <v>홀수</v>
      </c>
      <c r="X501" s="27" t="str">
        <f t="shared" si="333"/>
        <v>짝수</v>
      </c>
      <c r="Y501" s="27" t="str">
        <f t="shared" si="334"/>
        <v>홀수</v>
      </c>
      <c r="Z501" s="27" t="str">
        <f t="shared" si="335"/>
        <v>짝수</v>
      </c>
      <c r="AA501" s="28" t="str">
        <f t="shared" si="336"/>
        <v>홀수</v>
      </c>
      <c r="AB501" s="28" t="str">
        <f t="shared" si="337"/>
        <v>짝수</v>
      </c>
      <c r="AC501" s="27" t="str">
        <f t="shared" si="338"/>
        <v>3 : 3</v>
      </c>
      <c r="AD501" s="32">
        <f t="shared" si="339"/>
        <v>3</v>
      </c>
      <c r="AE501" s="32">
        <f t="shared" si="340"/>
        <v>3</v>
      </c>
      <c r="AF501" s="66" t="str">
        <f t="shared" si="348"/>
        <v>저수</v>
      </c>
      <c r="AG501" s="66" t="str">
        <f t="shared" si="349"/>
        <v>저수</v>
      </c>
      <c r="AH501" s="66" t="str">
        <f t="shared" si="350"/>
        <v>고수</v>
      </c>
      <c r="AI501" s="66" t="str">
        <f t="shared" si="351"/>
        <v>고수</v>
      </c>
      <c r="AJ501" s="66" t="str">
        <f t="shared" si="352"/>
        <v>고수</v>
      </c>
      <c r="AK501" s="66" t="str">
        <f t="shared" si="353"/>
        <v>고수</v>
      </c>
      <c r="AL501" s="66" t="str">
        <f t="shared" si="354"/>
        <v>2 : 4</v>
      </c>
      <c r="AM501" s="27">
        <f t="shared" si="355"/>
        <v>2</v>
      </c>
      <c r="AN501" s="27">
        <f t="shared" si="356"/>
        <v>4</v>
      </c>
      <c r="AO501" s="66">
        <f t="shared" si="357"/>
        <v>23</v>
      </c>
      <c r="AP501" s="66" t="str">
        <f t="shared" si="358"/>
        <v>O</v>
      </c>
      <c r="AQ501" s="66" t="str">
        <f t="shared" si="359"/>
        <v>X</v>
      </c>
      <c r="AR501" s="66" t="str">
        <f t="shared" si="360"/>
        <v>X</v>
      </c>
      <c r="AS501" s="66" t="str">
        <f t="shared" si="361"/>
        <v>X</v>
      </c>
      <c r="AT501" s="66" t="str">
        <f t="shared" si="362"/>
        <v>X</v>
      </c>
      <c r="AU501" s="66" t="str">
        <f t="shared" si="363"/>
        <v>X</v>
      </c>
      <c r="AV501" s="66" t="str">
        <f t="shared" si="364"/>
        <v>X</v>
      </c>
      <c r="AW501" s="66" t="str">
        <f t="shared" si="365"/>
        <v>X</v>
      </c>
      <c r="AX501" s="66" t="str">
        <f t="shared" si="366"/>
        <v>O</v>
      </c>
      <c r="AY501" s="66" t="str">
        <f t="shared" si="367"/>
        <v>X</v>
      </c>
      <c r="AZ501" s="66" t="str">
        <f t="shared" si="368"/>
        <v>O</v>
      </c>
      <c r="BA501" s="27" t="str">
        <f t="shared" si="369"/>
        <v>X</v>
      </c>
      <c r="BB501" s="27">
        <f t="shared" si="370"/>
        <v>3</v>
      </c>
      <c r="BC501" s="127" t="str">
        <f t="shared" si="341"/>
        <v>2G</v>
      </c>
      <c r="BD501" s="127" t="str">
        <f t="shared" si="342"/>
        <v>2G</v>
      </c>
      <c r="BE501" s="127" t="str">
        <f t="shared" si="343"/>
        <v>2G</v>
      </c>
      <c r="BF501" s="127" t="str">
        <f t="shared" si="344"/>
        <v>2G</v>
      </c>
      <c r="BG501" s="127" t="str">
        <f t="shared" si="345"/>
        <v>3G</v>
      </c>
      <c r="BH501" s="127" t="str">
        <f t="shared" si="346"/>
        <v>3G</v>
      </c>
      <c r="BI501" s="127">
        <f t="shared" si="371"/>
        <v>0</v>
      </c>
      <c r="BJ501" s="127">
        <f t="shared" si="372"/>
        <v>4</v>
      </c>
      <c r="BK501" s="127">
        <f t="shared" si="373"/>
        <v>2</v>
      </c>
      <c r="BL501" s="127" t="str">
        <f t="shared" si="374"/>
        <v>042</v>
      </c>
      <c r="BS501"/>
    </row>
    <row r="502" spans="1:93" ht="16.5" hidden="1">
      <c r="B502" s="18">
        <v>498</v>
      </c>
      <c r="C502" s="363" t="s">
        <v>774</v>
      </c>
      <c r="N502" s="167">
        <v>13</v>
      </c>
      <c r="O502" s="167">
        <v>14</v>
      </c>
      <c r="P502" s="167">
        <v>24</v>
      </c>
      <c r="Q502" s="167">
        <v>32</v>
      </c>
      <c r="R502" s="167">
        <v>39</v>
      </c>
      <c r="S502" s="167">
        <v>41</v>
      </c>
      <c r="T502" s="167">
        <v>3</v>
      </c>
      <c r="U502" s="28">
        <f t="shared" si="375"/>
        <v>166</v>
      </c>
      <c r="W502" s="27" t="str">
        <f t="shared" si="332"/>
        <v>홀수</v>
      </c>
      <c r="X502" s="27" t="str">
        <f t="shared" si="333"/>
        <v>짝수</v>
      </c>
      <c r="Y502" s="27" t="str">
        <f t="shared" si="334"/>
        <v>짝수</v>
      </c>
      <c r="Z502" s="27" t="str">
        <f t="shared" si="335"/>
        <v>짝수</v>
      </c>
      <c r="AA502" s="28" t="str">
        <f t="shared" si="336"/>
        <v>홀수</v>
      </c>
      <c r="AB502" s="28" t="str">
        <f t="shared" si="337"/>
        <v>홀수</v>
      </c>
      <c r="AC502" s="27" t="str">
        <f t="shared" si="338"/>
        <v>3 : 3</v>
      </c>
      <c r="AD502" s="32">
        <f t="shared" si="339"/>
        <v>3</v>
      </c>
      <c r="AE502" s="32">
        <f t="shared" si="340"/>
        <v>3</v>
      </c>
      <c r="AF502" s="66" t="str">
        <f t="shared" si="348"/>
        <v>저수</v>
      </c>
      <c r="AG502" s="66" t="str">
        <f t="shared" si="349"/>
        <v>저수</v>
      </c>
      <c r="AH502" s="66" t="str">
        <f t="shared" si="350"/>
        <v>고수</v>
      </c>
      <c r="AI502" s="66" t="str">
        <f t="shared" si="351"/>
        <v>고수</v>
      </c>
      <c r="AJ502" s="66" t="str">
        <f t="shared" si="352"/>
        <v>고수</v>
      </c>
      <c r="AK502" s="66" t="str">
        <f t="shared" si="353"/>
        <v>고수</v>
      </c>
      <c r="AL502" s="66" t="str">
        <f t="shared" si="354"/>
        <v>2 : 4</v>
      </c>
      <c r="AM502" s="27">
        <f t="shared" si="355"/>
        <v>2</v>
      </c>
      <c r="AN502" s="27">
        <f t="shared" si="356"/>
        <v>4</v>
      </c>
      <c r="AO502" s="66">
        <f t="shared" si="357"/>
        <v>23</v>
      </c>
      <c r="AP502" s="66" t="str">
        <f t="shared" si="358"/>
        <v>O</v>
      </c>
      <c r="AQ502" s="66" t="str">
        <f t="shared" si="359"/>
        <v>X</v>
      </c>
      <c r="AR502" s="66" t="str">
        <f t="shared" si="360"/>
        <v>X</v>
      </c>
      <c r="AS502" s="66" t="str">
        <f t="shared" si="361"/>
        <v>X</v>
      </c>
      <c r="AT502" s="66" t="str">
        <f t="shared" si="362"/>
        <v>X</v>
      </c>
      <c r="AU502" s="66" t="str">
        <f t="shared" si="363"/>
        <v>X</v>
      </c>
      <c r="AV502" s="66" t="str">
        <f t="shared" si="364"/>
        <v>X</v>
      </c>
      <c r="AW502" s="66" t="str">
        <f t="shared" si="365"/>
        <v>X</v>
      </c>
      <c r="AX502" s="66" t="str">
        <f t="shared" si="366"/>
        <v>X</v>
      </c>
      <c r="AY502" s="66" t="str">
        <f t="shared" si="367"/>
        <v>X</v>
      </c>
      <c r="AZ502" s="66" t="str">
        <f t="shared" si="368"/>
        <v>X</v>
      </c>
      <c r="BA502" s="27" t="str">
        <f t="shared" si="369"/>
        <v>O</v>
      </c>
      <c r="BB502" s="27">
        <f t="shared" si="370"/>
        <v>2</v>
      </c>
      <c r="BC502" s="127" t="str">
        <f t="shared" si="341"/>
        <v>1G</v>
      </c>
      <c r="BD502" s="127" t="str">
        <f t="shared" si="342"/>
        <v>1G</v>
      </c>
      <c r="BE502" s="127" t="str">
        <f t="shared" si="343"/>
        <v>2G</v>
      </c>
      <c r="BF502" s="127" t="str">
        <f t="shared" si="344"/>
        <v>3G</v>
      </c>
      <c r="BG502" s="127" t="str">
        <f t="shared" si="345"/>
        <v>3G</v>
      </c>
      <c r="BH502" s="127" t="str">
        <f t="shared" si="346"/>
        <v>3G</v>
      </c>
      <c r="BI502" s="127">
        <f t="shared" si="371"/>
        <v>2</v>
      </c>
      <c r="BJ502" s="127">
        <f t="shared" si="372"/>
        <v>1</v>
      </c>
      <c r="BK502" s="127">
        <f t="shared" si="373"/>
        <v>3</v>
      </c>
      <c r="BL502" s="127" t="str">
        <f t="shared" si="374"/>
        <v>213</v>
      </c>
      <c r="BS502"/>
    </row>
    <row r="503" spans="1:93" ht="16.5" hidden="1">
      <c r="B503" s="18">
        <v>499</v>
      </c>
      <c r="C503" s="363" t="s">
        <v>775</v>
      </c>
      <c r="N503" s="167">
        <v>5</v>
      </c>
      <c r="O503" s="167">
        <v>20</v>
      </c>
      <c r="P503" s="167">
        <v>23</v>
      </c>
      <c r="Q503" s="167">
        <v>37</v>
      </c>
      <c r="R503" s="167">
        <v>35</v>
      </c>
      <c r="S503" s="167">
        <v>40</v>
      </c>
      <c r="T503" s="167">
        <v>43</v>
      </c>
      <c r="U503" s="28">
        <f t="shared" si="375"/>
        <v>203</v>
      </c>
      <c r="W503" s="27" t="str">
        <f t="shared" si="332"/>
        <v>홀수</v>
      </c>
      <c r="X503" s="27" t="str">
        <f t="shared" si="333"/>
        <v>짝수</v>
      </c>
      <c r="Y503" s="27" t="str">
        <f t="shared" si="334"/>
        <v>홀수</v>
      </c>
      <c r="Z503" s="27" t="str">
        <f t="shared" si="335"/>
        <v>홀수</v>
      </c>
      <c r="AA503" s="28" t="str">
        <f t="shared" si="336"/>
        <v>홀수</v>
      </c>
      <c r="AB503" s="28" t="str">
        <f t="shared" si="337"/>
        <v>짝수</v>
      </c>
      <c r="AC503" s="27" t="str">
        <f t="shared" si="338"/>
        <v>4 : 2</v>
      </c>
      <c r="AD503" s="32">
        <f t="shared" si="339"/>
        <v>4</v>
      </c>
      <c r="AE503" s="32">
        <f t="shared" si="340"/>
        <v>2</v>
      </c>
      <c r="AF503" s="66" t="str">
        <f t="shared" si="348"/>
        <v>저수</v>
      </c>
      <c r="AG503" s="66" t="str">
        <f t="shared" si="349"/>
        <v>저수</v>
      </c>
      <c r="AH503" s="66" t="str">
        <f t="shared" si="350"/>
        <v>고수</v>
      </c>
      <c r="AI503" s="66" t="str">
        <f t="shared" si="351"/>
        <v>고수</v>
      </c>
      <c r="AJ503" s="66" t="str">
        <f t="shared" si="352"/>
        <v>고수</v>
      </c>
      <c r="AK503" s="66" t="str">
        <f t="shared" si="353"/>
        <v>고수</v>
      </c>
      <c r="AL503" s="66" t="str">
        <f t="shared" si="354"/>
        <v>2 : 4</v>
      </c>
      <c r="AM503" s="27">
        <f t="shared" si="355"/>
        <v>2</v>
      </c>
      <c r="AN503" s="27">
        <f t="shared" si="356"/>
        <v>4</v>
      </c>
      <c r="AO503" s="66">
        <f t="shared" si="357"/>
        <v>20</v>
      </c>
      <c r="AP503" s="66" t="str">
        <f t="shared" si="358"/>
        <v>O</v>
      </c>
      <c r="AQ503" s="66" t="str">
        <f t="shared" si="359"/>
        <v>X</v>
      </c>
      <c r="AR503" s="66" t="str">
        <f t="shared" si="360"/>
        <v>X</v>
      </c>
      <c r="AS503" s="66" t="str">
        <f t="shared" si="361"/>
        <v>X</v>
      </c>
      <c r="AT503" s="66" t="str">
        <f t="shared" si="362"/>
        <v>X</v>
      </c>
      <c r="AU503" s="66" t="str">
        <f t="shared" si="363"/>
        <v>X</v>
      </c>
      <c r="AV503" s="66" t="str">
        <f t="shared" si="364"/>
        <v>X</v>
      </c>
      <c r="AW503" s="66" t="str">
        <f t="shared" si="365"/>
        <v>X</v>
      </c>
      <c r="AX503" s="66" t="str">
        <f t="shared" si="366"/>
        <v>O</v>
      </c>
      <c r="AY503" s="66" t="str">
        <f t="shared" si="367"/>
        <v>O</v>
      </c>
      <c r="AZ503" s="66" t="str">
        <f t="shared" si="368"/>
        <v>X</v>
      </c>
      <c r="BA503" s="27" t="str">
        <f t="shared" si="369"/>
        <v>X</v>
      </c>
      <c r="BB503" s="27">
        <f t="shared" si="370"/>
        <v>3</v>
      </c>
      <c r="BC503" s="127" t="str">
        <f t="shared" si="341"/>
        <v>1G</v>
      </c>
      <c r="BD503" s="127" t="str">
        <f t="shared" si="342"/>
        <v>2G</v>
      </c>
      <c r="BE503" s="127" t="str">
        <f t="shared" si="343"/>
        <v>2G</v>
      </c>
      <c r="BF503" s="127" t="str">
        <f t="shared" si="344"/>
        <v>3G</v>
      </c>
      <c r="BG503" s="127" t="str">
        <f t="shared" si="345"/>
        <v>3G</v>
      </c>
      <c r="BH503" s="127" t="str">
        <f t="shared" si="346"/>
        <v>3G</v>
      </c>
      <c r="BI503" s="127">
        <f t="shared" si="371"/>
        <v>1</v>
      </c>
      <c r="BJ503" s="127">
        <f t="shared" si="372"/>
        <v>2</v>
      </c>
      <c r="BK503" s="127">
        <f t="shared" si="373"/>
        <v>3</v>
      </c>
      <c r="BL503" s="127" t="str">
        <f t="shared" si="374"/>
        <v>123</v>
      </c>
      <c r="BS503"/>
    </row>
    <row r="504" spans="1:93" ht="16.5" hidden="1">
      <c r="B504" s="18">
        <v>500</v>
      </c>
      <c r="C504" s="363" t="s">
        <v>776</v>
      </c>
      <c r="N504" s="167">
        <v>3</v>
      </c>
      <c r="O504" s="167">
        <v>4</v>
      </c>
      <c r="P504" s="167">
        <v>12</v>
      </c>
      <c r="Q504" s="167">
        <v>20</v>
      </c>
      <c r="R504" s="167">
        <v>24</v>
      </c>
      <c r="S504" s="167">
        <v>34</v>
      </c>
      <c r="T504" s="167">
        <v>41</v>
      </c>
      <c r="U504" s="28">
        <f t="shared" si="375"/>
        <v>138</v>
      </c>
      <c r="W504" s="27" t="str">
        <f t="shared" si="332"/>
        <v>홀수</v>
      </c>
      <c r="X504" s="27" t="str">
        <f t="shared" si="333"/>
        <v>짝수</v>
      </c>
      <c r="Y504" s="27" t="str">
        <f t="shared" si="334"/>
        <v>짝수</v>
      </c>
      <c r="Z504" s="27" t="str">
        <f t="shared" si="335"/>
        <v>짝수</v>
      </c>
      <c r="AA504" s="28" t="str">
        <f t="shared" si="336"/>
        <v>짝수</v>
      </c>
      <c r="AB504" s="28" t="str">
        <f t="shared" si="337"/>
        <v>짝수</v>
      </c>
      <c r="AC504" s="66" t="str">
        <f t="shared" si="338"/>
        <v>1 : 5</v>
      </c>
      <c r="AD504" s="32">
        <f t="shared" si="339"/>
        <v>1</v>
      </c>
      <c r="AE504" s="32">
        <f t="shared" si="340"/>
        <v>5</v>
      </c>
      <c r="AF504" s="66" t="str">
        <f t="shared" si="348"/>
        <v>저수</v>
      </c>
      <c r="AG504" s="66" t="str">
        <f t="shared" si="349"/>
        <v>저수</v>
      </c>
      <c r="AH504" s="66" t="str">
        <f t="shared" si="350"/>
        <v>저수</v>
      </c>
      <c r="AI504" s="66" t="str">
        <f t="shared" si="351"/>
        <v>저수</v>
      </c>
      <c r="AJ504" s="66" t="str">
        <f t="shared" si="352"/>
        <v>고수</v>
      </c>
      <c r="AK504" s="66" t="str">
        <f t="shared" si="353"/>
        <v>고수</v>
      </c>
      <c r="AL504" s="66" t="str">
        <f t="shared" si="354"/>
        <v>4 : 2</v>
      </c>
      <c r="AM504" s="27">
        <f t="shared" si="355"/>
        <v>4</v>
      </c>
      <c r="AN504" s="27">
        <f t="shared" si="356"/>
        <v>2</v>
      </c>
      <c r="AO504" s="66">
        <f t="shared" si="357"/>
        <v>17</v>
      </c>
      <c r="AP504" s="66" t="str">
        <f t="shared" si="358"/>
        <v>O</v>
      </c>
      <c r="AQ504" s="66" t="str">
        <f t="shared" si="359"/>
        <v>X</v>
      </c>
      <c r="AR504" s="66" t="str">
        <f t="shared" si="360"/>
        <v>X</v>
      </c>
      <c r="AS504" s="66" t="str">
        <f t="shared" si="361"/>
        <v>X</v>
      </c>
      <c r="AT504" s="66" t="str">
        <f t="shared" si="362"/>
        <v>X</v>
      </c>
      <c r="AU504" s="66" t="str">
        <f t="shared" si="363"/>
        <v>X</v>
      </c>
      <c r="AV504" s="66" t="str">
        <f t="shared" si="364"/>
        <v>X</v>
      </c>
      <c r="AW504" s="66" t="str">
        <f t="shared" si="365"/>
        <v>X</v>
      </c>
      <c r="AX504" s="66" t="str">
        <f t="shared" si="366"/>
        <v>X</v>
      </c>
      <c r="AY504" s="66" t="str">
        <f t="shared" si="367"/>
        <v>X</v>
      </c>
      <c r="AZ504" s="66" t="str">
        <f t="shared" si="368"/>
        <v>X</v>
      </c>
      <c r="BA504" s="27" t="str">
        <f t="shared" si="369"/>
        <v>X</v>
      </c>
      <c r="BB504" s="27">
        <f t="shared" si="370"/>
        <v>1</v>
      </c>
      <c r="BC504" s="127" t="str">
        <f t="shared" si="341"/>
        <v>1G</v>
      </c>
      <c r="BD504" s="127" t="str">
        <f t="shared" si="342"/>
        <v>1G</v>
      </c>
      <c r="BE504" s="127" t="str">
        <f t="shared" si="343"/>
        <v>1G</v>
      </c>
      <c r="BF504" s="127" t="str">
        <f t="shared" si="344"/>
        <v>2G</v>
      </c>
      <c r="BG504" s="127" t="str">
        <f t="shared" si="345"/>
        <v>2G</v>
      </c>
      <c r="BH504" s="127" t="str">
        <f t="shared" si="346"/>
        <v>3G</v>
      </c>
      <c r="BI504" s="127">
        <f t="shared" si="371"/>
        <v>3</v>
      </c>
      <c r="BJ504" s="127">
        <f t="shared" si="372"/>
        <v>2</v>
      </c>
      <c r="BK504" s="127">
        <f t="shared" si="373"/>
        <v>1</v>
      </c>
      <c r="BL504" s="127" t="str">
        <f t="shared" si="374"/>
        <v>321</v>
      </c>
      <c r="BS504"/>
    </row>
    <row r="505" spans="1:93" ht="16.5" hidden="1">
      <c r="B505" s="18">
        <v>501</v>
      </c>
      <c r="C505" s="363" t="s">
        <v>777</v>
      </c>
      <c r="N505" s="167">
        <v>1</v>
      </c>
      <c r="O505" s="167">
        <v>4</v>
      </c>
      <c r="P505" s="167">
        <v>10</v>
      </c>
      <c r="Q505" s="167">
        <v>17</v>
      </c>
      <c r="R505" s="167">
        <v>31</v>
      </c>
      <c r="S505" s="167">
        <v>42</v>
      </c>
      <c r="T505" s="167">
        <v>2</v>
      </c>
      <c r="U505" s="28">
        <f t="shared" si="375"/>
        <v>107</v>
      </c>
      <c r="W505" s="27" t="str">
        <f t="shared" si="332"/>
        <v>홀수</v>
      </c>
      <c r="X505" s="27" t="str">
        <f t="shared" si="333"/>
        <v>짝수</v>
      </c>
      <c r="Y505" s="27" t="str">
        <f t="shared" si="334"/>
        <v>짝수</v>
      </c>
      <c r="Z505" s="27" t="str">
        <f t="shared" si="335"/>
        <v>홀수</v>
      </c>
      <c r="AA505" s="28" t="str">
        <f t="shared" si="336"/>
        <v>홀수</v>
      </c>
      <c r="AB505" s="28" t="str">
        <f t="shared" si="337"/>
        <v>짝수</v>
      </c>
      <c r="AC505" s="66" t="str">
        <f t="shared" si="338"/>
        <v>3 : 3</v>
      </c>
      <c r="AD505" s="32">
        <f t="shared" si="339"/>
        <v>3</v>
      </c>
      <c r="AE505" s="32">
        <f t="shared" si="340"/>
        <v>3</v>
      </c>
      <c r="AF505" s="66" t="str">
        <f t="shared" si="348"/>
        <v>저수</v>
      </c>
      <c r="AG505" s="66" t="str">
        <f t="shared" si="349"/>
        <v>저수</v>
      </c>
      <c r="AH505" s="66" t="str">
        <f t="shared" si="350"/>
        <v>저수</v>
      </c>
      <c r="AI505" s="66" t="str">
        <f t="shared" si="351"/>
        <v>저수</v>
      </c>
      <c r="AJ505" s="66" t="str">
        <f t="shared" si="352"/>
        <v>고수</v>
      </c>
      <c r="AK505" s="66" t="str">
        <f t="shared" si="353"/>
        <v>고수</v>
      </c>
      <c r="AL505" s="66" t="str">
        <f t="shared" si="354"/>
        <v>4 : 2</v>
      </c>
      <c r="AM505" s="27">
        <f t="shared" si="355"/>
        <v>4</v>
      </c>
      <c r="AN505" s="27">
        <f t="shared" si="356"/>
        <v>2</v>
      </c>
      <c r="AO505" s="66">
        <f t="shared" si="357"/>
        <v>15</v>
      </c>
      <c r="AP505" s="66" t="str">
        <f t="shared" si="358"/>
        <v>X</v>
      </c>
      <c r="AQ505" s="66" t="str">
        <f t="shared" si="359"/>
        <v>X</v>
      </c>
      <c r="AR505" s="66" t="str">
        <f t="shared" si="360"/>
        <v>X</v>
      </c>
      <c r="AS505" s="66" t="str">
        <f t="shared" si="361"/>
        <v>O</v>
      </c>
      <c r="AT505" s="66" t="str">
        <f t="shared" si="362"/>
        <v>X</v>
      </c>
      <c r="AU505" s="66" t="str">
        <f t="shared" si="363"/>
        <v>X</v>
      </c>
      <c r="AV505" s="66" t="str">
        <f t="shared" si="364"/>
        <v>X</v>
      </c>
      <c r="AW505" s="66" t="str">
        <f t="shared" si="365"/>
        <v>X</v>
      </c>
      <c r="AX505" s="66" t="str">
        <f t="shared" si="366"/>
        <v>X</v>
      </c>
      <c r="AY505" s="66" t="str">
        <f t="shared" si="367"/>
        <v>X</v>
      </c>
      <c r="AZ505" s="66" t="str">
        <f t="shared" si="368"/>
        <v>O</v>
      </c>
      <c r="BA505" s="27" t="str">
        <f t="shared" si="369"/>
        <v>X</v>
      </c>
      <c r="BB505" s="27">
        <f t="shared" si="370"/>
        <v>2</v>
      </c>
      <c r="BC505" s="127" t="str">
        <f t="shared" si="341"/>
        <v>1G</v>
      </c>
      <c r="BD505" s="127" t="str">
        <f t="shared" si="342"/>
        <v>1G</v>
      </c>
      <c r="BE505" s="127" t="str">
        <f t="shared" si="343"/>
        <v>1G</v>
      </c>
      <c r="BF505" s="127" t="str">
        <f t="shared" si="344"/>
        <v>2G</v>
      </c>
      <c r="BG505" s="127" t="str">
        <f t="shared" si="345"/>
        <v>3G</v>
      </c>
      <c r="BH505" s="127" t="str">
        <f t="shared" si="346"/>
        <v>3G</v>
      </c>
      <c r="BI505" s="127">
        <f t="shared" si="371"/>
        <v>3</v>
      </c>
      <c r="BJ505" s="127">
        <f t="shared" si="372"/>
        <v>1</v>
      </c>
      <c r="BK505" s="127">
        <f t="shared" si="373"/>
        <v>2</v>
      </c>
      <c r="BL505" s="127" t="str">
        <f t="shared" si="374"/>
        <v>312</v>
      </c>
      <c r="BS505"/>
    </row>
    <row r="506" spans="1:93" ht="16.5" hidden="1">
      <c r="A506" s="18">
        <v>2</v>
      </c>
      <c r="B506" s="18">
        <v>502</v>
      </c>
      <c r="C506" s="363" t="s">
        <v>779</v>
      </c>
      <c r="N506" s="171">
        <v>6</v>
      </c>
      <c r="O506" s="171">
        <v>22</v>
      </c>
      <c r="P506" s="171">
        <v>28</v>
      </c>
      <c r="Q506" s="171">
        <v>32</v>
      </c>
      <c r="R506" s="171">
        <v>34</v>
      </c>
      <c r="S506" s="171">
        <v>40</v>
      </c>
      <c r="T506" s="171">
        <v>26</v>
      </c>
      <c r="U506" s="156">
        <f t="shared" ref="U506:U577" si="376">SUM(N506:T506)-T506</f>
        <v>162</v>
      </c>
      <c r="W506" s="27" t="str">
        <f t="shared" si="332"/>
        <v>짝수</v>
      </c>
      <c r="X506" s="27" t="str">
        <f t="shared" si="333"/>
        <v>짝수</v>
      </c>
      <c r="Y506" s="27" t="str">
        <f t="shared" si="334"/>
        <v>짝수</v>
      </c>
      <c r="Z506" s="27" t="str">
        <f t="shared" si="335"/>
        <v>짝수</v>
      </c>
      <c r="AA506" s="28" t="str">
        <f t="shared" si="336"/>
        <v>짝수</v>
      </c>
      <c r="AB506" s="28" t="str">
        <f t="shared" si="337"/>
        <v>짝수</v>
      </c>
      <c r="AC506" s="66" t="str">
        <f t="shared" si="338"/>
        <v>0 : 6</v>
      </c>
      <c r="AD506" s="32">
        <f t="shared" si="339"/>
        <v>0</v>
      </c>
      <c r="AE506" s="32">
        <f t="shared" si="340"/>
        <v>6</v>
      </c>
      <c r="AF506" s="66" t="str">
        <f t="shared" si="348"/>
        <v>저수</v>
      </c>
      <c r="AG506" s="66" t="str">
        <f t="shared" si="349"/>
        <v>저수</v>
      </c>
      <c r="AH506" s="66" t="str">
        <f t="shared" si="350"/>
        <v>고수</v>
      </c>
      <c r="AI506" s="66" t="str">
        <f t="shared" si="351"/>
        <v>고수</v>
      </c>
      <c r="AJ506" s="66" t="str">
        <f t="shared" si="352"/>
        <v>고수</v>
      </c>
      <c r="AK506" s="66" t="str">
        <f t="shared" si="353"/>
        <v>고수</v>
      </c>
      <c r="AL506" s="66" t="str">
        <f t="shared" si="354"/>
        <v>2 : 4</v>
      </c>
      <c r="AM506" s="27">
        <f t="shared" si="355"/>
        <v>2</v>
      </c>
      <c r="AN506" s="27">
        <f t="shared" si="356"/>
        <v>4</v>
      </c>
      <c r="AO506" s="66">
        <f t="shared" si="357"/>
        <v>22</v>
      </c>
      <c r="AP506" s="66" t="str">
        <f t="shared" si="358"/>
        <v>X</v>
      </c>
      <c r="AQ506" s="66" t="str">
        <f t="shared" si="359"/>
        <v>X</v>
      </c>
      <c r="AR506" s="66" t="str">
        <f t="shared" si="360"/>
        <v>X</v>
      </c>
      <c r="AS506" s="66" t="str">
        <f t="shared" si="361"/>
        <v>X</v>
      </c>
      <c r="AT506" s="66" t="str">
        <f t="shared" si="362"/>
        <v>X</v>
      </c>
      <c r="AU506" s="66" t="str">
        <f t="shared" si="363"/>
        <v>X</v>
      </c>
      <c r="AV506" s="66" t="str">
        <f t="shared" si="364"/>
        <v>X</v>
      </c>
      <c r="AW506" s="66" t="str">
        <f t="shared" si="365"/>
        <v>X</v>
      </c>
      <c r="AX506" s="66" t="str">
        <f t="shared" si="366"/>
        <v>X</v>
      </c>
      <c r="AY506" s="66" t="str">
        <f t="shared" si="367"/>
        <v>X</v>
      </c>
      <c r="AZ506" s="66" t="str">
        <f t="shared" si="368"/>
        <v>X</v>
      </c>
      <c r="BA506" s="27" t="str">
        <f t="shared" si="369"/>
        <v>X</v>
      </c>
      <c r="BB506" s="27">
        <f t="shared" si="370"/>
        <v>0</v>
      </c>
      <c r="BC506" s="127" t="str">
        <f t="shared" si="341"/>
        <v>1G</v>
      </c>
      <c r="BD506" s="127" t="str">
        <f t="shared" si="342"/>
        <v>2G</v>
      </c>
      <c r="BE506" s="127" t="str">
        <f t="shared" si="343"/>
        <v>2G</v>
      </c>
      <c r="BF506" s="127" t="str">
        <f t="shared" si="344"/>
        <v>3G</v>
      </c>
      <c r="BG506" s="127" t="str">
        <f t="shared" si="345"/>
        <v>3G</v>
      </c>
      <c r="BH506" s="127" t="str">
        <f t="shared" si="346"/>
        <v>3G</v>
      </c>
      <c r="BI506" s="127">
        <f t="shared" si="371"/>
        <v>1</v>
      </c>
      <c r="BJ506" s="127">
        <f t="shared" si="372"/>
        <v>2</v>
      </c>
      <c r="BK506" s="127">
        <f t="shared" si="373"/>
        <v>3</v>
      </c>
      <c r="BL506" s="127" t="str">
        <f t="shared" si="374"/>
        <v>123</v>
      </c>
      <c r="BS506"/>
    </row>
    <row r="507" spans="1:93" ht="16.5" hidden="1">
      <c r="A507" s="18">
        <v>2</v>
      </c>
      <c r="B507" s="18">
        <v>503</v>
      </c>
      <c r="C507" s="363" t="s">
        <v>780</v>
      </c>
      <c r="N507" s="171">
        <v>1</v>
      </c>
      <c r="O507" s="171">
        <v>5</v>
      </c>
      <c r="P507" s="171">
        <v>27</v>
      </c>
      <c r="Q507" s="171">
        <v>30</v>
      </c>
      <c r="R507" s="171">
        <v>34</v>
      </c>
      <c r="S507" s="171">
        <v>36</v>
      </c>
      <c r="T507" s="171">
        <v>40</v>
      </c>
      <c r="U507" s="156">
        <f t="shared" si="376"/>
        <v>133</v>
      </c>
      <c r="W507" s="154" t="str">
        <f t="shared" ref="W507:W528" si="377">IF(RIGHT(N507,1)="1","홀수",IF(RIGHT(N507,1)="3","홀수",IF(RIGHT(N507,1)="5","홀수",IF(RIGHT(N507,1)="7","홀수",IF(RIGHT(N507,1)="9","홀수","짝수")))))</f>
        <v>홀수</v>
      </c>
      <c r="X507" s="154" t="str">
        <f t="shared" ref="X507:X528" si="378">IF(RIGHT(O507,1)="1","홀수",IF(RIGHT(O507,1)="3","홀수",IF(RIGHT(O507,1)="5","홀수",IF(RIGHT(O507,1)="7","홀수",IF(RIGHT(O507,1)="9","홀수","짝수")))))</f>
        <v>홀수</v>
      </c>
      <c r="Y507" s="154" t="str">
        <f t="shared" ref="Y507:Y528" si="379">IF(RIGHT(P507,1)="1","홀수",IF(RIGHT(P507,1)="3","홀수",IF(RIGHT(P507,1)="5","홀수",IF(RIGHT(P507,1)="7","홀수",IF(RIGHT(P507,1)="9","홀수","짝수")))))</f>
        <v>홀수</v>
      </c>
      <c r="Z507" s="154" t="str">
        <f t="shared" ref="Z507:Z528" si="380">IF(RIGHT(Q507,1)="1","홀수",IF(RIGHT(Q507,1)="3","홀수",IF(RIGHT(Q507,1)="5","홀수",IF(RIGHT(Q507,1)="7","홀수",IF(RIGHT(Q507,1)="9","홀수","짝수")))))</f>
        <v>짝수</v>
      </c>
      <c r="AA507" s="28" t="str">
        <f t="shared" ref="AA507:AA528" si="381">IF(RIGHT(R507,1)="1","홀수",IF(RIGHT(R507,1)="3","홀수",IF(RIGHT(R507,1)="5","홀수",IF(RIGHT(R507,1)="7","홀수",IF(RIGHT(R507,1)="9","홀수","짝수")))))</f>
        <v>짝수</v>
      </c>
      <c r="AB507" s="28" t="str">
        <f t="shared" ref="AB507:AB528" si="382">IF(RIGHT(S507,1)="1","홀수",IF(RIGHT(S507,1)="3","홀수",IF(RIGHT(S507,1)="5","홀수",IF(RIGHT(S507,1)="7","홀수",IF(RIGHT(S507,1)="9","홀수","짝수")))))</f>
        <v>짝수</v>
      </c>
      <c r="AC507" s="154" t="str">
        <f t="shared" ref="AC507:AC528" si="383">AD507&amp;" : "&amp;AE507</f>
        <v>3 : 3</v>
      </c>
      <c r="AD507" s="154">
        <f t="shared" ref="AD507:AD528" si="384">COUNTIF(W507:AB507,"홀수")</f>
        <v>3</v>
      </c>
      <c r="AE507" s="154">
        <f t="shared" ref="AE507:AE528" si="385">COUNTIF(W507:AB507,"짝수")</f>
        <v>3</v>
      </c>
      <c r="AF507" s="154" t="str">
        <f t="shared" ref="AF507:AF528" si="386">IF(N507&lt;23,"저수","고수")</f>
        <v>저수</v>
      </c>
      <c r="AG507" s="154" t="str">
        <f t="shared" ref="AG507:AG528" si="387">IF(O507&lt;23,"저수","고수")</f>
        <v>저수</v>
      </c>
      <c r="AH507" s="154" t="str">
        <f t="shared" ref="AH507:AH528" si="388">IF(P507&lt;23,"저수","고수")</f>
        <v>고수</v>
      </c>
      <c r="AI507" s="154" t="str">
        <f t="shared" ref="AI507:AI528" si="389">IF(Q507&lt;23,"저수","고수")</f>
        <v>고수</v>
      </c>
      <c r="AJ507" s="154" t="str">
        <f t="shared" ref="AJ507:AJ528" si="390">IF(R507&lt;23,"저수","고수")</f>
        <v>고수</v>
      </c>
      <c r="AK507" s="154" t="str">
        <f t="shared" ref="AK507:AK528" si="391">IF(S507&lt;23,"저수","고수")</f>
        <v>고수</v>
      </c>
      <c r="AL507" s="154" t="str">
        <f t="shared" ref="AL507:AL528" si="392">AM507&amp;" : "&amp;AN507</f>
        <v>2 : 4</v>
      </c>
      <c r="AM507" s="154">
        <f t="shared" ref="AM507:AM528" si="393">COUNTIF(AF507:AK507,"저수")</f>
        <v>2</v>
      </c>
      <c r="AN507" s="154">
        <f t="shared" ref="AN507:AN528" si="394">COUNTIF(AF507:AK507,"고수")</f>
        <v>4</v>
      </c>
      <c r="AO507" s="154">
        <f t="shared" ref="AO507:AO528" si="395">RIGHT(N507,1)+RIGHT(O507,1)+RIGHT(P507,1)+RIGHT(Q507,1)+RIGHT(R507,1)+RIGHT(S507,1)</f>
        <v>23</v>
      </c>
      <c r="AP507" s="154" t="str">
        <f t="shared" ref="AP507:AP528" si="396">IF(N507=2,"O",IF(N507=3,"O",IF(N507=5,"O",IF(N507=7,"O",IF(N507=11,"O",IF(N507=13,"O",IF(N507=17,"O",IF(N507=19,"O","X"))))))))</f>
        <v>X</v>
      </c>
      <c r="AQ507" s="154" t="str">
        <f t="shared" ref="AQ507:AQ528" si="397">IF(O507=2,"O",IF(O507=3,"O",IF(O507=5,"O",IF(O507=7,"O",IF(O507=11,"O",IF(O507=13,"O",IF(O507=17,"O",IF(O507=19,"O","X"))))))))</f>
        <v>O</v>
      </c>
      <c r="AR507" s="154" t="str">
        <f t="shared" ref="AR507:AR528" si="398">IF(P507=2,"O",IF(P507=3,"O",IF(P507=5,"O",IF(P507=7,"O",IF(P507=11,"O",IF(P507=13,"O",IF(P507=17,"O",IF(P507=19,"O","X"))))))))</f>
        <v>X</v>
      </c>
      <c r="AS507" s="154" t="str">
        <f t="shared" ref="AS507:AS528" si="399">IF(Q507=2,"O",IF(Q507=3,"O",IF(Q507=5,"O",IF(Q507=7,"O",IF(Q507=11,"O",IF(Q507=13,"O",IF(Q507=17,"O",IF(Q507=19,"O","X"))))))))</f>
        <v>X</v>
      </c>
      <c r="AT507" s="154" t="str">
        <f t="shared" ref="AT507:AT528" si="400">IF(R507=2,"O",IF(R507=3,"O",IF(R507=5,"O",IF(R507=7,"O",IF(R507=11,"O",IF(R507=13,"O",IF(R507=17,"O",IF(R507=19,"O","X"))))))))</f>
        <v>X</v>
      </c>
      <c r="AU507" s="154" t="str">
        <f t="shared" ref="AU507:AU528" si="401">IF(S507=2,"O",IF(S507=3,"O",IF(S507=5,"O",IF(S507=7,"O",IF(S507=11,"O",IF(S507=13,"O",IF(S507=17,"O",IF(S507=19,"O","X"))))))))</f>
        <v>X</v>
      </c>
      <c r="AV507" s="154" t="str">
        <f t="shared" ref="AV507:AV528" si="402">IF(N507=23,"O",IF(N507=29,"O",IF(N507=31,"O",IF(N507=37,"O",IF(N507=41,"O",IF(N507=43,"O","X"))))))</f>
        <v>X</v>
      </c>
      <c r="AW507" s="154" t="str">
        <f t="shared" ref="AW507:AW528" si="403">IF(O507=23,"O",IF(O507=29,"O",IF(O507=31,"O",IF(O507=37,"O",IF(O507=41,"O",IF(O507=43,"O","X"))))))</f>
        <v>X</v>
      </c>
      <c r="AX507" s="154" t="str">
        <f t="shared" ref="AX507:AX528" si="404">IF(P507=23,"O",IF(P507=29,"O",IF(P507=31,"O",IF(P507=37,"O",IF(P507=41,"O",IF(P507=43,"O","X"))))))</f>
        <v>X</v>
      </c>
      <c r="AY507" s="154" t="str">
        <f t="shared" ref="AY507:AY528" si="405">IF(Q507=23,"O",IF(Q507=29,"O",IF(Q507=31,"O",IF(Q507=37,"O",IF(Q507=41,"O",IF(Q507=43,"O","X"))))))</f>
        <v>X</v>
      </c>
      <c r="AZ507" s="154" t="str">
        <f t="shared" ref="AZ507:AZ528" si="406">IF(R507=23,"O",IF(R507=29,"O",IF(R507=31,"O",IF(R507=37,"O",IF(R507=41,"O",IF(R507=43,"O","X"))))))</f>
        <v>X</v>
      </c>
      <c r="BA507" s="154" t="str">
        <f t="shared" ref="BA507:BA528" si="407">IF(S507=23,"O",IF(S507=29,"O",IF(S507=31,"O",IF(S507=37,"O",IF(S507=41,"O",IF(S507=43,"O","X"))))))</f>
        <v>X</v>
      </c>
      <c r="BB507" s="154">
        <f t="shared" ref="BB507:BB528" si="408">COUNTIF(AP507:BA507,"O")</f>
        <v>1</v>
      </c>
      <c r="BC507" s="154" t="str">
        <f t="shared" ref="BC507:BC528" si="409">VLOOKUP(N507,삼그룹,6,FALSE)</f>
        <v>1G</v>
      </c>
      <c r="BD507" s="154" t="str">
        <f t="shared" ref="BD507:BD528" si="410">VLOOKUP(O507,삼그룹,6,FALSE)</f>
        <v>1G</v>
      </c>
      <c r="BE507" s="154" t="str">
        <f t="shared" ref="BE507:BE528" si="411">VLOOKUP(P507,삼그룹,6,FALSE)</f>
        <v>2G</v>
      </c>
      <c r="BF507" s="154" t="str">
        <f t="shared" ref="BF507:BF528" si="412">VLOOKUP(Q507,삼그룹,6,FALSE)</f>
        <v>2G</v>
      </c>
      <c r="BG507" s="154" t="str">
        <f t="shared" ref="BG507:BG528" si="413">VLOOKUP(R507,삼그룹,6,FALSE)</f>
        <v>3G</v>
      </c>
      <c r="BH507" s="154" t="str">
        <f t="shared" ref="BH507:BH528" si="414">VLOOKUP(S507,삼그룹,6,FALSE)</f>
        <v>3G</v>
      </c>
      <c r="BI507" s="154">
        <f t="shared" si="371"/>
        <v>2</v>
      </c>
      <c r="BJ507" s="154">
        <f t="shared" si="372"/>
        <v>2</v>
      </c>
      <c r="BK507" s="154">
        <f t="shared" si="373"/>
        <v>2</v>
      </c>
      <c r="BL507" s="154" t="str">
        <f t="shared" ref="BL507:BL528" si="415">BI507&amp;BJ507&amp;BK507</f>
        <v>222</v>
      </c>
      <c r="BS507"/>
    </row>
    <row r="508" spans="1:93" ht="16.5" hidden="1">
      <c r="A508" s="18">
        <v>2</v>
      </c>
      <c r="B508" s="18">
        <v>504</v>
      </c>
      <c r="C508" s="363" t="s">
        <v>781</v>
      </c>
      <c r="N508" s="171">
        <v>6</v>
      </c>
      <c r="O508" s="171">
        <v>14</v>
      </c>
      <c r="P508" s="171">
        <v>22</v>
      </c>
      <c r="Q508" s="171">
        <v>26</v>
      </c>
      <c r="R508" s="171">
        <v>43</v>
      </c>
      <c r="S508" s="171">
        <v>44</v>
      </c>
      <c r="T508" s="171">
        <v>31</v>
      </c>
      <c r="U508" s="156">
        <f t="shared" si="376"/>
        <v>155</v>
      </c>
      <c r="W508" s="154" t="str">
        <f t="shared" si="377"/>
        <v>짝수</v>
      </c>
      <c r="X508" s="154" t="str">
        <f t="shared" si="378"/>
        <v>짝수</v>
      </c>
      <c r="Y508" s="154" t="str">
        <f t="shared" si="379"/>
        <v>짝수</v>
      </c>
      <c r="Z508" s="154" t="str">
        <f t="shared" si="380"/>
        <v>짝수</v>
      </c>
      <c r="AA508" s="28" t="str">
        <f t="shared" si="381"/>
        <v>홀수</v>
      </c>
      <c r="AB508" s="28" t="str">
        <f t="shared" si="382"/>
        <v>짝수</v>
      </c>
      <c r="AC508" s="154" t="str">
        <f t="shared" si="383"/>
        <v>1 : 5</v>
      </c>
      <c r="AD508" s="154">
        <f t="shared" si="384"/>
        <v>1</v>
      </c>
      <c r="AE508" s="154">
        <f t="shared" si="385"/>
        <v>5</v>
      </c>
      <c r="AF508" s="154" t="str">
        <f t="shared" si="386"/>
        <v>저수</v>
      </c>
      <c r="AG508" s="154" t="str">
        <f t="shared" si="387"/>
        <v>저수</v>
      </c>
      <c r="AH508" s="154" t="str">
        <f t="shared" si="388"/>
        <v>저수</v>
      </c>
      <c r="AI508" s="154" t="str">
        <f t="shared" si="389"/>
        <v>고수</v>
      </c>
      <c r="AJ508" s="154" t="str">
        <f t="shared" si="390"/>
        <v>고수</v>
      </c>
      <c r="AK508" s="154" t="str">
        <f t="shared" si="391"/>
        <v>고수</v>
      </c>
      <c r="AL508" s="154" t="str">
        <f t="shared" si="392"/>
        <v>3 : 3</v>
      </c>
      <c r="AM508" s="154">
        <f t="shared" si="393"/>
        <v>3</v>
      </c>
      <c r="AN508" s="154">
        <f t="shared" si="394"/>
        <v>3</v>
      </c>
      <c r="AO508" s="154">
        <f t="shared" si="395"/>
        <v>25</v>
      </c>
      <c r="AP508" s="154" t="str">
        <f t="shared" si="396"/>
        <v>X</v>
      </c>
      <c r="AQ508" s="154" t="str">
        <f t="shared" si="397"/>
        <v>X</v>
      </c>
      <c r="AR508" s="154" t="str">
        <f t="shared" si="398"/>
        <v>X</v>
      </c>
      <c r="AS508" s="154" t="str">
        <f t="shared" si="399"/>
        <v>X</v>
      </c>
      <c r="AT508" s="154" t="str">
        <f t="shared" si="400"/>
        <v>X</v>
      </c>
      <c r="AU508" s="154" t="str">
        <f t="shared" si="401"/>
        <v>X</v>
      </c>
      <c r="AV508" s="154" t="str">
        <f t="shared" si="402"/>
        <v>X</v>
      </c>
      <c r="AW508" s="154" t="str">
        <f t="shared" si="403"/>
        <v>X</v>
      </c>
      <c r="AX508" s="154" t="str">
        <f t="shared" si="404"/>
        <v>X</v>
      </c>
      <c r="AY508" s="154" t="str">
        <f t="shared" si="405"/>
        <v>X</v>
      </c>
      <c r="AZ508" s="154" t="str">
        <f t="shared" si="406"/>
        <v>O</v>
      </c>
      <c r="BA508" s="154" t="str">
        <f t="shared" si="407"/>
        <v>X</v>
      </c>
      <c r="BB508" s="154">
        <f t="shared" si="408"/>
        <v>1</v>
      </c>
      <c r="BC508" s="154" t="str">
        <f t="shared" si="409"/>
        <v>1G</v>
      </c>
      <c r="BD508" s="154" t="str">
        <f t="shared" si="410"/>
        <v>1G</v>
      </c>
      <c r="BE508" s="154" t="str">
        <f t="shared" si="411"/>
        <v>2G</v>
      </c>
      <c r="BF508" s="154" t="str">
        <f t="shared" si="412"/>
        <v>2G</v>
      </c>
      <c r="BG508" s="154" t="str">
        <f t="shared" si="413"/>
        <v>3G</v>
      </c>
      <c r="BH508" s="154" t="str">
        <f t="shared" si="414"/>
        <v>3G</v>
      </c>
      <c r="BI508" s="154">
        <f t="shared" si="371"/>
        <v>2</v>
      </c>
      <c r="BJ508" s="154">
        <f t="shared" si="372"/>
        <v>2</v>
      </c>
      <c r="BK508" s="154">
        <f t="shared" si="373"/>
        <v>2</v>
      </c>
      <c r="BL508" s="154" t="str">
        <f t="shared" si="415"/>
        <v>222</v>
      </c>
      <c r="BS508"/>
    </row>
    <row r="509" spans="1:93" ht="16.5" hidden="1">
      <c r="A509" s="18">
        <v>3</v>
      </c>
      <c r="B509" s="18">
        <v>505</v>
      </c>
      <c r="C509" s="363" t="s">
        <v>782</v>
      </c>
      <c r="N509" s="157">
        <v>7</v>
      </c>
      <c r="O509" s="157">
        <v>20</v>
      </c>
      <c r="P509" s="157">
        <v>22</v>
      </c>
      <c r="Q509" s="157">
        <v>25</v>
      </c>
      <c r="R509" s="157">
        <v>38</v>
      </c>
      <c r="S509" s="157">
        <v>40</v>
      </c>
      <c r="T509" s="157">
        <v>44</v>
      </c>
      <c r="U509" s="156">
        <f t="shared" si="376"/>
        <v>152</v>
      </c>
      <c r="W509" s="154" t="str">
        <f t="shared" si="377"/>
        <v>홀수</v>
      </c>
      <c r="X509" s="154" t="str">
        <f t="shared" si="378"/>
        <v>짝수</v>
      </c>
      <c r="Y509" s="154" t="str">
        <f t="shared" si="379"/>
        <v>짝수</v>
      </c>
      <c r="Z509" s="154" t="str">
        <f t="shared" si="380"/>
        <v>홀수</v>
      </c>
      <c r="AA509" s="28" t="str">
        <f t="shared" si="381"/>
        <v>짝수</v>
      </c>
      <c r="AB509" s="28" t="str">
        <f t="shared" si="382"/>
        <v>짝수</v>
      </c>
      <c r="AC509" s="154" t="str">
        <f t="shared" si="383"/>
        <v>2 : 4</v>
      </c>
      <c r="AD509" s="154">
        <f t="shared" si="384"/>
        <v>2</v>
      </c>
      <c r="AE509" s="154">
        <f t="shared" si="385"/>
        <v>4</v>
      </c>
      <c r="AF509" s="154" t="str">
        <f t="shared" si="386"/>
        <v>저수</v>
      </c>
      <c r="AG509" s="154" t="str">
        <f t="shared" si="387"/>
        <v>저수</v>
      </c>
      <c r="AH509" s="154" t="str">
        <f t="shared" si="388"/>
        <v>저수</v>
      </c>
      <c r="AI509" s="154" t="str">
        <f t="shared" si="389"/>
        <v>고수</v>
      </c>
      <c r="AJ509" s="154" t="str">
        <f t="shared" si="390"/>
        <v>고수</v>
      </c>
      <c r="AK509" s="154" t="str">
        <f t="shared" si="391"/>
        <v>고수</v>
      </c>
      <c r="AL509" s="154" t="str">
        <f t="shared" si="392"/>
        <v>3 : 3</v>
      </c>
      <c r="AM509" s="154">
        <f t="shared" si="393"/>
        <v>3</v>
      </c>
      <c r="AN509" s="154">
        <f t="shared" si="394"/>
        <v>3</v>
      </c>
      <c r="AO509" s="154">
        <f t="shared" si="395"/>
        <v>22</v>
      </c>
      <c r="AP509" s="154" t="str">
        <f t="shared" si="396"/>
        <v>O</v>
      </c>
      <c r="AQ509" s="154" t="str">
        <f t="shared" si="397"/>
        <v>X</v>
      </c>
      <c r="AR509" s="154" t="str">
        <f t="shared" si="398"/>
        <v>X</v>
      </c>
      <c r="AS509" s="154" t="str">
        <f t="shared" si="399"/>
        <v>X</v>
      </c>
      <c r="AT509" s="154" t="str">
        <f t="shared" si="400"/>
        <v>X</v>
      </c>
      <c r="AU509" s="154" t="str">
        <f t="shared" si="401"/>
        <v>X</v>
      </c>
      <c r="AV509" s="154" t="str">
        <f t="shared" si="402"/>
        <v>X</v>
      </c>
      <c r="AW509" s="154" t="str">
        <f t="shared" si="403"/>
        <v>X</v>
      </c>
      <c r="AX509" s="154" t="str">
        <f t="shared" si="404"/>
        <v>X</v>
      </c>
      <c r="AY509" s="154" t="str">
        <f t="shared" si="405"/>
        <v>X</v>
      </c>
      <c r="AZ509" s="154" t="str">
        <f t="shared" si="406"/>
        <v>X</v>
      </c>
      <c r="BA509" s="154" t="str">
        <f t="shared" si="407"/>
        <v>X</v>
      </c>
      <c r="BB509" s="154">
        <f t="shared" si="408"/>
        <v>1</v>
      </c>
      <c r="BC509" s="154" t="str">
        <f t="shared" si="409"/>
        <v>1G</v>
      </c>
      <c r="BD509" s="154" t="str">
        <f t="shared" si="410"/>
        <v>2G</v>
      </c>
      <c r="BE509" s="154" t="str">
        <f t="shared" si="411"/>
        <v>2G</v>
      </c>
      <c r="BF509" s="154" t="str">
        <f t="shared" si="412"/>
        <v>2G</v>
      </c>
      <c r="BG509" s="154" t="str">
        <f t="shared" si="413"/>
        <v>3G</v>
      </c>
      <c r="BH509" s="154" t="str">
        <f t="shared" si="414"/>
        <v>3G</v>
      </c>
      <c r="BI509" s="154">
        <f t="shared" si="371"/>
        <v>1</v>
      </c>
      <c r="BJ509" s="154">
        <f t="shared" si="372"/>
        <v>3</v>
      </c>
      <c r="BK509" s="154">
        <f t="shared" si="373"/>
        <v>2</v>
      </c>
      <c r="BL509" s="154" t="str">
        <f t="shared" si="415"/>
        <v>132</v>
      </c>
      <c r="BS509"/>
    </row>
    <row r="510" spans="1:93" ht="16.5" hidden="1">
      <c r="A510" s="18">
        <v>3</v>
      </c>
      <c r="B510" s="18">
        <v>506</v>
      </c>
      <c r="C510" s="363" t="s">
        <v>783</v>
      </c>
      <c r="N510" s="222">
        <v>6</v>
      </c>
      <c r="O510" s="222">
        <v>9</v>
      </c>
      <c r="P510" s="222">
        <v>11</v>
      </c>
      <c r="Q510" s="222">
        <v>22</v>
      </c>
      <c r="R510" s="222">
        <v>24</v>
      </c>
      <c r="S510" s="222">
        <v>30</v>
      </c>
      <c r="T510" s="222">
        <v>31</v>
      </c>
      <c r="U510" s="156">
        <f t="shared" si="376"/>
        <v>102</v>
      </c>
      <c r="W510" s="154" t="str">
        <f t="shared" si="377"/>
        <v>짝수</v>
      </c>
      <c r="X510" s="154" t="str">
        <f t="shared" si="378"/>
        <v>홀수</v>
      </c>
      <c r="Y510" s="154" t="str">
        <f t="shared" si="379"/>
        <v>홀수</v>
      </c>
      <c r="Z510" s="154" t="str">
        <f t="shared" si="380"/>
        <v>짝수</v>
      </c>
      <c r="AA510" s="28" t="str">
        <f t="shared" si="381"/>
        <v>짝수</v>
      </c>
      <c r="AB510" s="28" t="str">
        <f t="shared" si="382"/>
        <v>짝수</v>
      </c>
      <c r="AC510" s="154" t="str">
        <f t="shared" si="383"/>
        <v>2 : 4</v>
      </c>
      <c r="AD510" s="154">
        <f t="shared" si="384"/>
        <v>2</v>
      </c>
      <c r="AE510" s="154">
        <f t="shared" si="385"/>
        <v>4</v>
      </c>
      <c r="AF510" s="154" t="str">
        <f t="shared" si="386"/>
        <v>저수</v>
      </c>
      <c r="AG510" s="154" t="str">
        <f t="shared" si="387"/>
        <v>저수</v>
      </c>
      <c r="AH510" s="154" t="str">
        <f t="shared" si="388"/>
        <v>저수</v>
      </c>
      <c r="AI510" s="154" t="str">
        <f t="shared" si="389"/>
        <v>저수</v>
      </c>
      <c r="AJ510" s="154" t="str">
        <f t="shared" si="390"/>
        <v>고수</v>
      </c>
      <c r="AK510" s="154" t="str">
        <f t="shared" si="391"/>
        <v>고수</v>
      </c>
      <c r="AL510" s="154" t="str">
        <f t="shared" si="392"/>
        <v>4 : 2</v>
      </c>
      <c r="AM510" s="154">
        <f t="shared" si="393"/>
        <v>4</v>
      </c>
      <c r="AN510" s="154">
        <f t="shared" si="394"/>
        <v>2</v>
      </c>
      <c r="AO510" s="154">
        <f t="shared" si="395"/>
        <v>22</v>
      </c>
      <c r="AP510" s="154" t="str">
        <f t="shared" si="396"/>
        <v>X</v>
      </c>
      <c r="AQ510" s="154" t="str">
        <f t="shared" si="397"/>
        <v>X</v>
      </c>
      <c r="AR510" s="154" t="str">
        <f t="shared" si="398"/>
        <v>O</v>
      </c>
      <c r="AS510" s="154" t="str">
        <f t="shared" si="399"/>
        <v>X</v>
      </c>
      <c r="AT510" s="154" t="str">
        <f t="shared" si="400"/>
        <v>X</v>
      </c>
      <c r="AU510" s="154" t="str">
        <f t="shared" si="401"/>
        <v>X</v>
      </c>
      <c r="AV510" s="154" t="str">
        <f t="shared" si="402"/>
        <v>X</v>
      </c>
      <c r="AW510" s="154" t="str">
        <f t="shared" si="403"/>
        <v>X</v>
      </c>
      <c r="AX510" s="154" t="str">
        <f t="shared" si="404"/>
        <v>X</v>
      </c>
      <c r="AY510" s="154" t="str">
        <f t="shared" si="405"/>
        <v>X</v>
      </c>
      <c r="AZ510" s="154" t="str">
        <f t="shared" si="406"/>
        <v>X</v>
      </c>
      <c r="BA510" s="154" t="str">
        <f t="shared" si="407"/>
        <v>X</v>
      </c>
      <c r="BB510" s="154">
        <f t="shared" si="408"/>
        <v>1</v>
      </c>
      <c r="BC510" s="154" t="str">
        <f t="shared" si="409"/>
        <v>1G</v>
      </c>
      <c r="BD510" s="154" t="str">
        <f t="shared" si="410"/>
        <v>1G</v>
      </c>
      <c r="BE510" s="154" t="str">
        <f t="shared" si="411"/>
        <v>1G</v>
      </c>
      <c r="BF510" s="154" t="str">
        <f t="shared" si="412"/>
        <v>2G</v>
      </c>
      <c r="BG510" s="154" t="str">
        <f t="shared" si="413"/>
        <v>2G</v>
      </c>
      <c r="BH510" s="154" t="str">
        <f t="shared" si="414"/>
        <v>2G</v>
      </c>
      <c r="BI510" s="154">
        <f t="shared" si="371"/>
        <v>3</v>
      </c>
      <c r="BJ510" s="154">
        <f t="shared" si="372"/>
        <v>3</v>
      </c>
      <c r="BK510" s="154">
        <f t="shared" si="373"/>
        <v>0</v>
      </c>
      <c r="BL510" s="154" t="str">
        <f t="shared" si="415"/>
        <v>330</v>
      </c>
      <c r="BS510"/>
    </row>
    <row r="511" spans="1:93" ht="16.5" hidden="1">
      <c r="A511" s="18">
        <v>3</v>
      </c>
      <c r="B511" s="18">
        <v>507</v>
      </c>
      <c r="C511" s="363" t="s">
        <v>784</v>
      </c>
      <c r="N511" s="222">
        <v>12</v>
      </c>
      <c r="O511" s="222">
        <v>13</v>
      </c>
      <c r="P511" s="222">
        <v>32</v>
      </c>
      <c r="Q511" s="222">
        <v>33</v>
      </c>
      <c r="R511" s="222">
        <v>40</v>
      </c>
      <c r="S511" s="222">
        <v>41</v>
      </c>
      <c r="T511" s="222">
        <v>4</v>
      </c>
      <c r="U511" s="156">
        <f t="shared" si="376"/>
        <v>171</v>
      </c>
      <c r="W511" s="154" t="str">
        <f t="shared" si="377"/>
        <v>짝수</v>
      </c>
      <c r="X511" s="154" t="str">
        <f t="shared" si="378"/>
        <v>홀수</v>
      </c>
      <c r="Y511" s="154" t="str">
        <f t="shared" si="379"/>
        <v>짝수</v>
      </c>
      <c r="Z511" s="154" t="str">
        <f t="shared" si="380"/>
        <v>홀수</v>
      </c>
      <c r="AA511" s="28" t="str">
        <f t="shared" si="381"/>
        <v>짝수</v>
      </c>
      <c r="AB511" s="28" t="str">
        <f t="shared" si="382"/>
        <v>홀수</v>
      </c>
      <c r="AC511" s="154" t="str">
        <f t="shared" si="383"/>
        <v>3 : 3</v>
      </c>
      <c r="AD511" s="154">
        <f t="shared" si="384"/>
        <v>3</v>
      </c>
      <c r="AE511" s="154">
        <f t="shared" si="385"/>
        <v>3</v>
      </c>
      <c r="AF511" s="154" t="str">
        <f t="shared" si="386"/>
        <v>저수</v>
      </c>
      <c r="AG511" s="154" t="str">
        <f t="shared" si="387"/>
        <v>저수</v>
      </c>
      <c r="AH511" s="154" t="str">
        <f t="shared" si="388"/>
        <v>고수</v>
      </c>
      <c r="AI511" s="154" t="str">
        <f t="shared" si="389"/>
        <v>고수</v>
      </c>
      <c r="AJ511" s="154" t="str">
        <f t="shared" si="390"/>
        <v>고수</v>
      </c>
      <c r="AK511" s="154" t="str">
        <f t="shared" si="391"/>
        <v>고수</v>
      </c>
      <c r="AL511" s="154" t="str">
        <f t="shared" si="392"/>
        <v>2 : 4</v>
      </c>
      <c r="AM511" s="154">
        <f t="shared" si="393"/>
        <v>2</v>
      </c>
      <c r="AN511" s="154">
        <f t="shared" si="394"/>
        <v>4</v>
      </c>
      <c r="AO511" s="154">
        <f t="shared" si="395"/>
        <v>11</v>
      </c>
      <c r="AP511" s="154" t="str">
        <f t="shared" si="396"/>
        <v>X</v>
      </c>
      <c r="AQ511" s="154" t="str">
        <f t="shared" si="397"/>
        <v>O</v>
      </c>
      <c r="AR511" s="154" t="str">
        <f t="shared" si="398"/>
        <v>X</v>
      </c>
      <c r="AS511" s="154" t="str">
        <f t="shared" si="399"/>
        <v>X</v>
      </c>
      <c r="AT511" s="154" t="str">
        <f t="shared" si="400"/>
        <v>X</v>
      </c>
      <c r="AU511" s="154" t="str">
        <f t="shared" si="401"/>
        <v>X</v>
      </c>
      <c r="AV511" s="154" t="str">
        <f t="shared" si="402"/>
        <v>X</v>
      </c>
      <c r="AW511" s="154" t="str">
        <f t="shared" si="403"/>
        <v>X</v>
      </c>
      <c r="AX511" s="154" t="str">
        <f t="shared" si="404"/>
        <v>X</v>
      </c>
      <c r="AY511" s="154" t="str">
        <f t="shared" si="405"/>
        <v>X</v>
      </c>
      <c r="AZ511" s="154" t="str">
        <f t="shared" si="406"/>
        <v>X</v>
      </c>
      <c r="BA511" s="154" t="str">
        <f t="shared" si="407"/>
        <v>O</v>
      </c>
      <c r="BB511" s="154">
        <f t="shared" si="408"/>
        <v>2</v>
      </c>
      <c r="BC511" s="154" t="str">
        <f t="shared" si="409"/>
        <v>1G</v>
      </c>
      <c r="BD511" s="154" t="str">
        <f t="shared" si="410"/>
        <v>1G</v>
      </c>
      <c r="BE511" s="154" t="str">
        <f t="shared" si="411"/>
        <v>3G</v>
      </c>
      <c r="BF511" s="154" t="str">
        <f t="shared" si="412"/>
        <v>3G</v>
      </c>
      <c r="BG511" s="154" t="str">
        <f t="shared" si="413"/>
        <v>3G</v>
      </c>
      <c r="BH511" s="154" t="str">
        <f t="shared" si="414"/>
        <v>3G</v>
      </c>
      <c r="BI511" s="154">
        <f t="shared" si="371"/>
        <v>2</v>
      </c>
      <c r="BJ511" s="154">
        <f t="shared" si="372"/>
        <v>0</v>
      </c>
      <c r="BK511" s="154">
        <f t="shared" si="373"/>
        <v>4</v>
      </c>
      <c r="BL511" s="154" t="str">
        <f t="shared" si="415"/>
        <v>204</v>
      </c>
      <c r="BS511"/>
    </row>
    <row r="512" spans="1:93" ht="16.5" hidden="1">
      <c r="A512" s="18">
        <v>3</v>
      </c>
      <c r="B512" s="18">
        <v>508</v>
      </c>
      <c r="C512" s="363" t="s">
        <v>785</v>
      </c>
      <c r="N512" s="222">
        <v>5</v>
      </c>
      <c r="O512" s="222">
        <v>27</v>
      </c>
      <c r="P512" s="222">
        <v>31</v>
      </c>
      <c r="Q512" s="222">
        <v>34</v>
      </c>
      <c r="R512" s="158">
        <v>35</v>
      </c>
      <c r="S512" s="158">
        <v>43</v>
      </c>
      <c r="T512" s="158">
        <v>37</v>
      </c>
      <c r="U512" s="156">
        <f t="shared" si="376"/>
        <v>175</v>
      </c>
      <c r="V512" s="149"/>
      <c r="W512" s="154" t="str">
        <f t="shared" si="377"/>
        <v>홀수</v>
      </c>
      <c r="X512" s="154" t="str">
        <f t="shared" si="378"/>
        <v>홀수</v>
      </c>
      <c r="Y512" s="154" t="str">
        <f t="shared" si="379"/>
        <v>홀수</v>
      </c>
      <c r="Z512" s="154" t="str">
        <f t="shared" si="380"/>
        <v>짝수</v>
      </c>
      <c r="AA512" s="28" t="str">
        <f t="shared" si="381"/>
        <v>홀수</v>
      </c>
      <c r="AB512" s="28" t="str">
        <f t="shared" si="382"/>
        <v>홀수</v>
      </c>
      <c r="AC512" s="154" t="str">
        <f t="shared" si="383"/>
        <v>5 : 1</v>
      </c>
      <c r="AD512" s="154">
        <f t="shared" si="384"/>
        <v>5</v>
      </c>
      <c r="AE512" s="154">
        <f t="shared" si="385"/>
        <v>1</v>
      </c>
      <c r="AF512" s="154" t="str">
        <f t="shared" si="386"/>
        <v>저수</v>
      </c>
      <c r="AG512" s="154" t="str">
        <f t="shared" si="387"/>
        <v>고수</v>
      </c>
      <c r="AH512" s="154" t="str">
        <f t="shared" si="388"/>
        <v>고수</v>
      </c>
      <c r="AI512" s="154" t="str">
        <f t="shared" si="389"/>
        <v>고수</v>
      </c>
      <c r="AJ512" s="154" t="str">
        <f t="shared" si="390"/>
        <v>고수</v>
      </c>
      <c r="AK512" s="154" t="str">
        <f t="shared" si="391"/>
        <v>고수</v>
      </c>
      <c r="AL512" s="154" t="str">
        <f t="shared" si="392"/>
        <v>1 : 5</v>
      </c>
      <c r="AM512" s="154">
        <f t="shared" si="393"/>
        <v>1</v>
      </c>
      <c r="AN512" s="154">
        <f t="shared" si="394"/>
        <v>5</v>
      </c>
      <c r="AO512" s="154">
        <f t="shared" si="395"/>
        <v>25</v>
      </c>
      <c r="AP512" s="154" t="str">
        <f t="shared" si="396"/>
        <v>O</v>
      </c>
      <c r="AQ512" s="154" t="str">
        <f t="shared" si="397"/>
        <v>X</v>
      </c>
      <c r="AR512" s="154" t="str">
        <f t="shared" si="398"/>
        <v>X</v>
      </c>
      <c r="AS512" s="154" t="str">
        <f t="shared" si="399"/>
        <v>X</v>
      </c>
      <c r="AT512" s="154" t="str">
        <f t="shared" si="400"/>
        <v>X</v>
      </c>
      <c r="AU512" s="154" t="str">
        <f t="shared" si="401"/>
        <v>X</v>
      </c>
      <c r="AV512" s="154" t="str">
        <f t="shared" si="402"/>
        <v>X</v>
      </c>
      <c r="AW512" s="154" t="str">
        <f t="shared" si="403"/>
        <v>X</v>
      </c>
      <c r="AX512" s="154" t="str">
        <f t="shared" si="404"/>
        <v>O</v>
      </c>
      <c r="AY512" s="154" t="str">
        <f t="shared" si="405"/>
        <v>X</v>
      </c>
      <c r="AZ512" s="154" t="str">
        <f t="shared" si="406"/>
        <v>X</v>
      </c>
      <c r="BA512" s="154" t="str">
        <f t="shared" si="407"/>
        <v>O</v>
      </c>
      <c r="BB512" s="154">
        <f t="shared" si="408"/>
        <v>3</v>
      </c>
      <c r="BC512" s="154" t="str">
        <f t="shared" si="409"/>
        <v>1G</v>
      </c>
      <c r="BD512" s="154" t="str">
        <f t="shared" si="410"/>
        <v>2G</v>
      </c>
      <c r="BE512" s="154" t="str">
        <f t="shared" si="411"/>
        <v>3G</v>
      </c>
      <c r="BF512" s="154" t="str">
        <f t="shared" si="412"/>
        <v>3G</v>
      </c>
      <c r="BG512" s="154" t="str">
        <f t="shared" si="413"/>
        <v>3G</v>
      </c>
      <c r="BH512" s="154" t="str">
        <f t="shared" si="414"/>
        <v>3G</v>
      </c>
      <c r="BI512" s="154">
        <f t="shared" si="371"/>
        <v>1</v>
      </c>
      <c r="BJ512" s="154">
        <f t="shared" si="372"/>
        <v>1</v>
      </c>
      <c r="BK512" s="154">
        <f t="shared" si="373"/>
        <v>4</v>
      </c>
      <c r="BL512" s="154" t="str">
        <f t="shared" si="415"/>
        <v>114</v>
      </c>
      <c r="BM512" s="150"/>
      <c r="BN512" s="149"/>
      <c r="BO512" s="151"/>
      <c r="BP512" s="151"/>
      <c r="BQ512" s="151"/>
      <c r="BR512" s="151"/>
      <c r="BS512" s="151"/>
      <c r="BT512" s="151"/>
      <c r="BU512" s="151"/>
      <c r="BV512" s="151"/>
      <c r="BW512" s="149"/>
    </row>
    <row r="513" spans="1:75" ht="16.5" hidden="1">
      <c r="A513" s="18">
        <v>2</v>
      </c>
      <c r="B513" s="18">
        <v>509</v>
      </c>
      <c r="C513" s="363" t="s">
        <v>786</v>
      </c>
      <c r="N513" s="223">
        <v>12</v>
      </c>
      <c r="O513" s="223">
        <v>25</v>
      </c>
      <c r="P513" s="223">
        <v>29</v>
      </c>
      <c r="Q513" s="223">
        <v>35</v>
      </c>
      <c r="R513" s="159">
        <v>42</v>
      </c>
      <c r="S513" s="159">
        <v>43</v>
      </c>
      <c r="T513" s="159">
        <v>24</v>
      </c>
      <c r="U513" s="156">
        <f t="shared" si="376"/>
        <v>186</v>
      </c>
      <c r="V513" s="149"/>
      <c r="W513" s="154" t="str">
        <f t="shared" si="377"/>
        <v>짝수</v>
      </c>
      <c r="X513" s="154" t="str">
        <f t="shared" si="378"/>
        <v>홀수</v>
      </c>
      <c r="Y513" s="154" t="str">
        <f t="shared" si="379"/>
        <v>홀수</v>
      </c>
      <c r="Z513" s="154" t="str">
        <f t="shared" si="380"/>
        <v>홀수</v>
      </c>
      <c r="AA513" s="28" t="str">
        <f t="shared" si="381"/>
        <v>짝수</v>
      </c>
      <c r="AB513" s="28" t="str">
        <f t="shared" si="382"/>
        <v>홀수</v>
      </c>
      <c r="AC513" s="154" t="str">
        <f t="shared" si="383"/>
        <v>4 : 2</v>
      </c>
      <c r="AD513" s="154">
        <f t="shared" si="384"/>
        <v>4</v>
      </c>
      <c r="AE513" s="154">
        <f t="shared" si="385"/>
        <v>2</v>
      </c>
      <c r="AF513" s="154" t="str">
        <f t="shared" si="386"/>
        <v>저수</v>
      </c>
      <c r="AG513" s="154" t="str">
        <f t="shared" si="387"/>
        <v>고수</v>
      </c>
      <c r="AH513" s="154" t="str">
        <f t="shared" si="388"/>
        <v>고수</v>
      </c>
      <c r="AI513" s="154" t="str">
        <f t="shared" si="389"/>
        <v>고수</v>
      </c>
      <c r="AJ513" s="154" t="str">
        <f t="shared" si="390"/>
        <v>고수</v>
      </c>
      <c r="AK513" s="154" t="str">
        <f t="shared" si="391"/>
        <v>고수</v>
      </c>
      <c r="AL513" s="154" t="str">
        <f t="shared" si="392"/>
        <v>1 : 5</v>
      </c>
      <c r="AM513" s="154">
        <f t="shared" si="393"/>
        <v>1</v>
      </c>
      <c r="AN513" s="154">
        <f t="shared" si="394"/>
        <v>5</v>
      </c>
      <c r="AO513" s="154">
        <f t="shared" si="395"/>
        <v>26</v>
      </c>
      <c r="AP513" s="154" t="str">
        <f t="shared" si="396"/>
        <v>X</v>
      </c>
      <c r="AQ513" s="154" t="str">
        <f t="shared" si="397"/>
        <v>X</v>
      </c>
      <c r="AR513" s="154" t="str">
        <f t="shared" si="398"/>
        <v>X</v>
      </c>
      <c r="AS513" s="154" t="str">
        <f t="shared" si="399"/>
        <v>X</v>
      </c>
      <c r="AT513" s="154" t="str">
        <f t="shared" si="400"/>
        <v>X</v>
      </c>
      <c r="AU513" s="154" t="str">
        <f t="shared" si="401"/>
        <v>X</v>
      </c>
      <c r="AV513" s="154" t="str">
        <f t="shared" si="402"/>
        <v>X</v>
      </c>
      <c r="AW513" s="154" t="str">
        <f t="shared" si="403"/>
        <v>X</v>
      </c>
      <c r="AX513" s="154" t="str">
        <f t="shared" si="404"/>
        <v>O</v>
      </c>
      <c r="AY513" s="154" t="str">
        <f t="shared" si="405"/>
        <v>X</v>
      </c>
      <c r="AZ513" s="154" t="str">
        <f t="shared" si="406"/>
        <v>X</v>
      </c>
      <c r="BA513" s="154" t="str">
        <f t="shared" si="407"/>
        <v>O</v>
      </c>
      <c r="BB513" s="154">
        <f t="shared" si="408"/>
        <v>2</v>
      </c>
      <c r="BC513" s="154" t="str">
        <f t="shared" si="409"/>
        <v>1G</v>
      </c>
      <c r="BD513" s="154" t="str">
        <f t="shared" si="410"/>
        <v>2G</v>
      </c>
      <c r="BE513" s="154" t="str">
        <f t="shared" si="411"/>
        <v>2G</v>
      </c>
      <c r="BF513" s="154" t="str">
        <f t="shared" si="412"/>
        <v>3G</v>
      </c>
      <c r="BG513" s="154" t="str">
        <f t="shared" si="413"/>
        <v>3G</v>
      </c>
      <c r="BH513" s="154" t="str">
        <f t="shared" si="414"/>
        <v>3G</v>
      </c>
      <c r="BI513" s="154">
        <f t="shared" si="371"/>
        <v>1</v>
      </c>
      <c r="BJ513" s="154">
        <f t="shared" si="372"/>
        <v>2</v>
      </c>
      <c r="BK513" s="154">
        <f t="shared" si="373"/>
        <v>3</v>
      </c>
      <c r="BL513" s="154" t="str">
        <f t="shared" si="415"/>
        <v>123</v>
      </c>
      <c r="BM513" s="150"/>
      <c r="BN513" s="149"/>
      <c r="BO513" s="151"/>
      <c r="BP513" s="151"/>
      <c r="BQ513" s="151"/>
      <c r="BR513" s="151"/>
      <c r="BS513" s="151"/>
      <c r="BT513" s="151"/>
      <c r="BU513" s="151"/>
      <c r="BV513" s="151"/>
      <c r="BW513" s="149"/>
    </row>
    <row r="514" spans="1:75" ht="16.5" hidden="1">
      <c r="A514" s="18">
        <v>2</v>
      </c>
      <c r="B514" s="18">
        <v>510</v>
      </c>
      <c r="C514" s="363" t="s">
        <v>787</v>
      </c>
      <c r="N514" s="203">
        <v>12</v>
      </c>
      <c r="O514" s="203">
        <v>29</v>
      </c>
      <c r="P514" s="203">
        <v>32</v>
      </c>
      <c r="Q514" s="203">
        <v>33</v>
      </c>
      <c r="R514" s="160">
        <v>39</v>
      </c>
      <c r="S514" s="160">
        <v>40</v>
      </c>
      <c r="T514" s="160">
        <v>42</v>
      </c>
      <c r="U514" s="156">
        <f t="shared" si="376"/>
        <v>185</v>
      </c>
      <c r="V514" s="149"/>
      <c r="W514" s="154" t="str">
        <f t="shared" si="377"/>
        <v>짝수</v>
      </c>
      <c r="X514" s="154" t="str">
        <f t="shared" si="378"/>
        <v>홀수</v>
      </c>
      <c r="Y514" s="154" t="str">
        <f t="shared" si="379"/>
        <v>짝수</v>
      </c>
      <c r="Z514" s="154" t="str">
        <f t="shared" si="380"/>
        <v>홀수</v>
      </c>
      <c r="AA514" s="28" t="str">
        <f t="shared" si="381"/>
        <v>홀수</v>
      </c>
      <c r="AB514" s="28" t="str">
        <f t="shared" si="382"/>
        <v>짝수</v>
      </c>
      <c r="AC514" s="154" t="str">
        <f t="shared" si="383"/>
        <v>3 : 3</v>
      </c>
      <c r="AD514" s="154">
        <f t="shared" si="384"/>
        <v>3</v>
      </c>
      <c r="AE514" s="154">
        <f t="shared" si="385"/>
        <v>3</v>
      </c>
      <c r="AF514" s="154" t="str">
        <f t="shared" si="386"/>
        <v>저수</v>
      </c>
      <c r="AG514" s="154" t="str">
        <f t="shared" si="387"/>
        <v>고수</v>
      </c>
      <c r="AH514" s="154" t="str">
        <f t="shared" si="388"/>
        <v>고수</v>
      </c>
      <c r="AI514" s="154" t="str">
        <f t="shared" si="389"/>
        <v>고수</v>
      </c>
      <c r="AJ514" s="154" t="str">
        <f t="shared" si="390"/>
        <v>고수</v>
      </c>
      <c r="AK514" s="154" t="str">
        <f t="shared" si="391"/>
        <v>고수</v>
      </c>
      <c r="AL514" s="154" t="str">
        <f t="shared" si="392"/>
        <v>1 : 5</v>
      </c>
      <c r="AM514" s="154">
        <f t="shared" si="393"/>
        <v>1</v>
      </c>
      <c r="AN514" s="154">
        <f t="shared" si="394"/>
        <v>5</v>
      </c>
      <c r="AO514" s="154">
        <f t="shared" si="395"/>
        <v>25</v>
      </c>
      <c r="AP514" s="154" t="str">
        <f t="shared" si="396"/>
        <v>X</v>
      </c>
      <c r="AQ514" s="154" t="str">
        <f t="shared" si="397"/>
        <v>X</v>
      </c>
      <c r="AR514" s="154" t="str">
        <f t="shared" si="398"/>
        <v>X</v>
      </c>
      <c r="AS514" s="154" t="str">
        <f t="shared" si="399"/>
        <v>X</v>
      </c>
      <c r="AT514" s="154" t="str">
        <f t="shared" si="400"/>
        <v>X</v>
      </c>
      <c r="AU514" s="154" t="str">
        <f t="shared" si="401"/>
        <v>X</v>
      </c>
      <c r="AV514" s="154" t="str">
        <f t="shared" si="402"/>
        <v>X</v>
      </c>
      <c r="AW514" s="154" t="str">
        <f t="shared" si="403"/>
        <v>O</v>
      </c>
      <c r="AX514" s="154" t="str">
        <f t="shared" si="404"/>
        <v>X</v>
      </c>
      <c r="AY514" s="154" t="str">
        <f t="shared" si="405"/>
        <v>X</v>
      </c>
      <c r="AZ514" s="154" t="str">
        <f t="shared" si="406"/>
        <v>X</v>
      </c>
      <c r="BA514" s="154" t="str">
        <f t="shared" si="407"/>
        <v>X</v>
      </c>
      <c r="BB514" s="154">
        <f t="shared" si="408"/>
        <v>1</v>
      </c>
      <c r="BC514" s="154" t="str">
        <f t="shared" si="409"/>
        <v>1G</v>
      </c>
      <c r="BD514" s="154" t="str">
        <f t="shared" si="410"/>
        <v>2G</v>
      </c>
      <c r="BE514" s="154" t="str">
        <f t="shared" si="411"/>
        <v>3G</v>
      </c>
      <c r="BF514" s="154" t="str">
        <f t="shared" si="412"/>
        <v>3G</v>
      </c>
      <c r="BG514" s="154" t="str">
        <f t="shared" si="413"/>
        <v>3G</v>
      </c>
      <c r="BH514" s="154" t="str">
        <f t="shared" si="414"/>
        <v>3G</v>
      </c>
      <c r="BI514" s="154">
        <f t="shared" si="371"/>
        <v>1</v>
      </c>
      <c r="BJ514" s="154">
        <f t="shared" si="372"/>
        <v>1</v>
      </c>
      <c r="BK514" s="154">
        <f t="shared" si="373"/>
        <v>4</v>
      </c>
      <c r="BL514" s="154" t="str">
        <f t="shared" si="415"/>
        <v>114</v>
      </c>
      <c r="BM514" s="150"/>
      <c r="BN514" s="149"/>
      <c r="BO514" s="151"/>
      <c r="BP514" s="151"/>
      <c r="BQ514" s="151"/>
      <c r="BR514" s="151"/>
      <c r="BS514" s="151"/>
      <c r="BT514" s="151"/>
      <c r="BU514" s="151"/>
      <c r="BV514" s="151"/>
      <c r="BW514" s="149"/>
    </row>
    <row r="515" spans="1:75" ht="16.5" hidden="1">
      <c r="A515" s="18">
        <v>2</v>
      </c>
      <c r="B515" s="18">
        <v>511</v>
      </c>
      <c r="C515" s="363" t="s">
        <v>788</v>
      </c>
      <c r="N515" s="224">
        <v>3</v>
      </c>
      <c r="O515" s="224">
        <v>7</v>
      </c>
      <c r="P515" s="224">
        <v>14</v>
      </c>
      <c r="Q515" s="224">
        <v>23</v>
      </c>
      <c r="R515" s="161">
        <v>26</v>
      </c>
      <c r="S515" s="161">
        <v>42</v>
      </c>
      <c r="T515" s="161">
        <v>24</v>
      </c>
      <c r="U515" s="156">
        <f t="shared" si="376"/>
        <v>115</v>
      </c>
      <c r="V515" s="149"/>
      <c r="W515" s="154" t="str">
        <f t="shared" si="377"/>
        <v>홀수</v>
      </c>
      <c r="X515" s="154" t="str">
        <f t="shared" si="378"/>
        <v>홀수</v>
      </c>
      <c r="Y515" s="154" t="str">
        <f t="shared" si="379"/>
        <v>짝수</v>
      </c>
      <c r="Z515" s="154" t="str">
        <f t="shared" si="380"/>
        <v>홀수</v>
      </c>
      <c r="AA515" s="28" t="str">
        <f t="shared" si="381"/>
        <v>짝수</v>
      </c>
      <c r="AB515" s="28" t="str">
        <f t="shared" si="382"/>
        <v>짝수</v>
      </c>
      <c r="AC515" s="154" t="str">
        <f t="shared" si="383"/>
        <v>3 : 3</v>
      </c>
      <c r="AD515" s="154">
        <f t="shared" si="384"/>
        <v>3</v>
      </c>
      <c r="AE515" s="154">
        <f t="shared" si="385"/>
        <v>3</v>
      </c>
      <c r="AF515" s="154" t="str">
        <f t="shared" si="386"/>
        <v>저수</v>
      </c>
      <c r="AG515" s="154" t="str">
        <f t="shared" si="387"/>
        <v>저수</v>
      </c>
      <c r="AH515" s="154" t="str">
        <f t="shared" si="388"/>
        <v>저수</v>
      </c>
      <c r="AI515" s="154" t="str">
        <f t="shared" si="389"/>
        <v>고수</v>
      </c>
      <c r="AJ515" s="154" t="str">
        <f t="shared" si="390"/>
        <v>고수</v>
      </c>
      <c r="AK515" s="154" t="str">
        <f t="shared" si="391"/>
        <v>고수</v>
      </c>
      <c r="AL515" s="154" t="str">
        <f t="shared" si="392"/>
        <v>3 : 3</v>
      </c>
      <c r="AM515" s="154">
        <f t="shared" si="393"/>
        <v>3</v>
      </c>
      <c r="AN515" s="154">
        <f t="shared" si="394"/>
        <v>3</v>
      </c>
      <c r="AO515" s="154">
        <f t="shared" si="395"/>
        <v>25</v>
      </c>
      <c r="AP515" s="154" t="str">
        <f t="shared" si="396"/>
        <v>O</v>
      </c>
      <c r="AQ515" s="154" t="str">
        <f t="shared" si="397"/>
        <v>O</v>
      </c>
      <c r="AR515" s="154" t="str">
        <f t="shared" si="398"/>
        <v>X</v>
      </c>
      <c r="AS515" s="154" t="str">
        <f t="shared" si="399"/>
        <v>X</v>
      </c>
      <c r="AT515" s="154" t="str">
        <f t="shared" si="400"/>
        <v>X</v>
      </c>
      <c r="AU515" s="154" t="str">
        <f t="shared" si="401"/>
        <v>X</v>
      </c>
      <c r="AV515" s="154" t="str">
        <f t="shared" si="402"/>
        <v>X</v>
      </c>
      <c r="AW515" s="154" t="str">
        <f t="shared" si="403"/>
        <v>X</v>
      </c>
      <c r="AX515" s="154" t="str">
        <f t="shared" si="404"/>
        <v>X</v>
      </c>
      <c r="AY515" s="154" t="str">
        <f t="shared" si="405"/>
        <v>O</v>
      </c>
      <c r="AZ515" s="154" t="str">
        <f t="shared" si="406"/>
        <v>X</v>
      </c>
      <c r="BA515" s="154" t="str">
        <f t="shared" si="407"/>
        <v>X</v>
      </c>
      <c r="BB515" s="154">
        <f t="shared" si="408"/>
        <v>3</v>
      </c>
      <c r="BC515" s="154" t="str">
        <f t="shared" si="409"/>
        <v>1G</v>
      </c>
      <c r="BD515" s="154" t="str">
        <f t="shared" si="410"/>
        <v>1G</v>
      </c>
      <c r="BE515" s="154" t="str">
        <f t="shared" si="411"/>
        <v>1G</v>
      </c>
      <c r="BF515" s="154" t="str">
        <f t="shared" si="412"/>
        <v>2G</v>
      </c>
      <c r="BG515" s="154" t="str">
        <f t="shared" si="413"/>
        <v>2G</v>
      </c>
      <c r="BH515" s="154" t="str">
        <f t="shared" si="414"/>
        <v>3G</v>
      </c>
      <c r="BI515" s="154">
        <f t="shared" si="371"/>
        <v>3</v>
      </c>
      <c r="BJ515" s="154">
        <f t="shared" si="372"/>
        <v>2</v>
      </c>
      <c r="BK515" s="154">
        <f t="shared" si="373"/>
        <v>1</v>
      </c>
      <c r="BL515" s="154" t="str">
        <f t="shared" si="415"/>
        <v>321</v>
      </c>
      <c r="BM515" s="150"/>
      <c r="BN515" s="149"/>
      <c r="BO515" s="151"/>
      <c r="BP515" s="151"/>
      <c r="BQ515" s="151"/>
      <c r="BR515" s="151"/>
      <c r="BS515" s="151"/>
      <c r="BT515" s="151"/>
      <c r="BU515" s="151"/>
      <c r="BV515" s="151"/>
      <c r="BW515" s="149"/>
    </row>
    <row r="516" spans="1:75" ht="16.5" hidden="1">
      <c r="A516" s="18">
        <v>2</v>
      </c>
      <c r="B516" s="18">
        <v>512</v>
      </c>
      <c r="C516" s="363" t="s">
        <v>789</v>
      </c>
      <c r="N516" s="224">
        <v>4</v>
      </c>
      <c r="O516" s="224">
        <v>5</v>
      </c>
      <c r="P516" s="224">
        <v>9</v>
      </c>
      <c r="Q516" s="224">
        <v>12</v>
      </c>
      <c r="R516" s="161">
        <v>26</v>
      </c>
      <c r="S516" s="161">
        <v>27</v>
      </c>
      <c r="T516" s="161">
        <v>1</v>
      </c>
      <c r="U516" s="156">
        <f t="shared" si="376"/>
        <v>83</v>
      </c>
      <c r="V516" s="149"/>
      <c r="W516" s="154" t="str">
        <f t="shared" si="377"/>
        <v>짝수</v>
      </c>
      <c r="X516" s="154" t="str">
        <f t="shared" si="378"/>
        <v>홀수</v>
      </c>
      <c r="Y516" s="154" t="str">
        <f t="shared" si="379"/>
        <v>홀수</v>
      </c>
      <c r="Z516" s="154" t="str">
        <f t="shared" si="380"/>
        <v>짝수</v>
      </c>
      <c r="AA516" s="28" t="str">
        <f t="shared" si="381"/>
        <v>짝수</v>
      </c>
      <c r="AB516" s="28" t="str">
        <f t="shared" si="382"/>
        <v>홀수</v>
      </c>
      <c r="AC516" s="154" t="str">
        <f t="shared" si="383"/>
        <v>3 : 3</v>
      </c>
      <c r="AD516" s="154">
        <f t="shared" si="384"/>
        <v>3</v>
      </c>
      <c r="AE516" s="154">
        <f t="shared" si="385"/>
        <v>3</v>
      </c>
      <c r="AF516" s="154" t="str">
        <f t="shared" si="386"/>
        <v>저수</v>
      </c>
      <c r="AG516" s="154" t="str">
        <f t="shared" si="387"/>
        <v>저수</v>
      </c>
      <c r="AH516" s="154" t="str">
        <f t="shared" si="388"/>
        <v>저수</v>
      </c>
      <c r="AI516" s="154" t="str">
        <f t="shared" si="389"/>
        <v>저수</v>
      </c>
      <c r="AJ516" s="154" t="str">
        <f t="shared" si="390"/>
        <v>고수</v>
      </c>
      <c r="AK516" s="154" t="str">
        <f t="shared" si="391"/>
        <v>고수</v>
      </c>
      <c r="AL516" s="154" t="str">
        <f t="shared" si="392"/>
        <v>4 : 2</v>
      </c>
      <c r="AM516" s="154">
        <f t="shared" si="393"/>
        <v>4</v>
      </c>
      <c r="AN516" s="154">
        <f t="shared" si="394"/>
        <v>2</v>
      </c>
      <c r="AO516" s="154">
        <f t="shared" si="395"/>
        <v>33</v>
      </c>
      <c r="AP516" s="154" t="str">
        <f t="shared" si="396"/>
        <v>X</v>
      </c>
      <c r="AQ516" s="154" t="str">
        <f t="shared" si="397"/>
        <v>O</v>
      </c>
      <c r="AR516" s="154" t="str">
        <f t="shared" si="398"/>
        <v>X</v>
      </c>
      <c r="AS516" s="154" t="str">
        <f t="shared" si="399"/>
        <v>X</v>
      </c>
      <c r="AT516" s="154" t="str">
        <f t="shared" si="400"/>
        <v>X</v>
      </c>
      <c r="AU516" s="154" t="str">
        <f t="shared" si="401"/>
        <v>X</v>
      </c>
      <c r="AV516" s="154" t="str">
        <f t="shared" si="402"/>
        <v>X</v>
      </c>
      <c r="AW516" s="154" t="str">
        <f t="shared" si="403"/>
        <v>X</v>
      </c>
      <c r="AX516" s="154" t="str">
        <f t="shared" si="404"/>
        <v>X</v>
      </c>
      <c r="AY516" s="154" t="str">
        <f t="shared" si="405"/>
        <v>X</v>
      </c>
      <c r="AZ516" s="154" t="str">
        <f t="shared" si="406"/>
        <v>X</v>
      </c>
      <c r="BA516" s="154" t="str">
        <f t="shared" si="407"/>
        <v>X</v>
      </c>
      <c r="BB516" s="154">
        <f t="shared" si="408"/>
        <v>1</v>
      </c>
      <c r="BC516" s="154" t="str">
        <f t="shared" si="409"/>
        <v>1G</v>
      </c>
      <c r="BD516" s="154" t="str">
        <f t="shared" si="410"/>
        <v>1G</v>
      </c>
      <c r="BE516" s="154" t="str">
        <f t="shared" si="411"/>
        <v>1G</v>
      </c>
      <c r="BF516" s="154" t="str">
        <f t="shared" si="412"/>
        <v>1G</v>
      </c>
      <c r="BG516" s="154" t="str">
        <f t="shared" si="413"/>
        <v>2G</v>
      </c>
      <c r="BH516" s="154" t="str">
        <f t="shared" si="414"/>
        <v>2G</v>
      </c>
      <c r="BI516" s="154">
        <f t="shared" si="371"/>
        <v>4</v>
      </c>
      <c r="BJ516" s="154">
        <f t="shared" si="372"/>
        <v>2</v>
      </c>
      <c r="BK516" s="154">
        <f t="shared" si="373"/>
        <v>0</v>
      </c>
      <c r="BL516" s="154" t="str">
        <f t="shared" si="415"/>
        <v>420</v>
      </c>
      <c r="BM516" s="150"/>
      <c r="BN516" s="149"/>
      <c r="BO516" s="151"/>
      <c r="BP516" s="151"/>
      <c r="BQ516" s="151"/>
      <c r="BR516" s="151"/>
      <c r="BS516" s="151"/>
      <c r="BT516" s="151"/>
      <c r="BU516" s="151"/>
      <c r="BV516" s="151"/>
      <c r="BW516" s="149"/>
    </row>
    <row r="517" spans="1:75" ht="16.5" hidden="1">
      <c r="A517" s="18">
        <v>2</v>
      </c>
      <c r="B517" s="18">
        <v>513</v>
      </c>
      <c r="C517" s="363" t="s">
        <v>790</v>
      </c>
      <c r="N517" s="224">
        <v>5</v>
      </c>
      <c r="O517" s="224">
        <v>8</v>
      </c>
      <c r="P517" s="224">
        <v>21</v>
      </c>
      <c r="Q517" s="224">
        <v>23</v>
      </c>
      <c r="R517" s="161">
        <v>27</v>
      </c>
      <c r="S517" s="161">
        <v>33</v>
      </c>
      <c r="T517" s="161">
        <v>12</v>
      </c>
      <c r="U517" s="156">
        <f t="shared" si="376"/>
        <v>117</v>
      </c>
      <c r="V517" s="149"/>
      <c r="W517" s="154" t="str">
        <f t="shared" si="377"/>
        <v>홀수</v>
      </c>
      <c r="X517" s="154" t="str">
        <f t="shared" si="378"/>
        <v>짝수</v>
      </c>
      <c r="Y517" s="154" t="str">
        <f t="shared" si="379"/>
        <v>홀수</v>
      </c>
      <c r="Z517" s="154" t="str">
        <f t="shared" si="380"/>
        <v>홀수</v>
      </c>
      <c r="AA517" s="28" t="str">
        <f t="shared" si="381"/>
        <v>홀수</v>
      </c>
      <c r="AB517" s="28" t="str">
        <f t="shared" si="382"/>
        <v>홀수</v>
      </c>
      <c r="AC517" s="154" t="str">
        <f t="shared" si="383"/>
        <v>5 : 1</v>
      </c>
      <c r="AD517" s="154">
        <f t="shared" si="384"/>
        <v>5</v>
      </c>
      <c r="AE517" s="154">
        <f t="shared" si="385"/>
        <v>1</v>
      </c>
      <c r="AF517" s="154" t="str">
        <f t="shared" si="386"/>
        <v>저수</v>
      </c>
      <c r="AG517" s="154" t="str">
        <f t="shared" si="387"/>
        <v>저수</v>
      </c>
      <c r="AH517" s="154" t="str">
        <f t="shared" si="388"/>
        <v>저수</v>
      </c>
      <c r="AI517" s="154" t="str">
        <f t="shared" si="389"/>
        <v>고수</v>
      </c>
      <c r="AJ517" s="154" t="str">
        <f t="shared" si="390"/>
        <v>고수</v>
      </c>
      <c r="AK517" s="154" t="str">
        <f t="shared" si="391"/>
        <v>고수</v>
      </c>
      <c r="AL517" s="154" t="str">
        <f t="shared" si="392"/>
        <v>3 : 3</v>
      </c>
      <c r="AM517" s="154">
        <f t="shared" si="393"/>
        <v>3</v>
      </c>
      <c r="AN517" s="154">
        <f t="shared" si="394"/>
        <v>3</v>
      </c>
      <c r="AO517" s="154">
        <f t="shared" si="395"/>
        <v>27</v>
      </c>
      <c r="AP517" s="154" t="str">
        <f t="shared" si="396"/>
        <v>O</v>
      </c>
      <c r="AQ517" s="154" t="str">
        <f t="shared" si="397"/>
        <v>X</v>
      </c>
      <c r="AR517" s="154" t="str">
        <f t="shared" si="398"/>
        <v>X</v>
      </c>
      <c r="AS517" s="154" t="str">
        <f t="shared" si="399"/>
        <v>X</v>
      </c>
      <c r="AT517" s="154" t="str">
        <f t="shared" si="400"/>
        <v>X</v>
      </c>
      <c r="AU517" s="154" t="str">
        <f t="shared" si="401"/>
        <v>X</v>
      </c>
      <c r="AV517" s="154" t="str">
        <f t="shared" si="402"/>
        <v>X</v>
      </c>
      <c r="AW517" s="154" t="str">
        <f t="shared" si="403"/>
        <v>X</v>
      </c>
      <c r="AX517" s="154" t="str">
        <f t="shared" si="404"/>
        <v>X</v>
      </c>
      <c r="AY517" s="154" t="str">
        <f t="shared" si="405"/>
        <v>O</v>
      </c>
      <c r="AZ517" s="154" t="str">
        <f t="shared" si="406"/>
        <v>X</v>
      </c>
      <c r="BA517" s="154" t="str">
        <f t="shared" si="407"/>
        <v>X</v>
      </c>
      <c r="BB517" s="154">
        <f t="shared" si="408"/>
        <v>2</v>
      </c>
      <c r="BC517" s="154" t="str">
        <f t="shared" si="409"/>
        <v>1G</v>
      </c>
      <c r="BD517" s="154" t="str">
        <f t="shared" si="410"/>
        <v>1G</v>
      </c>
      <c r="BE517" s="154" t="str">
        <f t="shared" si="411"/>
        <v>2G</v>
      </c>
      <c r="BF517" s="154" t="str">
        <f t="shared" si="412"/>
        <v>2G</v>
      </c>
      <c r="BG517" s="154" t="str">
        <f t="shared" si="413"/>
        <v>2G</v>
      </c>
      <c r="BH517" s="154" t="str">
        <f t="shared" si="414"/>
        <v>3G</v>
      </c>
      <c r="BI517" s="154">
        <f t="shared" si="371"/>
        <v>2</v>
      </c>
      <c r="BJ517" s="154">
        <f t="shared" si="372"/>
        <v>3</v>
      </c>
      <c r="BK517" s="154">
        <f t="shared" si="373"/>
        <v>1</v>
      </c>
      <c r="BL517" s="154" t="str">
        <f t="shared" si="415"/>
        <v>231</v>
      </c>
      <c r="BM517" s="150"/>
      <c r="BN517" s="149"/>
      <c r="BO517" s="151"/>
      <c r="BP517" s="151"/>
      <c r="BQ517" s="151"/>
      <c r="BR517" s="151"/>
      <c r="BS517" s="151"/>
      <c r="BT517" s="151"/>
      <c r="BU517" s="151"/>
      <c r="BV517" s="151"/>
      <c r="BW517" s="149"/>
    </row>
    <row r="518" spans="1:75" ht="16.5" hidden="1">
      <c r="A518" s="18">
        <v>3</v>
      </c>
      <c r="B518" s="18">
        <v>514</v>
      </c>
      <c r="C518" s="363" t="s">
        <v>791</v>
      </c>
      <c r="N518" s="224">
        <v>1</v>
      </c>
      <c r="O518" s="224">
        <v>15</v>
      </c>
      <c r="P518" s="224">
        <v>20</v>
      </c>
      <c r="Q518" s="224">
        <v>26</v>
      </c>
      <c r="R518" s="161">
        <v>35</v>
      </c>
      <c r="S518" s="161">
        <v>42</v>
      </c>
      <c r="T518" s="161">
        <v>9</v>
      </c>
      <c r="U518" s="156">
        <f t="shared" si="376"/>
        <v>139</v>
      </c>
      <c r="V518" s="149"/>
      <c r="W518" s="154" t="str">
        <f t="shared" si="377"/>
        <v>홀수</v>
      </c>
      <c r="X518" s="154" t="str">
        <f t="shared" si="378"/>
        <v>홀수</v>
      </c>
      <c r="Y518" s="154" t="str">
        <f t="shared" si="379"/>
        <v>짝수</v>
      </c>
      <c r="Z518" s="154" t="str">
        <f t="shared" si="380"/>
        <v>짝수</v>
      </c>
      <c r="AA518" s="28" t="str">
        <f t="shared" si="381"/>
        <v>홀수</v>
      </c>
      <c r="AB518" s="28" t="str">
        <f t="shared" si="382"/>
        <v>짝수</v>
      </c>
      <c r="AC518" s="154" t="str">
        <f t="shared" si="383"/>
        <v>3 : 3</v>
      </c>
      <c r="AD518" s="154">
        <f t="shared" si="384"/>
        <v>3</v>
      </c>
      <c r="AE518" s="154">
        <f t="shared" si="385"/>
        <v>3</v>
      </c>
      <c r="AF518" s="154" t="str">
        <f t="shared" si="386"/>
        <v>저수</v>
      </c>
      <c r="AG518" s="154" t="str">
        <f t="shared" si="387"/>
        <v>저수</v>
      </c>
      <c r="AH518" s="154" t="str">
        <f t="shared" si="388"/>
        <v>저수</v>
      </c>
      <c r="AI518" s="154" t="str">
        <f t="shared" si="389"/>
        <v>고수</v>
      </c>
      <c r="AJ518" s="154" t="str">
        <f t="shared" si="390"/>
        <v>고수</v>
      </c>
      <c r="AK518" s="154" t="str">
        <f t="shared" si="391"/>
        <v>고수</v>
      </c>
      <c r="AL518" s="154" t="str">
        <f t="shared" si="392"/>
        <v>3 : 3</v>
      </c>
      <c r="AM518" s="154">
        <f t="shared" si="393"/>
        <v>3</v>
      </c>
      <c r="AN518" s="154">
        <f t="shared" si="394"/>
        <v>3</v>
      </c>
      <c r="AO518" s="154">
        <f t="shared" si="395"/>
        <v>19</v>
      </c>
      <c r="AP518" s="154" t="str">
        <f t="shared" si="396"/>
        <v>X</v>
      </c>
      <c r="AQ518" s="154" t="str">
        <f t="shared" si="397"/>
        <v>X</v>
      </c>
      <c r="AR518" s="154" t="str">
        <f t="shared" si="398"/>
        <v>X</v>
      </c>
      <c r="AS518" s="154" t="str">
        <f t="shared" si="399"/>
        <v>X</v>
      </c>
      <c r="AT518" s="154" t="str">
        <f t="shared" si="400"/>
        <v>X</v>
      </c>
      <c r="AU518" s="154" t="str">
        <f t="shared" si="401"/>
        <v>X</v>
      </c>
      <c r="AV518" s="154" t="str">
        <f t="shared" si="402"/>
        <v>X</v>
      </c>
      <c r="AW518" s="154" t="str">
        <f t="shared" si="403"/>
        <v>X</v>
      </c>
      <c r="AX518" s="154" t="str">
        <f t="shared" si="404"/>
        <v>X</v>
      </c>
      <c r="AY518" s="154" t="str">
        <f t="shared" si="405"/>
        <v>X</v>
      </c>
      <c r="AZ518" s="154" t="str">
        <f t="shared" si="406"/>
        <v>X</v>
      </c>
      <c r="BA518" s="154" t="str">
        <f t="shared" si="407"/>
        <v>X</v>
      </c>
      <c r="BB518" s="154">
        <f t="shared" si="408"/>
        <v>0</v>
      </c>
      <c r="BC518" s="154" t="str">
        <f t="shared" si="409"/>
        <v>1G</v>
      </c>
      <c r="BD518" s="154" t="str">
        <f t="shared" si="410"/>
        <v>1G</v>
      </c>
      <c r="BE518" s="154" t="str">
        <f t="shared" si="411"/>
        <v>2G</v>
      </c>
      <c r="BF518" s="154" t="str">
        <f t="shared" si="412"/>
        <v>2G</v>
      </c>
      <c r="BG518" s="154" t="str">
        <f t="shared" si="413"/>
        <v>3G</v>
      </c>
      <c r="BH518" s="154" t="str">
        <f t="shared" si="414"/>
        <v>3G</v>
      </c>
      <c r="BI518" s="154">
        <f t="shared" ref="BI518:BI581" si="416">COUNTIF($BC518:$BH518,"1G")</f>
        <v>2</v>
      </c>
      <c r="BJ518" s="154">
        <f t="shared" ref="BJ518:BJ581" si="417">COUNTIF($BC518:$BH518,"2G")</f>
        <v>2</v>
      </c>
      <c r="BK518" s="154">
        <f t="shared" ref="BK518:BK581" si="418">COUNTIF($BC518:$BH518,"3G")</f>
        <v>2</v>
      </c>
      <c r="BL518" s="154" t="str">
        <f t="shared" si="415"/>
        <v>222</v>
      </c>
      <c r="BM518" s="150"/>
      <c r="BN518" s="149"/>
      <c r="BO518" s="151"/>
      <c r="BP518" s="151"/>
      <c r="BQ518" s="151"/>
      <c r="BR518" s="151"/>
      <c r="BS518" s="151"/>
      <c r="BT518" s="151"/>
      <c r="BU518" s="151"/>
      <c r="BV518" s="151"/>
      <c r="BW518" s="149"/>
    </row>
    <row r="519" spans="1:75" ht="16.5" hidden="1">
      <c r="A519" s="18">
        <v>3</v>
      </c>
      <c r="B519" s="18">
        <v>515</v>
      </c>
      <c r="C519" s="363" t="s">
        <v>792</v>
      </c>
      <c r="N519" s="203">
        <v>2</v>
      </c>
      <c r="O519" s="203">
        <v>11</v>
      </c>
      <c r="P519" s="203">
        <v>12</v>
      </c>
      <c r="Q519" s="203">
        <v>15</v>
      </c>
      <c r="R519" s="162">
        <v>23</v>
      </c>
      <c r="S519" s="162">
        <v>37</v>
      </c>
      <c r="T519" s="162">
        <v>8</v>
      </c>
      <c r="U519" s="156">
        <f t="shared" si="376"/>
        <v>100</v>
      </c>
      <c r="V519" s="149"/>
      <c r="W519" s="154" t="str">
        <f t="shared" si="377"/>
        <v>짝수</v>
      </c>
      <c r="X519" s="154" t="str">
        <f t="shared" si="378"/>
        <v>홀수</v>
      </c>
      <c r="Y519" s="154" t="str">
        <f t="shared" si="379"/>
        <v>짝수</v>
      </c>
      <c r="Z519" s="154" t="str">
        <f t="shared" si="380"/>
        <v>홀수</v>
      </c>
      <c r="AA519" s="28" t="str">
        <f t="shared" si="381"/>
        <v>홀수</v>
      </c>
      <c r="AB519" s="28" t="str">
        <f t="shared" si="382"/>
        <v>홀수</v>
      </c>
      <c r="AC519" s="154" t="str">
        <f t="shared" si="383"/>
        <v>4 : 2</v>
      </c>
      <c r="AD519" s="154">
        <f t="shared" si="384"/>
        <v>4</v>
      </c>
      <c r="AE519" s="154">
        <f t="shared" si="385"/>
        <v>2</v>
      </c>
      <c r="AF519" s="154" t="str">
        <f t="shared" si="386"/>
        <v>저수</v>
      </c>
      <c r="AG519" s="154" t="str">
        <f t="shared" si="387"/>
        <v>저수</v>
      </c>
      <c r="AH519" s="154" t="str">
        <f t="shared" si="388"/>
        <v>저수</v>
      </c>
      <c r="AI519" s="154" t="str">
        <f t="shared" si="389"/>
        <v>저수</v>
      </c>
      <c r="AJ519" s="154" t="str">
        <f t="shared" si="390"/>
        <v>고수</v>
      </c>
      <c r="AK519" s="154" t="str">
        <f t="shared" si="391"/>
        <v>고수</v>
      </c>
      <c r="AL519" s="154" t="str">
        <f t="shared" si="392"/>
        <v>4 : 2</v>
      </c>
      <c r="AM519" s="154">
        <f t="shared" si="393"/>
        <v>4</v>
      </c>
      <c r="AN519" s="154">
        <f t="shared" si="394"/>
        <v>2</v>
      </c>
      <c r="AO519" s="154">
        <f t="shared" si="395"/>
        <v>20</v>
      </c>
      <c r="AP519" s="154" t="str">
        <f t="shared" si="396"/>
        <v>O</v>
      </c>
      <c r="AQ519" s="154" t="str">
        <f t="shared" si="397"/>
        <v>O</v>
      </c>
      <c r="AR519" s="154" t="str">
        <f t="shared" si="398"/>
        <v>X</v>
      </c>
      <c r="AS519" s="154" t="str">
        <f t="shared" si="399"/>
        <v>X</v>
      </c>
      <c r="AT519" s="154" t="str">
        <f t="shared" si="400"/>
        <v>X</v>
      </c>
      <c r="AU519" s="154" t="str">
        <f t="shared" si="401"/>
        <v>X</v>
      </c>
      <c r="AV519" s="154" t="str">
        <f t="shared" si="402"/>
        <v>X</v>
      </c>
      <c r="AW519" s="154" t="str">
        <f t="shared" si="403"/>
        <v>X</v>
      </c>
      <c r="AX519" s="154" t="str">
        <f t="shared" si="404"/>
        <v>X</v>
      </c>
      <c r="AY519" s="154" t="str">
        <f t="shared" si="405"/>
        <v>X</v>
      </c>
      <c r="AZ519" s="154" t="str">
        <f t="shared" si="406"/>
        <v>O</v>
      </c>
      <c r="BA519" s="154" t="str">
        <f t="shared" si="407"/>
        <v>O</v>
      </c>
      <c r="BB519" s="154">
        <f t="shared" si="408"/>
        <v>4</v>
      </c>
      <c r="BC519" s="154" t="str">
        <f t="shared" si="409"/>
        <v>1G</v>
      </c>
      <c r="BD519" s="154" t="str">
        <f t="shared" si="410"/>
        <v>1G</v>
      </c>
      <c r="BE519" s="154" t="str">
        <f t="shared" si="411"/>
        <v>1G</v>
      </c>
      <c r="BF519" s="154" t="str">
        <f t="shared" si="412"/>
        <v>1G</v>
      </c>
      <c r="BG519" s="154" t="str">
        <f t="shared" si="413"/>
        <v>2G</v>
      </c>
      <c r="BH519" s="154" t="str">
        <f t="shared" si="414"/>
        <v>3G</v>
      </c>
      <c r="BI519" s="154">
        <f t="shared" si="416"/>
        <v>4</v>
      </c>
      <c r="BJ519" s="154">
        <f t="shared" si="417"/>
        <v>1</v>
      </c>
      <c r="BK519" s="154">
        <f t="shared" si="418"/>
        <v>1</v>
      </c>
      <c r="BL519" s="154" t="str">
        <f t="shared" si="415"/>
        <v>411</v>
      </c>
      <c r="BM519" s="150"/>
      <c r="BN519" s="149"/>
      <c r="BO519" s="149"/>
      <c r="BP519" s="149"/>
      <c r="BQ519" s="149"/>
      <c r="BR519" s="149"/>
      <c r="BS519" s="151"/>
      <c r="BT519" s="149"/>
      <c r="BU519" s="149"/>
      <c r="BV519" s="149"/>
      <c r="BW519" s="149"/>
    </row>
    <row r="520" spans="1:75" ht="16.5" hidden="1">
      <c r="A520" s="18">
        <v>3</v>
      </c>
      <c r="B520" s="18">
        <v>516</v>
      </c>
      <c r="C520" s="363" t="s">
        <v>793</v>
      </c>
      <c r="N520" s="203">
        <v>2</v>
      </c>
      <c r="O520" s="203">
        <v>8</v>
      </c>
      <c r="P520" s="203">
        <v>23</v>
      </c>
      <c r="Q520" s="203">
        <v>41</v>
      </c>
      <c r="R520" s="203">
        <v>43</v>
      </c>
      <c r="S520" s="203">
        <v>44</v>
      </c>
      <c r="T520" s="203">
        <v>30</v>
      </c>
      <c r="U520" s="156">
        <f t="shared" si="376"/>
        <v>161</v>
      </c>
      <c r="W520" s="154" t="str">
        <f t="shared" si="377"/>
        <v>짝수</v>
      </c>
      <c r="X520" s="154" t="str">
        <f t="shared" si="378"/>
        <v>짝수</v>
      </c>
      <c r="Y520" s="154" t="str">
        <f t="shared" si="379"/>
        <v>홀수</v>
      </c>
      <c r="Z520" s="154" t="str">
        <f t="shared" si="380"/>
        <v>홀수</v>
      </c>
      <c r="AA520" s="28" t="str">
        <f t="shared" si="381"/>
        <v>홀수</v>
      </c>
      <c r="AB520" s="28" t="str">
        <f t="shared" si="382"/>
        <v>짝수</v>
      </c>
      <c r="AC520" s="154" t="str">
        <f t="shared" si="383"/>
        <v>3 : 3</v>
      </c>
      <c r="AD520" s="154">
        <f t="shared" si="384"/>
        <v>3</v>
      </c>
      <c r="AE520" s="154">
        <f t="shared" si="385"/>
        <v>3</v>
      </c>
      <c r="AF520" s="154" t="str">
        <f t="shared" si="386"/>
        <v>저수</v>
      </c>
      <c r="AG520" s="154" t="str">
        <f t="shared" si="387"/>
        <v>저수</v>
      </c>
      <c r="AH520" s="154" t="str">
        <f t="shared" si="388"/>
        <v>고수</v>
      </c>
      <c r="AI520" s="154" t="str">
        <f t="shared" si="389"/>
        <v>고수</v>
      </c>
      <c r="AJ520" s="154" t="str">
        <f t="shared" si="390"/>
        <v>고수</v>
      </c>
      <c r="AK520" s="154" t="str">
        <f t="shared" si="391"/>
        <v>고수</v>
      </c>
      <c r="AL520" s="154" t="str">
        <f t="shared" si="392"/>
        <v>2 : 4</v>
      </c>
      <c r="AM520" s="154">
        <f t="shared" si="393"/>
        <v>2</v>
      </c>
      <c r="AN520" s="154">
        <f t="shared" si="394"/>
        <v>4</v>
      </c>
      <c r="AO520" s="154">
        <f t="shared" si="395"/>
        <v>21</v>
      </c>
      <c r="AP520" s="154" t="str">
        <f t="shared" si="396"/>
        <v>O</v>
      </c>
      <c r="AQ520" s="154" t="str">
        <f t="shared" si="397"/>
        <v>X</v>
      </c>
      <c r="AR520" s="154" t="str">
        <f t="shared" si="398"/>
        <v>X</v>
      </c>
      <c r="AS520" s="154" t="str">
        <f t="shared" si="399"/>
        <v>X</v>
      </c>
      <c r="AT520" s="154" t="str">
        <f t="shared" si="400"/>
        <v>X</v>
      </c>
      <c r="AU520" s="154" t="str">
        <f t="shared" si="401"/>
        <v>X</v>
      </c>
      <c r="AV520" s="154" t="str">
        <f t="shared" si="402"/>
        <v>X</v>
      </c>
      <c r="AW520" s="154" t="str">
        <f t="shared" si="403"/>
        <v>X</v>
      </c>
      <c r="AX520" s="154" t="str">
        <f t="shared" si="404"/>
        <v>O</v>
      </c>
      <c r="AY520" s="154" t="str">
        <f t="shared" si="405"/>
        <v>O</v>
      </c>
      <c r="AZ520" s="154" t="str">
        <f t="shared" si="406"/>
        <v>O</v>
      </c>
      <c r="BA520" s="154" t="str">
        <f t="shared" si="407"/>
        <v>X</v>
      </c>
      <c r="BB520" s="154">
        <f t="shared" si="408"/>
        <v>4</v>
      </c>
      <c r="BC520" s="154" t="str">
        <f t="shared" si="409"/>
        <v>1G</v>
      </c>
      <c r="BD520" s="154" t="str">
        <f t="shared" si="410"/>
        <v>1G</v>
      </c>
      <c r="BE520" s="154" t="str">
        <f t="shared" si="411"/>
        <v>2G</v>
      </c>
      <c r="BF520" s="154" t="str">
        <f t="shared" si="412"/>
        <v>3G</v>
      </c>
      <c r="BG520" s="154" t="str">
        <f t="shared" si="413"/>
        <v>3G</v>
      </c>
      <c r="BH520" s="154" t="str">
        <f t="shared" si="414"/>
        <v>3G</v>
      </c>
      <c r="BI520" s="154">
        <f t="shared" si="416"/>
        <v>2</v>
      </c>
      <c r="BJ520" s="154">
        <f t="shared" si="417"/>
        <v>1</v>
      </c>
      <c r="BK520" s="154">
        <f t="shared" si="418"/>
        <v>3</v>
      </c>
      <c r="BL520" s="154" t="str">
        <f t="shared" si="415"/>
        <v>213</v>
      </c>
      <c r="BS520"/>
    </row>
    <row r="521" spans="1:75" ht="16.5" hidden="1">
      <c r="A521" s="18">
        <v>3</v>
      </c>
      <c r="B521" s="18">
        <v>517</v>
      </c>
      <c r="C521" s="363" t="s">
        <v>794</v>
      </c>
      <c r="N521" s="203">
        <v>1</v>
      </c>
      <c r="O521" s="203">
        <v>9</v>
      </c>
      <c r="P521" s="203">
        <v>12</v>
      </c>
      <c r="Q521" s="203">
        <v>28</v>
      </c>
      <c r="R521" s="203">
        <v>36</v>
      </c>
      <c r="S521" s="203">
        <v>41</v>
      </c>
      <c r="T521" s="203">
        <v>10</v>
      </c>
      <c r="U521" s="156">
        <f t="shared" si="376"/>
        <v>127</v>
      </c>
      <c r="W521" s="154" t="str">
        <f t="shared" si="377"/>
        <v>홀수</v>
      </c>
      <c r="X521" s="154" t="str">
        <f t="shared" si="378"/>
        <v>홀수</v>
      </c>
      <c r="Y521" s="154" t="str">
        <f t="shared" si="379"/>
        <v>짝수</v>
      </c>
      <c r="Z521" s="154" t="str">
        <f t="shared" si="380"/>
        <v>짝수</v>
      </c>
      <c r="AA521" s="28" t="str">
        <f t="shared" si="381"/>
        <v>짝수</v>
      </c>
      <c r="AB521" s="28" t="str">
        <f t="shared" si="382"/>
        <v>홀수</v>
      </c>
      <c r="AC521" s="154" t="str">
        <f t="shared" si="383"/>
        <v>3 : 3</v>
      </c>
      <c r="AD521" s="154">
        <f t="shared" si="384"/>
        <v>3</v>
      </c>
      <c r="AE521" s="154">
        <f t="shared" si="385"/>
        <v>3</v>
      </c>
      <c r="AF521" s="154" t="str">
        <f t="shared" si="386"/>
        <v>저수</v>
      </c>
      <c r="AG521" s="154" t="str">
        <f t="shared" si="387"/>
        <v>저수</v>
      </c>
      <c r="AH521" s="154" t="str">
        <f t="shared" si="388"/>
        <v>저수</v>
      </c>
      <c r="AI521" s="154" t="str">
        <f t="shared" si="389"/>
        <v>고수</v>
      </c>
      <c r="AJ521" s="154" t="str">
        <f t="shared" si="390"/>
        <v>고수</v>
      </c>
      <c r="AK521" s="154" t="str">
        <f t="shared" si="391"/>
        <v>고수</v>
      </c>
      <c r="AL521" s="154" t="str">
        <f t="shared" si="392"/>
        <v>3 : 3</v>
      </c>
      <c r="AM521" s="154">
        <f t="shared" si="393"/>
        <v>3</v>
      </c>
      <c r="AN521" s="154">
        <f t="shared" si="394"/>
        <v>3</v>
      </c>
      <c r="AO521" s="154">
        <f t="shared" si="395"/>
        <v>27</v>
      </c>
      <c r="AP521" s="154" t="str">
        <f t="shared" si="396"/>
        <v>X</v>
      </c>
      <c r="AQ521" s="154" t="str">
        <f t="shared" si="397"/>
        <v>X</v>
      </c>
      <c r="AR521" s="154" t="str">
        <f t="shared" si="398"/>
        <v>X</v>
      </c>
      <c r="AS521" s="154" t="str">
        <f t="shared" si="399"/>
        <v>X</v>
      </c>
      <c r="AT521" s="154" t="str">
        <f t="shared" si="400"/>
        <v>X</v>
      </c>
      <c r="AU521" s="154" t="str">
        <f t="shared" si="401"/>
        <v>X</v>
      </c>
      <c r="AV521" s="154" t="str">
        <f t="shared" si="402"/>
        <v>X</v>
      </c>
      <c r="AW521" s="154" t="str">
        <f t="shared" si="403"/>
        <v>X</v>
      </c>
      <c r="AX521" s="154" t="str">
        <f t="shared" si="404"/>
        <v>X</v>
      </c>
      <c r="AY521" s="154" t="str">
        <f t="shared" si="405"/>
        <v>X</v>
      </c>
      <c r="AZ521" s="154" t="str">
        <f t="shared" si="406"/>
        <v>X</v>
      </c>
      <c r="BA521" s="154" t="str">
        <f t="shared" si="407"/>
        <v>O</v>
      </c>
      <c r="BB521" s="154">
        <f t="shared" si="408"/>
        <v>1</v>
      </c>
      <c r="BC521" s="154" t="str">
        <f t="shared" si="409"/>
        <v>1G</v>
      </c>
      <c r="BD521" s="154" t="str">
        <f t="shared" si="410"/>
        <v>1G</v>
      </c>
      <c r="BE521" s="154" t="str">
        <f t="shared" si="411"/>
        <v>1G</v>
      </c>
      <c r="BF521" s="154" t="str">
        <f t="shared" si="412"/>
        <v>2G</v>
      </c>
      <c r="BG521" s="154" t="str">
        <f t="shared" si="413"/>
        <v>3G</v>
      </c>
      <c r="BH521" s="154" t="str">
        <f t="shared" si="414"/>
        <v>3G</v>
      </c>
      <c r="BI521" s="154">
        <f t="shared" si="416"/>
        <v>3</v>
      </c>
      <c r="BJ521" s="154">
        <f t="shared" si="417"/>
        <v>1</v>
      </c>
      <c r="BK521" s="154">
        <f t="shared" si="418"/>
        <v>2</v>
      </c>
      <c r="BL521" s="154" t="str">
        <f t="shared" si="415"/>
        <v>312</v>
      </c>
      <c r="BS521"/>
    </row>
    <row r="522" spans="1:75" ht="16.5" hidden="1">
      <c r="A522" s="18">
        <v>1</v>
      </c>
      <c r="B522" s="18">
        <v>518</v>
      </c>
      <c r="C522" s="363" t="s">
        <v>795</v>
      </c>
      <c r="N522" s="203">
        <v>14</v>
      </c>
      <c r="O522" s="203">
        <v>23</v>
      </c>
      <c r="P522" s="203">
        <v>30</v>
      </c>
      <c r="Q522" s="203">
        <v>32</v>
      </c>
      <c r="R522" s="203">
        <v>34</v>
      </c>
      <c r="S522" s="203">
        <v>38</v>
      </c>
      <c r="T522" s="203">
        <v>6</v>
      </c>
      <c r="U522" s="155">
        <f t="shared" si="376"/>
        <v>171</v>
      </c>
      <c r="W522" s="154" t="str">
        <f t="shared" si="377"/>
        <v>짝수</v>
      </c>
      <c r="X522" s="154" t="str">
        <f t="shared" si="378"/>
        <v>홀수</v>
      </c>
      <c r="Y522" s="154" t="str">
        <f t="shared" si="379"/>
        <v>짝수</v>
      </c>
      <c r="Z522" s="154" t="str">
        <f t="shared" si="380"/>
        <v>짝수</v>
      </c>
      <c r="AA522" s="28" t="str">
        <f t="shared" si="381"/>
        <v>짝수</v>
      </c>
      <c r="AB522" s="28" t="str">
        <f t="shared" si="382"/>
        <v>짝수</v>
      </c>
      <c r="AC522" s="154" t="str">
        <f t="shared" si="383"/>
        <v>1 : 5</v>
      </c>
      <c r="AD522" s="154">
        <f t="shared" si="384"/>
        <v>1</v>
      </c>
      <c r="AE522" s="154">
        <f t="shared" si="385"/>
        <v>5</v>
      </c>
      <c r="AF522" s="154" t="str">
        <f t="shared" si="386"/>
        <v>저수</v>
      </c>
      <c r="AG522" s="154" t="str">
        <f t="shared" si="387"/>
        <v>고수</v>
      </c>
      <c r="AH522" s="154" t="str">
        <f t="shared" si="388"/>
        <v>고수</v>
      </c>
      <c r="AI522" s="154" t="str">
        <f t="shared" si="389"/>
        <v>고수</v>
      </c>
      <c r="AJ522" s="154" t="str">
        <f t="shared" si="390"/>
        <v>고수</v>
      </c>
      <c r="AK522" s="154" t="str">
        <f t="shared" si="391"/>
        <v>고수</v>
      </c>
      <c r="AL522" s="154" t="str">
        <f t="shared" si="392"/>
        <v>1 : 5</v>
      </c>
      <c r="AM522" s="154">
        <f t="shared" si="393"/>
        <v>1</v>
      </c>
      <c r="AN522" s="154">
        <f t="shared" si="394"/>
        <v>5</v>
      </c>
      <c r="AO522" s="154">
        <f t="shared" si="395"/>
        <v>21</v>
      </c>
      <c r="AP522" s="154" t="str">
        <f t="shared" si="396"/>
        <v>X</v>
      </c>
      <c r="AQ522" s="154" t="str">
        <f t="shared" si="397"/>
        <v>X</v>
      </c>
      <c r="AR522" s="154" t="str">
        <f t="shared" si="398"/>
        <v>X</v>
      </c>
      <c r="AS522" s="154" t="str">
        <f t="shared" si="399"/>
        <v>X</v>
      </c>
      <c r="AT522" s="154" t="str">
        <f t="shared" si="400"/>
        <v>X</v>
      </c>
      <c r="AU522" s="154" t="str">
        <f t="shared" si="401"/>
        <v>X</v>
      </c>
      <c r="AV522" s="154" t="str">
        <f t="shared" si="402"/>
        <v>X</v>
      </c>
      <c r="AW522" s="154" t="str">
        <f t="shared" si="403"/>
        <v>O</v>
      </c>
      <c r="AX522" s="154" t="str">
        <f t="shared" si="404"/>
        <v>X</v>
      </c>
      <c r="AY522" s="154" t="str">
        <f t="shared" si="405"/>
        <v>X</v>
      </c>
      <c r="AZ522" s="154" t="str">
        <f t="shared" si="406"/>
        <v>X</v>
      </c>
      <c r="BA522" s="154" t="str">
        <f t="shared" si="407"/>
        <v>X</v>
      </c>
      <c r="BB522" s="154">
        <f t="shared" si="408"/>
        <v>1</v>
      </c>
      <c r="BC522" s="154" t="str">
        <f t="shared" si="409"/>
        <v>1G</v>
      </c>
      <c r="BD522" s="154" t="str">
        <f t="shared" si="410"/>
        <v>2G</v>
      </c>
      <c r="BE522" s="154" t="str">
        <f t="shared" si="411"/>
        <v>2G</v>
      </c>
      <c r="BF522" s="154" t="str">
        <f t="shared" si="412"/>
        <v>3G</v>
      </c>
      <c r="BG522" s="154" t="str">
        <f t="shared" si="413"/>
        <v>3G</v>
      </c>
      <c r="BH522" s="154" t="str">
        <f t="shared" si="414"/>
        <v>3G</v>
      </c>
      <c r="BI522" s="154">
        <f t="shared" si="416"/>
        <v>1</v>
      </c>
      <c r="BJ522" s="154">
        <f t="shared" si="417"/>
        <v>2</v>
      </c>
      <c r="BK522" s="154">
        <f t="shared" si="418"/>
        <v>3</v>
      </c>
      <c r="BL522" s="154" t="str">
        <f t="shared" si="415"/>
        <v>123</v>
      </c>
      <c r="BS522"/>
    </row>
    <row r="523" spans="1:75" ht="16.5" hidden="1">
      <c r="A523" s="18">
        <v>1</v>
      </c>
      <c r="B523" s="18">
        <v>519</v>
      </c>
      <c r="C523" s="363" t="s">
        <v>796</v>
      </c>
      <c r="N523" s="203">
        <v>6</v>
      </c>
      <c r="O523" s="203">
        <v>8</v>
      </c>
      <c r="P523" s="203">
        <v>13</v>
      </c>
      <c r="Q523" s="203">
        <v>16</v>
      </c>
      <c r="R523" s="203">
        <v>30</v>
      </c>
      <c r="S523" s="203">
        <v>43</v>
      </c>
      <c r="T523" s="203">
        <v>3</v>
      </c>
      <c r="U523" s="155">
        <f t="shared" si="376"/>
        <v>116</v>
      </c>
      <c r="W523" s="154" t="str">
        <f t="shared" si="377"/>
        <v>짝수</v>
      </c>
      <c r="X523" s="154" t="str">
        <f t="shared" si="378"/>
        <v>짝수</v>
      </c>
      <c r="Y523" s="154" t="str">
        <f t="shared" si="379"/>
        <v>홀수</v>
      </c>
      <c r="Z523" s="154" t="str">
        <f t="shared" si="380"/>
        <v>짝수</v>
      </c>
      <c r="AA523" s="28" t="str">
        <f t="shared" si="381"/>
        <v>짝수</v>
      </c>
      <c r="AB523" s="28" t="str">
        <f t="shared" si="382"/>
        <v>홀수</v>
      </c>
      <c r="AC523" s="154" t="str">
        <f t="shared" si="383"/>
        <v>2 : 4</v>
      </c>
      <c r="AD523" s="154">
        <f t="shared" si="384"/>
        <v>2</v>
      </c>
      <c r="AE523" s="154">
        <f t="shared" si="385"/>
        <v>4</v>
      </c>
      <c r="AF523" s="154" t="str">
        <f t="shared" si="386"/>
        <v>저수</v>
      </c>
      <c r="AG523" s="154" t="str">
        <f t="shared" si="387"/>
        <v>저수</v>
      </c>
      <c r="AH523" s="154" t="str">
        <f t="shared" si="388"/>
        <v>저수</v>
      </c>
      <c r="AI523" s="154" t="str">
        <f t="shared" si="389"/>
        <v>저수</v>
      </c>
      <c r="AJ523" s="154" t="str">
        <f t="shared" si="390"/>
        <v>고수</v>
      </c>
      <c r="AK523" s="154" t="str">
        <f t="shared" si="391"/>
        <v>고수</v>
      </c>
      <c r="AL523" s="154" t="str">
        <f t="shared" si="392"/>
        <v>4 : 2</v>
      </c>
      <c r="AM523" s="154">
        <f t="shared" si="393"/>
        <v>4</v>
      </c>
      <c r="AN523" s="154">
        <f t="shared" si="394"/>
        <v>2</v>
      </c>
      <c r="AO523" s="154">
        <f t="shared" si="395"/>
        <v>26</v>
      </c>
      <c r="AP523" s="154" t="str">
        <f t="shared" si="396"/>
        <v>X</v>
      </c>
      <c r="AQ523" s="154" t="str">
        <f t="shared" si="397"/>
        <v>X</v>
      </c>
      <c r="AR523" s="154" t="str">
        <f t="shared" si="398"/>
        <v>O</v>
      </c>
      <c r="AS523" s="154" t="str">
        <f t="shared" si="399"/>
        <v>X</v>
      </c>
      <c r="AT523" s="154" t="str">
        <f t="shared" si="400"/>
        <v>X</v>
      </c>
      <c r="AU523" s="154" t="str">
        <f t="shared" si="401"/>
        <v>X</v>
      </c>
      <c r="AV523" s="154" t="str">
        <f t="shared" si="402"/>
        <v>X</v>
      </c>
      <c r="AW523" s="154" t="str">
        <f t="shared" si="403"/>
        <v>X</v>
      </c>
      <c r="AX523" s="154" t="str">
        <f t="shared" si="404"/>
        <v>X</v>
      </c>
      <c r="AY523" s="154" t="str">
        <f t="shared" si="405"/>
        <v>X</v>
      </c>
      <c r="AZ523" s="154" t="str">
        <f t="shared" si="406"/>
        <v>X</v>
      </c>
      <c r="BA523" s="154" t="str">
        <f t="shared" si="407"/>
        <v>O</v>
      </c>
      <c r="BB523" s="154">
        <f t="shared" si="408"/>
        <v>2</v>
      </c>
      <c r="BC523" s="154" t="str">
        <f t="shared" si="409"/>
        <v>1G</v>
      </c>
      <c r="BD523" s="154" t="str">
        <f t="shared" si="410"/>
        <v>1G</v>
      </c>
      <c r="BE523" s="154" t="str">
        <f t="shared" si="411"/>
        <v>1G</v>
      </c>
      <c r="BF523" s="154" t="str">
        <f t="shared" si="412"/>
        <v>2G</v>
      </c>
      <c r="BG523" s="154" t="str">
        <f t="shared" si="413"/>
        <v>2G</v>
      </c>
      <c r="BH523" s="154" t="str">
        <f t="shared" si="414"/>
        <v>3G</v>
      </c>
      <c r="BI523" s="154">
        <f t="shared" si="416"/>
        <v>3</v>
      </c>
      <c r="BJ523" s="154">
        <f t="shared" si="417"/>
        <v>2</v>
      </c>
      <c r="BK523" s="154">
        <f t="shared" si="418"/>
        <v>1</v>
      </c>
      <c r="BL523" s="154" t="str">
        <f t="shared" si="415"/>
        <v>321</v>
      </c>
      <c r="BS523"/>
    </row>
    <row r="524" spans="1:75" ht="16.5" hidden="1">
      <c r="A524" s="18">
        <v>1</v>
      </c>
      <c r="B524" s="18">
        <v>520</v>
      </c>
      <c r="C524" s="363" t="s">
        <v>797</v>
      </c>
      <c r="N524" s="203">
        <v>4</v>
      </c>
      <c r="O524" s="203">
        <v>22</v>
      </c>
      <c r="P524" s="203">
        <v>27</v>
      </c>
      <c r="Q524" s="203">
        <v>28</v>
      </c>
      <c r="R524" s="203">
        <v>38</v>
      </c>
      <c r="S524" s="203">
        <v>40</v>
      </c>
      <c r="T524" s="203">
        <v>1</v>
      </c>
      <c r="U524" s="155">
        <f t="shared" si="376"/>
        <v>159</v>
      </c>
      <c r="W524" s="154" t="str">
        <f t="shared" si="377"/>
        <v>짝수</v>
      </c>
      <c r="X524" s="154" t="str">
        <f t="shared" si="378"/>
        <v>짝수</v>
      </c>
      <c r="Y524" s="154" t="str">
        <f t="shared" si="379"/>
        <v>홀수</v>
      </c>
      <c r="Z524" s="154" t="str">
        <f t="shared" si="380"/>
        <v>짝수</v>
      </c>
      <c r="AA524" s="28" t="str">
        <f t="shared" si="381"/>
        <v>짝수</v>
      </c>
      <c r="AB524" s="28" t="str">
        <f t="shared" si="382"/>
        <v>짝수</v>
      </c>
      <c r="AC524" s="154" t="str">
        <f t="shared" si="383"/>
        <v>1 : 5</v>
      </c>
      <c r="AD524" s="154">
        <f t="shared" si="384"/>
        <v>1</v>
      </c>
      <c r="AE524" s="154">
        <f t="shared" si="385"/>
        <v>5</v>
      </c>
      <c r="AF524" s="154" t="str">
        <f t="shared" si="386"/>
        <v>저수</v>
      </c>
      <c r="AG524" s="154" t="str">
        <f t="shared" si="387"/>
        <v>저수</v>
      </c>
      <c r="AH524" s="154" t="str">
        <f t="shared" si="388"/>
        <v>고수</v>
      </c>
      <c r="AI524" s="154" t="str">
        <f t="shared" si="389"/>
        <v>고수</v>
      </c>
      <c r="AJ524" s="154" t="str">
        <f t="shared" si="390"/>
        <v>고수</v>
      </c>
      <c r="AK524" s="154" t="str">
        <f t="shared" si="391"/>
        <v>고수</v>
      </c>
      <c r="AL524" s="154" t="str">
        <f t="shared" si="392"/>
        <v>2 : 4</v>
      </c>
      <c r="AM524" s="154">
        <f t="shared" si="393"/>
        <v>2</v>
      </c>
      <c r="AN524" s="154">
        <f t="shared" si="394"/>
        <v>4</v>
      </c>
      <c r="AO524" s="154">
        <f t="shared" si="395"/>
        <v>29</v>
      </c>
      <c r="AP524" s="154" t="str">
        <f t="shared" si="396"/>
        <v>X</v>
      </c>
      <c r="AQ524" s="154" t="str">
        <f t="shared" si="397"/>
        <v>X</v>
      </c>
      <c r="AR524" s="154" t="str">
        <f t="shared" si="398"/>
        <v>X</v>
      </c>
      <c r="AS524" s="154" t="str">
        <f t="shared" si="399"/>
        <v>X</v>
      </c>
      <c r="AT524" s="154" t="str">
        <f t="shared" si="400"/>
        <v>X</v>
      </c>
      <c r="AU524" s="154" t="str">
        <f t="shared" si="401"/>
        <v>X</v>
      </c>
      <c r="AV524" s="154" t="str">
        <f t="shared" si="402"/>
        <v>X</v>
      </c>
      <c r="AW524" s="154" t="str">
        <f t="shared" si="403"/>
        <v>X</v>
      </c>
      <c r="AX524" s="154" t="str">
        <f t="shared" si="404"/>
        <v>X</v>
      </c>
      <c r="AY524" s="154" t="str">
        <f t="shared" si="405"/>
        <v>X</v>
      </c>
      <c r="AZ524" s="154" t="str">
        <f t="shared" si="406"/>
        <v>X</v>
      </c>
      <c r="BA524" s="154" t="str">
        <f t="shared" si="407"/>
        <v>X</v>
      </c>
      <c r="BB524" s="154">
        <f t="shared" si="408"/>
        <v>0</v>
      </c>
      <c r="BC524" s="154" t="str">
        <f t="shared" si="409"/>
        <v>1G</v>
      </c>
      <c r="BD524" s="154" t="str">
        <f t="shared" si="410"/>
        <v>2G</v>
      </c>
      <c r="BE524" s="154" t="str">
        <f t="shared" si="411"/>
        <v>2G</v>
      </c>
      <c r="BF524" s="154" t="str">
        <f t="shared" si="412"/>
        <v>2G</v>
      </c>
      <c r="BG524" s="154" t="str">
        <f t="shared" si="413"/>
        <v>3G</v>
      </c>
      <c r="BH524" s="154" t="str">
        <f t="shared" si="414"/>
        <v>3G</v>
      </c>
      <c r="BI524" s="154">
        <f t="shared" si="416"/>
        <v>1</v>
      </c>
      <c r="BJ524" s="154">
        <f t="shared" si="417"/>
        <v>3</v>
      </c>
      <c r="BK524" s="154">
        <f t="shared" si="418"/>
        <v>2</v>
      </c>
      <c r="BL524" s="154" t="str">
        <f t="shared" si="415"/>
        <v>132</v>
      </c>
      <c r="BS524"/>
    </row>
    <row r="525" spans="1:75" ht="17.25" hidden="1">
      <c r="A525" s="18">
        <v>1</v>
      </c>
      <c r="B525" s="18">
        <v>521</v>
      </c>
      <c r="C525" s="363" t="s">
        <v>798</v>
      </c>
      <c r="N525" s="151">
        <v>3</v>
      </c>
      <c r="O525" s="151">
        <v>7</v>
      </c>
      <c r="P525" s="151">
        <v>18</v>
      </c>
      <c r="Q525" s="151">
        <v>29</v>
      </c>
      <c r="R525" s="151">
        <v>32</v>
      </c>
      <c r="S525" s="151">
        <v>36</v>
      </c>
      <c r="T525" s="163">
        <v>19</v>
      </c>
      <c r="U525" s="155">
        <f t="shared" si="376"/>
        <v>125</v>
      </c>
      <c r="W525" s="154" t="str">
        <f t="shared" si="377"/>
        <v>홀수</v>
      </c>
      <c r="X525" s="154" t="str">
        <f t="shared" si="378"/>
        <v>홀수</v>
      </c>
      <c r="Y525" s="154" t="str">
        <f t="shared" si="379"/>
        <v>짝수</v>
      </c>
      <c r="Z525" s="154" t="str">
        <f t="shared" si="380"/>
        <v>홀수</v>
      </c>
      <c r="AA525" s="28" t="str">
        <f t="shared" si="381"/>
        <v>짝수</v>
      </c>
      <c r="AB525" s="28" t="str">
        <f t="shared" si="382"/>
        <v>짝수</v>
      </c>
      <c r="AC525" s="154" t="str">
        <f t="shared" si="383"/>
        <v>3 : 3</v>
      </c>
      <c r="AD525" s="154">
        <f t="shared" si="384"/>
        <v>3</v>
      </c>
      <c r="AE525" s="154">
        <f t="shared" si="385"/>
        <v>3</v>
      </c>
      <c r="AF525" s="154" t="str">
        <f t="shared" si="386"/>
        <v>저수</v>
      </c>
      <c r="AG525" s="154" t="str">
        <f t="shared" si="387"/>
        <v>저수</v>
      </c>
      <c r="AH525" s="154" t="str">
        <f t="shared" si="388"/>
        <v>저수</v>
      </c>
      <c r="AI525" s="154" t="str">
        <f t="shared" si="389"/>
        <v>고수</v>
      </c>
      <c r="AJ525" s="154" t="str">
        <f t="shared" si="390"/>
        <v>고수</v>
      </c>
      <c r="AK525" s="154" t="str">
        <f t="shared" si="391"/>
        <v>고수</v>
      </c>
      <c r="AL525" s="154" t="str">
        <f t="shared" si="392"/>
        <v>3 : 3</v>
      </c>
      <c r="AM525" s="154">
        <f t="shared" si="393"/>
        <v>3</v>
      </c>
      <c r="AN525" s="154">
        <f t="shared" si="394"/>
        <v>3</v>
      </c>
      <c r="AO525" s="154">
        <f t="shared" si="395"/>
        <v>35</v>
      </c>
      <c r="AP525" s="154" t="str">
        <f t="shared" si="396"/>
        <v>O</v>
      </c>
      <c r="AQ525" s="154" t="str">
        <f t="shared" si="397"/>
        <v>O</v>
      </c>
      <c r="AR525" s="154" t="str">
        <f t="shared" si="398"/>
        <v>X</v>
      </c>
      <c r="AS525" s="154" t="str">
        <f t="shared" si="399"/>
        <v>X</v>
      </c>
      <c r="AT525" s="154" t="str">
        <f t="shared" si="400"/>
        <v>X</v>
      </c>
      <c r="AU525" s="154" t="str">
        <f t="shared" si="401"/>
        <v>X</v>
      </c>
      <c r="AV525" s="154" t="str">
        <f t="shared" si="402"/>
        <v>X</v>
      </c>
      <c r="AW525" s="154" t="str">
        <f t="shared" si="403"/>
        <v>X</v>
      </c>
      <c r="AX525" s="154" t="str">
        <f t="shared" si="404"/>
        <v>X</v>
      </c>
      <c r="AY525" s="154" t="str">
        <f t="shared" si="405"/>
        <v>O</v>
      </c>
      <c r="AZ525" s="154" t="str">
        <f t="shared" si="406"/>
        <v>X</v>
      </c>
      <c r="BA525" s="154" t="str">
        <f t="shared" si="407"/>
        <v>X</v>
      </c>
      <c r="BB525" s="154">
        <f t="shared" si="408"/>
        <v>3</v>
      </c>
      <c r="BC525" s="154" t="str">
        <f t="shared" si="409"/>
        <v>1G</v>
      </c>
      <c r="BD525" s="154" t="str">
        <f t="shared" si="410"/>
        <v>1G</v>
      </c>
      <c r="BE525" s="154" t="str">
        <f t="shared" si="411"/>
        <v>2G</v>
      </c>
      <c r="BF525" s="154" t="str">
        <f t="shared" si="412"/>
        <v>2G</v>
      </c>
      <c r="BG525" s="154" t="str">
        <f t="shared" si="413"/>
        <v>3G</v>
      </c>
      <c r="BH525" s="154" t="str">
        <f t="shared" si="414"/>
        <v>3G</v>
      </c>
      <c r="BI525" s="154">
        <f t="shared" si="416"/>
        <v>2</v>
      </c>
      <c r="BJ525" s="154">
        <f t="shared" si="417"/>
        <v>2</v>
      </c>
      <c r="BK525" s="154">
        <f t="shared" si="418"/>
        <v>2</v>
      </c>
      <c r="BL525" s="154" t="str">
        <f t="shared" si="415"/>
        <v>222</v>
      </c>
      <c r="BS525"/>
    </row>
    <row r="526" spans="1:75" ht="16.5" hidden="1">
      <c r="A526" s="18">
        <v>2</v>
      </c>
      <c r="B526" s="18">
        <v>522</v>
      </c>
      <c r="C526" s="363" t="s">
        <v>799</v>
      </c>
      <c r="N526" s="164">
        <v>4</v>
      </c>
      <c r="O526" s="164">
        <v>5</v>
      </c>
      <c r="P526" s="165">
        <v>13</v>
      </c>
      <c r="Q526" s="164">
        <v>14</v>
      </c>
      <c r="R526" s="164">
        <v>37</v>
      </c>
      <c r="S526" s="164">
        <v>41</v>
      </c>
      <c r="T526" s="203">
        <v>11</v>
      </c>
      <c r="U526" s="156">
        <f t="shared" si="376"/>
        <v>114</v>
      </c>
      <c r="W526" s="154" t="str">
        <f t="shared" si="377"/>
        <v>짝수</v>
      </c>
      <c r="X526" s="154" t="str">
        <f t="shared" si="378"/>
        <v>홀수</v>
      </c>
      <c r="Y526" s="154" t="str">
        <f t="shared" si="379"/>
        <v>홀수</v>
      </c>
      <c r="Z526" s="154" t="str">
        <f t="shared" si="380"/>
        <v>짝수</v>
      </c>
      <c r="AA526" s="28" t="str">
        <f t="shared" si="381"/>
        <v>홀수</v>
      </c>
      <c r="AB526" s="28" t="str">
        <f t="shared" si="382"/>
        <v>홀수</v>
      </c>
      <c r="AC526" s="154" t="str">
        <f t="shared" si="383"/>
        <v>4 : 2</v>
      </c>
      <c r="AD526" s="154">
        <f t="shared" si="384"/>
        <v>4</v>
      </c>
      <c r="AE526" s="154">
        <f t="shared" si="385"/>
        <v>2</v>
      </c>
      <c r="AF526" s="154" t="str">
        <f t="shared" si="386"/>
        <v>저수</v>
      </c>
      <c r="AG526" s="154" t="str">
        <f t="shared" si="387"/>
        <v>저수</v>
      </c>
      <c r="AH526" s="154" t="str">
        <f t="shared" si="388"/>
        <v>저수</v>
      </c>
      <c r="AI526" s="154" t="str">
        <f t="shared" si="389"/>
        <v>저수</v>
      </c>
      <c r="AJ526" s="154" t="str">
        <f t="shared" si="390"/>
        <v>고수</v>
      </c>
      <c r="AK526" s="154" t="str">
        <f t="shared" si="391"/>
        <v>고수</v>
      </c>
      <c r="AL526" s="154" t="str">
        <f t="shared" si="392"/>
        <v>4 : 2</v>
      </c>
      <c r="AM526" s="154">
        <f t="shared" si="393"/>
        <v>4</v>
      </c>
      <c r="AN526" s="154">
        <f t="shared" si="394"/>
        <v>2</v>
      </c>
      <c r="AO526" s="154">
        <f t="shared" si="395"/>
        <v>24</v>
      </c>
      <c r="AP526" s="154" t="str">
        <f t="shared" si="396"/>
        <v>X</v>
      </c>
      <c r="AQ526" s="154" t="str">
        <f t="shared" si="397"/>
        <v>O</v>
      </c>
      <c r="AR526" s="154" t="str">
        <f t="shared" si="398"/>
        <v>O</v>
      </c>
      <c r="AS526" s="154" t="str">
        <f t="shared" si="399"/>
        <v>X</v>
      </c>
      <c r="AT526" s="154" t="str">
        <f t="shared" si="400"/>
        <v>X</v>
      </c>
      <c r="AU526" s="154" t="str">
        <f t="shared" si="401"/>
        <v>X</v>
      </c>
      <c r="AV526" s="154" t="str">
        <f t="shared" si="402"/>
        <v>X</v>
      </c>
      <c r="AW526" s="154" t="str">
        <f t="shared" si="403"/>
        <v>X</v>
      </c>
      <c r="AX526" s="154" t="str">
        <f t="shared" si="404"/>
        <v>X</v>
      </c>
      <c r="AY526" s="154" t="str">
        <f t="shared" si="405"/>
        <v>X</v>
      </c>
      <c r="AZ526" s="154" t="str">
        <f t="shared" si="406"/>
        <v>O</v>
      </c>
      <c r="BA526" s="154" t="str">
        <f t="shared" si="407"/>
        <v>O</v>
      </c>
      <c r="BB526" s="154">
        <f t="shared" si="408"/>
        <v>4</v>
      </c>
      <c r="BC526" s="154" t="str">
        <f t="shared" si="409"/>
        <v>1G</v>
      </c>
      <c r="BD526" s="154" t="str">
        <f t="shared" si="410"/>
        <v>1G</v>
      </c>
      <c r="BE526" s="154" t="str">
        <f t="shared" si="411"/>
        <v>1G</v>
      </c>
      <c r="BF526" s="154" t="str">
        <f t="shared" si="412"/>
        <v>1G</v>
      </c>
      <c r="BG526" s="154" t="str">
        <f t="shared" si="413"/>
        <v>3G</v>
      </c>
      <c r="BH526" s="154" t="str">
        <f t="shared" si="414"/>
        <v>3G</v>
      </c>
      <c r="BI526" s="154">
        <f t="shared" si="416"/>
        <v>4</v>
      </c>
      <c r="BJ526" s="154">
        <f t="shared" si="417"/>
        <v>0</v>
      </c>
      <c r="BK526" s="154">
        <f t="shared" si="418"/>
        <v>2</v>
      </c>
      <c r="BL526" s="154" t="str">
        <f t="shared" si="415"/>
        <v>402</v>
      </c>
      <c r="BS526"/>
    </row>
    <row r="527" spans="1:75" ht="16.5" hidden="1">
      <c r="A527" s="18">
        <v>2</v>
      </c>
      <c r="B527" s="18">
        <v>523</v>
      </c>
      <c r="C527" s="363" t="s">
        <v>800</v>
      </c>
      <c r="N527" s="203">
        <v>1</v>
      </c>
      <c r="O527" s="203">
        <v>4</v>
      </c>
      <c r="P527" s="203">
        <v>37</v>
      </c>
      <c r="Q527" s="203">
        <v>38</v>
      </c>
      <c r="R527" s="203">
        <v>40</v>
      </c>
      <c r="S527" s="203">
        <v>45</v>
      </c>
      <c r="T527" s="203">
        <v>7</v>
      </c>
      <c r="U527" s="155">
        <f t="shared" si="376"/>
        <v>165</v>
      </c>
      <c r="W527" s="154" t="str">
        <f t="shared" si="377"/>
        <v>홀수</v>
      </c>
      <c r="X527" s="154" t="str">
        <f t="shared" si="378"/>
        <v>짝수</v>
      </c>
      <c r="Y527" s="154" t="str">
        <f t="shared" si="379"/>
        <v>홀수</v>
      </c>
      <c r="Z527" s="154" t="str">
        <f t="shared" si="380"/>
        <v>짝수</v>
      </c>
      <c r="AA527" s="28" t="str">
        <f t="shared" si="381"/>
        <v>짝수</v>
      </c>
      <c r="AB527" s="28" t="str">
        <f t="shared" si="382"/>
        <v>홀수</v>
      </c>
      <c r="AC527" s="154" t="str">
        <f t="shared" si="383"/>
        <v>3 : 3</v>
      </c>
      <c r="AD527" s="154">
        <f t="shared" si="384"/>
        <v>3</v>
      </c>
      <c r="AE527" s="154">
        <f t="shared" si="385"/>
        <v>3</v>
      </c>
      <c r="AF527" s="154" t="str">
        <f t="shared" si="386"/>
        <v>저수</v>
      </c>
      <c r="AG527" s="154" t="str">
        <f t="shared" si="387"/>
        <v>저수</v>
      </c>
      <c r="AH527" s="154" t="str">
        <f t="shared" si="388"/>
        <v>고수</v>
      </c>
      <c r="AI527" s="154" t="str">
        <f t="shared" si="389"/>
        <v>고수</v>
      </c>
      <c r="AJ527" s="154" t="str">
        <f t="shared" si="390"/>
        <v>고수</v>
      </c>
      <c r="AK527" s="154" t="str">
        <f t="shared" si="391"/>
        <v>고수</v>
      </c>
      <c r="AL527" s="154" t="str">
        <f t="shared" si="392"/>
        <v>2 : 4</v>
      </c>
      <c r="AM527" s="154">
        <f t="shared" si="393"/>
        <v>2</v>
      </c>
      <c r="AN527" s="154">
        <f t="shared" si="394"/>
        <v>4</v>
      </c>
      <c r="AO527" s="154">
        <f t="shared" si="395"/>
        <v>25</v>
      </c>
      <c r="AP527" s="154" t="str">
        <f t="shared" si="396"/>
        <v>X</v>
      </c>
      <c r="AQ527" s="154" t="str">
        <f t="shared" si="397"/>
        <v>X</v>
      </c>
      <c r="AR527" s="154" t="str">
        <f t="shared" si="398"/>
        <v>X</v>
      </c>
      <c r="AS527" s="154" t="str">
        <f t="shared" si="399"/>
        <v>X</v>
      </c>
      <c r="AT527" s="154" t="str">
        <f t="shared" si="400"/>
        <v>X</v>
      </c>
      <c r="AU527" s="154" t="str">
        <f t="shared" si="401"/>
        <v>X</v>
      </c>
      <c r="AV527" s="154" t="str">
        <f t="shared" si="402"/>
        <v>X</v>
      </c>
      <c r="AW527" s="154" t="str">
        <f t="shared" si="403"/>
        <v>X</v>
      </c>
      <c r="AX527" s="154" t="str">
        <f t="shared" si="404"/>
        <v>O</v>
      </c>
      <c r="AY527" s="154" t="str">
        <f t="shared" si="405"/>
        <v>X</v>
      </c>
      <c r="AZ527" s="154" t="str">
        <f t="shared" si="406"/>
        <v>X</v>
      </c>
      <c r="BA527" s="154" t="str">
        <f t="shared" si="407"/>
        <v>X</v>
      </c>
      <c r="BB527" s="154">
        <f t="shared" si="408"/>
        <v>1</v>
      </c>
      <c r="BC527" s="154" t="str">
        <f t="shared" si="409"/>
        <v>1G</v>
      </c>
      <c r="BD527" s="154" t="str">
        <f t="shared" si="410"/>
        <v>1G</v>
      </c>
      <c r="BE527" s="154" t="str">
        <f t="shared" si="411"/>
        <v>3G</v>
      </c>
      <c r="BF527" s="154" t="str">
        <f t="shared" si="412"/>
        <v>3G</v>
      </c>
      <c r="BG527" s="154" t="str">
        <f t="shared" si="413"/>
        <v>3G</v>
      </c>
      <c r="BH527" s="154" t="str">
        <f t="shared" si="414"/>
        <v>3G</v>
      </c>
      <c r="BI527" s="154">
        <f t="shared" si="416"/>
        <v>2</v>
      </c>
      <c r="BJ527" s="154">
        <f t="shared" si="417"/>
        <v>0</v>
      </c>
      <c r="BK527" s="154">
        <f t="shared" si="418"/>
        <v>4</v>
      </c>
      <c r="BL527" s="154" t="str">
        <f t="shared" si="415"/>
        <v>204</v>
      </c>
      <c r="BS527"/>
    </row>
    <row r="528" spans="1:75" ht="16.5" hidden="1">
      <c r="A528" s="18">
        <v>2</v>
      </c>
      <c r="B528" s="18">
        <v>524</v>
      </c>
      <c r="C528" s="363" t="s">
        <v>801</v>
      </c>
      <c r="N528" s="167">
        <v>10</v>
      </c>
      <c r="O528" s="167">
        <v>11</v>
      </c>
      <c r="P528" s="167">
        <v>29</v>
      </c>
      <c r="Q528" s="167">
        <v>38</v>
      </c>
      <c r="R528" s="167">
        <v>41</v>
      </c>
      <c r="S528" s="167">
        <v>45</v>
      </c>
      <c r="T528" s="167">
        <v>21</v>
      </c>
      <c r="U528" s="155">
        <f t="shared" si="376"/>
        <v>174</v>
      </c>
      <c r="W528" s="154" t="str">
        <f t="shared" si="377"/>
        <v>짝수</v>
      </c>
      <c r="X528" s="154" t="str">
        <f t="shared" si="378"/>
        <v>홀수</v>
      </c>
      <c r="Y528" s="154" t="str">
        <f t="shared" si="379"/>
        <v>홀수</v>
      </c>
      <c r="Z528" s="154" t="str">
        <f t="shared" si="380"/>
        <v>짝수</v>
      </c>
      <c r="AA528" s="28" t="str">
        <f t="shared" si="381"/>
        <v>홀수</v>
      </c>
      <c r="AB528" s="28" t="str">
        <f t="shared" si="382"/>
        <v>홀수</v>
      </c>
      <c r="AC528" s="154" t="str">
        <f t="shared" si="383"/>
        <v>4 : 2</v>
      </c>
      <c r="AD528" s="154">
        <f t="shared" si="384"/>
        <v>4</v>
      </c>
      <c r="AE528" s="154">
        <f t="shared" si="385"/>
        <v>2</v>
      </c>
      <c r="AF528" s="154" t="str">
        <f t="shared" si="386"/>
        <v>저수</v>
      </c>
      <c r="AG528" s="154" t="str">
        <f t="shared" si="387"/>
        <v>저수</v>
      </c>
      <c r="AH528" s="154" t="str">
        <f t="shared" si="388"/>
        <v>고수</v>
      </c>
      <c r="AI528" s="154" t="str">
        <f t="shared" si="389"/>
        <v>고수</v>
      </c>
      <c r="AJ528" s="154" t="str">
        <f t="shared" si="390"/>
        <v>고수</v>
      </c>
      <c r="AK528" s="154" t="str">
        <f t="shared" si="391"/>
        <v>고수</v>
      </c>
      <c r="AL528" s="154" t="str">
        <f t="shared" si="392"/>
        <v>2 : 4</v>
      </c>
      <c r="AM528" s="154">
        <f t="shared" si="393"/>
        <v>2</v>
      </c>
      <c r="AN528" s="154">
        <f t="shared" si="394"/>
        <v>4</v>
      </c>
      <c r="AO528" s="154">
        <f t="shared" si="395"/>
        <v>24</v>
      </c>
      <c r="AP528" s="154" t="str">
        <f t="shared" si="396"/>
        <v>X</v>
      </c>
      <c r="AQ528" s="154" t="str">
        <f t="shared" si="397"/>
        <v>O</v>
      </c>
      <c r="AR528" s="154" t="str">
        <f t="shared" si="398"/>
        <v>X</v>
      </c>
      <c r="AS528" s="154" t="str">
        <f t="shared" si="399"/>
        <v>X</v>
      </c>
      <c r="AT528" s="154" t="str">
        <f t="shared" si="400"/>
        <v>X</v>
      </c>
      <c r="AU528" s="154" t="str">
        <f t="shared" si="401"/>
        <v>X</v>
      </c>
      <c r="AV528" s="154" t="str">
        <f t="shared" si="402"/>
        <v>X</v>
      </c>
      <c r="AW528" s="154" t="str">
        <f t="shared" si="403"/>
        <v>X</v>
      </c>
      <c r="AX528" s="154" t="str">
        <f t="shared" si="404"/>
        <v>O</v>
      </c>
      <c r="AY528" s="154" t="str">
        <f t="shared" si="405"/>
        <v>X</v>
      </c>
      <c r="AZ528" s="154" t="str">
        <f t="shared" si="406"/>
        <v>O</v>
      </c>
      <c r="BA528" s="154" t="str">
        <f t="shared" si="407"/>
        <v>X</v>
      </c>
      <c r="BB528" s="154">
        <f t="shared" si="408"/>
        <v>3</v>
      </c>
      <c r="BC528" s="154" t="str">
        <f t="shared" si="409"/>
        <v>1G</v>
      </c>
      <c r="BD528" s="154" t="str">
        <f t="shared" si="410"/>
        <v>1G</v>
      </c>
      <c r="BE528" s="154" t="str">
        <f t="shared" si="411"/>
        <v>2G</v>
      </c>
      <c r="BF528" s="154" t="str">
        <f t="shared" si="412"/>
        <v>3G</v>
      </c>
      <c r="BG528" s="154" t="str">
        <f t="shared" si="413"/>
        <v>3G</v>
      </c>
      <c r="BH528" s="154" t="str">
        <f t="shared" si="414"/>
        <v>3G</v>
      </c>
      <c r="BI528" s="154">
        <f t="shared" si="416"/>
        <v>2</v>
      </c>
      <c r="BJ528" s="154">
        <f t="shared" si="417"/>
        <v>1</v>
      </c>
      <c r="BK528" s="154">
        <f t="shared" si="418"/>
        <v>3</v>
      </c>
      <c r="BL528" s="154" t="str">
        <f t="shared" si="415"/>
        <v>213</v>
      </c>
      <c r="BS528"/>
    </row>
    <row r="529" spans="1:71" ht="16.5" hidden="1">
      <c r="A529" s="18">
        <v>2</v>
      </c>
      <c r="B529" s="18">
        <v>525</v>
      </c>
      <c r="C529" s="363" t="s">
        <v>813</v>
      </c>
      <c r="N529" s="167">
        <v>11</v>
      </c>
      <c r="O529" s="167">
        <v>23</v>
      </c>
      <c r="P529" s="167">
        <v>26</v>
      </c>
      <c r="Q529" s="167">
        <v>29</v>
      </c>
      <c r="R529" s="167">
        <v>39</v>
      </c>
      <c r="S529" s="167">
        <v>44</v>
      </c>
      <c r="T529" s="167">
        <v>22</v>
      </c>
      <c r="U529" s="28">
        <f t="shared" si="376"/>
        <v>172</v>
      </c>
      <c r="W529" s="187" t="str">
        <f t="shared" ref="W529:AB529" si="419">IF(RIGHT(N529,1)="1","홀수",IF(RIGHT(N529,1)="3","홀수",IF(RIGHT(N529,1)="5","홀수",IF(RIGHT(N529,1)="7","홀수",IF(RIGHT(N529,1)="9","홀수","짝수")))))</f>
        <v>홀수</v>
      </c>
      <c r="X529" s="187" t="str">
        <f t="shared" si="419"/>
        <v>홀수</v>
      </c>
      <c r="Y529" s="187" t="str">
        <f t="shared" si="419"/>
        <v>짝수</v>
      </c>
      <c r="Z529" s="187" t="str">
        <f t="shared" si="419"/>
        <v>홀수</v>
      </c>
      <c r="AA529" s="28" t="str">
        <f t="shared" si="419"/>
        <v>홀수</v>
      </c>
      <c r="AB529" s="28" t="str">
        <f t="shared" si="419"/>
        <v>짝수</v>
      </c>
      <c r="AC529" s="187" t="str">
        <f>AD529&amp;" : "&amp;AE529</f>
        <v>4 : 2</v>
      </c>
      <c r="AD529" s="187">
        <f>COUNTIF(W529:AB529,"홀수")</f>
        <v>4</v>
      </c>
      <c r="AE529" s="187">
        <f>COUNTIF(W529:AB529,"짝수")</f>
        <v>2</v>
      </c>
      <c r="AF529" s="187" t="str">
        <f t="shared" ref="AF529:AK529" si="420">IF(N529&lt;23,"저수","고수")</f>
        <v>저수</v>
      </c>
      <c r="AG529" s="187" t="str">
        <f t="shared" si="420"/>
        <v>고수</v>
      </c>
      <c r="AH529" s="187" t="str">
        <f t="shared" si="420"/>
        <v>고수</v>
      </c>
      <c r="AI529" s="187" t="str">
        <f t="shared" si="420"/>
        <v>고수</v>
      </c>
      <c r="AJ529" s="187" t="str">
        <f t="shared" si="420"/>
        <v>고수</v>
      </c>
      <c r="AK529" s="187" t="str">
        <f t="shared" si="420"/>
        <v>고수</v>
      </c>
      <c r="AL529" s="187" t="str">
        <f>AM529&amp;" : "&amp;AN529</f>
        <v>1 : 5</v>
      </c>
      <c r="AM529" s="187">
        <f>COUNTIF(AF529:AK529,"저수")</f>
        <v>1</v>
      </c>
      <c r="AN529" s="187">
        <f>COUNTIF(AF529:AK529,"고수")</f>
        <v>5</v>
      </c>
      <c r="AO529" s="187">
        <f>RIGHT(N529,1)+RIGHT(O529,1)+RIGHT(P529,1)+RIGHT(Q529,1)+RIGHT(R529,1)+RIGHT(S529,1)</f>
        <v>32</v>
      </c>
      <c r="AP529" s="187" t="str">
        <f t="shared" ref="AP529:AU529" si="421">IF(N529=2,"O",IF(N529=3,"O",IF(N529=5,"O",IF(N529=7,"O",IF(N529=11,"O",IF(N529=13,"O",IF(N529=17,"O",IF(N529=19,"O","X"))))))))</f>
        <v>O</v>
      </c>
      <c r="AQ529" s="187" t="str">
        <f t="shared" si="421"/>
        <v>X</v>
      </c>
      <c r="AR529" s="187" t="str">
        <f t="shared" si="421"/>
        <v>X</v>
      </c>
      <c r="AS529" s="187" t="str">
        <f t="shared" si="421"/>
        <v>X</v>
      </c>
      <c r="AT529" s="187" t="str">
        <f t="shared" si="421"/>
        <v>X</v>
      </c>
      <c r="AU529" s="187" t="str">
        <f t="shared" si="421"/>
        <v>X</v>
      </c>
      <c r="AV529" s="187" t="str">
        <f t="shared" ref="AV529:BA529" si="422">IF(N529=23,"O",IF(N529=29,"O",IF(N529=31,"O",IF(N529=37,"O",IF(N529=41,"O",IF(N529=43,"O","X"))))))</f>
        <v>X</v>
      </c>
      <c r="AW529" s="187" t="str">
        <f t="shared" si="422"/>
        <v>O</v>
      </c>
      <c r="AX529" s="187" t="str">
        <f t="shared" si="422"/>
        <v>X</v>
      </c>
      <c r="AY529" s="187" t="str">
        <f t="shared" si="422"/>
        <v>O</v>
      </c>
      <c r="AZ529" s="187" t="str">
        <f t="shared" si="422"/>
        <v>X</v>
      </c>
      <c r="BA529" s="187" t="str">
        <f t="shared" si="422"/>
        <v>X</v>
      </c>
      <c r="BB529" s="187">
        <f>COUNTIF(AP529:BA529,"O")</f>
        <v>3</v>
      </c>
      <c r="BC529" s="187" t="str">
        <f t="shared" ref="BC529:BC548" si="423">VLOOKUP(N529,삼그룹,6,FALSE)</f>
        <v>1G</v>
      </c>
      <c r="BD529" s="187" t="str">
        <f t="shared" ref="BD529:BD548" si="424">VLOOKUP(O529,삼그룹,6,FALSE)</f>
        <v>2G</v>
      </c>
      <c r="BE529" s="187" t="str">
        <f t="shared" ref="BE529:BE548" si="425">VLOOKUP(P529,삼그룹,6,FALSE)</f>
        <v>2G</v>
      </c>
      <c r="BF529" s="187" t="str">
        <f t="shared" ref="BF529:BF548" si="426">VLOOKUP(Q529,삼그룹,6,FALSE)</f>
        <v>2G</v>
      </c>
      <c r="BG529" s="187" t="str">
        <f t="shared" ref="BG529:BG548" si="427">VLOOKUP(R529,삼그룹,6,FALSE)</f>
        <v>3G</v>
      </c>
      <c r="BH529" s="187" t="str">
        <f t="shared" ref="BH529:BH548" si="428">VLOOKUP(S529,삼그룹,6,FALSE)</f>
        <v>3G</v>
      </c>
      <c r="BI529" s="187">
        <f t="shared" si="416"/>
        <v>1</v>
      </c>
      <c r="BJ529" s="187">
        <f t="shared" si="417"/>
        <v>3</v>
      </c>
      <c r="BK529" s="187">
        <f t="shared" si="418"/>
        <v>2</v>
      </c>
      <c r="BL529" s="187" t="str">
        <f t="shared" ref="BL529:BL548" si="429">BI529&amp;BJ529&amp;BK529</f>
        <v>132</v>
      </c>
      <c r="BS529"/>
    </row>
    <row r="530" spans="1:71" ht="16.5" hidden="1">
      <c r="A530" s="18">
        <v>2</v>
      </c>
      <c r="B530" s="18">
        <v>526</v>
      </c>
      <c r="C530" s="363" t="s">
        <v>824</v>
      </c>
      <c r="N530" s="167">
        <v>7</v>
      </c>
      <c r="O530" s="167">
        <v>14</v>
      </c>
      <c r="P530" s="167">
        <v>17</v>
      </c>
      <c r="Q530" s="167">
        <v>20</v>
      </c>
      <c r="R530" s="167">
        <v>35</v>
      </c>
      <c r="S530" s="167">
        <v>39</v>
      </c>
      <c r="T530" s="167">
        <v>31</v>
      </c>
      <c r="U530" s="28">
        <f t="shared" si="376"/>
        <v>132</v>
      </c>
      <c r="W530" s="201" t="str">
        <f t="shared" ref="W530:W577" si="430">IF(RIGHT(N530,1)="1","홀수",IF(RIGHT(N530,1)="3","홀수",IF(RIGHT(N530,1)="5","홀수",IF(RIGHT(N530,1)="7","홀수",IF(RIGHT(N530,1)="9","홀수","짝수")))))</f>
        <v>홀수</v>
      </c>
      <c r="X530" s="201" t="str">
        <f t="shared" ref="X530:X577" si="431">IF(RIGHT(O530,1)="1","홀수",IF(RIGHT(O530,1)="3","홀수",IF(RIGHT(O530,1)="5","홀수",IF(RIGHT(O530,1)="7","홀수",IF(RIGHT(O530,1)="9","홀수","짝수")))))</f>
        <v>짝수</v>
      </c>
      <c r="Y530" s="201" t="str">
        <f t="shared" ref="Y530:Y577" si="432">IF(RIGHT(P530,1)="1","홀수",IF(RIGHT(P530,1)="3","홀수",IF(RIGHT(P530,1)="5","홀수",IF(RIGHT(P530,1)="7","홀수",IF(RIGHT(P530,1)="9","홀수","짝수")))))</f>
        <v>홀수</v>
      </c>
      <c r="Z530" s="201" t="str">
        <f t="shared" ref="Z530:Z577" si="433">IF(RIGHT(Q530,1)="1","홀수",IF(RIGHT(Q530,1)="3","홀수",IF(RIGHT(Q530,1)="5","홀수",IF(RIGHT(Q530,1)="7","홀수",IF(RIGHT(Q530,1)="9","홀수","짝수")))))</f>
        <v>짝수</v>
      </c>
      <c r="AA530" s="28" t="str">
        <f t="shared" ref="AA530:AA577" si="434">IF(RIGHT(R530,1)="1","홀수",IF(RIGHT(R530,1)="3","홀수",IF(RIGHT(R530,1)="5","홀수",IF(RIGHT(R530,1)="7","홀수",IF(RIGHT(R530,1)="9","홀수","짝수")))))</f>
        <v>홀수</v>
      </c>
      <c r="AB530" s="28" t="str">
        <f t="shared" ref="AB530:AB577" si="435">IF(RIGHT(S530,1)="1","홀수",IF(RIGHT(S530,1)="3","홀수",IF(RIGHT(S530,1)="5","홀수",IF(RIGHT(S530,1)="7","홀수",IF(RIGHT(S530,1)="9","홀수","짝수")))))</f>
        <v>홀수</v>
      </c>
      <c r="AC530" s="201" t="str">
        <f t="shared" ref="AC530:AC577" si="436">AD530&amp;" : "&amp;AE530</f>
        <v>4 : 2</v>
      </c>
      <c r="AD530" s="201">
        <f t="shared" ref="AD530:AD577" si="437">COUNTIF(W530:AB530,"홀수")</f>
        <v>4</v>
      </c>
      <c r="AE530" s="201">
        <f t="shared" ref="AE530:AE577" si="438">COUNTIF(W530:AB530,"짝수")</f>
        <v>2</v>
      </c>
      <c r="AF530" s="201" t="str">
        <f t="shared" ref="AF530:AF577" si="439">IF(N530&lt;23,"저수","고수")</f>
        <v>저수</v>
      </c>
      <c r="AG530" s="201" t="str">
        <f t="shared" ref="AG530:AG577" si="440">IF(O530&lt;23,"저수","고수")</f>
        <v>저수</v>
      </c>
      <c r="AH530" s="201" t="str">
        <f t="shared" ref="AH530:AH577" si="441">IF(P530&lt;23,"저수","고수")</f>
        <v>저수</v>
      </c>
      <c r="AI530" s="201" t="str">
        <f t="shared" ref="AI530:AI577" si="442">IF(Q530&lt;23,"저수","고수")</f>
        <v>저수</v>
      </c>
      <c r="AJ530" s="201" t="str">
        <f t="shared" ref="AJ530:AJ577" si="443">IF(R530&lt;23,"저수","고수")</f>
        <v>고수</v>
      </c>
      <c r="AK530" s="201" t="str">
        <f t="shared" ref="AK530:AK577" si="444">IF(S530&lt;23,"저수","고수")</f>
        <v>고수</v>
      </c>
      <c r="AL530" s="201" t="str">
        <f t="shared" ref="AL530:AL577" si="445">AM530&amp;" : "&amp;AN530</f>
        <v>4 : 2</v>
      </c>
      <c r="AM530" s="201">
        <f t="shared" ref="AM530:AM577" si="446">COUNTIF(AF530:AK530,"저수")</f>
        <v>4</v>
      </c>
      <c r="AN530" s="201">
        <f t="shared" ref="AN530:AN577" si="447">COUNTIF(AF530:AK530,"고수")</f>
        <v>2</v>
      </c>
      <c r="AO530" s="201">
        <f t="shared" ref="AO530:AO577" si="448">RIGHT(N530,1)+RIGHT(O530,1)+RIGHT(P530,1)+RIGHT(Q530,1)+RIGHT(R530,1)+RIGHT(S530,1)</f>
        <v>32</v>
      </c>
      <c r="AP530" s="201" t="str">
        <f t="shared" ref="AP530:AP577" si="449">IF(N530=2,"O",IF(N530=3,"O",IF(N530=5,"O",IF(N530=7,"O",IF(N530=11,"O",IF(N530=13,"O",IF(N530=17,"O",IF(N530=19,"O","X"))))))))</f>
        <v>O</v>
      </c>
      <c r="AQ530" s="201" t="str">
        <f t="shared" ref="AQ530:AQ577" si="450">IF(O530=2,"O",IF(O530=3,"O",IF(O530=5,"O",IF(O530=7,"O",IF(O530=11,"O",IF(O530=13,"O",IF(O530=17,"O",IF(O530=19,"O","X"))))))))</f>
        <v>X</v>
      </c>
      <c r="AR530" s="201" t="str">
        <f t="shared" ref="AR530:AR577" si="451">IF(P530=2,"O",IF(P530=3,"O",IF(P530=5,"O",IF(P530=7,"O",IF(P530=11,"O",IF(P530=13,"O",IF(P530=17,"O",IF(P530=19,"O","X"))))))))</f>
        <v>O</v>
      </c>
      <c r="AS530" s="201" t="str">
        <f t="shared" ref="AS530:AS577" si="452">IF(Q530=2,"O",IF(Q530=3,"O",IF(Q530=5,"O",IF(Q530=7,"O",IF(Q530=11,"O",IF(Q530=13,"O",IF(Q530=17,"O",IF(Q530=19,"O","X"))))))))</f>
        <v>X</v>
      </c>
      <c r="AT530" s="201" t="str">
        <f t="shared" ref="AT530:AT577" si="453">IF(R530=2,"O",IF(R530=3,"O",IF(R530=5,"O",IF(R530=7,"O",IF(R530=11,"O",IF(R530=13,"O",IF(R530=17,"O",IF(R530=19,"O","X"))))))))</f>
        <v>X</v>
      </c>
      <c r="AU530" s="201" t="str">
        <f t="shared" ref="AU530:AU577" si="454">IF(S530=2,"O",IF(S530=3,"O",IF(S530=5,"O",IF(S530=7,"O",IF(S530=11,"O",IF(S530=13,"O",IF(S530=17,"O",IF(S530=19,"O","X"))))))))</f>
        <v>X</v>
      </c>
      <c r="AV530" s="201" t="str">
        <f t="shared" ref="AV530:AV577" si="455">IF(N530=23,"O",IF(N530=29,"O",IF(N530=31,"O",IF(N530=37,"O",IF(N530=41,"O",IF(N530=43,"O","X"))))))</f>
        <v>X</v>
      </c>
      <c r="AW530" s="201" t="str">
        <f t="shared" ref="AW530:AW577" si="456">IF(O530=23,"O",IF(O530=29,"O",IF(O530=31,"O",IF(O530=37,"O",IF(O530=41,"O",IF(O530=43,"O","X"))))))</f>
        <v>X</v>
      </c>
      <c r="AX530" s="201" t="str">
        <f t="shared" ref="AX530:AX577" si="457">IF(P530=23,"O",IF(P530=29,"O",IF(P530=31,"O",IF(P530=37,"O",IF(P530=41,"O",IF(P530=43,"O","X"))))))</f>
        <v>X</v>
      </c>
      <c r="AY530" s="201" t="str">
        <f t="shared" ref="AY530:AY577" si="458">IF(Q530=23,"O",IF(Q530=29,"O",IF(Q530=31,"O",IF(Q530=37,"O",IF(Q530=41,"O",IF(Q530=43,"O","X"))))))</f>
        <v>X</v>
      </c>
      <c r="AZ530" s="201" t="str">
        <f t="shared" ref="AZ530:AZ577" si="459">IF(R530=23,"O",IF(R530=29,"O",IF(R530=31,"O",IF(R530=37,"O",IF(R530=41,"O",IF(R530=43,"O","X"))))))</f>
        <v>X</v>
      </c>
      <c r="BA530" s="201" t="str">
        <f t="shared" ref="BA530:BA577" si="460">IF(S530=23,"O",IF(S530=29,"O",IF(S530=31,"O",IF(S530=37,"O",IF(S530=41,"O",IF(S530=43,"O","X"))))))</f>
        <v>X</v>
      </c>
      <c r="BB530" s="201">
        <f t="shared" ref="BB530:BB577" si="461">COUNTIF(AP530:BA530,"O")</f>
        <v>2</v>
      </c>
      <c r="BC530" s="201" t="str">
        <f t="shared" si="423"/>
        <v>1G</v>
      </c>
      <c r="BD530" s="201" t="str">
        <f t="shared" si="424"/>
        <v>1G</v>
      </c>
      <c r="BE530" s="201" t="str">
        <f t="shared" si="425"/>
        <v>2G</v>
      </c>
      <c r="BF530" s="201" t="str">
        <f t="shared" si="426"/>
        <v>2G</v>
      </c>
      <c r="BG530" s="201" t="str">
        <f t="shared" si="427"/>
        <v>3G</v>
      </c>
      <c r="BH530" s="201" t="str">
        <f t="shared" si="428"/>
        <v>3G</v>
      </c>
      <c r="BI530" s="201">
        <f t="shared" si="416"/>
        <v>2</v>
      </c>
      <c r="BJ530" s="201">
        <f t="shared" si="417"/>
        <v>2</v>
      </c>
      <c r="BK530" s="201">
        <f t="shared" si="418"/>
        <v>2</v>
      </c>
      <c r="BL530" s="201" t="str">
        <f t="shared" si="429"/>
        <v>222</v>
      </c>
      <c r="BS530"/>
    </row>
    <row r="531" spans="1:71" ht="16.5" hidden="1">
      <c r="A531" s="18">
        <v>3</v>
      </c>
      <c r="B531" s="18">
        <v>527</v>
      </c>
      <c r="C531" s="363" t="s">
        <v>827</v>
      </c>
      <c r="N531" s="167">
        <v>1</v>
      </c>
      <c r="O531" s="167">
        <v>12</v>
      </c>
      <c r="P531" s="167">
        <v>22</v>
      </c>
      <c r="Q531" s="167">
        <v>32</v>
      </c>
      <c r="R531" s="167">
        <v>33</v>
      </c>
      <c r="S531" s="167">
        <v>42</v>
      </c>
      <c r="T531" s="167">
        <v>38</v>
      </c>
      <c r="U531" s="28">
        <f t="shared" si="376"/>
        <v>142</v>
      </c>
      <c r="W531" s="27" t="str">
        <f t="shared" si="430"/>
        <v>홀수</v>
      </c>
      <c r="X531" s="27" t="str">
        <f t="shared" si="431"/>
        <v>짝수</v>
      </c>
      <c r="Y531" s="27" t="str">
        <f t="shared" si="432"/>
        <v>짝수</v>
      </c>
      <c r="Z531" s="27" t="str">
        <f t="shared" si="433"/>
        <v>짝수</v>
      </c>
      <c r="AA531" s="28" t="str">
        <f t="shared" si="434"/>
        <v>홀수</v>
      </c>
      <c r="AB531" s="28" t="str">
        <f t="shared" si="435"/>
        <v>짝수</v>
      </c>
      <c r="AC531" s="27" t="str">
        <f t="shared" si="436"/>
        <v>2 : 4</v>
      </c>
      <c r="AD531" s="32">
        <f t="shared" si="437"/>
        <v>2</v>
      </c>
      <c r="AE531" s="32">
        <f t="shared" si="438"/>
        <v>4</v>
      </c>
      <c r="AF531" s="66" t="str">
        <f t="shared" si="439"/>
        <v>저수</v>
      </c>
      <c r="AG531" s="66" t="str">
        <f t="shared" si="440"/>
        <v>저수</v>
      </c>
      <c r="AH531" s="66" t="str">
        <f t="shared" si="441"/>
        <v>저수</v>
      </c>
      <c r="AI531" s="66" t="str">
        <f t="shared" si="442"/>
        <v>고수</v>
      </c>
      <c r="AJ531" s="66" t="str">
        <f t="shared" si="443"/>
        <v>고수</v>
      </c>
      <c r="AK531" s="66" t="str">
        <f t="shared" si="444"/>
        <v>고수</v>
      </c>
      <c r="AL531" s="66" t="str">
        <f t="shared" si="445"/>
        <v>3 : 3</v>
      </c>
      <c r="AM531" s="27">
        <f t="shared" si="446"/>
        <v>3</v>
      </c>
      <c r="AN531" s="27">
        <f t="shared" si="447"/>
        <v>3</v>
      </c>
      <c r="AO531" s="27">
        <f t="shared" si="448"/>
        <v>12</v>
      </c>
      <c r="AP531" s="66" t="str">
        <f t="shared" si="449"/>
        <v>X</v>
      </c>
      <c r="AQ531" s="66" t="str">
        <f t="shared" si="450"/>
        <v>X</v>
      </c>
      <c r="AR531" s="66" t="str">
        <f t="shared" si="451"/>
        <v>X</v>
      </c>
      <c r="AS531" s="66" t="str">
        <f t="shared" si="452"/>
        <v>X</v>
      </c>
      <c r="AT531" s="66" t="str">
        <f t="shared" si="453"/>
        <v>X</v>
      </c>
      <c r="AU531" s="66" t="str">
        <f t="shared" si="454"/>
        <v>X</v>
      </c>
      <c r="AV531" s="66" t="str">
        <f t="shared" si="455"/>
        <v>X</v>
      </c>
      <c r="AW531" s="66" t="str">
        <f t="shared" si="456"/>
        <v>X</v>
      </c>
      <c r="AX531" s="66" t="str">
        <f t="shared" si="457"/>
        <v>X</v>
      </c>
      <c r="AY531" s="66" t="str">
        <f t="shared" si="458"/>
        <v>X</v>
      </c>
      <c r="AZ531" s="66" t="str">
        <f t="shared" si="459"/>
        <v>X</v>
      </c>
      <c r="BA531" s="27" t="str">
        <f t="shared" si="460"/>
        <v>X</v>
      </c>
      <c r="BB531" s="27">
        <f t="shared" si="461"/>
        <v>0</v>
      </c>
      <c r="BC531" s="202" t="str">
        <f t="shared" si="423"/>
        <v>1G</v>
      </c>
      <c r="BD531" s="202" t="str">
        <f t="shared" si="424"/>
        <v>1G</v>
      </c>
      <c r="BE531" s="202" t="str">
        <f t="shared" si="425"/>
        <v>2G</v>
      </c>
      <c r="BF531" s="202" t="str">
        <f t="shared" si="426"/>
        <v>3G</v>
      </c>
      <c r="BG531" s="202" t="str">
        <f t="shared" si="427"/>
        <v>3G</v>
      </c>
      <c r="BH531" s="202" t="str">
        <f t="shared" si="428"/>
        <v>3G</v>
      </c>
      <c r="BI531" s="202">
        <f t="shared" si="416"/>
        <v>2</v>
      </c>
      <c r="BJ531" s="202">
        <f t="shared" si="417"/>
        <v>1</v>
      </c>
      <c r="BK531" s="202">
        <f t="shared" si="418"/>
        <v>3</v>
      </c>
      <c r="BL531" s="202" t="str">
        <f t="shared" si="429"/>
        <v>213</v>
      </c>
      <c r="BS531"/>
    </row>
    <row r="532" spans="1:71" ht="16.5" hidden="1">
      <c r="A532" s="18">
        <v>3</v>
      </c>
      <c r="B532" s="18">
        <v>528</v>
      </c>
      <c r="C532" s="363" t="s">
        <v>828</v>
      </c>
      <c r="N532" s="167">
        <v>5</v>
      </c>
      <c r="O532" s="167">
        <v>17</v>
      </c>
      <c r="P532" s="167">
        <v>25</v>
      </c>
      <c r="Q532" s="167">
        <v>31</v>
      </c>
      <c r="R532" s="167">
        <v>39</v>
      </c>
      <c r="S532" s="167">
        <v>40</v>
      </c>
      <c r="T532" s="167">
        <v>10</v>
      </c>
      <c r="U532" s="28">
        <f t="shared" si="376"/>
        <v>157</v>
      </c>
      <c r="W532" s="27" t="str">
        <f t="shared" si="430"/>
        <v>홀수</v>
      </c>
      <c r="X532" s="27" t="str">
        <f t="shared" si="431"/>
        <v>홀수</v>
      </c>
      <c r="Y532" s="27" t="str">
        <f t="shared" si="432"/>
        <v>홀수</v>
      </c>
      <c r="Z532" s="27" t="str">
        <f t="shared" si="433"/>
        <v>홀수</v>
      </c>
      <c r="AA532" s="28" t="str">
        <f t="shared" si="434"/>
        <v>홀수</v>
      </c>
      <c r="AB532" s="28" t="str">
        <f t="shared" si="435"/>
        <v>짝수</v>
      </c>
      <c r="AC532" s="27" t="str">
        <f t="shared" si="436"/>
        <v>5 : 1</v>
      </c>
      <c r="AD532" s="32">
        <f t="shared" si="437"/>
        <v>5</v>
      </c>
      <c r="AE532" s="32">
        <f t="shared" si="438"/>
        <v>1</v>
      </c>
      <c r="AF532" s="66" t="str">
        <f t="shared" si="439"/>
        <v>저수</v>
      </c>
      <c r="AG532" s="66" t="str">
        <f t="shared" si="440"/>
        <v>저수</v>
      </c>
      <c r="AH532" s="66" t="str">
        <f t="shared" si="441"/>
        <v>고수</v>
      </c>
      <c r="AI532" s="66" t="str">
        <f t="shared" si="442"/>
        <v>고수</v>
      </c>
      <c r="AJ532" s="66" t="str">
        <f t="shared" si="443"/>
        <v>고수</v>
      </c>
      <c r="AK532" s="66" t="str">
        <f t="shared" si="444"/>
        <v>고수</v>
      </c>
      <c r="AL532" s="66" t="str">
        <f t="shared" si="445"/>
        <v>2 : 4</v>
      </c>
      <c r="AM532" s="27">
        <f t="shared" si="446"/>
        <v>2</v>
      </c>
      <c r="AN532" s="27">
        <f t="shared" si="447"/>
        <v>4</v>
      </c>
      <c r="AO532" s="27">
        <f t="shared" si="448"/>
        <v>27</v>
      </c>
      <c r="AP532" s="66" t="str">
        <f t="shared" si="449"/>
        <v>O</v>
      </c>
      <c r="AQ532" s="66" t="str">
        <f t="shared" si="450"/>
        <v>O</v>
      </c>
      <c r="AR532" s="66" t="str">
        <f t="shared" si="451"/>
        <v>X</v>
      </c>
      <c r="AS532" s="66" t="str">
        <f t="shared" si="452"/>
        <v>X</v>
      </c>
      <c r="AT532" s="66" t="str">
        <f t="shared" si="453"/>
        <v>X</v>
      </c>
      <c r="AU532" s="66" t="str">
        <f t="shared" si="454"/>
        <v>X</v>
      </c>
      <c r="AV532" s="66" t="str">
        <f t="shared" si="455"/>
        <v>X</v>
      </c>
      <c r="AW532" s="66" t="str">
        <f t="shared" si="456"/>
        <v>X</v>
      </c>
      <c r="AX532" s="66" t="str">
        <f t="shared" si="457"/>
        <v>X</v>
      </c>
      <c r="AY532" s="66" t="str">
        <f t="shared" si="458"/>
        <v>O</v>
      </c>
      <c r="AZ532" s="66" t="str">
        <f t="shared" si="459"/>
        <v>X</v>
      </c>
      <c r="BA532" s="27" t="str">
        <f t="shared" si="460"/>
        <v>X</v>
      </c>
      <c r="BB532" s="27">
        <f t="shared" si="461"/>
        <v>3</v>
      </c>
      <c r="BC532" s="204" t="str">
        <f t="shared" si="423"/>
        <v>1G</v>
      </c>
      <c r="BD532" s="204" t="str">
        <f t="shared" si="424"/>
        <v>2G</v>
      </c>
      <c r="BE532" s="204" t="str">
        <f t="shared" si="425"/>
        <v>2G</v>
      </c>
      <c r="BF532" s="204" t="str">
        <f t="shared" si="426"/>
        <v>3G</v>
      </c>
      <c r="BG532" s="204" t="str">
        <f t="shared" si="427"/>
        <v>3G</v>
      </c>
      <c r="BH532" s="204" t="str">
        <f t="shared" si="428"/>
        <v>3G</v>
      </c>
      <c r="BI532" s="204">
        <f t="shared" si="416"/>
        <v>1</v>
      </c>
      <c r="BJ532" s="204">
        <f t="shared" si="417"/>
        <v>2</v>
      </c>
      <c r="BK532" s="204">
        <f t="shared" si="418"/>
        <v>3</v>
      </c>
      <c r="BL532" s="204" t="str">
        <f t="shared" si="429"/>
        <v>123</v>
      </c>
      <c r="BS532"/>
    </row>
    <row r="533" spans="1:71" ht="16.5" hidden="1">
      <c r="A533" s="18">
        <v>3</v>
      </c>
      <c r="B533" s="18">
        <v>529</v>
      </c>
      <c r="C533" s="363" t="s">
        <v>830</v>
      </c>
      <c r="N533" s="167">
        <v>18</v>
      </c>
      <c r="O533" s="167">
        <v>20</v>
      </c>
      <c r="P533" s="167">
        <v>24</v>
      </c>
      <c r="Q533" s="167">
        <v>27</v>
      </c>
      <c r="R533" s="167">
        <v>31</v>
      </c>
      <c r="S533" s="167">
        <v>42</v>
      </c>
      <c r="T533" s="167">
        <v>39</v>
      </c>
      <c r="U533" s="28">
        <f t="shared" si="376"/>
        <v>162</v>
      </c>
      <c r="W533" s="27" t="str">
        <f t="shared" si="430"/>
        <v>짝수</v>
      </c>
      <c r="X533" s="27" t="str">
        <f t="shared" si="431"/>
        <v>짝수</v>
      </c>
      <c r="Y533" s="27" t="str">
        <f t="shared" si="432"/>
        <v>짝수</v>
      </c>
      <c r="Z533" s="27" t="str">
        <f t="shared" si="433"/>
        <v>홀수</v>
      </c>
      <c r="AA533" s="28" t="str">
        <f t="shared" si="434"/>
        <v>홀수</v>
      </c>
      <c r="AB533" s="28" t="str">
        <f t="shared" si="435"/>
        <v>짝수</v>
      </c>
      <c r="AC533" s="27" t="str">
        <f t="shared" si="436"/>
        <v>2 : 4</v>
      </c>
      <c r="AD533" s="32">
        <f t="shared" si="437"/>
        <v>2</v>
      </c>
      <c r="AE533" s="32">
        <f t="shared" si="438"/>
        <v>4</v>
      </c>
      <c r="AF533" s="66" t="str">
        <f t="shared" si="439"/>
        <v>저수</v>
      </c>
      <c r="AG533" s="66" t="str">
        <f t="shared" si="440"/>
        <v>저수</v>
      </c>
      <c r="AH533" s="66" t="str">
        <f t="shared" si="441"/>
        <v>고수</v>
      </c>
      <c r="AI533" s="66" t="str">
        <f t="shared" si="442"/>
        <v>고수</v>
      </c>
      <c r="AJ533" s="66" t="str">
        <f t="shared" si="443"/>
        <v>고수</v>
      </c>
      <c r="AK533" s="66" t="str">
        <f t="shared" si="444"/>
        <v>고수</v>
      </c>
      <c r="AL533" s="66" t="str">
        <f t="shared" si="445"/>
        <v>2 : 4</v>
      </c>
      <c r="AM533" s="27">
        <f t="shared" si="446"/>
        <v>2</v>
      </c>
      <c r="AN533" s="27">
        <f t="shared" si="447"/>
        <v>4</v>
      </c>
      <c r="AO533" s="27">
        <f t="shared" si="448"/>
        <v>22</v>
      </c>
      <c r="AP533" s="66" t="str">
        <f t="shared" si="449"/>
        <v>X</v>
      </c>
      <c r="AQ533" s="66" t="str">
        <f t="shared" si="450"/>
        <v>X</v>
      </c>
      <c r="AR533" s="66" t="str">
        <f t="shared" si="451"/>
        <v>X</v>
      </c>
      <c r="AS533" s="66" t="str">
        <f t="shared" si="452"/>
        <v>X</v>
      </c>
      <c r="AT533" s="66" t="str">
        <f t="shared" si="453"/>
        <v>X</v>
      </c>
      <c r="AU533" s="66" t="str">
        <f t="shared" si="454"/>
        <v>X</v>
      </c>
      <c r="AV533" s="66" t="str">
        <f t="shared" si="455"/>
        <v>X</v>
      </c>
      <c r="AW533" s="66" t="str">
        <f t="shared" si="456"/>
        <v>X</v>
      </c>
      <c r="AX533" s="66" t="str">
        <f t="shared" si="457"/>
        <v>X</v>
      </c>
      <c r="AY533" s="66" t="str">
        <f t="shared" si="458"/>
        <v>X</v>
      </c>
      <c r="AZ533" s="66" t="str">
        <f t="shared" si="459"/>
        <v>O</v>
      </c>
      <c r="BA533" s="27" t="str">
        <f t="shared" si="460"/>
        <v>X</v>
      </c>
      <c r="BB533" s="27">
        <f t="shared" si="461"/>
        <v>1</v>
      </c>
      <c r="BC533" s="209" t="str">
        <f t="shared" si="423"/>
        <v>2G</v>
      </c>
      <c r="BD533" s="209" t="str">
        <f t="shared" si="424"/>
        <v>2G</v>
      </c>
      <c r="BE533" s="209" t="str">
        <f t="shared" si="425"/>
        <v>2G</v>
      </c>
      <c r="BF533" s="209" t="str">
        <f t="shared" si="426"/>
        <v>2G</v>
      </c>
      <c r="BG533" s="209" t="str">
        <f t="shared" si="427"/>
        <v>3G</v>
      </c>
      <c r="BH533" s="209" t="str">
        <f t="shared" si="428"/>
        <v>3G</v>
      </c>
      <c r="BI533" s="209">
        <f t="shared" si="416"/>
        <v>0</v>
      </c>
      <c r="BJ533" s="209">
        <f t="shared" si="417"/>
        <v>4</v>
      </c>
      <c r="BK533" s="209">
        <f t="shared" si="418"/>
        <v>2</v>
      </c>
      <c r="BL533" s="209" t="str">
        <f t="shared" si="429"/>
        <v>042</v>
      </c>
      <c r="BS533"/>
    </row>
    <row r="534" spans="1:71" ht="16.5" hidden="1">
      <c r="A534" s="18">
        <v>3</v>
      </c>
      <c r="B534" s="18">
        <v>530</v>
      </c>
      <c r="C534" s="363" t="s">
        <v>831</v>
      </c>
      <c r="N534" s="167">
        <v>16</v>
      </c>
      <c r="O534" s="167">
        <v>23</v>
      </c>
      <c r="P534" s="167">
        <v>27</v>
      </c>
      <c r="Q534" s="167">
        <v>29</v>
      </c>
      <c r="R534" s="167">
        <v>33</v>
      </c>
      <c r="S534" s="167">
        <v>41</v>
      </c>
      <c r="T534" s="167">
        <v>22</v>
      </c>
      <c r="U534" s="28">
        <f t="shared" si="376"/>
        <v>169</v>
      </c>
      <c r="W534" s="27" t="str">
        <f t="shared" si="430"/>
        <v>짝수</v>
      </c>
      <c r="X534" s="27" t="str">
        <f t="shared" si="431"/>
        <v>홀수</v>
      </c>
      <c r="Y534" s="27" t="str">
        <f t="shared" si="432"/>
        <v>홀수</v>
      </c>
      <c r="Z534" s="27" t="str">
        <f t="shared" si="433"/>
        <v>홀수</v>
      </c>
      <c r="AA534" s="28" t="str">
        <f t="shared" si="434"/>
        <v>홀수</v>
      </c>
      <c r="AB534" s="28" t="str">
        <f t="shared" si="435"/>
        <v>홀수</v>
      </c>
      <c r="AC534" s="27" t="str">
        <f t="shared" si="436"/>
        <v>5 : 1</v>
      </c>
      <c r="AD534" s="32">
        <f t="shared" si="437"/>
        <v>5</v>
      </c>
      <c r="AE534" s="32">
        <f t="shared" si="438"/>
        <v>1</v>
      </c>
      <c r="AF534" s="66" t="str">
        <f t="shared" si="439"/>
        <v>저수</v>
      </c>
      <c r="AG534" s="66" t="str">
        <f t="shared" si="440"/>
        <v>고수</v>
      </c>
      <c r="AH534" s="66" t="str">
        <f t="shared" si="441"/>
        <v>고수</v>
      </c>
      <c r="AI534" s="66" t="str">
        <f t="shared" si="442"/>
        <v>고수</v>
      </c>
      <c r="AJ534" s="66" t="str">
        <f t="shared" si="443"/>
        <v>고수</v>
      </c>
      <c r="AK534" s="66" t="str">
        <f t="shared" si="444"/>
        <v>고수</v>
      </c>
      <c r="AL534" s="66" t="str">
        <f t="shared" si="445"/>
        <v>1 : 5</v>
      </c>
      <c r="AM534" s="27">
        <f t="shared" si="446"/>
        <v>1</v>
      </c>
      <c r="AN534" s="27">
        <f t="shared" si="447"/>
        <v>5</v>
      </c>
      <c r="AO534" s="27">
        <f t="shared" si="448"/>
        <v>29</v>
      </c>
      <c r="AP534" s="66" t="str">
        <f t="shared" si="449"/>
        <v>X</v>
      </c>
      <c r="AQ534" s="66" t="str">
        <f t="shared" si="450"/>
        <v>X</v>
      </c>
      <c r="AR534" s="66" t="str">
        <f t="shared" si="451"/>
        <v>X</v>
      </c>
      <c r="AS534" s="66" t="str">
        <f t="shared" si="452"/>
        <v>X</v>
      </c>
      <c r="AT534" s="66" t="str">
        <f t="shared" si="453"/>
        <v>X</v>
      </c>
      <c r="AU534" s="66" t="str">
        <f t="shared" si="454"/>
        <v>X</v>
      </c>
      <c r="AV534" s="66" t="str">
        <f t="shared" si="455"/>
        <v>X</v>
      </c>
      <c r="AW534" s="66" t="str">
        <f t="shared" si="456"/>
        <v>O</v>
      </c>
      <c r="AX534" s="66" t="str">
        <f t="shared" si="457"/>
        <v>X</v>
      </c>
      <c r="AY534" s="66" t="str">
        <f t="shared" si="458"/>
        <v>O</v>
      </c>
      <c r="AZ534" s="66" t="str">
        <f t="shared" si="459"/>
        <v>X</v>
      </c>
      <c r="BA534" s="27" t="str">
        <f t="shared" si="460"/>
        <v>O</v>
      </c>
      <c r="BB534" s="27">
        <f t="shared" si="461"/>
        <v>3</v>
      </c>
      <c r="BC534" s="213" t="str">
        <f t="shared" si="423"/>
        <v>2G</v>
      </c>
      <c r="BD534" s="213" t="str">
        <f t="shared" si="424"/>
        <v>2G</v>
      </c>
      <c r="BE534" s="213" t="str">
        <f t="shared" si="425"/>
        <v>2G</v>
      </c>
      <c r="BF534" s="213" t="str">
        <f t="shared" si="426"/>
        <v>2G</v>
      </c>
      <c r="BG534" s="213" t="str">
        <f t="shared" si="427"/>
        <v>3G</v>
      </c>
      <c r="BH534" s="213" t="str">
        <f t="shared" si="428"/>
        <v>3G</v>
      </c>
      <c r="BI534" s="213">
        <f t="shared" si="416"/>
        <v>0</v>
      </c>
      <c r="BJ534" s="213">
        <f t="shared" si="417"/>
        <v>4</v>
      </c>
      <c r="BK534" s="213">
        <f t="shared" si="418"/>
        <v>2</v>
      </c>
      <c r="BL534" s="213" t="str">
        <f t="shared" si="429"/>
        <v>042</v>
      </c>
      <c r="BS534"/>
    </row>
    <row r="535" spans="1:71" ht="16.5" hidden="1">
      <c r="B535" s="18">
        <v>531</v>
      </c>
      <c r="C535" s="363" t="s">
        <v>832</v>
      </c>
      <c r="N535" s="167">
        <v>1</v>
      </c>
      <c r="O535" s="167">
        <v>5</v>
      </c>
      <c r="P535" s="167">
        <v>9</v>
      </c>
      <c r="Q535" s="167">
        <v>21</v>
      </c>
      <c r="R535" s="167">
        <v>27</v>
      </c>
      <c r="S535" s="167">
        <v>35</v>
      </c>
      <c r="T535" s="167">
        <v>45</v>
      </c>
      <c r="U535" s="28">
        <f t="shared" si="376"/>
        <v>98</v>
      </c>
      <c r="W535" s="27" t="str">
        <f t="shared" si="430"/>
        <v>홀수</v>
      </c>
      <c r="X535" s="27" t="str">
        <f t="shared" si="431"/>
        <v>홀수</v>
      </c>
      <c r="Y535" s="27" t="str">
        <f t="shared" si="432"/>
        <v>홀수</v>
      </c>
      <c r="Z535" s="27" t="str">
        <f t="shared" si="433"/>
        <v>홀수</v>
      </c>
      <c r="AA535" s="28" t="str">
        <f t="shared" si="434"/>
        <v>홀수</v>
      </c>
      <c r="AB535" s="28" t="str">
        <f t="shared" si="435"/>
        <v>홀수</v>
      </c>
      <c r="AC535" s="27" t="str">
        <f t="shared" si="436"/>
        <v>6 : 0</v>
      </c>
      <c r="AD535" s="32">
        <f t="shared" si="437"/>
        <v>6</v>
      </c>
      <c r="AE535" s="32">
        <f t="shared" si="438"/>
        <v>0</v>
      </c>
      <c r="AF535" s="66" t="str">
        <f t="shared" si="439"/>
        <v>저수</v>
      </c>
      <c r="AG535" s="66" t="str">
        <f t="shared" si="440"/>
        <v>저수</v>
      </c>
      <c r="AH535" s="66" t="str">
        <f t="shared" si="441"/>
        <v>저수</v>
      </c>
      <c r="AI535" s="66" t="str">
        <f t="shared" si="442"/>
        <v>저수</v>
      </c>
      <c r="AJ535" s="66" t="str">
        <f t="shared" si="443"/>
        <v>고수</v>
      </c>
      <c r="AK535" s="66" t="str">
        <f t="shared" si="444"/>
        <v>고수</v>
      </c>
      <c r="AL535" s="66" t="str">
        <f t="shared" si="445"/>
        <v>4 : 2</v>
      </c>
      <c r="AM535" s="27">
        <f t="shared" si="446"/>
        <v>4</v>
      </c>
      <c r="AN535" s="27">
        <f t="shared" si="447"/>
        <v>2</v>
      </c>
      <c r="AO535" s="27">
        <f t="shared" si="448"/>
        <v>28</v>
      </c>
      <c r="AP535" s="66" t="str">
        <f t="shared" si="449"/>
        <v>X</v>
      </c>
      <c r="AQ535" s="66" t="str">
        <f t="shared" si="450"/>
        <v>O</v>
      </c>
      <c r="AR535" s="66" t="str">
        <f t="shared" si="451"/>
        <v>X</v>
      </c>
      <c r="AS535" s="66" t="str">
        <f t="shared" si="452"/>
        <v>X</v>
      </c>
      <c r="AT535" s="66" t="str">
        <f t="shared" si="453"/>
        <v>X</v>
      </c>
      <c r="AU535" s="66" t="str">
        <f t="shared" si="454"/>
        <v>X</v>
      </c>
      <c r="AV535" s="66" t="str">
        <f t="shared" si="455"/>
        <v>X</v>
      </c>
      <c r="AW535" s="66" t="str">
        <f t="shared" si="456"/>
        <v>X</v>
      </c>
      <c r="AX535" s="66" t="str">
        <f t="shared" si="457"/>
        <v>X</v>
      </c>
      <c r="AY535" s="66" t="str">
        <f t="shared" si="458"/>
        <v>X</v>
      </c>
      <c r="AZ535" s="66" t="str">
        <f t="shared" si="459"/>
        <v>X</v>
      </c>
      <c r="BA535" s="27" t="str">
        <f t="shared" si="460"/>
        <v>X</v>
      </c>
      <c r="BB535" s="27">
        <f t="shared" si="461"/>
        <v>1</v>
      </c>
      <c r="BC535" s="217" t="str">
        <f t="shared" si="423"/>
        <v>1G</v>
      </c>
      <c r="BD535" s="217" t="str">
        <f t="shared" si="424"/>
        <v>1G</v>
      </c>
      <c r="BE535" s="217" t="str">
        <f t="shared" si="425"/>
        <v>1G</v>
      </c>
      <c r="BF535" s="217" t="str">
        <f t="shared" si="426"/>
        <v>2G</v>
      </c>
      <c r="BG535" s="217" t="str">
        <f t="shared" si="427"/>
        <v>2G</v>
      </c>
      <c r="BH535" s="217" t="str">
        <f t="shared" si="428"/>
        <v>3G</v>
      </c>
      <c r="BI535" s="217">
        <f t="shared" si="416"/>
        <v>3</v>
      </c>
      <c r="BJ535" s="217">
        <f t="shared" si="417"/>
        <v>2</v>
      </c>
      <c r="BK535" s="217">
        <f t="shared" si="418"/>
        <v>1</v>
      </c>
      <c r="BL535" s="217" t="str">
        <f t="shared" si="429"/>
        <v>321</v>
      </c>
      <c r="BS535"/>
    </row>
    <row r="536" spans="1:71" ht="16.5" hidden="1">
      <c r="B536" s="18">
        <v>532</v>
      </c>
      <c r="C536" s="363" t="s">
        <v>833</v>
      </c>
      <c r="N536" s="28">
        <v>16</v>
      </c>
      <c r="O536" s="28">
        <v>17</v>
      </c>
      <c r="P536" s="28">
        <v>23</v>
      </c>
      <c r="Q536" s="28">
        <v>24</v>
      </c>
      <c r="R536" s="28">
        <v>29</v>
      </c>
      <c r="S536" s="28">
        <v>44</v>
      </c>
      <c r="T536" s="28">
        <v>3</v>
      </c>
      <c r="U536" s="28">
        <f t="shared" si="376"/>
        <v>153</v>
      </c>
      <c r="W536" s="27" t="str">
        <f t="shared" si="430"/>
        <v>짝수</v>
      </c>
      <c r="X536" s="27" t="str">
        <f t="shared" si="431"/>
        <v>홀수</v>
      </c>
      <c r="Y536" s="27" t="str">
        <f t="shared" si="432"/>
        <v>홀수</v>
      </c>
      <c r="Z536" s="27" t="str">
        <f t="shared" si="433"/>
        <v>짝수</v>
      </c>
      <c r="AA536" s="28" t="str">
        <f t="shared" si="434"/>
        <v>홀수</v>
      </c>
      <c r="AB536" s="28" t="str">
        <f t="shared" si="435"/>
        <v>짝수</v>
      </c>
      <c r="AC536" s="27" t="str">
        <f t="shared" si="436"/>
        <v>3 : 3</v>
      </c>
      <c r="AD536" s="32">
        <f t="shared" si="437"/>
        <v>3</v>
      </c>
      <c r="AE536" s="32">
        <f t="shared" si="438"/>
        <v>3</v>
      </c>
      <c r="AF536" s="66" t="str">
        <f t="shared" si="439"/>
        <v>저수</v>
      </c>
      <c r="AG536" s="66" t="str">
        <f t="shared" si="440"/>
        <v>저수</v>
      </c>
      <c r="AH536" s="66" t="str">
        <f t="shared" si="441"/>
        <v>고수</v>
      </c>
      <c r="AI536" s="66" t="str">
        <f t="shared" si="442"/>
        <v>고수</v>
      </c>
      <c r="AJ536" s="66" t="str">
        <f t="shared" si="443"/>
        <v>고수</v>
      </c>
      <c r="AK536" s="66" t="str">
        <f t="shared" si="444"/>
        <v>고수</v>
      </c>
      <c r="AL536" s="66" t="str">
        <f t="shared" si="445"/>
        <v>2 : 4</v>
      </c>
      <c r="AM536" s="27">
        <f t="shared" si="446"/>
        <v>2</v>
      </c>
      <c r="AN536" s="27">
        <f t="shared" si="447"/>
        <v>4</v>
      </c>
      <c r="AO536" s="27">
        <f t="shared" si="448"/>
        <v>33</v>
      </c>
      <c r="AP536" s="66" t="str">
        <f t="shared" si="449"/>
        <v>X</v>
      </c>
      <c r="AQ536" s="66" t="str">
        <f t="shared" si="450"/>
        <v>O</v>
      </c>
      <c r="AR536" s="66" t="str">
        <f t="shared" si="451"/>
        <v>X</v>
      </c>
      <c r="AS536" s="66" t="str">
        <f t="shared" si="452"/>
        <v>X</v>
      </c>
      <c r="AT536" s="66" t="str">
        <f t="shared" si="453"/>
        <v>X</v>
      </c>
      <c r="AU536" s="66" t="str">
        <f t="shared" si="454"/>
        <v>X</v>
      </c>
      <c r="AV536" s="66" t="str">
        <f t="shared" si="455"/>
        <v>X</v>
      </c>
      <c r="AW536" s="66" t="str">
        <f t="shared" si="456"/>
        <v>X</v>
      </c>
      <c r="AX536" s="66" t="str">
        <f t="shared" si="457"/>
        <v>O</v>
      </c>
      <c r="AY536" s="66" t="str">
        <f t="shared" si="458"/>
        <v>X</v>
      </c>
      <c r="AZ536" s="66" t="str">
        <f t="shared" si="459"/>
        <v>O</v>
      </c>
      <c r="BA536" s="27" t="str">
        <f t="shared" si="460"/>
        <v>X</v>
      </c>
      <c r="BB536" s="27">
        <f t="shared" si="461"/>
        <v>3</v>
      </c>
      <c r="BC536" s="225" t="str">
        <f t="shared" si="423"/>
        <v>2G</v>
      </c>
      <c r="BD536" s="225" t="str">
        <f t="shared" si="424"/>
        <v>2G</v>
      </c>
      <c r="BE536" s="225" t="str">
        <f t="shared" si="425"/>
        <v>2G</v>
      </c>
      <c r="BF536" s="225" t="str">
        <f t="shared" si="426"/>
        <v>2G</v>
      </c>
      <c r="BG536" s="225" t="str">
        <f t="shared" si="427"/>
        <v>2G</v>
      </c>
      <c r="BH536" s="225" t="str">
        <f t="shared" si="428"/>
        <v>3G</v>
      </c>
      <c r="BI536" s="225">
        <f t="shared" si="416"/>
        <v>0</v>
      </c>
      <c r="BJ536" s="225">
        <f t="shared" si="417"/>
        <v>5</v>
      </c>
      <c r="BK536" s="225">
        <f t="shared" si="418"/>
        <v>1</v>
      </c>
      <c r="BL536" s="225" t="str">
        <f t="shared" si="429"/>
        <v>051</v>
      </c>
      <c r="BS536"/>
    </row>
    <row r="537" spans="1:71" ht="16.5" hidden="1">
      <c r="B537" s="18">
        <v>533</v>
      </c>
      <c r="C537" s="363" t="s">
        <v>837</v>
      </c>
      <c r="N537" s="28">
        <v>9</v>
      </c>
      <c r="O537" s="28">
        <v>14</v>
      </c>
      <c r="P537" s="28">
        <v>15</v>
      </c>
      <c r="Q537" s="28">
        <v>17</v>
      </c>
      <c r="R537" s="28">
        <v>31</v>
      </c>
      <c r="S537" s="28">
        <v>33</v>
      </c>
      <c r="T537" s="28">
        <v>23</v>
      </c>
      <c r="U537" s="28">
        <f t="shared" si="376"/>
        <v>119</v>
      </c>
      <c r="W537" s="27" t="str">
        <f t="shared" si="430"/>
        <v>홀수</v>
      </c>
      <c r="X537" s="27" t="str">
        <f t="shared" si="431"/>
        <v>짝수</v>
      </c>
      <c r="Y537" s="27" t="str">
        <f t="shared" si="432"/>
        <v>홀수</v>
      </c>
      <c r="Z537" s="27" t="str">
        <f t="shared" si="433"/>
        <v>홀수</v>
      </c>
      <c r="AA537" s="28" t="str">
        <f t="shared" si="434"/>
        <v>홀수</v>
      </c>
      <c r="AB537" s="28" t="str">
        <f t="shared" si="435"/>
        <v>홀수</v>
      </c>
      <c r="AC537" s="27" t="str">
        <f t="shared" si="436"/>
        <v>5 : 1</v>
      </c>
      <c r="AD537" s="32">
        <f t="shared" si="437"/>
        <v>5</v>
      </c>
      <c r="AE537" s="32">
        <f t="shared" si="438"/>
        <v>1</v>
      </c>
      <c r="AF537" s="66" t="str">
        <f t="shared" si="439"/>
        <v>저수</v>
      </c>
      <c r="AG537" s="66" t="str">
        <f t="shared" si="440"/>
        <v>저수</v>
      </c>
      <c r="AH537" s="66" t="str">
        <f t="shared" si="441"/>
        <v>저수</v>
      </c>
      <c r="AI537" s="66" t="str">
        <f t="shared" si="442"/>
        <v>저수</v>
      </c>
      <c r="AJ537" s="66" t="str">
        <f t="shared" si="443"/>
        <v>고수</v>
      </c>
      <c r="AK537" s="66" t="str">
        <f t="shared" si="444"/>
        <v>고수</v>
      </c>
      <c r="AL537" s="66" t="str">
        <f t="shared" si="445"/>
        <v>4 : 2</v>
      </c>
      <c r="AM537" s="27">
        <f t="shared" si="446"/>
        <v>4</v>
      </c>
      <c r="AN537" s="27">
        <f t="shared" si="447"/>
        <v>2</v>
      </c>
      <c r="AO537" s="27">
        <f t="shared" si="448"/>
        <v>29</v>
      </c>
      <c r="AP537" s="66" t="str">
        <f t="shared" si="449"/>
        <v>X</v>
      </c>
      <c r="AQ537" s="66" t="str">
        <f t="shared" si="450"/>
        <v>X</v>
      </c>
      <c r="AR537" s="66" t="str">
        <f t="shared" si="451"/>
        <v>X</v>
      </c>
      <c r="AS537" s="66" t="str">
        <f t="shared" si="452"/>
        <v>O</v>
      </c>
      <c r="AT537" s="66" t="str">
        <f t="shared" si="453"/>
        <v>X</v>
      </c>
      <c r="AU537" s="66" t="str">
        <f t="shared" si="454"/>
        <v>X</v>
      </c>
      <c r="AV537" s="66" t="str">
        <f t="shared" si="455"/>
        <v>X</v>
      </c>
      <c r="AW537" s="66" t="str">
        <f t="shared" si="456"/>
        <v>X</v>
      </c>
      <c r="AX537" s="66" t="str">
        <f t="shared" si="457"/>
        <v>X</v>
      </c>
      <c r="AY537" s="66" t="str">
        <f t="shared" si="458"/>
        <v>X</v>
      </c>
      <c r="AZ537" s="66" t="str">
        <f t="shared" si="459"/>
        <v>O</v>
      </c>
      <c r="BA537" s="27" t="str">
        <f t="shared" si="460"/>
        <v>X</v>
      </c>
      <c r="BB537" s="27">
        <f t="shared" si="461"/>
        <v>2</v>
      </c>
      <c r="BC537" s="226" t="str">
        <f t="shared" si="423"/>
        <v>1G</v>
      </c>
      <c r="BD537" s="226" t="str">
        <f t="shared" si="424"/>
        <v>1G</v>
      </c>
      <c r="BE537" s="226" t="str">
        <f t="shared" si="425"/>
        <v>1G</v>
      </c>
      <c r="BF537" s="226" t="str">
        <f t="shared" si="426"/>
        <v>2G</v>
      </c>
      <c r="BG537" s="226" t="str">
        <f t="shared" si="427"/>
        <v>3G</v>
      </c>
      <c r="BH537" s="226" t="str">
        <f t="shared" si="428"/>
        <v>3G</v>
      </c>
      <c r="BI537" s="226">
        <f t="shared" si="416"/>
        <v>3</v>
      </c>
      <c r="BJ537" s="226">
        <f t="shared" si="417"/>
        <v>1</v>
      </c>
      <c r="BK537" s="226">
        <f t="shared" si="418"/>
        <v>2</v>
      </c>
      <c r="BL537" s="226" t="str">
        <f t="shared" si="429"/>
        <v>312</v>
      </c>
      <c r="BS537"/>
    </row>
    <row r="538" spans="1:71" ht="16.5" hidden="1">
      <c r="B538" s="18">
        <v>534</v>
      </c>
      <c r="C538" s="363" t="s">
        <v>838</v>
      </c>
      <c r="N538" s="28">
        <v>10</v>
      </c>
      <c r="O538" s="28">
        <v>24</v>
      </c>
      <c r="P538" s="28">
        <v>26</v>
      </c>
      <c r="Q538" s="28">
        <v>29</v>
      </c>
      <c r="R538" s="28">
        <v>37</v>
      </c>
      <c r="S538" s="28">
        <v>38</v>
      </c>
      <c r="T538" s="28">
        <v>32</v>
      </c>
      <c r="U538" s="28">
        <f t="shared" si="376"/>
        <v>164</v>
      </c>
      <c r="W538" s="27" t="str">
        <f t="shared" si="430"/>
        <v>짝수</v>
      </c>
      <c r="X538" s="27" t="str">
        <f t="shared" si="431"/>
        <v>짝수</v>
      </c>
      <c r="Y538" s="27" t="str">
        <f t="shared" si="432"/>
        <v>짝수</v>
      </c>
      <c r="Z538" s="27" t="str">
        <f t="shared" si="433"/>
        <v>홀수</v>
      </c>
      <c r="AA538" s="28" t="str">
        <f t="shared" si="434"/>
        <v>홀수</v>
      </c>
      <c r="AB538" s="28" t="str">
        <f t="shared" si="435"/>
        <v>짝수</v>
      </c>
      <c r="AC538" s="27" t="str">
        <f t="shared" si="436"/>
        <v>2 : 4</v>
      </c>
      <c r="AD538" s="32">
        <f t="shared" si="437"/>
        <v>2</v>
      </c>
      <c r="AE538" s="32">
        <f t="shared" si="438"/>
        <v>4</v>
      </c>
      <c r="AF538" s="66" t="str">
        <f t="shared" si="439"/>
        <v>저수</v>
      </c>
      <c r="AG538" s="66" t="str">
        <f t="shared" si="440"/>
        <v>고수</v>
      </c>
      <c r="AH538" s="66" t="str">
        <f t="shared" si="441"/>
        <v>고수</v>
      </c>
      <c r="AI538" s="66" t="str">
        <f t="shared" si="442"/>
        <v>고수</v>
      </c>
      <c r="AJ538" s="66" t="str">
        <f t="shared" si="443"/>
        <v>고수</v>
      </c>
      <c r="AK538" s="66" t="str">
        <f t="shared" si="444"/>
        <v>고수</v>
      </c>
      <c r="AL538" s="66" t="str">
        <f t="shared" si="445"/>
        <v>1 : 5</v>
      </c>
      <c r="AM538" s="27">
        <f t="shared" si="446"/>
        <v>1</v>
      </c>
      <c r="AN538" s="27">
        <f t="shared" si="447"/>
        <v>5</v>
      </c>
      <c r="AO538" s="27">
        <f t="shared" si="448"/>
        <v>34</v>
      </c>
      <c r="AP538" s="66" t="str">
        <f t="shared" si="449"/>
        <v>X</v>
      </c>
      <c r="AQ538" s="66" t="str">
        <f t="shared" si="450"/>
        <v>X</v>
      </c>
      <c r="AR538" s="66" t="str">
        <f t="shared" si="451"/>
        <v>X</v>
      </c>
      <c r="AS538" s="66" t="str">
        <f t="shared" si="452"/>
        <v>X</v>
      </c>
      <c r="AT538" s="66" t="str">
        <f t="shared" si="453"/>
        <v>X</v>
      </c>
      <c r="AU538" s="66" t="str">
        <f t="shared" si="454"/>
        <v>X</v>
      </c>
      <c r="AV538" s="66" t="str">
        <f t="shared" si="455"/>
        <v>X</v>
      </c>
      <c r="AW538" s="66" t="str">
        <f t="shared" si="456"/>
        <v>X</v>
      </c>
      <c r="AX538" s="66" t="str">
        <f t="shared" si="457"/>
        <v>X</v>
      </c>
      <c r="AY538" s="66" t="str">
        <f t="shared" si="458"/>
        <v>O</v>
      </c>
      <c r="AZ538" s="66" t="str">
        <f t="shared" si="459"/>
        <v>O</v>
      </c>
      <c r="BA538" s="27" t="str">
        <f t="shared" si="460"/>
        <v>X</v>
      </c>
      <c r="BB538" s="27">
        <f t="shared" si="461"/>
        <v>2</v>
      </c>
      <c r="BC538" s="233" t="str">
        <f t="shared" si="423"/>
        <v>1G</v>
      </c>
      <c r="BD538" s="233" t="str">
        <f t="shared" si="424"/>
        <v>2G</v>
      </c>
      <c r="BE538" s="233" t="str">
        <f t="shared" si="425"/>
        <v>2G</v>
      </c>
      <c r="BF538" s="233" t="str">
        <f t="shared" si="426"/>
        <v>2G</v>
      </c>
      <c r="BG538" s="233" t="str">
        <f t="shared" si="427"/>
        <v>3G</v>
      </c>
      <c r="BH538" s="233" t="str">
        <f t="shared" si="428"/>
        <v>3G</v>
      </c>
      <c r="BI538" s="233">
        <f t="shared" si="416"/>
        <v>1</v>
      </c>
      <c r="BJ538" s="233">
        <f t="shared" si="417"/>
        <v>3</v>
      </c>
      <c r="BK538" s="233">
        <f t="shared" si="418"/>
        <v>2</v>
      </c>
      <c r="BL538" s="233" t="str">
        <f t="shared" si="429"/>
        <v>132</v>
      </c>
      <c r="BS538"/>
    </row>
    <row r="539" spans="1:71" ht="16.5" hidden="1">
      <c r="A539" s="18">
        <v>2</v>
      </c>
      <c r="B539" s="18">
        <v>535</v>
      </c>
      <c r="C539" s="363" t="s">
        <v>846</v>
      </c>
      <c r="N539" s="28">
        <v>11</v>
      </c>
      <c r="O539" s="28">
        <v>12</v>
      </c>
      <c r="P539" s="28">
        <v>14</v>
      </c>
      <c r="Q539" s="28">
        <v>15</v>
      </c>
      <c r="R539" s="28">
        <v>18</v>
      </c>
      <c r="S539" s="28">
        <v>39</v>
      </c>
      <c r="T539" s="28">
        <v>34</v>
      </c>
      <c r="U539" s="28">
        <f t="shared" si="376"/>
        <v>109</v>
      </c>
      <c r="W539" s="27" t="str">
        <f t="shared" si="430"/>
        <v>홀수</v>
      </c>
      <c r="X539" s="27" t="str">
        <f t="shared" si="431"/>
        <v>짝수</v>
      </c>
      <c r="Y539" s="27" t="str">
        <f t="shared" si="432"/>
        <v>짝수</v>
      </c>
      <c r="Z539" s="27" t="str">
        <f t="shared" si="433"/>
        <v>홀수</v>
      </c>
      <c r="AA539" s="28" t="str">
        <f t="shared" si="434"/>
        <v>짝수</v>
      </c>
      <c r="AB539" s="28" t="str">
        <f t="shared" si="435"/>
        <v>홀수</v>
      </c>
      <c r="AC539" s="27" t="str">
        <f t="shared" si="436"/>
        <v>3 : 3</v>
      </c>
      <c r="AD539" s="32">
        <f t="shared" si="437"/>
        <v>3</v>
      </c>
      <c r="AE539" s="32">
        <f t="shared" si="438"/>
        <v>3</v>
      </c>
      <c r="AF539" s="66" t="str">
        <f t="shared" si="439"/>
        <v>저수</v>
      </c>
      <c r="AG539" s="66" t="str">
        <f t="shared" si="440"/>
        <v>저수</v>
      </c>
      <c r="AH539" s="66" t="str">
        <f t="shared" si="441"/>
        <v>저수</v>
      </c>
      <c r="AI539" s="66" t="str">
        <f t="shared" si="442"/>
        <v>저수</v>
      </c>
      <c r="AJ539" s="66" t="str">
        <f t="shared" si="443"/>
        <v>저수</v>
      </c>
      <c r="AK539" s="66" t="str">
        <f t="shared" si="444"/>
        <v>고수</v>
      </c>
      <c r="AL539" s="66" t="str">
        <f t="shared" si="445"/>
        <v>5 : 1</v>
      </c>
      <c r="AM539" s="27">
        <f t="shared" si="446"/>
        <v>5</v>
      </c>
      <c r="AN539" s="27">
        <f t="shared" si="447"/>
        <v>1</v>
      </c>
      <c r="AO539" s="27">
        <f t="shared" si="448"/>
        <v>29</v>
      </c>
      <c r="AP539" s="66" t="str">
        <f t="shared" si="449"/>
        <v>O</v>
      </c>
      <c r="AQ539" s="66" t="str">
        <f t="shared" si="450"/>
        <v>X</v>
      </c>
      <c r="AR539" s="66" t="str">
        <f t="shared" si="451"/>
        <v>X</v>
      </c>
      <c r="AS539" s="66" t="str">
        <f t="shared" si="452"/>
        <v>X</v>
      </c>
      <c r="AT539" s="66" t="str">
        <f t="shared" si="453"/>
        <v>X</v>
      </c>
      <c r="AU539" s="66" t="str">
        <f t="shared" si="454"/>
        <v>X</v>
      </c>
      <c r="AV539" s="66" t="str">
        <f t="shared" si="455"/>
        <v>X</v>
      </c>
      <c r="AW539" s="66" t="str">
        <f t="shared" si="456"/>
        <v>X</v>
      </c>
      <c r="AX539" s="66" t="str">
        <f t="shared" si="457"/>
        <v>X</v>
      </c>
      <c r="AY539" s="66" t="str">
        <f t="shared" si="458"/>
        <v>X</v>
      </c>
      <c r="AZ539" s="66" t="str">
        <f t="shared" si="459"/>
        <v>X</v>
      </c>
      <c r="BA539" s="27" t="str">
        <f t="shared" si="460"/>
        <v>X</v>
      </c>
      <c r="BB539" s="27">
        <f t="shared" si="461"/>
        <v>1</v>
      </c>
      <c r="BC539" s="234" t="str">
        <f t="shared" si="423"/>
        <v>1G</v>
      </c>
      <c r="BD539" s="234" t="str">
        <f t="shared" si="424"/>
        <v>1G</v>
      </c>
      <c r="BE539" s="234" t="str">
        <f t="shared" si="425"/>
        <v>1G</v>
      </c>
      <c r="BF539" s="234" t="str">
        <f t="shared" si="426"/>
        <v>1G</v>
      </c>
      <c r="BG539" s="234" t="str">
        <f t="shared" si="427"/>
        <v>2G</v>
      </c>
      <c r="BH539" s="234" t="str">
        <f t="shared" si="428"/>
        <v>3G</v>
      </c>
      <c r="BI539" s="234">
        <f t="shared" si="416"/>
        <v>4</v>
      </c>
      <c r="BJ539" s="234">
        <f t="shared" si="417"/>
        <v>1</v>
      </c>
      <c r="BK539" s="234">
        <f t="shared" si="418"/>
        <v>1</v>
      </c>
      <c r="BL539" s="234" t="str">
        <f t="shared" si="429"/>
        <v>411</v>
      </c>
      <c r="BS539"/>
    </row>
    <row r="540" spans="1:71" ht="16.5" hidden="1">
      <c r="A540" s="18">
        <v>2</v>
      </c>
      <c r="B540" s="18">
        <v>536</v>
      </c>
      <c r="C540" s="363" t="s">
        <v>849</v>
      </c>
      <c r="N540" s="28">
        <v>7</v>
      </c>
      <c r="O540" s="28">
        <v>8</v>
      </c>
      <c r="P540" s="28">
        <v>18</v>
      </c>
      <c r="Q540" s="28">
        <v>32</v>
      </c>
      <c r="R540" s="28">
        <v>37</v>
      </c>
      <c r="S540" s="28">
        <v>43</v>
      </c>
      <c r="T540" s="28">
        <v>12</v>
      </c>
      <c r="U540" s="28">
        <f t="shared" si="376"/>
        <v>145</v>
      </c>
      <c r="W540" s="27" t="str">
        <f t="shared" si="430"/>
        <v>홀수</v>
      </c>
      <c r="X540" s="27" t="str">
        <f t="shared" si="431"/>
        <v>짝수</v>
      </c>
      <c r="Y540" s="27" t="str">
        <f t="shared" si="432"/>
        <v>짝수</v>
      </c>
      <c r="Z540" s="27" t="str">
        <f t="shared" si="433"/>
        <v>짝수</v>
      </c>
      <c r="AA540" s="28" t="str">
        <f t="shared" si="434"/>
        <v>홀수</v>
      </c>
      <c r="AB540" s="28" t="str">
        <f t="shared" si="435"/>
        <v>홀수</v>
      </c>
      <c r="AC540" s="27" t="str">
        <f t="shared" si="436"/>
        <v>3 : 3</v>
      </c>
      <c r="AD540" s="32">
        <f t="shared" si="437"/>
        <v>3</v>
      </c>
      <c r="AE540" s="32">
        <f t="shared" si="438"/>
        <v>3</v>
      </c>
      <c r="AF540" s="66" t="str">
        <f t="shared" si="439"/>
        <v>저수</v>
      </c>
      <c r="AG540" s="66" t="str">
        <f t="shared" si="440"/>
        <v>저수</v>
      </c>
      <c r="AH540" s="66" t="str">
        <f t="shared" si="441"/>
        <v>저수</v>
      </c>
      <c r="AI540" s="66" t="str">
        <f t="shared" si="442"/>
        <v>고수</v>
      </c>
      <c r="AJ540" s="66" t="str">
        <f t="shared" si="443"/>
        <v>고수</v>
      </c>
      <c r="AK540" s="66" t="str">
        <f t="shared" si="444"/>
        <v>고수</v>
      </c>
      <c r="AL540" s="66" t="str">
        <f t="shared" si="445"/>
        <v>3 : 3</v>
      </c>
      <c r="AM540" s="27">
        <f t="shared" si="446"/>
        <v>3</v>
      </c>
      <c r="AN540" s="27">
        <f t="shared" si="447"/>
        <v>3</v>
      </c>
      <c r="AO540" s="27">
        <f t="shared" si="448"/>
        <v>35</v>
      </c>
      <c r="AP540" s="66" t="str">
        <f t="shared" si="449"/>
        <v>O</v>
      </c>
      <c r="AQ540" s="66" t="str">
        <f t="shared" si="450"/>
        <v>X</v>
      </c>
      <c r="AR540" s="66" t="str">
        <f t="shared" si="451"/>
        <v>X</v>
      </c>
      <c r="AS540" s="66" t="str">
        <f t="shared" si="452"/>
        <v>X</v>
      </c>
      <c r="AT540" s="66" t="str">
        <f t="shared" si="453"/>
        <v>X</v>
      </c>
      <c r="AU540" s="66" t="str">
        <f t="shared" si="454"/>
        <v>X</v>
      </c>
      <c r="AV540" s="66" t="str">
        <f t="shared" si="455"/>
        <v>X</v>
      </c>
      <c r="AW540" s="66" t="str">
        <f t="shared" si="456"/>
        <v>X</v>
      </c>
      <c r="AX540" s="66" t="str">
        <f t="shared" si="457"/>
        <v>X</v>
      </c>
      <c r="AY540" s="66" t="str">
        <f t="shared" si="458"/>
        <v>X</v>
      </c>
      <c r="AZ540" s="66" t="str">
        <f t="shared" si="459"/>
        <v>O</v>
      </c>
      <c r="BA540" s="27" t="str">
        <f t="shared" si="460"/>
        <v>O</v>
      </c>
      <c r="BB540" s="27">
        <f t="shared" si="461"/>
        <v>3</v>
      </c>
      <c r="BC540" s="236" t="str">
        <f t="shared" si="423"/>
        <v>1G</v>
      </c>
      <c r="BD540" s="236" t="str">
        <f t="shared" si="424"/>
        <v>1G</v>
      </c>
      <c r="BE540" s="236" t="str">
        <f t="shared" si="425"/>
        <v>2G</v>
      </c>
      <c r="BF540" s="236" t="str">
        <f t="shared" si="426"/>
        <v>3G</v>
      </c>
      <c r="BG540" s="236" t="str">
        <f t="shared" si="427"/>
        <v>3G</v>
      </c>
      <c r="BH540" s="236" t="str">
        <f t="shared" si="428"/>
        <v>3G</v>
      </c>
      <c r="BI540" s="236">
        <f t="shared" si="416"/>
        <v>2</v>
      </c>
      <c r="BJ540" s="236">
        <f t="shared" si="417"/>
        <v>1</v>
      </c>
      <c r="BK540" s="236">
        <f t="shared" si="418"/>
        <v>3</v>
      </c>
      <c r="BL540" s="236" t="str">
        <f t="shared" si="429"/>
        <v>213</v>
      </c>
      <c r="BS540"/>
    </row>
    <row r="541" spans="1:71" ht="16.5" hidden="1">
      <c r="A541" s="18">
        <v>2</v>
      </c>
      <c r="B541" s="18">
        <v>537</v>
      </c>
      <c r="C541" s="363" t="s">
        <v>854</v>
      </c>
      <c r="N541" s="28">
        <v>12</v>
      </c>
      <c r="O541" s="28">
        <v>23</v>
      </c>
      <c r="P541" s="28">
        <v>26</v>
      </c>
      <c r="Q541" s="28">
        <v>30</v>
      </c>
      <c r="R541" s="28">
        <v>36</v>
      </c>
      <c r="S541" s="28">
        <v>43</v>
      </c>
      <c r="T541" s="28">
        <v>11</v>
      </c>
      <c r="U541" s="28">
        <f t="shared" si="376"/>
        <v>170</v>
      </c>
      <c r="W541" s="27" t="str">
        <f t="shared" si="430"/>
        <v>짝수</v>
      </c>
      <c r="X541" s="27" t="str">
        <f t="shared" si="431"/>
        <v>홀수</v>
      </c>
      <c r="Y541" s="27" t="str">
        <f t="shared" si="432"/>
        <v>짝수</v>
      </c>
      <c r="Z541" s="27" t="str">
        <f t="shared" si="433"/>
        <v>짝수</v>
      </c>
      <c r="AA541" s="28" t="str">
        <f t="shared" si="434"/>
        <v>짝수</v>
      </c>
      <c r="AB541" s="28" t="str">
        <f t="shared" si="435"/>
        <v>홀수</v>
      </c>
      <c r="AC541" s="27" t="str">
        <f t="shared" si="436"/>
        <v>2 : 4</v>
      </c>
      <c r="AD541" s="32">
        <f t="shared" si="437"/>
        <v>2</v>
      </c>
      <c r="AE541" s="32">
        <f t="shared" si="438"/>
        <v>4</v>
      </c>
      <c r="AF541" s="66" t="str">
        <f t="shared" si="439"/>
        <v>저수</v>
      </c>
      <c r="AG541" s="66" t="str">
        <f t="shared" si="440"/>
        <v>고수</v>
      </c>
      <c r="AH541" s="66" t="str">
        <f t="shared" si="441"/>
        <v>고수</v>
      </c>
      <c r="AI541" s="66" t="str">
        <f t="shared" si="442"/>
        <v>고수</v>
      </c>
      <c r="AJ541" s="66" t="str">
        <f t="shared" si="443"/>
        <v>고수</v>
      </c>
      <c r="AK541" s="66" t="str">
        <f t="shared" si="444"/>
        <v>고수</v>
      </c>
      <c r="AL541" s="66" t="str">
        <f t="shared" si="445"/>
        <v>1 : 5</v>
      </c>
      <c r="AM541" s="27">
        <f t="shared" si="446"/>
        <v>1</v>
      </c>
      <c r="AN541" s="27">
        <f t="shared" si="447"/>
        <v>5</v>
      </c>
      <c r="AO541" s="27">
        <f t="shared" si="448"/>
        <v>20</v>
      </c>
      <c r="AP541" s="66" t="str">
        <f t="shared" si="449"/>
        <v>X</v>
      </c>
      <c r="AQ541" s="66" t="str">
        <f t="shared" si="450"/>
        <v>X</v>
      </c>
      <c r="AR541" s="66" t="str">
        <f t="shared" si="451"/>
        <v>X</v>
      </c>
      <c r="AS541" s="66" t="str">
        <f t="shared" si="452"/>
        <v>X</v>
      </c>
      <c r="AT541" s="66" t="str">
        <f t="shared" si="453"/>
        <v>X</v>
      </c>
      <c r="AU541" s="66" t="str">
        <f t="shared" si="454"/>
        <v>X</v>
      </c>
      <c r="AV541" s="66" t="str">
        <f t="shared" si="455"/>
        <v>X</v>
      </c>
      <c r="AW541" s="66" t="str">
        <f t="shared" si="456"/>
        <v>O</v>
      </c>
      <c r="AX541" s="66" t="str">
        <f t="shared" si="457"/>
        <v>X</v>
      </c>
      <c r="AY541" s="66" t="str">
        <f t="shared" si="458"/>
        <v>X</v>
      </c>
      <c r="AZ541" s="66" t="str">
        <f t="shared" si="459"/>
        <v>X</v>
      </c>
      <c r="BA541" s="27" t="str">
        <f t="shared" si="460"/>
        <v>O</v>
      </c>
      <c r="BB541" s="27">
        <f t="shared" si="461"/>
        <v>2</v>
      </c>
      <c r="BC541" s="238" t="str">
        <f t="shared" si="423"/>
        <v>1G</v>
      </c>
      <c r="BD541" s="238" t="str">
        <f t="shared" si="424"/>
        <v>2G</v>
      </c>
      <c r="BE541" s="238" t="str">
        <f t="shared" si="425"/>
        <v>2G</v>
      </c>
      <c r="BF541" s="238" t="str">
        <f t="shared" si="426"/>
        <v>2G</v>
      </c>
      <c r="BG541" s="238" t="str">
        <f t="shared" si="427"/>
        <v>3G</v>
      </c>
      <c r="BH541" s="238" t="str">
        <f t="shared" si="428"/>
        <v>3G</v>
      </c>
      <c r="BI541" s="238">
        <f t="shared" si="416"/>
        <v>1</v>
      </c>
      <c r="BJ541" s="238">
        <f t="shared" si="417"/>
        <v>3</v>
      </c>
      <c r="BK541" s="238">
        <f t="shared" si="418"/>
        <v>2</v>
      </c>
      <c r="BL541" s="238" t="str">
        <f t="shared" si="429"/>
        <v>132</v>
      </c>
      <c r="BS541"/>
    </row>
    <row r="542" spans="1:71" ht="16.5" hidden="1">
      <c r="A542" s="18">
        <v>2</v>
      </c>
      <c r="B542" s="18">
        <v>538</v>
      </c>
      <c r="C542" s="363" t="s">
        <v>855</v>
      </c>
      <c r="N542" s="28">
        <v>6</v>
      </c>
      <c r="O542" s="28">
        <v>10</v>
      </c>
      <c r="P542" s="28">
        <v>18</v>
      </c>
      <c r="Q542" s="28">
        <v>31</v>
      </c>
      <c r="R542" s="28">
        <v>32</v>
      </c>
      <c r="S542" s="28">
        <v>34</v>
      </c>
      <c r="T542" s="28">
        <v>11</v>
      </c>
      <c r="U542" s="28">
        <f t="shared" si="376"/>
        <v>131</v>
      </c>
      <c r="W542" s="27" t="str">
        <f t="shared" si="430"/>
        <v>짝수</v>
      </c>
      <c r="X542" s="27" t="str">
        <f t="shared" si="431"/>
        <v>짝수</v>
      </c>
      <c r="Y542" s="27" t="str">
        <f t="shared" si="432"/>
        <v>짝수</v>
      </c>
      <c r="Z542" s="27" t="str">
        <f t="shared" si="433"/>
        <v>홀수</v>
      </c>
      <c r="AA542" s="28" t="str">
        <f t="shared" si="434"/>
        <v>짝수</v>
      </c>
      <c r="AB542" s="28" t="str">
        <f t="shared" si="435"/>
        <v>짝수</v>
      </c>
      <c r="AC542" s="27" t="str">
        <f t="shared" si="436"/>
        <v>1 : 5</v>
      </c>
      <c r="AD542" s="32">
        <f t="shared" si="437"/>
        <v>1</v>
      </c>
      <c r="AE542" s="32">
        <f t="shared" si="438"/>
        <v>5</v>
      </c>
      <c r="AF542" s="66" t="str">
        <f t="shared" si="439"/>
        <v>저수</v>
      </c>
      <c r="AG542" s="66" t="str">
        <f t="shared" si="440"/>
        <v>저수</v>
      </c>
      <c r="AH542" s="66" t="str">
        <f t="shared" si="441"/>
        <v>저수</v>
      </c>
      <c r="AI542" s="66" t="str">
        <f t="shared" si="442"/>
        <v>고수</v>
      </c>
      <c r="AJ542" s="66" t="str">
        <f t="shared" si="443"/>
        <v>고수</v>
      </c>
      <c r="AK542" s="66" t="str">
        <f t="shared" si="444"/>
        <v>고수</v>
      </c>
      <c r="AL542" s="66" t="str">
        <f t="shared" si="445"/>
        <v>3 : 3</v>
      </c>
      <c r="AM542" s="27">
        <f t="shared" si="446"/>
        <v>3</v>
      </c>
      <c r="AN542" s="27">
        <f t="shared" si="447"/>
        <v>3</v>
      </c>
      <c r="AO542" s="27">
        <f t="shared" si="448"/>
        <v>21</v>
      </c>
      <c r="AP542" s="66" t="str">
        <f t="shared" si="449"/>
        <v>X</v>
      </c>
      <c r="AQ542" s="66" t="str">
        <f t="shared" si="450"/>
        <v>X</v>
      </c>
      <c r="AR542" s="66" t="str">
        <f t="shared" si="451"/>
        <v>X</v>
      </c>
      <c r="AS542" s="66" t="str">
        <f t="shared" si="452"/>
        <v>X</v>
      </c>
      <c r="AT542" s="66" t="str">
        <f t="shared" si="453"/>
        <v>X</v>
      </c>
      <c r="AU542" s="66" t="str">
        <f t="shared" si="454"/>
        <v>X</v>
      </c>
      <c r="AV542" s="66" t="str">
        <f t="shared" si="455"/>
        <v>X</v>
      </c>
      <c r="AW542" s="66" t="str">
        <f t="shared" si="456"/>
        <v>X</v>
      </c>
      <c r="AX542" s="66" t="str">
        <f t="shared" si="457"/>
        <v>X</v>
      </c>
      <c r="AY542" s="66" t="str">
        <f t="shared" si="458"/>
        <v>O</v>
      </c>
      <c r="AZ542" s="66" t="str">
        <f t="shared" si="459"/>
        <v>X</v>
      </c>
      <c r="BA542" s="27" t="str">
        <f t="shared" si="460"/>
        <v>X</v>
      </c>
      <c r="BB542" s="27">
        <f t="shared" si="461"/>
        <v>1</v>
      </c>
      <c r="BC542" s="240" t="str">
        <f t="shared" si="423"/>
        <v>1G</v>
      </c>
      <c r="BD542" s="240" t="str">
        <f t="shared" si="424"/>
        <v>1G</v>
      </c>
      <c r="BE542" s="240" t="str">
        <f t="shared" si="425"/>
        <v>2G</v>
      </c>
      <c r="BF542" s="240" t="str">
        <f t="shared" si="426"/>
        <v>3G</v>
      </c>
      <c r="BG542" s="240" t="str">
        <f t="shared" si="427"/>
        <v>3G</v>
      </c>
      <c r="BH542" s="240" t="str">
        <f t="shared" si="428"/>
        <v>3G</v>
      </c>
      <c r="BI542" s="240">
        <f t="shared" si="416"/>
        <v>2</v>
      </c>
      <c r="BJ542" s="240">
        <f t="shared" si="417"/>
        <v>1</v>
      </c>
      <c r="BK542" s="240">
        <f t="shared" si="418"/>
        <v>3</v>
      </c>
      <c r="BL542" s="240" t="str">
        <f t="shared" si="429"/>
        <v>213</v>
      </c>
      <c r="BS542"/>
    </row>
    <row r="543" spans="1:71" ht="16.5" hidden="1">
      <c r="A543" s="18">
        <v>2</v>
      </c>
      <c r="B543" s="18">
        <v>539</v>
      </c>
      <c r="C543" s="363" t="s">
        <v>877</v>
      </c>
      <c r="N543" s="28">
        <v>3</v>
      </c>
      <c r="O543" s="28">
        <v>19</v>
      </c>
      <c r="P543" s="28">
        <v>22</v>
      </c>
      <c r="Q543" s="28">
        <v>31</v>
      </c>
      <c r="R543" s="28">
        <v>42</v>
      </c>
      <c r="S543" s="28">
        <v>43</v>
      </c>
      <c r="T543" s="28">
        <v>26</v>
      </c>
      <c r="U543" s="28">
        <f t="shared" si="376"/>
        <v>160</v>
      </c>
      <c r="W543" s="27" t="str">
        <f t="shared" si="430"/>
        <v>홀수</v>
      </c>
      <c r="X543" s="27" t="str">
        <f t="shared" si="431"/>
        <v>홀수</v>
      </c>
      <c r="Y543" s="27" t="str">
        <f t="shared" si="432"/>
        <v>짝수</v>
      </c>
      <c r="Z543" s="27" t="str">
        <f t="shared" si="433"/>
        <v>홀수</v>
      </c>
      <c r="AA543" s="28" t="str">
        <f t="shared" si="434"/>
        <v>짝수</v>
      </c>
      <c r="AB543" s="28" t="str">
        <f t="shared" si="435"/>
        <v>홀수</v>
      </c>
      <c r="AC543" s="27" t="str">
        <f t="shared" si="436"/>
        <v>4 : 2</v>
      </c>
      <c r="AD543" s="32">
        <f t="shared" si="437"/>
        <v>4</v>
      </c>
      <c r="AE543" s="32">
        <f t="shared" si="438"/>
        <v>2</v>
      </c>
      <c r="AF543" s="66" t="str">
        <f t="shared" si="439"/>
        <v>저수</v>
      </c>
      <c r="AG543" s="66" t="str">
        <f t="shared" si="440"/>
        <v>저수</v>
      </c>
      <c r="AH543" s="66" t="str">
        <f t="shared" si="441"/>
        <v>저수</v>
      </c>
      <c r="AI543" s="66" t="str">
        <f t="shared" si="442"/>
        <v>고수</v>
      </c>
      <c r="AJ543" s="66" t="str">
        <f t="shared" si="443"/>
        <v>고수</v>
      </c>
      <c r="AK543" s="66" t="str">
        <f t="shared" si="444"/>
        <v>고수</v>
      </c>
      <c r="AL543" s="66" t="str">
        <f t="shared" si="445"/>
        <v>3 : 3</v>
      </c>
      <c r="AM543" s="27">
        <f t="shared" si="446"/>
        <v>3</v>
      </c>
      <c r="AN543" s="27">
        <f t="shared" si="447"/>
        <v>3</v>
      </c>
      <c r="AO543" s="27">
        <f t="shared" si="448"/>
        <v>20</v>
      </c>
      <c r="AP543" s="66" t="str">
        <f t="shared" si="449"/>
        <v>O</v>
      </c>
      <c r="AQ543" s="66" t="str">
        <f t="shared" si="450"/>
        <v>O</v>
      </c>
      <c r="AR543" s="66" t="str">
        <f t="shared" si="451"/>
        <v>X</v>
      </c>
      <c r="AS543" s="66" t="str">
        <f t="shared" si="452"/>
        <v>X</v>
      </c>
      <c r="AT543" s="66" t="str">
        <f t="shared" si="453"/>
        <v>X</v>
      </c>
      <c r="AU543" s="66" t="str">
        <f t="shared" si="454"/>
        <v>X</v>
      </c>
      <c r="AV543" s="66" t="str">
        <f t="shared" si="455"/>
        <v>X</v>
      </c>
      <c r="AW543" s="66" t="str">
        <f t="shared" si="456"/>
        <v>X</v>
      </c>
      <c r="AX543" s="66" t="str">
        <f t="shared" si="457"/>
        <v>X</v>
      </c>
      <c r="AY543" s="66" t="str">
        <f t="shared" si="458"/>
        <v>O</v>
      </c>
      <c r="AZ543" s="66" t="str">
        <f t="shared" si="459"/>
        <v>X</v>
      </c>
      <c r="BA543" s="27" t="str">
        <f t="shared" si="460"/>
        <v>O</v>
      </c>
      <c r="BB543" s="27">
        <f t="shared" si="461"/>
        <v>4</v>
      </c>
      <c r="BC543" s="240" t="str">
        <f t="shared" si="423"/>
        <v>1G</v>
      </c>
      <c r="BD543" s="240" t="str">
        <f t="shared" si="424"/>
        <v>2G</v>
      </c>
      <c r="BE543" s="240" t="str">
        <f t="shared" si="425"/>
        <v>2G</v>
      </c>
      <c r="BF543" s="240" t="str">
        <f t="shared" si="426"/>
        <v>3G</v>
      </c>
      <c r="BG543" s="240" t="str">
        <f t="shared" si="427"/>
        <v>3G</v>
      </c>
      <c r="BH543" s="240" t="str">
        <f t="shared" si="428"/>
        <v>3G</v>
      </c>
      <c r="BI543" s="240">
        <f t="shared" si="416"/>
        <v>1</v>
      </c>
      <c r="BJ543" s="240">
        <f t="shared" si="417"/>
        <v>2</v>
      </c>
      <c r="BK543" s="240">
        <f t="shared" si="418"/>
        <v>3</v>
      </c>
      <c r="BL543" s="240" t="str">
        <f t="shared" si="429"/>
        <v>123</v>
      </c>
      <c r="BS543"/>
    </row>
    <row r="544" spans="1:71" ht="16.5" hidden="1">
      <c r="B544" s="18">
        <v>540</v>
      </c>
      <c r="C544" s="363" t="s">
        <v>878</v>
      </c>
      <c r="N544" s="28">
        <v>3</v>
      </c>
      <c r="O544" s="28">
        <v>12</v>
      </c>
      <c r="P544" s="28">
        <v>13</v>
      </c>
      <c r="Q544" s="28">
        <v>15</v>
      </c>
      <c r="R544" s="28">
        <v>34</v>
      </c>
      <c r="S544" s="28">
        <v>36</v>
      </c>
      <c r="T544" s="28">
        <v>14</v>
      </c>
      <c r="U544" s="28">
        <f t="shared" si="376"/>
        <v>113</v>
      </c>
      <c r="W544" s="27" t="str">
        <f t="shared" si="430"/>
        <v>홀수</v>
      </c>
      <c r="X544" s="27" t="str">
        <f t="shared" si="431"/>
        <v>짝수</v>
      </c>
      <c r="Y544" s="27" t="str">
        <f t="shared" si="432"/>
        <v>홀수</v>
      </c>
      <c r="Z544" s="27" t="str">
        <f t="shared" si="433"/>
        <v>홀수</v>
      </c>
      <c r="AA544" s="28" t="str">
        <f t="shared" si="434"/>
        <v>짝수</v>
      </c>
      <c r="AB544" s="28" t="str">
        <f t="shared" si="435"/>
        <v>짝수</v>
      </c>
      <c r="AC544" s="27" t="str">
        <f t="shared" si="436"/>
        <v>3 : 3</v>
      </c>
      <c r="AD544" s="32">
        <f t="shared" si="437"/>
        <v>3</v>
      </c>
      <c r="AE544" s="32">
        <f t="shared" si="438"/>
        <v>3</v>
      </c>
      <c r="AF544" s="66" t="str">
        <f t="shared" si="439"/>
        <v>저수</v>
      </c>
      <c r="AG544" s="66" t="str">
        <f t="shared" si="440"/>
        <v>저수</v>
      </c>
      <c r="AH544" s="66" t="str">
        <f t="shared" si="441"/>
        <v>저수</v>
      </c>
      <c r="AI544" s="66" t="str">
        <f t="shared" si="442"/>
        <v>저수</v>
      </c>
      <c r="AJ544" s="66" t="str">
        <f t="shared" si="443"/>
        <v>고수</v>
      </c>
      <c r="AK544" s="66" t="str">
        <f t="shared" si="444"/>
        <v>고수</v>
      </c>
      <c r="AL544" s="66" t="str">
        <f t="shared" si="445"/>
        <v>4 : 2</v>
      </c>
      <c r="AM544" s="27">
        <f t="shared" si="446"/>
        <v>4</v>
      </c>
      <c r="AN544" s="27">
        <f t="shared" si="447"/>
        <v>2</v>
      </c>
      <c r="AO544" s="27">
        <f t="shared" si="448"/>
        <v>23</v>
      </c>
      <c r="AP544" s="66" t="str">
        <f t="shared" si="449"/>
        <v>O</v>
      </c>
      <c r="AQ544" s="66" t="str">
        <f t="shared" si="450"/>
        <v>X</v>
      </c>
      <c r="AR544" s="66" t="str">
        <f t="shared" si="451"/>
        <v>O</v>
      </c>
      <c r="AS544" s="66" t="str">
        <f t="shared" si="452"/>
        <v>X</v>
      </c>
      <c r="AT544" s="66" t="str">
        <f t="shared" si="453"/>
        <v>X</v>
      </c>
      <c r="AU544" s="66" t="str">
        <f t="shared" si="454"/>
        <v>X</v>
      </c>
      <c r="AV544" s="66" t="str">
        <f t="shared" si="455"/>
        <v>X</v>
      </c>
      <c r="AW544" s="66" t="str">
        <f t="shared" si="456"/>
        <v>X</v>
      </c>
      <c r="AX544" s="66" t="str">
        <f t="shared" si="457"/>
        <v>X</v>
      </c>
      <c r="AY544" s="66" t="str">
        <f t="shared" si="458"/>
        <v>X</v>
      </c>
      <c r="AZ544" s="66" t="str">
        <f t="shared" si="459"/>
        <v>X</v>
      </c>
      <c r="BA544" s="27" t="str">
        <f t="shared" si="460"/>
        <v>X</v>
      </c>
      <c r="BB544" s="27">
        <f t="shared" si="461"/>
        <v>2</v>
      </c>
      <c r="BC544" s="265" t="str">
        <f t="shared" si="423"/>
        <v>1G</v>
      </c>
      <c r="BD544" s="265" t="str">
        <f t="shared" si="424"/>
        <v>1G</v>
      </c>
      <c r="BE544" s="265" t="str">
        <f t="shared" si="425"/>
        <v>1G</v>
      </c>
      <c r="BF544" s="265" t="str">
        <f t="shared" si="426"/>
        <v>1G</v>
      </c>
      <c r="BG544" s="265" t="str">
        <f t="shared" si="427"/>
        <v>3G</v>
      </c>
      <c r="BH544" s="265" t="str">
        <f t="shared" si="428"/>
        <v>3G</v>
      </c>
      <c r="BI544" s="265">
        <f t="shared" si="416"/>
        <v>4</v>
      </c>
      <c r="BJ544" s="265">
        <f t="shared" si="417"/>
        <v>0</v>
      </c>
      <c r="BK544" s="265">
        <f t="shared" si="418"/>
        <v>2</v>
      </c>
      <c r="BL544" s="265" t="str">
        <f t="shared" si="429"/>
        <v>402</v>
      </c>
      <c r="BS544"/>
    </row>
    <row r="545" spans="2:71" ht="16.5" hidden="1">
      <c r="B545" s="18">
        <v>541</v>
      </c>
      <c r="C545" s="363" t="s">
        <v>879</v>
      </c>
      <c r="N545" s="28">
        <v>8</v>
      </c>
      <c r="O545" s="28">
        <v>13</v>
      </c>
      <c r="P545" s="28">
        <v>26</v>
      </c>
      <c r="Q545" s="28">
        <v>28</v>
      </c>
      <c r="R545" s="28">
        <v>32</v>
      </c>
      <c r="S545" s="28">
        <v>34</v>
      </c>
      <c r="T545" s="28">
        <v>43</v>
      </c>
      <c r="U545" s="28">
        <f t="shared" si="376"/>
        <v>141</v>
      </c>
      <c r="W545" s="27" t="str">
        <f t="shared" si="430"/>
        <v>짝수</v>
      </c>
      <c r="X545" s="27" t="str">
        <f t="shared" si="431"/>
        <v>홀수</v>
      </c>
      <c r="Y545" s="27" t="str">
        <f t="shared" si="432"/>
        <v>짝수</v>
      </c>
      <c r="Z545" s="27" t="str">
        <f t="shared" si="433"/>
        <v>짝수</v>
      </c>
      <c r="AA545" s="28" t="str">
        <f t="shared" si="434"/>
        <v>짝수</v>
      </c>
      <c r="AB545" s="28" t="str">
        <f t="shared" si="435"/>
        <v>짝수</v>
      </c>
      <c r="AC545" s="27" t="str">
        <f t="shared" si="436"/>
        <v>1 : 5</v>
      </c>
      <c r="AD545" s="32">
        <f t="shared" si="437"/>
        <v>1</v>
      </c>
      <c r="AE545" s="32">
        <f t="shared" si="438"/>
        <v>5</v>
      </c>
      <c r="AF545" s="66" t="str">
        <f t="shared" si="439"/>
        <v>저수</v>
      </c>
      <c r="AG545" s="66" t="str">
        <f t="shared" si="440"/>
        <v>저수</v>
      </c>
      <c r="AH545" s="66" t="str">
        <f t="shared" si="441"/>
        <v>고수</v>
      </c>
      <c r="AI545" s="66" t="str">
        <f t="shared" si="442"/>
        <v>고수</v>
      </c>
      <c r="AJ545" s="66" t="str">
        <f t="shared" si="443"/>
        <v>고수</v>
      </c>
      <c r="AK545" s="66" t="str">
        <f t="shared" si="444"/>
        <v>고수</v>
      </c>
      <c r="AL545" s="66" t="str">
        <f t="shared" si="445"/>
        <v>2 : 4</v>
      </c>
      <c r="AM545" s="27">
        <f t="shared" si="446"/>
        <v>2</v>
      </c>
      <c r="AN545" s="27">
        <f t="shared" si="447"/>
        <v>4</v>
      </c>
      <c r="AO545" s="27">
        <f t="shared" si="448"/>
        <v>31</v>
      </c>
      <c r="AP545" s="66" t="str">
        <f t="shared" si="449"/>
        <v>X</v>
      </c>
      <c r="AQ545" s="66" t="str">
        <f t="shared" si="450"/>
        <v>O</v>
      </c>
      <c r="AR545" s="66" t="str">
        <f t="shared" si="451"/>
        <v>X</v>
      </c>
      <c r="AS545" s="66" t="str">
        <f t="shared" si="452"/>
        <v>X</v>
      </c>
      <c r="AT545" s="66" t="str">
        <f t="shared" si="453"/>
        <v>X</v>
      </c>
      <c r="AU545" s="66" t="str">
        <f t="shared" si="454"/>
        <v>X</v>
      </c>
      <c r="AV545" s="66" t="str">
        <f t="shared" si="455"/>
        <v>X</v>
      </c>
      <c r="AW545" s="66" t="str">
        <f t="shared" si="456"/>
        <v>X</v>
      </c>
      <c r="AX545" s="66" t="str">
        <f t="shared" si="457"/>
        <v>X</v>
      </c>
      <c r="AY545" s="66" t="str">
        <f t="shared" si="458"/>
        <v>X</v>
      </c>
      <c r="AZ545" s="66" t="str">
        <f t="shared" si="459"/>
        <v>X</v>
      </c>
      <c r="BA545" s="27" t="str">
        <f t="shared" si="460"/>
        <v>X</v>
      </c>
      <c r="BB545" s="27">
        <f t="shared" si="461"/>
        <v>1</v>
      </c>
      <c r="BC545" s="267" t="str">
        <f t="shared" si="423"/>
        <v>1G</v>
      </c>
      <c r="BD545" s="267" t="str">
        <f t="shared" si="424"/>
        <v>1G</v>
      </c>
      <c r="BE545" s="267" t="str">
        <f t="shared" si="425"/>
        <v>2G</v>
      </c>
      <c r="BF545" s="267" t="str">
        <f t="shared" si="426"/>
        <v>2G</v>
      </c>
      <c r="BG545" s="267" t="str">
        <f t="shared" si="427"/>
        <v>3G</v>
      </c>
      <c r="BH545" s="267" t="str">
        <f t="shared" si="428"/>
        <v>3G</v>
      </c>
      <c r="BI545" s="267">
        <f t="shared" si="416"/>
        <v>2</v>
      </c>
      <c r="BJ545" s="267">
        <f t="shared" si="417"/>
        <v>2</v>
      </c>
      <c r="BK545" s="267">
        <f t="shared" si="418"/>
        <v>2</v>
      </c>
      <c r="BL545" s="267" t="str">
        <f t="shared" si="429"/>
        <v>222</v>
      </c>
      <c r="BS545"/>
    </row>
    <row r="546" spans="2:71" ht="16.5" hidden="1">
      <c r="B546" s="18">
        <v>542</v>
      </c>
      <c r="C546" s="363" t="s">
        <v>880</v>
      </c>
      <c r="N546" s="28">
        <v>5</v>
      </c>
      <c r="O546" s="28">
        <v>6</v>
      </c>
      <c r="P546" s="28">
        <v>19</v>
      </c>
      <c r="Q546" s="28">
        <v>26</v>
      </c>
      <c r="R546" s="28">
        <v>41</v>
      </c>
      <c r="S546" s="28">
        <v>45</v>
      </c>
      <c r="T546" s="28">
        <v>34</v>
      </c>
      <c r="U546" s="28">
        <f t="shared" si="376"/>
        <v>142</v>
      </c>
      <c r="W546" s="27" t="str">
        <f t="shared" si="430"/>
        <v>홀수</v>
      </c>
      <c r="X546" s="27" t="str">
        <f t="shared" si="431"/>
        <v>짝수</v>
      </c>
      <c r="Y546" s="27" t="str">
        <f t="shared" si="432"/>
        <v>홀수</v>
      </c>
      <c r="Z546" s="27" t="str">
        <f t="shared" si="433"/>
        <v>짝수</v>
      </c>
      <c r="AA546" s="28" t="str">
        <f t="shared" si="434"/>
        <v>홀수</v>
      </c>
      <c r="AB546" s="28" t="str">
        <f t="shared" si="435"/>
        <v>홀수</v>
      </c>
      <c r="AC546" s="27" t="str">
        <f t="shared" si="436"/>
        <v>4 : 2</v>
      </c>
      <c r="AD546" s="32">
        <f t="shared" si="437"/>
        <v>4</v>
      </c>
      <c r="AE546" s="32">
        <f t="shared" si="438"/>
        <v>2</v>
      </c>
      <c r="AF546" s="66" t="str">
        <f t="shared" si="439"/>
        <v>저수</v>
      </c>
      <c r="AG546" s="66" t="str">
        <f t="shared" si="440"/>
        <v>저수</v>
      </c>
      <c r="AH546" s="66" t="str">
        <f t="shared" si="441"/>
        <v>저수</v>
      </c>
      <c r="AI546" s="66" t="str">
        <f t="shared" si="442"/>
        <v>고수</v>
      </c>
      <c r="AJ546" s="66" t="str">
        <f t="shared" si="443"/>
        <v>고수</v>
      </c>
      <c r="AK546" s="66" t="str">
        <f t="shared" si="444"/>
        <v>고수</v>
      </c>
      <c r="AL546" s="66" t="str">
        <f t="shared" si="445"/>
        <v>3 : 3</v>
      </c>
      <c r="AM546" s="27">
        <f t="shared" si="446"/>
        <v>3</v>
      </c>
      <c r="AN546" s="27">
        <f t="shared" si="447"/>
        <v>3</v>
      </c>
      <c r="AO546" s="27">
        <f t="shared" si="448"/>
        <v>32</v>
      </c>
      <c r="AP546" s="66" t="str">
        <f t="shared" si="449"/>
        <v>O</v>
      </c>
      <c r="AQ546" s="66" t="str">
        <f t="shared" si="450"/>
        <v>X</v>
      </c>
      <c r="AR546" s="66" t="str">
        <f t="shared" si="451"/>
        <v>O</v>
      </c>
      <c r="AS546" s="66" t="str">
        <f t="shared" si="452"/>
        <v>X</v>
      </c>
      <c r="AT546" s="66" t="str">
        <f t="shared" si="453"/>
        <v>X</v>
      </c>
      <c r="AU546" s="66" t="str">
        <f t="shared" si="454"/>
        <v>X</v>
      </c>
      <c r="AV546" s="66" t="str">
        <f t="shared" si="455"/>
        <v>X</v>
      </c>
      <c r="AW546" s="66" t="str">
        <f t="shared" si="456"/>
        <v>X</v>
      </c>
      <c r="AX546" s="66" t="str">
        <f t="shared" si="457"/>
        <v>X</v>
      </c>
      <c r="AY546" s="66" t="str">
        <f t="shared" si="458"/>
        <v>X</v>
      </c>
      <c r="AZ546" s="66" t="str">
        <f t="shared" si="459"/>
        <v>O</v>
      </c>
      <c r="BA546" s="27" t="str">
        <f t="shared" si="460"/>
        <v>X</v>
      </c>
      <c r="BB546" s="27">
        <f t="shared" si="461"/>
        <v>3</v>
      </c>
      <c r="BC546" s="268" t="str">
        <f t="shared" si="423"/>
        <v>1G</v>
      </c>
      <c r="BD546" s="268" t="str">
        <f t="shared" si="424"/>
        <v>1G</v>
      </c>
      <c r="BE546" s="268" t="str">
        <f t="shared" si="425"/>
        <v>2G</v>
      </c>
      <c r="BF546" s="268" t="str">
        <f t="shared" si="426"/>
        <v>2G</v>
      </c>
      <c r="BG546" s="268" t="str">
        <f t="shared" si="427"/>
        <v>3G</v>
      </c>
      <c r="BH546" s="268" t="str">
        <f t="shared" si="428"/>
        <v>3G</v>
      </c>
      <c r="BI546" s="268">
        <f t="shared" si="416"/>
        <v>2</v>
      </c>
      <c r="BJ546" s="268">
        <f t="shared" si="417"/>
        <v>2</v>
      </c>
      <c r="BK546" s="268">
        <f t="shared" si="418"/>
        <v>2</v>
      </c>
      <c r="BL546" s="268" t="str">
        <f t="shared" si="429"/>
        <v>222</v>
      </c>
      <c r="BS546"/>
    </row>
    <row r="547" spans="2:71" ht="16.5" hidden="1">
      <c r="B547" s="18">
        <v>543</v>
      </c>
      <c r="C547" s="363" t="s">
        <v>881</v>
      </c>
      <c r="N547" s="28">
        <v>13</v>
      </c>
      <c r="O547" s="28">
        <v>18</v>
      </c>
      <c r="P547" s="28">
        <v>26</v>
      </c>
      <c r="Q547" s="28">
        <v>31</v>
      </c>
      <c r="R547" s="28">
        <v>34</v>
      </c>
      <c r="S547" s="28">
        <v>44</v>
      </c>
      <c r="T547" s="28">
        <v>12</v>
      </c>
      <c r="U547" s="28">
        <f t="shared" si="376"/>
        <v>166</v>
      </c>
      <c r="W547" s="27" t="str">
        <f t="shared" si="430"/>
        <v>홀수</v>
      </c>
      <c r="X547" s="27" t="str">
        <f t="shared" si="431"/>
        <v>짝수</v>
      </c>
      <c r="Y547" s="27" t="str">
        <f t="shared" si="432"/>
        <v>짝수</v>
      </c>
      <c r="Z547" s="27" t="str">
        <f t="shared" si="433"/>
        <v>홀수</v>
      </c>
      <c r="AA547" s="28" t="str">
        <f t="shared" si="434"/>
        <v>짝수</v>
      </c>
      <c r="AB547" s="28" t="str">
        <f t="shared" si="435"/>
        <v>짝수</v>
      </c>
      <c r="AC547" s="27" t="str">
        <f t="shared" si="436"/>
        <v>2 : 4</v>
      </c>
      <c r="AD547" s="32">
        <f t="shared" si="437"/>
        <v>2</v>
      </c>
      <c r="AE547" s="32">
        <f t="shared" si="438"/>
        <v>4</v>
      </c>
      <c r="AF547" s="66" t="str">
        <f t="shared" si="439"/>
        <v>저수</v>
      </c>
      <c r="AG547" s="66" t="str">
        <f t="shared" si="440"/>
        <v>저수</v>
      </c>
      <c r="AH547" s="66" t="str">
        <f t="shared" si="441"/>
        <v>고수</v>
      </c>
      <c r="AI547" s="66" t="str">
        <f t="shared" si="442"/>
        <v>고수</v>
      </c>
      <c r="AJ547" s="66" t="str">
        <f t="shared" si="443"/>
        <v>고수</v>
      </c>
      <c r="AK547" s="66" t="str">
        <f t="shared" si="444"/>
        <v>고수</v>
      </c>
      <c r="AL547" s="66" t="str">
        <f t="shared" si="445"/>
        <v>2 : 4</v>
      </c>
      <c r="AM547" s="27">
        <f t="shared" si="446"/>
        <v>2</v>
      </c>
      <c r="AN547" s="27">
        <f t="shared" si="447"/>
        <v>4</v>
      </c>
      <c r="AO547" s="27">
        <f t="shared" si="448"/>
        <v>26</v>
      </c>
      <c r="AP547" s="66" t="str">
        <f t="shared" si="449"/>
        <v>O</v>
      </c>
      <c r="AQ547" s="66" t="str">
        <f t="shared" si="450"/>
        <v>X</v>
      </c>
      <c r="AR547" s="66" t="str">
        <f t="shared" si="451"/>
        <v>X</v>
      </c>
      <c r="AS547" s="66" t="str">
        <f t="shared" si="452"/>
        <v>X</v>
      </c>
      <c r="AT547" s="66" t="str">
        <f t="shared" si="453"/>
        <v>X</v>
      </c>
      <c r="AU547" s="66" t="str">
        <f t="shared" si="454"/>
        <v>X</v>
      </c>
      <c r="AV547" s="66" t="str">
        <f t="shared" si="455"/>
        <v>X</v>
      </c>
      <c r="AW547" s="66" t="str">
        <f t="shared" si="456"/>
        <v>X</v>
      </c>
      <c r="AX547" s="66" t="str">
        <f t="shared" si="457"/>
        <v>X</v>
      </c>
      <c r="AY547" s="66" t="str">
        <f t="shared" si="458"/>
        <v>O</v>
      </c>
      <c r="AZ547" s="66" t="str">
        <f t="shared" si="459"/>
        <v>X</v>
      </c>
      <c r="BA547" s="27" t="str">
        <f t="shared" si="460"/>
        <v>X</v>
      </c>
      <c r="BB547" s="27">
        <f t="shared" si="461"/>
        <v>2</v>
      </c>
      <c r="BC547" s="269" t="str">
        <f t="shared" si="423"/>
        <v>1G</v>
      </c>
      <c r="BD547" s="269" t="str">
        <f t="shared" si="424"/>
        <v>2G</v>
      </c>
      <c r="BE547" s="269" t="str">
        <f t="shared" si="425"/>
        <v>2G</v>
      </c>
      <c r="BF547" s="269" t="str">
        <f t="shared" si="426"/>
        <v>3G</v>
      </c>
      <c r="BG547" s="269" t="str">
        <f t="shared" si="427"/>
        <v>3G</v>
      </c>
      <c r="BH547" s="269" t="str">
        <f t="shared" si="428"/>
        <v>3G</v>
      </c>
      <c r="BI547" s="269">
        <f t="shared" si="416"/>
        <v>1</v>
      </c>
      <c r="BJ547" s="269">
        <f t="shared" si="417"/>
        <v>2</v>
      </c>
      <c r="BK547" s="269">
        <f t="shared" si="418"/>
        <v>3</v>
      </c>
      <c r="BL547" s="269" t="str">
        <f t="shared" si="429"/>
        <v>123</v>
      </c>
      <c r="BS547"/>
    </row>
    <row r="548" spans="2:71" ht="16.5" hidden="1">
      <c r="B548" s="18">
        <v>544</v>
      </c>
      <c r="C548" s="363" t="s">
        <v>883</v>
      </c>
      <c r="N548" s="28">
        <v>5</v>
      </c>
      <c r="O548" s="28">
        <v>17</v>
      </c>
      <c r="P548" s="28">
        <v>21</v>
      </c>
      <c r="Q548" s="28">
        <v>25</v>
      </c>
      <c r="R548" s="28">
        <v>36</v>
      </c>
      <c r="S548" s="28">
        <v>44</v>
      </c>
      <c r="T548" s="28">
        <v>10</v>
      </c>
      <c r="U548" s="28">
        <f t="shared" si="376"/>
        <v>148</v>
      </c>
      <c r="W548" s="27" t="str">
        <f t="shared" si="430"/>
        <v>홀수</v>
      </c>
      <c r="X548" s="27" t="str">
        <f t="shared" si="431"/>
        <v>홀수</v>
      </c>
      <c r="Y548" s="27" t="str">
        <f t="shared" si="432"/>
        <v>홀수</v>
      </c>
      <c r="Z548" s="27" t="str">
        <f t="shared" si="433"/>
        <v>홀수</v>
      </c>
      <c r="AA548" s="28" t="str">
        <f t="shared" si="434"/>
        <v>짝수</v>
      </c>
      <c r="AB548" s="28" t="str">
        <f t="shared" si="435"/>
        <v>짝수</v>
      </c>
      <c r="AC548" s="27" t="str">
        <f t="shared" si="436"/>
        <v>4 : 2</v>
      </c>
      <c r="AD548" s="32">
        <f t="shared" si="437"/>
        <v>4</v>
      </c>
      <c r="AE548" s="32">
        <f t="shared" si="438"/>
        <v>2</v>
      </c>
      <c r="AF548" s="66" t="str">
        <f t="shared" si="439"/>
        <v>저수</v>
      </c>
      <c r="AG548" s="66" t="str">
        <f t="shared" si="440"/>
        <v>저수</v>
      </c>
      <c r="AH548" s="66" t="str">
        <f t="shared" si="441"/>
        <v>저수</v>
      </c>
      <c r="AI548" s="66" t="str">
        <f t="shared" si="442"/>
        <v>고수</v>
      </c>
      <c r="AJ548" s="66" t="str">
        <f t="shared" si="443"/>
        <v>고수</v>
      </c>
      <c r="AK548" s="66" t="str">
        <f t="shared" si="444"/>
        <v>고수</v>
      </c>
      <c r="AL548" s="66" t="str">
        <f t="shared" si="445"/>
        <v>3 : 3</v>
      </c>
      <c r="AM548" s="27">
        <f t="shared" si="446"/>
        <v>3</v>
      </c>
      <c r="AN548" s="27">
        <f t="shared" si="447"/>
        <v>3</v>
      </c>
      <c r="AO548" s="27">
        <f t="shared" si="448"/>
        <v>28</v>
      </c>
      <c r="AP548" s="66" t="str">
        <f t="shared" si="449"/>
        <v>O</v>
      </c>
      <c r="AQ548" s="66" t="str">
        <f t="shared" si="450"/>
        <v>O</v>
      </c>
      <c r="AR548" s="66" t="str">
        <f t="shared" si="451"/>
        <v>X</v>
      </c>
      <c r="AS548" s="66" t="str">
        <f t="shared" si="452"/>
        <v>X</v>
      </c>
      <c r="AT548" s="66" t="str">
        <f t="shared" si="453"/>
        <v>X</v>
      </c>
      <c r="AU548" s="66" t="str">
        <f t="shared" si="454"/>
        <v>X</v>
      </c>
      <c r="AV548" s="66" t="str">
        <f t="shared" si="455"/>
        <v>X</v>
      </c>
      <c r="AW548" s="66" t="str">
        <f t="shared" si="456"/>
        <v>X</v>
      </c>
      <c r="AX548" s="66" t="str">
        <f t="shared" si="457"/>
        <v>X</v>
      </c>
      <c r="AY548" s="66" t="str">
        <f t="shared" si="458"/>
        <v>X</v>
      </c>
      <c r="AZ548" s="66" t="str">
        <f t="shared" si="459"/>
        <v>X</v>
      </c>
      <c r="BA548" s="27" t="str">
        <f t="shared" si="460"/>
        <v>X</v>
      </c>
      <c r="BB548" s="27">
        <f t="shared" si="461"/>
        <v>2</v>
      </c>
      <c r="BC548" s="276" t="str">
        <f t="shared" si="423"/>
        <v>1G</v>
      </c>
      <c r="BD548" s="276" t="str">
        <f t="shared" si="424"/>
        <v>2G</v>
      </c>
      <c r="BE548" s="276" t="str">
        <f t="shared" si="425"/>
        <v>2G</v>
      </c>
      <c r="BF548" s="276" t="str">
        <f t="shared" si="426"/>
        <v>2G</v>
      </c>
      <c r="BG548" s="276" t="str">
        <f t="shared" si="427"/>
        <v>3G</v>
      </c>
      <c r="BH548" s="276" t="str">
        <f t="shared" si="428"/>
        <v>3G</v>
      </c>
      <c r="BI548" s="276">
        <f t="shared" si="416"/>
        <v>1</v>
      </c>
      <c r="BJ548" s="276">
        <f t="shared" si="417"/>
        <v>3</v>
      </c>
      <c r="BK548" s="276">
        <f t="shared" si="418"/>
        <v>2</v>
      </c>
      <c r="BL548" s="276" t="str">
        <f t="shared" si="429"/>
        <v>132</v>
      </c>
      <c r="BS548"/>
    </row>
    <row r="549" spans="2:71" ht="16.5" hidden="1">
      <c r="B549" s="18">
        <v>545</v>
      </c>
      <c r="C549" s="363" t="s">
        <v>884</v>
      </c>
      <c r="N549" s="28">
        <v>4</v>
      </c>
      <c r="O549" s="28">
        <v>24</v>
      </c>
      <c r="P549" s="28">
        <v>25</v>
      </c>
      <c r="Q549" s="28">
        <v>27</v>
      </c>
      <c r="R549" s="28">
        <v>34</v>
      </c>
      <c r="S549" s="28">
        <v>35</v>
      </c>
      <c r="T549" s="28">
        <v>2</v>
      </c>
      <c r="U549" s="28">
        <f t="shared" si="376"/>
        <v>149</v>
      </c>
      <c r="W549" s="27" t="str">
        <f t="shared" si="430"/>
        <v>짝수</v>
      </c>
      <c r="X549" s="27" t="str">
        <f t="shared" si="431"/>
        <v>짝수</v>
      </c>
      <c r="Y549" s="27" t="str">
        <f t="shared" si="432"/>
        <v>홀수</v>
      </c>
      <c r="Z549" s="27" t="str">
        <f t="shared" si="433"/>
        <v>홀수</v>
      </c>
      <c r="AA549" s="28" t="str">
        <f t="shared" si="434"/>
        <v>짝수</v>
      </c>
      <c r="AB549" s="28" t="str">
        <f t="shared" si="435"/>
        <v>홀수</v>
      </c>
      <c r="AC549" s="27" t="str">
        <f t="shared" si="436"/>
        <v>3 : 3</v>
      </c>
      <c r="AD549" s="32">
        <f t="shared" si="437"/>
        <v>3</v>
      </c>
      <c r="AE549" s="32">
        <f t="shared" si="438"/>
        <v>3</v>
      </c>
      <c r="AF549" s="66" t="str">
        <f t="shared" si="439"/>
        <v>저수</v>
      </c>
      <c r="AG549" s="66" t="str">
        <f t="shared" si="440"/>
        <v>고수</v>
      </c>
      <c r="AH549" s="66" t="str">
        <f t="shared" si="441"/>
        <v>고수</v>
      </c>
      <c r="AI549" s="66" t="str">
        <f t="shared" si="442"/>
        <v>고수</v>
      </c>
      <c r="AJ549" s="66" t="str">
        <f t="shared" si="443"/>
        <v>고수</v>
      </c>
      <c r="AK549" s="66" t="str">
        <f t="shared" si="444"/>
        <v>고수</v>
      </c>
      <c r="AL549" s="66" t="str">
        <f t="shared" si="445"/>
        <v>1 : 5</v>
      </c>
      <c r="AM549" s="27">
        <f t="shared" si="446"/>
        <v>1</v>
      </c>
      <c r="AN549" s="27">
        <f t="shared" si="447"/>
        <v>5</v>
      </c>
      <c r="AO549" s="27">
        <f t="shared" si="448"/>
        <v>29</v>
      </c>
      <c r="AP549" s="66" t="str">
        <f t="shared" si="449"/>
        <v>X</v>
      </c>
      <c r="AQ549" s="66" t="str">
        <f t="shared" si="450"/>
        <v>X</v>
      </c>
      <c r="AR549" s="66" t="str">
        <f t="shared" si="451"/>
        <v>X</v>
      </c>
      <c r="AS549" s="66" t="str">
        <f t="shared" si="452"/>
        <v>X</v>
      </c>
      <c r="AT549" s="66" t="str">
        <f t="shared" si="453"/>
        <v>X</v>
      </c>
      <c r="AU549" s="66" t="str">
        <f t="shared" si="454"/>
        <v>X</v>
      </c>
      <c r="AV549" s="66" t="str">
        <f t="shared" si="455"/>
        <v>X</v>
      </c>
      <c r="AW549" s="66" t="str">
        <f t="shared" si="456"/>
        <v>X</v>
      </c>
      <c r="AX549" s="66" t="str">
        <f t="shared" si="457"/>
        <v>X</v>
      </c>
      <c r="AY549" s="66" t="str">
        <f t="shared" si="458"/>
        <v>X</v>
      </c>
      <c r="AZ549" s="66" t="str">
        <f t="shared" si="459"/>
        <v>X</v>
      </c>
      <c r="BA549" s="27" t="str">
        <f t="shared" si="460"/>
        <v>X</v>
      </c>
      <c r="BB549" s="27">
        <f t="shared" si="461"/>
        <v>0</v>
      </c>
      <c r="BC549" s="277" t="str">
        <f t="shared" ref="BC549:BC558" si="462">VLOOKUP(N549,삼그룹,6,FALSE)</f>
        <v>1G</v>
      </c>
      <c r="BD549" s="277" t="str">
        <f t="shared" ref="BD549:BD558" si="463">VLOOKUP(O549,삼그룹,6,FALSE)</f>
        <v>2G</v>
      </c>
      <c r="BE549" s="277" t="str">
        <f t="shared" ref="BE549:BE558" si="464">VLOOKUP(P549,삼그룹,6,FALSE)</f>
        <v>2G</v>
      </c>
      <c r="BF549" s="277" t="str">
        <f t="shared" ref="BF549:BF558" si="465">VLOOKUP(Q549,삼그룹,6,FALSE)</f>
        <v>2G</v>
      </c>
      <c r="BG549" s="277" t="str">
        <f t="shared" ref="BG549:BG558" si="466">VLOOKUP(R549,삼그룹,6,FALSE)</f>
        <v>3G</v>
      </c>
      <c r="BH549" s="277" t="str">
        <f t="shared" ref="BH549:BH558" si="467">VLOOKUP(S549,삼그룹,6,FALSE)</f>
        <v>3G</v>
      </c>
      <c r="BI549" s="277">
        <f t="shared" si="416"/>
        <v>1</v>
      </c>
      <c r="BJ549" s="277">
        <f t="shared" si="417"/>
        <v>3</v>
      </c>
      <c r="BK549" s="277">
        <f t="shared" si="418"/>
        <v>2</v>
      </c>
      <c r="BL549" s="277" t="str">
        <f t="shared" ref="BL549:BL558" si="468">BI549&amp;BJ549&amp;BK549</f>
        <v>132</v>
      </c>
      <c r="BS549"/>
    </row>
    <row r="550" spans="2:71" ht="16.5" hidden="1">
      <c r="B550" s="18">
        <v>546</v>
      </c>
      <c r="C550" s="363" t="s">
        <v>885</v>
      </c>
      <c r="N550" s="28">
        <v>8</v>
      </c>
      <c r="O550" s="28">
        <v>17</v>
      </c>
      <c r="P550" s="28">
        <v>20</v>
      </c>
      <c r="Q550" s="28">
        <v>27</v>
      </c>
      <c r="R550" s="28">
        <v>37</v>
      </c>
      <c r="S550" s="28">
        <v>43</v>
      </c>
      <c r="T550" s="28">
        <v>6</v>
      </c>
      <c r="U550" s="28">
        <f t="shared" si="376"/>
        <v>152</v>
      </c>
      <c r="W550" s="27" t="str">
        <f t="shared" si="430"/>
        <v>짝수</v>
      </c>
      <c r="X550" s="27" t="str">
        <f t="shared" si="431"/>
        <v>홀수</v>
      </c>
      <c r="Y550" s="27" t="str">
        <f t="shared" si="432"/>
        <v>짝수</v>
      </c>
      <c r="Z550" s="27" t="str">
        <f t="shared" si="433"/>
        <v>홀수</v>
      </c>
      <c r="AA550" s="28" t="str">
        <f t="shared" si="434"/>
        <v>홀수</v>
      </c>
      <c r="AB550" s="28" t="str">
        <f t="shared" si="435"/>
        <v>홀수</v>
      </c>
      <c r="AC550" s="27" t="str">
        <f t="shared" si="436"/>
        <v>4 : 2</v>
      </c>
      <c r="AD550" s="32">
        <f t="shared" si="437"/>
        <v>4</v>
      </c>
      <c r="AE550" s="32">
        <f t="shared" si="438"/>
        <v>2</v>
      </c>
      <c r="AF550" s="66" t="str">
        <f t="shared" si="439"/>
        <v>저수</v>
      </c>
      <c r="AG550" s="66" t="str">
        <f t="shared" si="440"/>
        <v>저수</v>
      </c>
      <c r="AH550" s="66" t="str">
        <f t="shared" si="441"/>
        <v>저수</v>
      </c>
      <c r="AI550" s="66" t="str">
        <f t="shared" si="442"/>
        <v>고수</v>
      </c>
      <c r="AJ550" s="66" t="str">
        <f t="shared" si="443"/>
        <v>고수</v>
      </c>
      <c r="AK550" s="66" t="str">
        <f t="shared" si="444"/>
        <v>고수</v>
      </c>
      <c r="AL550" s="66" t="str">
        <f t="shared" si="445"/>
        <v>3 : 3</v>
      </c>
      <c r="AM550" s="27">
        <f t="shared" si="446"/>
        <v>3</v>
      </c>
      <c r="AN550" s="27">
        <f t="shared" si="447"/>
        <v>3</v>
      </c>
      <c r="AO550" s="27">
        <f t="shared" si="448"/>
        <v>32</v>
      </c>
      <c r="AP550" s="66" t="str">
        <f t="shared" si="449"/>
        <v>X</v>
      </c>
      <c r="AQ550" s="66" t="str">
        <f t="shared" si="450"/>
        <v>O</v>
      </c>
      <c r="AR550" s="66" t="str">
        <f t="shared" si="451"/>
        <v>X</v>
      </c>
      <c r="AS550" s="66" t="str">
        <f t="shared" si="452"/>
        <v>X</v>
      </c>
      <c r="AT550" s="66" t="str">
        <f t="shared" si="453"/>
        <v>X</v>
      </c>
      <c r="AU550" s="66" t="str">
        <f t="shared" si="454"/>
        <v>X</v>
      </c>
      <c r="AV550" s="66" t="str">
        <f t="shared" si="455"/>
        <v>X</v>
      </c>
      <c r="AW550" s="66" t="str">
        <f t="shared" si="456"/>
        <v>X</v>
      </c>
      <c r="AX550" s="66" t="str">
        <f t="shared" si="457"/>
        <v>X</v>
      </c>
      <c r="AY550" s="66" t="str">
        <f t="shared" si="458"/>
        <v>X</v>
      </c>
      <c r="AZ550" s="66" t="str">
        <f t="shared" si="459"/>
        <v>O</v>
      </c>
      <c r="BA550" s="27" t="str">
        <f t="shared" si="460"/>
        <v>O</v>
      </c>
      <c r="BB550" s="27">
        <f t="shared" si="461"/>
        <v>3</v>
      </c>
      <c r="BC550" s="278" t="str">
        <f t="shared" si="462"/>
        <v>1G</v>
      </c>
      <c r="BD550" s="278" t="str">
        <f t="shared" si="463"/>
        <v>2G</v>
      </c>
      <c r="BE550" s="278" t="str">
        <f t="shared" si="464"/>
        <v>2G</v>
      </c>
      <c r="BF550" s="278" t="str">
        <f t="shared" si="465"/>
        <v>2G</v>
      </c>
      <c r="BG550" s="278" t="str">
        <f t="shared" si="466"/>
        <v>3G</v>
      </c>
      <c r="BH550" s="278" t="str">
        <f t="shared" si="467"/>
        <v>3G</v>
      </c>
      <c r="BI550" s="278">
        <f t="shared" si="416"/>
        <v>1</v>
      </c>
      <c r="BJ550" s="278">
        <f t="shared" si="417"/>
        <v>3</v>
      </c>
      <c r="BK550" s="278">
        <f t="shared" si="418"/>
        <v>2</v>
      </c>
      <c r="BL550" s="278" t="str">
        <f t="shared" si="468"/>
        <v>132</v>
      </c>
      <c r="BS550"/>
    </row>
    <row r="551" spans="2:71" ht="16.5" hidden="1">
      <c r="B551" s="18">
        <v>547</v>
      </c>
      <c r="C551" s="363" t="s">
        <v>886</v>
      </c>
      <c r="N551" s="28">
        <v>6</v>
      </c>
      <c r="O551" s="28">
        <v>7</v>
      </c>
      <c r="P551" s="28">
        <v>15</v>
      </c>
      <c r="Q551" s="28">
        <v>22</v>
      </c>
      <c r="R551" s="28">
        <v>34</v>
      </c>
      <c r="S551" s="28">
        <v>39</v>
      </c>
      <c r="T551" s="28">
        <v>28</v>
      </c>
      <c r="U551" s="28">
        <f t="shared" si="376"/>
        <v>123</v>
      </c>
      <c r="W551" s="27" t="str">
        <f t="shared" si="430"/>
        <v>짝수</v>
      </c>
      <c r="X551" s="27" t="str">
        <f t="shared" si="431"/>
        <v>홀수</v>
      </c>
      <c r="Y551" s="27" t="str">
        <f t="shared" si="432"/>
        <v>홀수</v>
      </c>
      <c r="Z551" s="27" t="str">
        <f t="shared" si="433"/>
        <v>짝수</v>
      </c>
      <c r="AA551" s="28" t="str">
        <f t="shared" si="434"/>
        <v>짝수</v>
      </c>
      <c r="AB551" s="28" t="str">
        <f t="shared" si="435"/>
        <v>홀수</v>
      </c>
      <c r="AC551" s="27" t="str">
        <f t="shared" si="436"/>
        <v>3 : 3</v>
      </c>
      <c r="AD551" s="32">
        <f t="shared" si="437"/>
        <v>3</v>
      </c>
      <c r="AE551" s="32">
        <f t="shared" si="438"/>
        <v>3</v>
      </c>
      <c r="AF551" s="66" t="str">
        <f t="shared" si="439"/>
        <v>저수</v>
      </c>
      <c r="AG551" s="66" t="str">
        <f t="shared" si="440"/>
        <v>저수</v>
      </c>
      <c r="AH551" s="66" t="str">
        <f t="shared" si="441"/>
        <v>저수</v>
      </c>
      <c r="AI551" s="66" t="str">
        <f t="shared" si="442"/>
        <v>저수</v>
      </c>
      <c r="AJ551" s="66" t="str">
        <f t="shared" si="443"/>
        <v>고수</v>
      </c>
      <c r="AK551" s="66" t="str">
        <f t="shared" si="444"/>
        <v>고수</v>
      </c>
      <c r="AL551" s="66" t="str">
        <f t="shared" si="445"/>
        <v>4 : 2</v>
      </c>
      <c r="AM551" s="27">
        <f t="shared" si="446"/>
        <v>4</v>
      </c>
      <c r="AN551" s="27">
        <f t="shared" si="447"/>
        <v>2</v>
      </c>
      <c r="AO551" s="27">
        <f t="shared" si="448"/>
        <v>33</v>
      </c>
      <c r="AP551" s="66" t="str">
        <f t="shared" si="449"/>
        <v>X</v>
      </c>
      <c r="AQ551" s="66" t="str">
        <f t="shared" si="450"/>
        <v>O</v>
      </c>
      <c r="AR551" s="66" t="str">
        <f t="shared" si="451"/>
        <v>X</v>
      </c>
      <c r="AS551" s="66" t="str">
        <f t="shared" si="452"/>
        <v>X</v>
      </c>
      <c r="AT551" s="66" t="str">
        <f t="shared" si="453"/>
        <v>X</v>
      </c>
      <c r="AU551" s="66" t="str">
        <f t="shared" si="454"/>
        <v>X</v>
      </c>
      <c r="AV551" s="66" t="str">
        <f t="shared" si="455"/>
        <v>X</v>
      </c>
      <c r="AW551" s="66" t="str">
        <f t="shared" si="456"/>
        <v>X</v>
      </c>
      <c r="AX551" s="66" t="str">
        <f t="shared" si="457"/>
        <v>X</v>
      </c>
      <c r="AY551" s="66" t="str">
        <f t="shared" si="458"/>
        <v>X</v>
      </c>
      <c r="AZ551" s="66" t="str">
        <f t="shared" si="459"/>
        <v>X</v>
      </c>
      <c r="BA551" s="27" t="str">
        <f t="shared" si="460"/>
        <v>X</v>
      </c>
      <c r="BB551" s="27">
        <f t="shared" si="461"/>
        <v>1</v>
      </c>
      <c r="BC551" s="279" t="str">
        <f t="shared" si="462"/>
        <v>1G</v>
      </c>
      <c r="BD551" s="279" t="str">
        <f t="shared" si="463"/>
        <v>1G</v>
      </c>
      <c r="BE551" s="279" t="str">
        <f t="shared" si="464"/>
        <v>1G</v>
      </c>
      <c r="BF551" s="279" t="str">
        <f t="shared" si="465"/>
        <v>2G</v>
      </c>
      <c r="BG551" s="279" t="str">
        <f t="shared" si="466"/>
        <v>3G</v>
      </c>
      <c r="BH551" s="279" t="str">
        <f t="shared" si="467"/>
        <v>3G</v>
      </c>
      <c r="BI551" s="279">
        <f t="shared" si="416"/>
        <v>3</v>
      </c>
      <c r="BJ551" s="279">
        <f t="shared" si="417"/>
        <v>1</v>
      </c>
      <c r="BK551" s="279">
        <f t="shared" si="418"/>
        <v>2</v>
      </c>
      <c r="BL551" s="279" t="str">
        <f t="shared" si="468"/>
        <v>312</v>
      </c>
      <c r="BS551"/>
    </row>
    <row r="552" spans="2:71" ht="16.5" hidden="1">
      <c r="B552" s="18">
        <v>548</v>
      </c>
      <c r="C552" s="363" t="s">
        <v>889</v>
      </c>
      <c r="N552" s="28">
        <v>1</v>
      </c>
      <c r="O552" s="28">
        <v>12</v>
      </c>
      <c r="P552" s="28">
        <v>13</v>
      </c>
      <c r="Q552" s="28">
        <v>21</v>
      </c>
      <c r="R552" s="28">
        <v>32</v>
      </c>
      <c r="S552" s="28">
        <v>45</v>
      </c>
      <c r="T552" s="28">
        <v>14</v>
      </c>
      <c r="U552" s="28">
        <f t="shared" si="376"/>
        <v>124</v>
      </c>
      <c r="W552" s="27" t="str">
        <f t="shared" si="430"/>
        <v>홀수</v>
      </c>
      <c r="X552" s="27" t="str">
        <f t="shared" si="431"/>
        <v>짝수</v>
      </c>
      <c r="Y552" s="27" t="str">
        <f t="shared" si="432"/>
        <v>홀수</v>
      </c>
      <c r="Z552" s="27" t="str">
        <f t="shared" si="433"/>
        <v>홀수</v>
      </c>
      <c r="AA552" s="28" t="str">
        <f t="shared" si="434"/>
        <v>짝수</v>
      </c>
      <c r="AB552" s="28" t="str">
        <f t="shared" si="435"/>
        <v>홀수</v>
      </c>
      <c r="AC552" s="27" t="str">
        <f t="shared" si="436"/>
        <v>4 : 2</v>
      </c>
      <c r="AD552" s="32">
        <f t="shared" si="437"/>
        <v>4</v>
      </c>
      <c r="AE552" s="32">
        <f t="shared" si="438"/>
        <v>2</v>
      </c>
      <c r="AF552" s="66" t="str">
        <f t="shared" si="439"/>
        <v>저수</v>
      </c>
      <c r="AG552" s="66" t="str">
        <f t="shared" si="440"/>
        <v>저수</v>
      </c>
      <c r="AH552" s="66" t="str">
        <f t="shared" si="441"/>
        <v>저수</v>
      </c>
      <c r="AI552" s="66" t="str">
        <f t="shared" si="442"/>
        <v>저수</v>
      </c>
      <c r="AJ552" s="66" t="str">
        <f t="shared" si="443"/>
        <v>고수</v>
      </c>
      <c r="AK552" s="66" t="str">
        <f t="shared" si="444"/>
        <v>고수</v>
      </c>
      <c r="AL552" s="66" t="str">
        <f t="shared" si="445"/>
        <v>4 : 2</v>
      </c>
      <c r="AM552" s="27">
        <f t="shared" si="446"/>
        <v>4</v>
      </c>
      <c r="AN552" s="27">
        <f t="shared" si="447"/>
        <v>2</v>
      </c>
      <c r="AO552" s="27">
        <f t="shared" si="448"/>
        <v>14</v>
      </c>
      <c r="AP552" s="66" t="str">
        <f t="shared" si="449"/>
        <v>X</v>
      </c>
      <c r="AQ552" s="66" t="str">
        <f t="shared" si="450"/>
        <v>X</v>
      </c>
      <c r="AR552" s="66" t="str">
        <f t="shared" si="451"/>
        <v>O</v>
      </c>
      <c r="AS552" s="66" t="str">
        <f t="shared" si="452"/>
        <v>X</v>
      </c>
      <c r="AT552" s="66" t="str">
        <f t="shared" si="453"/>
        <v>X</v>
      </c>
      <c r="AU552" s="66" t="str">
        <f t="shared" si="454"/>
        <v>X</v>
      </c>
      <c r="AV552" s="66" t="str">
        <f t="shared" si="455"/>
        <v>X</v>
      </c>
      <c r="AW552" s="66" t="str">
        <f t="shared" si="456"/>
        <v>X</v>
      </c>
      <c r="AX552" s="66" t="str">
        <f t="shared" si="457"/>
        <v>X</v>
      </c>
      <c r="AY552" s="66" t="str">
        <f t="shared" si="458"/>
        <v>X</v>
      </c>
      <c r="AZ552" s="66" t="str">
        <f t="shared" si="459"/>
        <v>X</v>
      </c>
      <c r="BA552" s="27" t="str">
        <f t="shared" si="460"/>
        <v>X</v>
      </c>
      <c r="BB552" s="27">
        <f t="shared" si="461"/>
        <v>1</v>
      </c>
      <c r="BC552" s="285" t="str">
        <f t="shared" si="462"/>
        <v>1G</v>
      </c>
      <c r="BD552" s="285" t="str">
        <f t="shared" si="463"/>
        <v>1G</v>
      </c>
      <c r="BE552" s="285" t="str">
        <f t="shared" si="464"/>
        <v>1G</v>
      </c>
      <c r="BF552" s="285" t="str">
        <f t="shared" si="465"/>
        <v>2G</v>
      </c>
      <c r="BG552" s="285" t="str">
        <f t="shared" si="466"/>
        <v>3G</v>
      </c>
      <c r="BH552" s="285" t="str">
        <f t="shared" si="467"/>
        <v>3G</v>
      </c>
      <c r="BI552" s="285">
        <f t="shared" si="416"/>
        <v>3</v>
      </c>
      <c r="BJ552" s="285">
        <f t="shared" si="417"/>
        <v>1</v>
      </c>
      <c r="BK552" s="285">
        <f t="shared" si="418"/>
        <v>2</v>
      </c>
      <c r="BL552" s="285" t="str">
        <f t="shared" si="468"/>
        <v>312</v>
      </c>
      <c r="BS552"/>
    </row>
    <row r="553" spans="2:71" ht="16.5" hidden="1">
      <c r="B553" s="18">
        <v>549</v>
      </c>
      <c r="C553" s="363" t="s">
        <v>890</v>
      </c>
      <c r="N553" s="28">
        <v>29</v>
      </c>
      <c r="O553" s="28">
        <v>31</v>
      </c>
      <c r="P553" s="28">
        <v>35</v>
      </c>
      <c r="Q553" s="28">
        <v>38</v>
      </c>
      <c r="R553" s="28">
        <v>40</v>
      </c>
      <c r="S553" s="28">
        <v>44</v>
      </c>
      <c r="T553" s="28">
        <v>17</v>
      </c>
      <c r="U553" s="28">
        <f t="shared" si="376"/>
        <v>217</v>
      </c>
      <c r="W553" s="27" t="str">
        <f t="shared" si="430"/>
        <v>홀수</v>
      </c>
      <c r="X553" s="27" t="str">
        <f t="shared" si="431"/>
        <v>홀수</v>
      </c>
      <c r="Y553" s="27" t="str">
        <f t="shared" si="432"/>
        <v>홀수</v>
      </c>
      <c r="Z553" s="27" t="str">
        <f t="shared" si="433"/>
        <v>짝수</v>
      </c>
      <c r="AA553" s="28" t="str">
        <f t="shared" si="434"/>
        <v>짝수</v>
      </c>
      <c r="AB553" s="28" t="str">
        <f t="shared" si="435"/>
        <v>짝수</v>
      </c>
      <c r="AC553" s="27" t="str">
        <f t="shared" si="436"/>
        <v>3 : 3</v>
      </c>
      <c r="AD553" s="32">
        <f t="shared" si="437"/>
        <v>3</v>
      </c>
      <c r="AE553" s="32">
        <f t="shared" si="438"/>
        <v>3</v>
      </c>
      <c r="AF553" s="66" t="str">
        <f t="shared" si="439"/>
        <v>고수</v>
      </c>
      <c r="AG553" s="66" t="str">
        <f t="shared" si="440"/>
        <v>고수</v>
      </c>
      <c r="AH553" s="66" t="str">
        <f t="shared" si="441"/>
        <v>고수</v>
      </c>
      <c r="AI553" s="66" t="str">
        <f t="shared" si="442"/>
        <v>고수</v>
      </c>
      <c r="AJ553" s="66" t="str">
        <f t="shared" si="443"/>
        <v>고수</v>
      </c>
      <c r="AK553" s="66" t="str">
        <f t="shared" si="444"/>
        <v>고수</v>
      </c>
      <c r="AL553" s="66" t="str">
        <f t="shared" si="445"/>
        <v>0 : 6</v>
      </c>
      <c r="AM553" s="27">
        <f t="shared" si="446"/>
        <v>0</v>
      </c>
      <c r="AN553" s="27">
        <f t="shared" si="447"/>
        <v>6</v>
      </c>
      <c r="AO553" s="27">
        <f t="shared" si="448"/>
        <v>27</v>
      </c>
      <c r="AP553" s="66" t="str">
        <f t="shared" si="449"/>
        <v>X</v>
      </c>
      <c r="AQ553" s="66" t="str">
        <f t="shared" si="450"/>
        <v>X</v>
      </c>
      <c r="AR553" s="66" t="str">
        <f t="shared" si="451"/>
        <v>X</v>
      </c>
      <c r="AS553" s="66" t="str">
        <f t="shared" si="452"/>
        <v>X</v>
      </c>
      <c r="AT553" s="66" t="str">
        <f t="shared" si="453"/>
        <v>X</v>
      </c>
      <c r="AU553" s="66" t="str">
        <f t="shared" si="454"/>
        <v>X</v>
      </c>
      <c r="AV553" s="66" t="str">
        <f t="shared" si="455"/>
        <v>O</v>
      </c>
      <c r="AW553" s="66" t="str">
        <f t="shared" si="456"/>
        <v>O</v>
      </c>
      <c r="AX553" s="66" t="str">
        <f t="shared" si="457"/>
        <v>X</v>
      </c>
      <c r="AY553" s="66" t="str">
        <f t="shared" si="458"/>
        <v>X</v>
      </c>
      <c r="AZ553" s="66" t="str">
        <f t="shared" si="459"/>
        <v>X</v>
      </c>
      <c r="BA553" s="27" t="str">
        <f t="shared" si="460"/>
        <v>X</v>
      </c>
      <c r="BB553" s="27">
        <f t="shared" si="461"/>
        <v>2</v>
      </c>
      <c r="BC553" s="286" t="str">
        <f t="shared" si="462"/>
        <v>2G</v>
      </c>
      <c r="BD553" s="286" t="str">
        <f t="shared" si="463"/>
        <v>3G</v>
      </c>
      <c r="BE553" s="286" t="str">
        <f t="shared" si="464"/>
        <v>3G</v>
      </c>
      <c r="BF553" s="286" t="str">
        <f t="shared" si="465"/>
        <v>3G</v>
      </c>
      <c r="BG553" s="286" t="str">
        <f t="shared" si="466"/>
        <v>3G</v>
      </c>
      <c r="BH553" s="286" t="str">
        <f t="shared" si="467"/>
        <v>3G</v>
      </c>
      <c r="BI553" s="286">
        <f t="shared" si="416"/>
        <v>0</v>
      </c>
      <c r="BJ553" s="286">
        <f t="shared" si="417"/>
        <v>1</v>
      </c>
      <c r="BK553" s="286">
        <f t="shared" si="418"/>
        <v>5</v>
      </c>
      <c r="BL553" s="286" t="str">
        <f t="shared" si="468"/>
        <v>015</v>
      </c>
      <c r="BS553"/>
    </row>
    <row r="554" spans="2:71" ht="16.5" hidden="1">
      <c r="B554" s="18">
        <v>550</v>
      </c>
      <c r="C554" s="363" t="s">
        <v>891</v>
      </c>
      <c r="N554" s="28">
        <v>1</v>
      </c>
      <c r="O554" s="28">
        <v>7</v>
      </c>
      <c r="P554" s="28">
        <v>14</v>
      </c>
      <c r="Q554" s="28">
        <v>20</v>
      </c>
      <c r="R554" s="28">
        <v>34</v>
      </c>
      <c r="S554" s="28">
        <v>37</v>
      </c>
      <c r="T554" s="28">
        <v>41</v>
      </c>
      <c r="U554" s="28">
        <f t="shared" si="376"/>
        <v>113</v>
      </c>
      <c r="W554" s="27" t="str">
        <f t="shared" si="430"/>
        <v>홀수</v>
      </c>
      <c r="X554" s="27" t="str">
        <f t="shared" si="431"/>
        <v>홀수</v>
      </c>
      <c r="Y554" s="27" t="str">
        <f t="shared" si="432"/>
        <v>짝수</v>
      </c>
      <c r="Z554" s="27" t="str">
        <f t="shared" si="433"/>
        <v>짝수</v>
      </c>
      <c r="AA554" s="28" t="str">
        <f t="shared" si="434"/>
        <v>짝수</v>
      </c>
      <c r="AB554" s="28" t="str">
        <f t="shared" si="435"/>
        <v>홀수</v>
      </c>
      <c r="AC554" s="27" t="str">
        <f t="shared" si="436"/>
        <v>3 : 3</v>
      </c>
      <c r="AD554" s="32">
        <f t="shared" si="437"/>
        <v>3</v>
      </c>
      <c r="AE554" s="32">
        <f t="shared" si="438"/>
        <v>3</v>
      </c>
      <c r="AF554" s="66" t="str">
        <f t="shared" si="439"/>
        <v>저수</v>
      </c>
      <c r="AG554" s="66" t="str">
        <f t="shared" si="440"/>
        <v>저수</v>
      </c>
      <c r="AH554" s="66" t="str">
        <f t="shared" si="441"/>
        <v>저수</v>
      </c>
      <c r="AI554" s="66" t="str">
        <f t="shared" si="442"/>
        <v>저수</v>
      </c>
      <c r="AJ554" s="66" t="str">
        <f t="shared" si="443"/>
        <v>고수</v>
      </c>
      <c r="AK554" s="66" t="str">
        <f t="shared" si="444"/>
        <v>고수</v>
      </c>
      <c r="AL554" s="66" t="str">
        <f t="shared" si="445"/>
        <v>4 : 2</v>
      </c>
      <c r="AM554" s="27">
        <f t="shared" si="446"/>
        <v>4</v>
      </c>
      <c r="AN554" s="27">
        <f t="shared" si="447"/>
        <v>2</v>
      </c>
      <c r="AO554" s="27">
        <f t="shared" si="448"/>
        <v>23</v>
      </c>
      <c r="AP554" s="66" t="str">
        <f t="shared" si="449"/>
        <v>X</v>
      </c>
      <c r="AQ554" s="66" t="str">
        <f t="shared" si="450"/>
        <v>O</v>
      </c>
      <c r="AR554" s="66" t="str">
        <f t="shared" si="451"/>
        <v>X</v>
      </c>
      <c r="AS554" s="66" t="str">
        <f t="shared" si="452"/>
        <v>X</v>
      </c>
      <c r="AT554" s="66" t="str">
        <f t="shared" si="453"/>
        <v>X</v>
      </c>
      <c r="AU554" s="66" t="str">
        <f t="shared" si="454"/>
        <v>X</v>
      </c>
      <c r="AV554" s="66" t="str">
        <f t="shared" si="455"/>
        <v>X</v>
      </c>
      <c r="AW554" s="66" t="str">
        <f t="shared" si="456"/>
        <v>X</v>
      </c>
      <c r="AX554" s="66" t="str">
        <f t="shared" si="457"/>
        <v>X</v>
      </c>
      <c r="AY554" s="66" t="str">
        <f t="shared" si="458"/>
        <v>X</v>
      </c>
      <c r="AZ554" s="66" t="str">
        <f t="shared" si="459"/>
        <v>X</v>
      </c>
      <c r="BA554" s="27" t="str">
        <f t="shared" si="460"/>
        <v>O</v>
      </c>
      <c r="BB554" s="27">
        <f t="shared" si="461"/>
        <v>2</v>
      </c>
      <c r="BC554" s="289" t="str">
        <f t="shared" si="462"/>
        <v>1G</v>
      </c>
      <c r="BD554" s="289" t="str">
        <f t="shared" si="463"/>
        <v>1G</v>
      </c>
      <c r="BE554" s="289" t="str">
        <f t="shared" si="464"/>
        <v>1G</v>
      </c>
      <c r="BF554" s="289" t="str">
        <f t="shared" si="465"/>
        <v>2G</v>
      </c>
      <c r="BG554" s="289" t="str">
        <f t="shared" si="466"/>
        <v>3G</v>
      </c>
      <c r="BH554" s="289" t="str">
        <f t="shared" si="467"/>
        <v>3G</v>
      </c>
      <c r="BI554" s="289">
        <f t="shared" si="416"/>
        <v>3</v>
      </c>
      <c r="BJ554" s="289">
        <f t="shared" si="417"/>
        <v>1</v>
      </c>
      <c r="BK554" s="289">
        <f t="shared" si="418"/>
        <v>2</v>
      </c>
      <c r="BL554" s="289" t="str">
        <f t="shared" si="468"/>
        <v>312</v>
      </c>
      <c r="BS554"/>
    </row>
    <row r="555" spans="2:71" ht="16.5" hidden="1">
      <c r="B555" s="18">
        <v>551</v>
      </c>
      <c r="C555" s="363" t="s">
        <v>892</v>
      </c>
      <c r="N555" s="28">
        <v>3</v>
      </c>
      <c r="O555" s="28">
        <v>6</v>
      </c>
      <c r="P555" s="28">
        <v>20</v>
      </c>
      <c r="Q555" s="28">
        <v>24</v>
      </c>
      <c r="R555" s="28">
        <v>27</v>
      </c>
      <c r="S555" s="28">
        <v>44</v>
      </c>
      <c r="T555" s="28">
        <v>25</v>
      </c>
      <c r="U555" s="28">
        <f t="shared" si="376"/>
        <v>124</v>
      </c>
      <c r="W555" s="27" t="str">
        <f t="shared" si="430"/>
        <v>홀수</v>
      </c>
      <c r="X555" s="27" t="str">
        <f t="shared" si="431"/>
        <v>짝수</v>
      </c>
      <c r="Y555" s="27" t="str">
        <f t="shared" si="432"/>
        <v>짝수</v>
      </c>
      <c r="Z555" s="27" t="str">
        <f t="shared" si="433"/>
        <v>짝수</v>
      </c>
      <c r="AA555" s="28" t="str">
        <f t="shared" si="434"/>
        <v>홀수</v>
      </c>
      <c r="AB555" s="28" t="str">
        <f t="shared" si="435"/>
        <v>짝수</v>
      </c>
      <c r="AC555" s="27" t="str">
        <f t="shared" si="436"/>
        <v>2 : 4</v>
      </c>
      <c r="AD555" s="32">
        <f t="shared" si="437"/>
        <v>2</v>
      </c>
      <c r="AE555" s="32">
        <f t="shared" si="438"/>
        <v>4</v>
      </c>
      <c r="AF555" s="66" t="str">
        <f t="shared" si="439"/>
        <v>저수</v>
      </c>
      <c r="AG555" s="66" t="str">
        <f t="shared" si="440"/>
        <v>저수</v>
      </c>
      <c r="AH555" s="66" t="str">
        <f t="shared" si="441"/>
        <v>저수</v>
      </c>
      <c r="AI555" s="66" t="str">
        <f t="shared" si="442"/>
        <v>고수</v>
      </c>
      <c r="AJ555" s="66" t="str">
        <f t="shared" si="443"/>
        <v>고수</v>
      </c>
      <c r="AK555" s="66" t="str">
        <f t="shared" si="444"/>
        <v>고수</v>
      </c>
      <c r="AL555" s="66" t="str">
        <f t="shared" si="445"/>
        <v>3 : 3</v>
      </c>
      <c r="AM555" s="27">
        <f t="shared" si="446"/>
        <v>3</v>
      </c>
      <c r="AN555" s="27">
        <f t="shared" si="447"/>
        <v>3</v>
      </c>
      <c r="AO555" s="27">
        <f t="shared" si="448"/>
        <v>24</v>
      </c>
      <c r="AP555" s="66" t="str">
        <f t="shared" si="449"/>
        <v>O</v>
      </c>
      <c r="AQ555" s="66" t="str">
        <f t="shared" si="450"/>
        <v>X</v>
      </c>
      <c r="AR555" s="66" t="str">
        <f t="shared" si="451"/>
        <v>X</v>
      </c>
      <c r="AS555" s="66" t="str">
        <f t="shared" si="452"/>
        <v>X</v>
      </c>
      <c r="AT555" s="66" t="str">
        <f t="shared" si="453"/>
        <v>X</v>
      </c>
      <c r="AU555" s="66" t="str">
        <f t="shared" si="454"/>
        <v>X</v>
      </c>
      <c r="AV555" s="66" t="str">
        <f t="shared" si="455"/>
        <v>X</v>
      </c>
      <c r="AW555" s="66" t="str">
        <f t="shared" si="456"/>
        <v>X</v>
      </c>
      <c r="AX555" s="66" t="str">
        <f t="shared" si="457"/>
        <v>X</v>
      </c>
      <c r="AY555" s="66" t="str">
        <f t="shared" si="458"/>
        <v>X</v>
      </c>
      <c r="AZ555" s="66" t="str">
        <f t="shared" si="459"/>
        <v>X</v>
      </c>
      <c r="BA555" s="27" t="str">
        <f t="shared" si="460"/>
        <v>X</v>
      </c>
      <c r="BB555" s="27">
        <f t="shared" si="461"/>
        <v>1</v>
      </c>
      <c r="BC555" s="290" t="str">
        <f t="shared" si="462"/>
        <v>1G</v>
      </c>
      <c r="BD555" s="290" t="str">
        <f t="shared" si="463"/>
        <v>1G</v>
      </c>
      <c r="BE555" s="290" t="str">
        <f t="shared" si="464"/>
        <v>2G</v>
      </c>
      <c r="BF555" s="290" t="str">
        <f t="shared" si="465"/>
        <v>2G</v>
      </c>
      <c r="BG555" s="290" t="str">
        <f t="shared" si="466"/>
        <v>2G</v>
      </c>
      <c r="BH555" s="290" t="str">
        <f t="shared" si="467"/>
        <v>3G</v>
      </c>
      <c r="BI555" s="290">
        <f t="shared" si="416"/>
        <v>2</v>
      </c>
      <c r="BJ555" s="290">
        <f t="shared" si="417"/>
        <v>3</v>
      </c>
      <c r="BK555" s="290">
        <f t="shared" si="418"/>
        <v>1</v>
      </c>
      <c r="BL555" s="290" t="str">
        <f t="shared" si="468"/>
        <v>231</v>
      </c>
      <c r="BS555"/>
    </row>
    <row r="556" spans="2:71" ht="16.5" hidden="1">
      <c r="B556" s="18">
        <v>552</v>
      </c>
      <c r="C556" s="363" t="s">
        <v>895</v>
      </c>
      <c r="N556" s="28">
        <v>1</v>
      </c>
      <c r="O556" s="28">
        <v>10</v>
      </c>
      <c r="P556" s="28">
        <v>20</v>
      </c>
      <c r="Q556" s="28">
        <v>32</v>
      </c>
      <c r="R556" s="28">
        <v>35</v>
      </c>
      <c r="S556" s="28">
        <v>40</v>
      </c>
      <c r="T556" s="28">
        <v>43</v>
      </c>
      <c r="U556" s="28">
        <f t="shared" si="376"/>
        <v>138</v>
      </c>
      <c r="W556" s="27" t="str">
        <f t="shared" si="430"/>
        <v>홀수</v>
      </c>
      <c r="X556" s="27" t="str">
        <f t="shared" si="431"/>
        <v>짝수</v>
      </c>
      <c r="Y556" s="27" t="str">
        <f t="shared" si="432"/>
        <v>짝수</v>
      </c>
      <c r="Z556" s="27" t="str">
        <f t="shared" si="433"/>
        <v>짝수</v>
      </c>
      <c r="AA556" s="28" t="str">
        <f t="shared" si="434"/>
        <v>홀수</v>
      </c>
      <c r="AB556" s="28" t="str">
        <f t="shared" si="435"/>
        <v>짝수</v>
      </c>
      <c r="AC556" s="27" t="str">
        <f t="shared" si="436"/>
        <v>2 : 4</v>
      </c>
      <c r="AD556" s="32">
        <f t="shared" si="437"/>
        <v>2</v>
      </c>
      <c r="AE556" s="32">
        <f t="shared" si="438"/>
        <v>4</v>
      </c>
      <c r="AF556" s="66" t="str">
        <f t="shared" si="439"/>
        <v>저수</v>
      </c>
      <c r="AG556" s="66" t="str">
        <f t="shared" si="440"/>
        <v>저수</v>
      </c>
      <c r="AH556" s="66" t="str">
        <f t="shared" si="441"/>
        <v>저수</v>
      </c>
      <c r="AI556" s="66" t="str">
        <f t="shared" si="442"/>
        <v>고수</v>
      </c>
      <c r="AJ556" s="66" t="str">
        <f t="shared" si="443"/>
        <v>고수</v>
      </c>
      <c r="AK556" s="66" t="str">
        <f t="shared" si="444"/>
        <v>고수</v>
      </c>
      <c r="AL556" s="66" t="str">
        <f t="shared" si="445"/>
        <v>3 : 3</v>
      </c>
      <c r="AM556" s="27">
        <f t="shared" si="446"/>
        <v>3</v>
      </c>
      <c r="AN556" s="27">
        <f t="shared" si="447"/>
        <v>3</v>
      </c>
      <c r="AO556" s="27">
        <f t="shared" si="448"/>
        <v>8</v>
      </c>
      <c r="AP556" s="66" t="str">
        <f t="shared" si="449"/>
        <v>X</v>
      </c>
      <c r="AQ556" s="66" t="str">
        <f t="shared" si="450"/>
        <v>X</v>
      </c>
      <c r="AR556" s="66" t="str">
        <f t="shared" si="451"/>
        <v>X</v>
      </c>
      <c r="AS556" s="66" t="str">
        <f t="shared" si="452"/>
        <v>X</v>
      </c>
      <c r="AT556" s="66" t="str">
        <f t="shared" si="453"/>
        <v>X</v>
      </c>
      <c r="AU556" s="66" t="str">
        <f t="shared" si="454"/>
        <v>X</v>
      </c>
      <c r="AV556" s="66" t="str">
        <f t="shared" si="455"/>
        <v>X</v>
      </c>
      <c r="AW556" s="66" t="str">
        <f t="shared" si="456"/>
        <v>X</v>
      </c>
      <c r="AX556" s="66" t="str">
        <f t="shared" si="457"/>
        <v>X</v>
      </c>
      <c r="AY556" s="66" t="str">
        <f t="shared" si="458"/>
        <v>X</v>
      </c>
      <c r="AZ556" s="66" t="str">
        <f t="shared" si="459"/>
        <v>X</v>
      </c>
      <c r="BA556" s="27" t="str">
        <f t="shared" si="460"/>
        <v>X</v>
      </c>
      <c r="BB556" s="27">
        <f t="shared" si="461"/>
        <v>0</v>
      </c>
      <c r="BC556" s="292" t="str">
        <f t="shared" si="462"/>
        <v>1G</v>
      </c>
      <c r="BD556" s="292" t="str">
        <f t="shared" si="463"/>
        <v>1G</v>
      </c>
      <c r="BE556" s="292" t="str">
        <f t="shared" si="464"/>
        <v>2G</v>
      </c>
      <c r="BF556" s="292" t="str">
        <f t="shared" si="465"/>
        <v>3G</v>
      </c>
      <c r="BG556" s="292" t="str">
        <f t="shared" si="466"/>
        <v>3G</v>
      </c>
      <c r="BH556" s="292" t="str">
        <f t="shared" si="467"/>
        <v>3G</v>
      </c>
      <c r="BI556" s="292">
        <f t="shared" si="416"/>
        <v>2</v>
      </c>
      <c r="BJ556" s="292">
        <f t="shared" si="417"/>
        <v>1</v>
      </c>
      <c r="BK556" s="292">
        <f t="shared" si="418"/>
        <v>3</v>
      </c>
      <c r="BL556" s="292" t="str">
        <f t="shared" si="468"/>
        <v>213</v>
      </c>
      <c r="BS556"/>
    </row>
    <row r="557" spans="2:71" ht="16.5" hidden="1">
      <c r="B557" s="18">
        <v>553</v>
      </c>
      <c r="C557" s="363" t="s">
        <v>896</v>
      </c>
      <c r="N557" s="28">
        <v>2</v>
      </c>
      <c r="O557" s="28">
        <v>7</v>
      </c>
      <c r="P557" s="28">
        <v>17</v>
      </c>
      <c r="Q557" s="28">
        <v>28</v>
      </c>
      <c r="R557" s="28">
        <v>29</v>
      </c>
      <c r="S557" s="28">
        <v>39</v>
      </c>
      <c r="T557" s="28">
        <v>37</v>
      </c>
      <c r="U557" s="28">
        <f t="shared" si="376"/>
        <v>122</v>
      </c>
      <c r="W557" s="27" t="str">
        <f t="shared" si="430"/>
        <v>짝수</v>
      </c>
      <c r="X557" s="27" t="str">
        <f t="shared" si="431"/>
        <v>홀수</v>
      </c>
      <c r="Y557" s="27" t="str">
        <f t="shared" si="432"/>
        <v>홀수</v>
      </c>
      <c r="Z557" s="27" t="str">
        <f t="shared" si="433"/>
        <v>짝수</v>
      </c>
      <c r="AA557" s="28" t="str">
        <f t="shared" si="434"/>
        <v>홀수</v>
      </c>
      <c r="AB557" s="28" t="str">
        <f t="shared" si="435"/>
        <v>홀수</v>
      </c>
      <c r="AC557" s="27" t="str">
        <f t="shared" si="436"/>
        <v>4 : 2</v>
      </c>
      <c r="AD557" s="32">
        <f t="shared" si="437"/>
        <v>4</v>
      </c>
      <c r="AE557" s="32">
        <f t="shared" si="438"/>
        <v>2</v>
      </c>
      <c r="AF557" s="66" t="str">
        <f t="shared" si="439"/>
        <v>저수</v>
      </c>
      <c r="AG557" s="66" t="str">
        <f t="shared" si="440"/>
        <v>저수</v>
      </c>
      <c r="AH557" s="66" t="str">
        <f t="shared" si="441"/>
        <v>저수</v>
      </c>
      <c r="AI557" s="66" t="str">
        <f t="shared" si="442"/>
        <v>고수</v>
      </c>
      <c r="AJ557" s="66" t="str">
        <f t="shared" si="443"/>
        <v>고수</v>
      </c>
      <c r="AK557" s="66" t="str">
        <f t="shared" si="444"/>
        <v>고수</v>
      </c>
      <c r="AL557" s="66" t="str">
        <f t="shared" si="445"/>
        <v>3 : 3</v>
      </c>
      <c r="AM557" s="27">
        <f t="shared" si="446"/>
        <v>3</v>
      </c>
      <c r="AN557" s="27">
        <f t="shared" si="447"/>
        <v>3</v>
      </c>
      <c r="AO557" s="27">
        <f t="shared" si="448"/>
        <v>42</v>
      </c>
      <c r="AP557" s="66" t="str">
        <f t="shared" si="449"/>
        <v>O</v>
      </c>
      <c r="AQ557" s="66" t="str">
        <f t="shared" si="450"/>
        <v>O</v>
      </c>
      <c r="AR557" s="66" t="str">
        <f t="shared" si="451"/>
        <v>O</v>
      </c>
      <c r="AS557" s="66" t="str">
        <f t="shared" si="452"/>
        <v>X</v>
      </c>
      <c r="AT557" s="66" t="str">
        <f t="shared" si="453"/>
        <v>X</v>
      </c>
      <c r="AU557" s="66" t="str">
        <f t="shared" si="454"/>
        <v>X</v>
      </c>
      <c r="AV557" s="66" t="str">
        <f t="shared" si="455"/>
        <v>X</v>
      </c>
      <c r="AW557" s="66" t="str">
        <f t="shared" si="456"/>
        <v>X</v>
      </c>
      <c r="AX557" s="66" t="str">
        <f t="shared" si="457"/>
        <v>X</v>
      </c>
      <c r="AY557" s="66" t="str">
        <f t="shared" si="458"/>
        <v>X</v>
      </c>
      <c r="AZ557" s="66" t="str">
        <f t="shared" si="459"/>
        <v>O</v>
      </c>
      <c r="BA557" s="27" t="str">
        <f t="shared" si="460"/>
        <v>X</v>
      </c>
      <c r="BB557" s="27">
        <f t="shared" si="461"/>
        <v>4</v>
      </c>
      <c r="BC557" s="295" t="str">
        <f t="shared" si="462"/>
        <v>1G</v>
      </c>
      <c r="BD557" s="294" t="str">
        <f t="shared" si="463"/>
        <v>1G</v>
      </c>
      <c r="BE557" s="294" t="str">
        <f t="shared" si="464"/>
        <v>2G</v>
      </c>
      <c r="BF557" s="294" t="str">
        <f t="shared" si="465"/>
        <v>2G</v>
      </c>
      <c r="BG557" s="294" t="str">
        <f t="shared" si="466"/>
        <v>2G</v>
      </c>
      <c r="BH557" s="294" t="str">
        <f t="shared" si="467"/>
        <v>3G</v>
      </c>
      <c r="BI557" s="294">
        <f t="shared" si="416"/>
        <v>2</v>
      </c>
      <c r="BJ557" s="294">
        <f t="shared" si="417"/>
        <v>3</v>
      </c>
      <c r="BK557" s="294">
        <f t="shared" si="418"/>
        <v>1</v>
      </c>
      <c r="BL557" s="294" t="str">
        <f t="shared" si="468"/>
        <v>231</v>
      </c>
      <c r="BS557"/>
    </row>
    <row r="558" spans="2:71" ht="16.5" hidden="1">
      <c r="B558" s="18">
        <v>554</v>
      </c>
      <c r="C558" s="363" t="s">
        <v>897</v>
      </c>
      <c r="N558" s="28">
        <v>13</v>
      </c>
      <c r="O558" s="28">
        <v>14</v>
      </c>
      <c r="P558" s="28">
        <v>17</v>
      </c>
      <c r="Q558" s="28">
        <v>32</v>
      </c>
      <c r="R558" s="28">
        <v>41</v>
      </c>
      <c r="S558" s="28">
        <v>42</v>
      </c>
      <c r="T558" s="28">
        <v>6</v>
      </c>
      <c r="U558" s="28">
        <f t="shared" si="376"/>
        <v>159</v>
      </c>
      <c r="W558" s="27" t="str">
        <f t="shared" si="430"/>
        <v>홀수</v>
      </c>
      <c r="X558" s="27" t="str">
        <f t="shared" si="431"/>
        <v>짝수</v>
      </c>
      <c r="Y558" s="27" t="str">
        <f t="shared" si="432"/>
        <v>홀수</v>
      </c>
      <c r="Z558" s="27" t="str">
        <f t="shared" si="433"/>
        <v>짝수</v>
      </c>
      <c r="AA558" s="28" t="str">
        <f t="shared" si="434"/>
        <v>홀수</v>
      </c>
      <c r="AB558" s="28" t="str">
        <f t="shared" si="435"/>
        <v>짝수</v>
      </c>
      <c r="AC558" s="27" t="str">
        <f t="shared" si="436"/>
        <v>3 : 3</v>
      </c>
      <c r="AD558" s="32">
        <f t="shared" si="437"/>
        <v>3</v>
      </c>
      <c r="AE558" s="32">
        <f t="shared" si="438"/>
        <v>3</v>
      </c>
      <c r="AF558" s="66" t="str">
        <f t="shared" si="439"/>
        <v>저수</v>
      </c>
      <c r="AG558" s="66" t="str">
        <f t="shared" si="440"/>
        <v>저수</v>
      </c>
      <c r="AH558" s="66" t="str">
        <f t="shared" si="441"/>
        <v>저수</v>
      </c>
      <c r="AI558" s="66" t="str">
        <f t="shared" si="442"/>
        <v>고수</v>
      </c>
      <c r="AJ558" s="66" t="str">
        <f t="shared" si="443"/>
        <v>고수</v>
      </c>
      <c r="AK558" s="66" t="str">
        <f t="shared" si="444"/>
        <v>고수</v>
      </c>
      <c r="AL558" s="66" t="str">
        <f t="shared" si="445"/>
        <v>3 : 3</v>
      </c>
      <c r="AM558" s="27">
        <f t="shared" si="446"/>
        <v>3</v>
      </c>
      <c r="AN558" s="27">
        <f t="shared" si="447"/>
        <v>3</v>
      </c>
      <c r="AO558" s="27">
        <f t="shared" si="448"/>
        <v>19</v>
      </c>
      <c r="AP558" s="66" t="str">
        <f t="shared" si="449"/>
        <v>O</v>
      </c>
      <c r="AQ558" s="66" t="str">
        <f t="shared" si="450"/>
        <v>X</v>
      </c>
      <c r="AR558" s="66" t="str">
        <f t="shared" si="451"/>
        <v>O</v>
      </c>
      <c r="AS558" s="66" t="str">
        <f t="shared" si="452"/>
        <v>X</v>
      </c>
      <c r="AT558" s="66" t="str">
        <f t="shared" si="453"/>
        <v>X</v>
      </c>
      <c r="AU558" s="66" t="str">
        <f t="shared" si="454"/>
        <v>X</v>
      </c>
      <c r="AV558" s="66" t="str">
        <f t="shared" si="455"/>
        <v>X</v>
      </c>
      <c r="AW558" s="66" t="str">
        <f t="shared" si="456"/>
        <v>X</v>
      </c>
      <c r="AX558" s="66" t="str">
        <f t="shared" si="457"/>
        <v>X</v>
      </c>
      <c r="AY558" s="66" t="str">
        <f t="shared" si="458"/>
        <v>X</v>
      </c>
      <c r="AZ558" s="66" t="str">
        <f t="shared" si="459"/>
        <v>O</v>
      </c>
      <c r="BA558" s="27" t="str">
        <f t="shared" si="460"/>
        <v>X</v>
      </c>
      <c r="BB558" s="27">
        <f t="shared" si="461"/>
        <v>3</v>
      </c>
      <c r="BC558" s="295" t="str">
        <f t="shared" si="462"/>
        <v>1G</v>
      </c>
      <c r="BD558" s="295" t="str">
        <f t="shared" si="463"/>
        <v>1G</v>
      </c>
      <c r="BE558" s="295" t="str">
        <f t="shared" si="464"/>
        <v>2G</v>
      </c>
      <c r="BF558" s="295" t="str">
        <f t="shared" si="465"/>
        <v>3G</v>
      </c>
      <c r="BG558" s="295" t="str">
        <f t="shared" si="466"/>
        <v>3G</v>
      </c>
      <c r="BH558" s="295" t="str">
        <f t="shared" si="467"/>
        <v>3G</v>
      </c>
      <c r="BI558" s="295">
        <f t="shared" si="416"/>
        <v>2</v>
      </c>
      <c r="BJ558" s="295">
        <f t="shared" si="417"/>
        <v>1</v>
      </c>
      <c r="BK558" s="295">
        <f t="shared" si="418"/>
        <v>3</v>
      </c>
      <c r="BL558" s="295" t="str">
        <f t="shared" si="468"/>
        <v>213</v>
      </c>
      <c r="BS558"/>
    </row>
    <row r="559" spans="2:71" ht="16.5" hidden="1">
      <c r="B559" s="18">
        <v>555</v>
      </c>
      <c r="C559" s="363" t="s">
        <v>898</v>
      </c>
      <c r="N559" s="28">
        <v>11</v>
      </c>
      <c r="O559" s="28">
        <v>17</v>
      </c>
      <c r="P559" s="28">
        <v>21</v>
      </c>
      <c r="Q559" s="28">
        <v>24</v>
      </c>
      <c r="R559" s="28">
        <v>26</v>
      </c>
      <c r="S559" s="28">
        <v>36</v>
      </c>
      <c r="T559" s="28">
        <v>12</v>
      </c>
      <c r="U559" s="28">
        <f t="shared" si="376"/>
        <v>135</v>
      </c>
      <c r="W559" s="27" t="str">
        <f t="shared" si="430"/>
        <v>홀수</v>
      </c>
      <c r="X559" s="27" t="str">
        <f t="shared" si="431"/>
        <v>홀수</v>
      </c>
      <c r="Y559" s="27" t="str">
        <f t="shared" si="432"/>
        <v>홀수</v>
      </c>
      <c r="Z559" s="27" t="str">
        <f t="shared" si="433"/>
        <v>짝수</v>
      </c>
      <c r="AA559" s="28" t="str">
        <f t="shared" si="434"/>
        <v>짝수</v>
      </c>
      <c r="AB559" s="28" t="str">
        <f t="shared" si="435"/>
        <v>짝수</v>
      </c>
      <c r="AC559" s="27" t="str">
        <f t="shared" si="436"/>
        <v>3 : 3</v>
      </c>
      <c r="AD559" s="32">
        <f t="shared" si="437"/>
        <v>3</v>
      </c>
      <c r="AE559" s="32">
        <f t="shared" si="438"/>
        <v>3</v>
      </c>
      <c r="AF559" s="66" t="str">
        <f t="shared" si="439"/>
        <v>저수</v>
      </c>
      <c r="AG559" s="66" t="str">
        <f t="shared" si="440"/>
        <v>저수</v>
      </c>
      <c r="AH559" s="66" t="str">
        <f t="shared" si="441"/>
        <v>저수</v>
      </c>
      <c r="AI559" s="66" t="str">
        <f t="shared" si="442"/>
        <v>고수</v>
      </c>
      <c r="AJ559" s="66" t="str">
        <f t="shared" si="443"/>
        <v>고수</v>
      </c>
      <c r="AK559" s="66" t="str">
        <f t="shared" si="444"/>
        <v>고수</v>
      </c>
      <c r="AL559" s="66" t="str">
        <f t="shared" si="445"/>
        <v>3 : 3</v>
      </c>
      <c r="AM559" s="27">
        <f t="shared" si="446"/>
        <v>3</v>
      </c>
      <c r="AN559" s="27">
        <f t="shared" si="447"/>
        <v>3</v>
      </c>
      <c r="AO559" s="27">
        <f t="shared" si="448"/>
        <v>25</v>
      </c>
      <c r="AP559" s="66" t="str">
        <f t="shared" si="449"/>
        <v>O</v>
      </c>
      <c r="AQ559" s="66" t="str">
        <f t="shared" si="450"/>
        <v>O</v>
      </c>
      <c r="AR559" s="66" t="str">
        <f t="shared" si="451"/>
        <v>X</v>
      </c>
      <c r="AS559" s="66" t="str">
        <f t="shared" si="452"/>
        <v>X</v>
      </c>
      <c r="AT559" s="66" t="str">
        <f t="shared" si="453"/>
        <v>X</v>
      </c>
      <c r="AU559" s="66" t="str">
        <f t="shared" si="454"/>
        <v>X</v>
      </c>
      <c r="AV559" s="66" t="str">
        <f t="shared" si="455"/>
        <v>X</v>
      </c>
      <c r="AW559" s="66" t="str">
        <f t="shared" si="456"/>
        <v>X</v>
      </c>
      <c r="AX559" s="66" t="str">
        <f t="shared" si="457"/>
        <v>X</v>
      </c>
      <c r="AY559" s="66" t="str">
        <f t="shared" si="458"/>
        <v>X</v>
      </c>
      <c r="AZ559" s="66" t="str">
        <f t="shared" si="459"/>
        <v>X</v>
      </c>
      <c r="BA559" s="27" t="str">
        <f t="shared" si="460"/>
        <v>X</v>
      </c>
      <c r="BB559" s="27">
        <f t="shared" si="461"/>
        <v>2</v>
      </c>
      <c r="BC559" s="297" t="str">
        <f t="shared" ref="BC559:BH563" si="469">VLOOKUP(N559,삼그룹,6,FALSE)</f>
        <v>1G</v>
      </c>
      <c r="BD559" s="297" t="str">
        <f t="shared" si="469"/>
        <v>2G</v>
      </c>
      <c r="BE559" s="297" t="str">
        <f t="shared" si="469"/>
        <v>2G</v>
      </c>
      <c r="BF559" s="297" t="str">
        <f t="shared" si="469"/>
        <v>2G</v>
      </c>
      <c r="BG559" s="297" t="str">
        <f t="shared" si="469"/>
        <v>2G</v>
      </c>
      <c r="BH559" s="297" t="str">
        <f t="shared" si="469"/>
        <v>3G</v>
      </c>
      <c r="BI559" s="297">
        <f t="shared" si="416"/>
        <v>1</v>
      </c>
      <c r="BJ559" s="297">
        <f t="shared" si="417"/>
        <v>4</v>
      </c>
      <c r="BK559" s="297">
        <f t="shared" si="418"/>
        <v>1</v>
      </c>
      <c r="BL559" s="297" t="str">
        <f t="shared" ref="BL559:BL564" si="470">BI559&amp;BJ559&amp;BK559</f>
        <v>141</v>
      </c>
      <c r="BS559"/>
    </row>
    <row r="560" spans="2:71" ht="16.5" hidden="1">
      <c r="B560" s="18">
        <v>556</v>
      </c>
      <c r="C560" s="363" t="s">
        <v>899</v>
      </c>
      <c r="N560" s="28">
        <v>12</v>
      </c>
      <c r="O560" s="28">
        <v>20</v>
      </c>
      <c r="P560" s="28">
        <v>23</v>
      </c>
      <c r="Q560" s="28">
        <v>28</v>
      </c>
      <c r="R560" s="28">
        <v>30</v>
      </c>
      <c r="S560" s="28">
        <v>44</v>
      </c>
      <c r="T560" s="28">
        <v>43</v>
      </c>
      <c r="U560" s="28">
        <f t="shared" si="376"/>
        <v>157</v>
      </c>
      <c r="W560" s="27" t="str">
        <f t="shared" si="430"/>
        <v>짝수</v>
      </c>
      <c r="X560" s="27" t="str">
        <f t="shared" si="431"/>
        <v>짝수</v>
      </c>
      <c r="Y560" s="27" t="str">
        <f t="shared" si="432"/>
        <v>홀수</v>
      </c>
      <c r="Z560" s="27" t="str">
        <f t="shared" si="433"/>
        <v>짝수</v>
      </c>
      <c r="AA560" s="28" t="str">
        <f t="shared" si="434"/>
        <v>짝수</v>
      </c>
      <c r="AB560" s="28" t="str">
        <f t="shared" si="435"/>
        <v>짝수</v>
      </c>
      <c r="AC560" s="27" t="str">
        <f t="shared" si="436"/>
        <v>1 : 5</v>
      </c>
      <c r="AD560" s="32">
        <f t="shared" si="437"/>
        <v>1</v>
      </c>
      <c r="AE560" s="32">
        <f t="shared" si="438"/>
        <v>5</v>
      </c>
      <c r="AF560" s="66" t="str">
        <f t="shared" si="439"/>
        <v>저수</v>
      </c>
      <c r="AG560" s="66" t="str">
        <f t="shared" si="440"/>
        <v>저수</v>
      </c>
      <c r="AH560" s="66" t="str">
        <f t="shared" si="441"/>
        <v>고수</v>
      </c>
      <c r="AI560" s="66" t="str">
        <f t="shared" si="442"/>
        <v>고수</v>
      </c>
      <c r="AJ560" s="66" t="str">
        <f t="shared" si="443"/>
        <v>고수</v>
      </c>
      <c r="AK560" s="66" t="str">
        <f t="shared" si="444"/>
        <v>고수</v>
      </c>
      <c r="AL560" s="66" t="str">
        <f t="shared" si="445"/>
        <v>2 : 4</v>
      </c>
      <c r="AM560" s="27">
        <f t="shared" si="446"/>
        <v>2</v>
      </c>
      <c r="AN560" s="27">
        <f t="shared" si="447"/>
        <v>4</v>
      </c>
      <c r="AO560" s="27">
        <f t="shared" si="448"/>
        <v>17</v>
      </c>
      <c r="AP560" s="66" t="str">
        <f t="shared" si="449"/>
        <v>X</v>
      </c>
      <c r="AQ560" s="66" t="str">
        <f t="shared" si="450"/>
        <v>X</v>
      </c>
      <c r="AR560" s="66" t="str">
        <f t="shared" si="451"/>
        <v>X</v>
      </c>
      <c r="AS560" s="66" t="str">
        <f t="shared" si="452"/>
        <v>X</v>
      </c>
      <c r="AT560" s="66" t="str">
        <f t="shared" si="453"/>
        <v>X</v>
      </c>
      <c r="AU560" s="66" t="str">
        <f t="shared" si="454"/>
        <v>X</v>
      </c>
      <c r="AV560" s="66" t="str">
        <f t="shared" si="455"/>
        <v>X</v>
      </c>
      <c r="AW560" s="66" t="str">
        <f t="shared" si="456"/>
        <v>X</v>
      </c>
      <c r="AX560" s="66" t="str">
        <f t="shared" si="457"/>
        <v>O</v>
      </c>
      <c r="AY560" s="66" t="str">
        <f t="shared" si="458"/>
        <v>X</v>
      </c>
      <c r="AZ560" s="66" t="str">
        <f t="shared" si="459"/>
        <v>X</v>
      </c>
      <c r="BA560" s="27" t="str">
        <f t="shared" si="460"/>
        <v>X</v>
      </c>
      <c r="BB560" s="27">
        <f t="shared" si="461"/>
        <v>1</v>
      </c>
      <c r="BC560" s="298" t="str">
        <f t="shared" si="469"/>
        <v>1G</v>
      </c>
      <c r="BD560" s="298" t="str">
        <f t="shared" si="469"/>
        <v>2G</v>
      </c>
      <c r="BE560" s="298" t="str">
        <f t="shared" si="469"/>
        <v>2G</v>
      </c>
      <c r="BF560" s="298" t="str">
        <f t="shared" si="469"/>
        <v>2G</v>
      </c>
      <c r="BG560" s="298" t="str">
        <f t="shared" si="469"/>
        <v>2G</v>
      </c>
      <c r="BH560" s="298" t="str">
        <f t="shared" si="469"/>
        <v>3G</v>
      </c>
      <c r="BI560" s="298">
        <f t="shared" si="416"/>
        <v>1</v>
      </c>
      <c r="BJ560" s="298">
        <f t="shared" si="417"/>
        <v>4</v>
      </c>
      <c r="BK560" s="298">
        <f t="shared" si="418"/>
        <v>1</v>
      </c>
      <c r="BL560" s="298" t="str">
        <f t="shared" si="470"/>
        <v>141</v>
      </c>
      <c r="BS560"/>
    </row>
    <row r="561" spans="2:71" ht="16.5" hidden="1">
      <c r="B561" s="18">
        <v>557</v>
      </c>
      <c r="C561" s="363" t="s">
        <v>900</v>
      </c>
      <c r="N561" s="28">
        <v>4</v>
      </c>
      <c r="O561" s="28">
        <v>20</v>
      </c>
      <c r="P561" s="28">
        <v>26</v>
      </c>
      <c r="Q561" s="28">
        <v>28</v>
      </c>
      <c r="R561" s="28">
        <v>35</v>
      </c>
      <c r="S561" s="28">
        <v>40</v>
      </c>
      <c r="T561" s="28">
        <v>31</v>
      </c>
      <c r="U561" s="28">
        <f t="shared" si="376"/>
        <v>153</v>
      </c>
      <c r="W561" s="27" t="str">
        <f t="shared" si="430"/>
        <v>짝수</v>
      </c>
      <c r="X561" s="27" t="str">
        <f t="shared" si="431"/>
        <v>짝수</v>
      </c>
      <c r="Y561" s="27" t="str">
        <f t="shared" si="432"/>
        <v>짝수</v>
      </c>
      <c r="Z561" s="27" t="str">
        <f t="shared" si="433"/>
        <v>짝수</v>
      </c>
      <c r="AA561" s="28" t="str">
        <f t="shared" si="434"/>
        <v>홀수</v>
      </c>
      <c r="AB561" s="28" t="str">
        <f t="shared" si="435"/>
        <v>짝수</v>
      </c>
      <c r="AC561" s="27" t="str">
        <f t="shared" si="436"/>
        <v>1 : 5</v>
      </c>
      <c r="AD561" s="32">
        <f t="shared" si="437"/>
        <v>1</v>
      </c>
      <c r="AE561" s="32">
        <f t="shared" si="438"/>
        <v>5</v>
      </c>
      <c r="AF561" s="66" t="str">
        <f t="shared" si="439"/>
        <v>저수</v>
      </c>
      <c r="AG561" s="66" t="str">
        <f t="shared" si="440"/>
        <v>저수</v>
      </c>
      <c r="AH561" s="66" t="str">
        <f t="shared" si="441"/>
        <v>고수</v>
      </c>
      <c r="AI561" s="66" t="str">
        <f t="shared" si="442"/>
        <v>고수</v>
      </c>
      <c r="AJ561" s="66" t="str">
        <f t="shared" si="443"/>
        <v>고수</v>
      </c>
      <c r="AK561" s="66" t="str">
        <f t="shared" si="444"/>
        <v>고수</v>
      </c>
      <c r="AL561" s="66" t="str">
        <f t="shared" si="445"/>
        <v>2 : 4</v>
      </c>
      <c r="AM561" s="27">
        <f t="shared" si="446"/>
        <v>2</v>
      </c>
      <c r="AN561" s="27">
        <f t="shared" si="447"/>
        <v>4</v>
      </c>
      <c r="AO561" s="27">
        <f t="shared" si="448"/>
        <v>23</v>
      </c>
      <c r="AP561" s="66" t="str">
        <f t="shared" si="449"/>
        <v>X</v>
      </c>
      <c r="AQ561" s="66" t="str">
        <f t="shared" si="450"/>
        <v>X</v>
      </c>
      <c r="AR561" s="66" t="str">
        <f t="shared" si="451"/>
        <v>X</v>
      </c>
      <c r="AS561" s="66" t="str">
        <f t="shared" si="452"/>
        <v>X</v>
      </c>
      <c r="AT561" s="66" t="str">
        <f t="shared" si="453"/>
        <v>X</v>
      </c>
      <c r="AU561" s="66" t="str">
        <f t="shared" si="454"/>
        <v>X</v>
      </c>
      <c r="AV561" s="66" t="str">
        <f t="shared" si="455"/>
        <v>X</v>
      </c>
      <c r="AW561" s="66" t="str">
        <f t="shared" si="456"/>
        <v>X</v>
      </c>
      <c r="AX561" s="66" t="str">
        <f t="shared" si="457"/>
        <v>X</v>
      </c>
      <c r="AY561" s="66" t="str">
        <f t="shared" si="458"/>
        <v>X</v>
      </c>
      <c r="AZ561" s="66" t="str">
        <f t="shared" si="459"/>
        <v>X</v>
      </c>
      <c r="BA561" s="27" t="str">
        <f t="shared" si="460"/>
        <v>X</v>
      </c>
      <c r="BB561" s="27">
        <f t="shared" si="461"/>
        <v>0</v>
      </c>
      <c r="BC561" s="301" t="str">
        <f t="shared" si="469"/>
        <v>1G</v>
      </c>
      <c r="BD561" s="301" t="str">
        <f t="shared" si="469"/>
        <v>2G</v>
      </c>
      <c r="BE561" s="301" t="str">
        <f t="shared" si="469"/>
        <v>2G</v>
      </c>
      <c r="BF561" s="301" t="str">
        <f t="shared" si="469"/>
        <v>2G</v>
      </c>
      <c r="BG561" s="301" t="str">
        <f t="shared" si="469"/>
        <v>3G</v>
      </c>
      <c r="BH561" s="301" t="str">
        <f t="shared" si="469"/>
        <v>3G</v>
      </c>
      <c r="BI561" s="301">
        <f t="shared" si="416"/>
        <v>1</v>
      </c>
      <c r="BJ561" s="301">
        <f t="shared" si="417"/>
        <v>3</v>
      </c>
      <c r="BK561" s="301">
        <f t="shared" si="418"/>
        <v>2</v>
      </c>
      <c r="BL561" s="301" t="str">
        <f t="shared" si="470"/>
        <v>132</v>
      </c>
      <c r="BS561"/>
    </row>
    <row r="562" spans="2:71" ht="16.5" hidden="1">
      <c r="B562" s="18">
        <v>558</v>
      </c>
      <c r="C562" s="363" t="s">
        <v>901</v>
      </c>
      <c r="N562" s="28">
        <v>12</v>
      </c>
      <c r="O562" s="28">
        <v>15</v>
      </c>
      <c r="P562" s="28">
        <v>19</v>
      </c>
      <c r="Q562" s="28">
        <v>26</v>
      </c>
      <c r="R562" s="28">
        <v>40</v>
      </c>
      <c r="S562" s="28">
        <v>43</v>
      </c>
      <c r="T562" s="28">
        <v>29</v>
      </c>
      <c r="U562" s="28">
        <f t="shared" si="376"/>
        <v>155</v>
      </c>
      <c r="W562" s="27" t="str">
        <f t="shared" si="430"/>
        <v>짝수</v>
      </c>
      <c r="X562" s="27" t="str">
        <f t="shared" si="431"/>
        <v>홀수</v>
      </c>
      <c r="Y562" s="27" t="str">
        <f t="shared" si="432"/>
        <v>홀수</v>
      </c>
      <c r="Z562" s="27" t="str">
        <f t="shared" si="433"/>
        <v>짝수</v>
      </c>
      <c r="AA562" s="28" t="str">
        <f t="shared" si="434"/>
        <v>짝수</v>
      </c>
      <c r="AB562" s="28" t="str">
        <f t="shared" si="435"/>
        <v>홀수</v>
      </c>
      <c r="AC562" s="27" t="str">
        <f t="shared" si="436"/>
        <v>3 : 3</v>
      </c>
      <c r="AD562" s="32">
        <f t="shared" si="437"/>
        <v>3</v>
      </c>
      <c r="AE562" s="32">
        <f t="shared" si="438"/>
        <v>3</v>
      </c>
      <c r="AF562" s="66" t="str">
        <f t="shared" si="439"/>
        <v>저수</v>
      </c>
      <c r="AG562" s="66" t="str">
        <f t="shared" si="440"/>
        <v>저수</v>
      </c>
      <c r="AH562" s="66" t="str">
        <f t="shared" si="441"/>
        <v>저수</v>
      </c>
      <c r="AI562" s="66" t="str">
        <f t="shared" si="442"/>
        <v>고수</v>
      </c>
      <c r="AJ562" s="66" t="str">
        <f t="shared" si="443"/>
        <v>고수</v>
      </c>
      <c r="AK562" s="66" t="str">
        <f t="shared" si="444"/>
        <v>고수</v>
      </c>
      <c r="AL562" s="66" t="str">
        <f t="shared" si="445"/>
        <v>3 : 3</v>
      </c>
      <c r="AM562" s="27">
        <f t="shared" si="446"/>
        <v>3</v>
      </c>
      <c r="AN562" s="27">
        <f t="shared" si="447"/>
        <v>3</v>
      </c>
      <c r="AO562" s="27">
        <f t="shared" si="448"/>
        <v>25</v>
      </c>
      <c r="AP562" s="66" t="str">
        <f t="shared" si="449"/>
        <v>X</v>
      </c>
      <c r="AQ562" s="66" t="str">
        <f t="shared" si="450"/>
        <v>X</v>
      </c>
      <c r="AR562" s="66" t="str">
        <f t="shared" si="451"/>
        <v>O</v>
      </c>
      <c r="AS562" s="66" t="str">
        <f t="shared" si="452"/>
        <v>X</v>
      </c>
      <c r="AT562" s="66" t="str">
        <f t="shared" si="453"/>
        <v>X</v>
      </c>
      <c r="AU562" s="66" t="str">
        <f t="shared" si="454"/>
        <v>X</v>
      </c>
      <c r="AV562" s="66" t="str">
        <f t="shared" si="455"/>
        <v>X</v>
      </c>
      <c r="AW562" s="66" t="str">
        <f t="shared" si="456"/>
        <v>X</v>
      </c>
      <c r="AX562" s="66" t="str">
        <f t="shared" si="457"/>
        <v>X</v>
      </c>
      <c r="AY562" s="66" t="str">
        <f t="shared" si="458"/>
        <v>X</v>
      </c>
      <c r="AZ562" s="66" t="str">
        <f t="shared" si="459"/>
        <v>X</v>
      </c>
      <c r="BA562" s="27" t="str">
        <f t="shared" si="460"/>
        <v>O</v>
      </c>
      <c r="BB562" s="27">
        <f t="shared" si="461"/>
        <v>2</v>
      </c>
      <c r="BC562" s="303" t="str">
        <f t="shared" si="469"/>
        <v>1G</v>
      </c>
      <c r="BD562" s="303" t="str">
        <f t="shared" si="469"/>
        <v>1G</v>
      </c>
      <c r="BE562" s="303" t="str">
        <f t="shared" si="469"/>
        <v>2G</v>
      </c>
      <c r="BF562" s="303" t="str">
        <f t="shared" si="469"/>
        <v>2G</v>
      </c>
      <c r="BG562" s="303" t="str">
        <f t="shared" si="469"/>
        <v>3G</v>
      </c>
      <c r="BH562" s="303" t="str">
        <f t="shared" si="469"/>
        <v>3G</v>
      </c>
      <c r="BI562" s="303">
        <f t="shared" si="416"/>
        <v>2</v>
      </c>
      <c r="BJ562" s="303">
        <f t="shared" si="417"/>
        <v>2</v>
      </c>
      <c r="BK562" s="303">
        <f t="shared" si="418"/>
        <v>2</v>
      </c>
      <c r="BL562" s="303" t="str">
        <f t="shared" si="470"/>
        <v>222</v>
      </c>
      <c r="BS562"/>
    </row>
    <row r="563" spans="2:71" ht="16.5" hidden="1">
      <c r="B563" s="18">
        <v>559</v>
      </c>
      <c r="C563" s="363" t="s">
        <v>902</v>
      </c>
      <c r="N563" s="28">
        <v>11</v>
      </c>
      <c r="O563" s="28">
        <v>12</v>
      </c>
      <c r="P563" s="28">
        <v>25</v>
      </c>
      <c r="Q563" s="28">
        <v>32</v>
      </c>
      <c r="R563" s="28">
        <v>44</v>
      </c>
      <c r="S563" s="28">
        <v>45</v>
      </c>
      <c r="T563" s="28">
        <v>23</v>
      </c>
      <c r="U563" s="28">
        <f t="shared" si="376"/>
        <v>169</v>
      </c>
      <c r="W563" s="27" t="str">
        <f t="shared" si="430"/>
        <v>홀수</v>
      </c>
      <c r="X563" s="27" t="str">
        <f t="shared" si="431"/>
        <v>짝수</v>
      </c>
      <c r="Y563" s="27" t="str">
        <f t="shared" si="432"/>
        <v>홀수</v>
      </c>
      <c r="Z563" s="27" t="str">
        <f t="shared" si="433"/>
        <v>짝수</v>
      </c>
      <c r="AA563" s="28" t="str">
        <f t="shared" si="434"/>
        <v>짝수</v>
      </c>
      <c r="AB563" s="28" t="str">
        <f t="shared" si="435"/>
        <v>홀수</v>
      </c>
      <c r="AC563" s="27" t="str">
        <f t="shared" si="436"/>
        <v>3 : 3</v>
      </c>
      <c r="AD563" s="32">
        <f t="shared" si="437"/>
        <v>3</v>
      </c>
      <c r="AE563" s="32">
        <f t="shared" si="438"/>
        <v>3</v>
      </c>
      <c r="AF563" s="66" t="str">
        <f t="shared" si="439"/>
        <v>저수</v>
      </c>
      <c r="AG563" s="66" t="str">
        <f t="shared" si="440"/>
        <v>저수</v>
      </c>
      <c r="AH563" s="66" t="str">
        <f t="shared" si="441"/>
        <v>고수</v>
      </c>
      <c r="AI563" s="66" t="str">
        <f t="shared" si="442"/>
        <v>고수</v>
      </c>
      <c r="AJ563" s="66" t="str">
        <f t="shared" si="443"/>
        <v>고수</v>
      </c>
      <c r="AK563" s="66" t="str">
        <f t="shared" si="444"/>
        <v>고수</v>
      </c>
      <c r="AL563" s="66" t="str">
        <f t="shared" si="445"/>
        <v>2 : 4</v>
      </c>
      <c r="AM563" s="27">
        <f t="shared" si="446"/>
        <v>2</v>
      </c>
      <c r="AN563" s="27">
        <f t="shared" si="447"/>
        <v>4</v>
      </c>
      <c r="AO563" s="27">
        <f t="shared" si="448"/>
        <v>19</v>
      </c>
      <c r="AP563" s="66" t="str">
        <f t="shared" si="449"/>
        <v>O</v>
      </c>
      <c r="AQ563" s="66" t="str">
        <f t="shared" si="450"/>
        <v>X</v>
      </c>
      <c r="AR563" s="66" t="str">
        <f t="shared" si="451"/>
        <v>X</v>
      </c>
      <c r="AS563" s="66" t="str">
        <f t="shared" si="452"/>
        <v>X</v>
      </c>
      <c r="AT563" s="66" t="str">
        <f t="shared" si="453"/>
        <v>X</v>
      </c>
      <c r="AU563" s="66" t="str">
        <f t="shared" si="454"/>
        <v>X</v>
      </c>
      <c r="AV563" s="66" t="str">
        <f t="shared" si="455"/>
        <v>X</v>
      </c>
      <c r="AW563" s="66" t="str">
        <f t="shared" si="456"/>
        <v>X</v>
      </c>
      <c r="AX563" s="66" t="str">
        <f t="shared" si="457"/>
        <v>X</v>
      </c>
      <c r="AY563" s="66" t="str">
        <f t="shared" si="458"/>
        <v>X</v>
      </c>
      <c r="AZ563" s="66" t="str">
        <f t="shared" si="459"/>
        <v>X</v>
      </c>
      <c r="BA563" s="27" t="str">
        <f t="shared" si="460"/>
        <v>X</v>
      </c>
      <c r="BB563" s="27">
        <f t="shared" si="461"/>
        <v>1</v>
      </c>
      <c r="BC563" s="310" t="str">
        <f t="shared" si="469"/>
        <v>1G</v>
      </c>
      <c r="BD563" s="310" t="str">
        <f t="shared" si="469"/>
        <v>1G</v>
      </c>
      <c r="BE563" s="310" t="str">
        <f t="shared" si="469"/>
        <v>2G</v>
      </c>
      <c r="BF563" s="310" t="str">
        <f t="shared" si="469"/>
        <v>3G</v>
      </c>
      <c r="BG563" s="310" t="str">
        <f t="shared" si="469"/>
        <v>3G</v>
      </c>
      <c r="BH563" s="310" t="str">
        <f t="shared" si="469"/>
        <v>3G</v>
      </c>
      <c r="BI563" s="310">
        <f t="shared" si="416"/>
        <v>2</v>
      </c>
      <c r="BJ563" s="310">
        <f t="shared" si="417"/>
        <v>1</v>
      </c>
      <c r="BK563" s="310">
        <f t="shared" si="418"/>
        <v>3</v>
      </c>
      <c r="BL563" s="310" t="str">
        <f t="shared" si="470"/>
        <v>213</v>
      </c>
      <c r="BS563"/>
    </row>
    <row r="564" spans="2:71" ht="16.5" hidden="1">
      <c r="B564" s="18">
        <v>560</v>
      </c>
      <c r="C564" s="363" t="s">
        <v>909</v>
      </c>
      <c r="N564" s="28">
        <v>1</v>
      </c>
      <c r="O564" s="28">
        <v>4</v>
      </c>
      <c r="P564" s="28">
        <v>20</v>
      </c>
      <c r="Q564" s="28">
        <v>23</v>
      </c>
      <c r="R564" s="28">
        <v>29</v>
      </c>
      <c r="S564" s="28">
        <v>45</v>
      </c>
      <c r="T564" s="28">
        <v>28</v>
      </c>
      <c r="U564" s="28">
        <f t="shared" si="376"/>
        <v>122</v>
      </c>
      <c r="W564" s="27" t="str">
        <f t="shared" si="430"/>
        <v>홀수</v>
      </c>
      <c r="X564" s="27" t="str">
        <f t="shared" si="431"/>
        <v>짝수</v>
      </c>
      <c r="Y564" s="27" t="str">
        <f t="shared" si="432"/>
        <v>짝수</v>
      </c>
      <c r="Z564" s="27" t="str">
        <f t="shared" si="433"/>
        <v>홀수</v>
      </c>
      <c r="AA564" s="28" t="str">
        <f t="shared" si="434"/>
        <v>홀수</v>
      </c>
      <c r="AB564" s="28" t="str">
        <f t="shared" si="435"/>
        <v>홀수</v>
      </c>
      <c r="AC564" s="27" t="str">
        <f t="shared" si="436"/>
        <v>4 : 2</v>
      </c>
      <c r="AD564" s="32">
        <f t="shared" si="437"/>
        <v>4</v>
      </c>
      <c r="AE564" s="32">
        <f t="shared" si="438"/>
        <v>2</v>
      </c>
      <c r="AF564" s="66" t="str">
        <f t="shared" si="439"/>
        <v>저수</v>
      </c>
      <c r="AG564" s="66" t="str">
        <f t="shared" si="440"/>
        <v>저수</v>
      </c>
      <c r="AH564" s="66" t="str">
        <f t="shared" si="441"/>
        <v>저수</v>
      </c>
      <c r="AI564" s="66" t="str">
        <f t="shared" si="442"/>
        <v>고수</v>
      </c>
      <c r="AJ564" s="66" t="str">
        <f t="shared" si="443"/>
        <v>고수</v>
      </c>
      <c r="AK564" s="66" t="str">
        <f t="shared" si="444"/>
        <v>고수</v>
      </c>
      <c r="AL564" s="66" t="str">
        <f t="shared" si="445"/>
        <v>3 : 3</v>
      </c>
      <c r="AM564" s="27">
        <f t="shared" si="446"/>
        <v>3</v>
      </c>
      <c r="AN564" s="27">
        <f t="shared" si="447"/>
        <v>3</v>
      </c>
      <c r="AO564" s="27">
        <f t="shared" si="448"/>
        <v>22</v>
      </c>
      <c r="AP564" s="66" t="str">
        <f t="shared" si="449"/>
        <v>X</v>
      </c>
      <c r="AQ564" s="66" t="str">
        <f t="shared" si="450"/>
        <v>X</v>
      </c>
      <c r="AR564" s="66" t="str">
        <f t="shared" si="451"/>
        <v>X</v>
      </c>
      <c r="AS564" s="66" t="str">
        <f t="shared" si="452"/>
        <v>X</v>
      </c>
      <c r="AT564" s="66" t="str">
        <f t="shared" si="453"/>
        <v>X</v>
      </c>
      <c r="AU564" s="66" t="str">
        <f t="shared" si="454"/>
        <v>X</v>
      </c>
      <c r="AV564" s="66" t="str">
        <f t="shared" si="455"/>
        <v>X</v>
      </c>
      <c r="AW564" s="66" t="str">
        <f t="shared" si="456"/>
        <v>X</v>
      </c>
      <c r="AX564" s="66" t="str">
        <f t="shared" si="457"/>
        <v>X</v>
      </c>
      <c r="AY564" s="66" t="str">
        <f t="shared" si="458"/>
        <v>O</v>
      </c>
      <c r="AZ564" s="66" t="str">
        <f t="shared" si="459"/>
        <v>O</v>
      </c>
      <c r="BA564" s="27" t="str">
        <f t="shared" si="460"/>
        <v>X</v>
      </c>
      <c r="BB564" s="27">
        <f t="shared" si="461"/>
        <v>2</v>
      </c>
      <c r="BC564" s="314" t="str">
        <f t="shared" ref="BC564:BH569" si="471">VLOOKUP(N564,삼그룹,6,FALSE)</f>
        <v>1G</v>
      </c>
      <c r="BD564" s="314" t="str">
        <f t="shared" si="471"/>
        <v>1G</v>
      </c>
      <c r="BE564" s="314" t="str">
        <f t="shared" si="471"/>
        <v>2G</v>
      </c>
      <c r="BF564" s="314" t="str">
        <f t="shared" si="471"/>
        <v>2G</v>
      </c>
      <c r="BG564" s="314" t="str">
        <f t="shared" si="471"/>
        <v>2G</v>
      </c>
      <c r="BH564" s="314" t="str">
        <f t="shared" si="471"/>
        <v>3G</v>
      </c>
      <c r="BI564" s="314">
        <f t="shared" si="416"/>
        <v>2</v>
      </c>
      <c r="BJ564" s="314">
        <f t="shared" si="417"/>
        <v>3</v>
      </c>
      <c r="BK564" s="314">
        <f t="shared" si="418"/>
        <v>1</v>
      </c>
      <c r="BL564" s="314" t="str">
        <f t="shared" si="470"/>
        <v>231</v>
      </c>
      <c r="BS564"/>
    </row>
    <row r="565" spans="2:71" ht="16.5" hidden="1">
      <c r="B565" s="18">
        <v>561</v>
      </c>
      <c r="C565" s="363" t="s">
        <v>910</v>
      </c>
      <c r="N565" s="28">
        <v>5</v>
      </c>
      <c r="O565" s="28">
        <v>7</v>
      </c>
      <c r="P565" s="28">
        <v>18</v>
      </c>
      <c r="Q565" s="28">
        <v>37</v>
      </c>
      <c r="R565" s="28">
        <v>42</v>
      </c>
      <c r="S565" s="28">
        <v>45</v>
      </c>
      <c r="T565" s="28">
        <v>20</v>
      </c>
      <c r="U565" s="28">
        <f t="shared" si="376"/>
        <v>154</v>
      </c>
      <c r="W565" s="27" t="str">
        <f t="shared" si="430"/>
        <v>홀수</v>
      </c>
      <c r="X565" s="27" t="str">
        <f t="shared" si="431"/>
        <v>홀수</v>
      </c>
      <c r="Y565" s="27" t="str">
        <f t="shared" si="432"/>
        <v>짝수</v>
      </c>
      <c r="Z565" s="27" t="str">
        <f t="shared" si="433"/>
        <v>홀수</v>
      </c>
      <c r="AA565" s="28" t="str">
        <f t="shared" si="434"/>
        <v>짝수</v>
      </c>
      <c r="AB565" s="28" t="str">
        <f t="shared" si="435"/>
        <v>홀수</v>
      </c>
      <c r="AC565" s="27" t="str">
        <f t="shared" si="436"/>
        <v>4 : 2</v>
      </c>
      <c r="AD565" s="32">
        <f t="shared" si="437"/>
        <v>4</v>
      </c>
      <c r="AE565" s="32">
        <f t="shared" si="438"/>
        <v>2</v>
      </c>
      <c r="AF565" s="66" t="str">
        <f t="shared" si="439"/>
        <v>저수</v>
      </c>
      <c r="AG565" s="66" t="str">
        <f t="shared" si="440"/>
        <v>저수</v>
      </c>
      <c r="AH565" s="66" t="str">
        <f t="shared" si="441"/>
        <v>저수</v>
      </c>
      <c r="AI565" s="66" t="str">
        <f t="shared" si="442"/>
        <v>고수</v>
      </c>
      <c r="AJ565" s="66" t="str">
        <f t="shared" si="443"/>
        <v>고수</v>
      </c>
      <c r="AK565" s="66" t="str">
        <f t="shared" si="444"/>
        <v>고수</v>
      </c>
      <c r="AL565" s="66" t="str">
        <f t="shared" si="445"/>
        <v>3 : 3</v>
      </c>
      <c r="AM565" s="27">
        <f t="shared" si="446"/>
        <v>3</v>
      </c>
      <c r="AN565" s="27">
        <f t="shared" si="447"/>
        <v>3</v>
      </c>
      <c r="AO565" s="27">
        <f t="shared" si="448"/>
        <v>34</v>
      </c>
      <c r="AP565" s="66" t="str">
        <f t="shared" si="449"/>
        <v>O</v>
      </c>
      <c r="AQ565" s="66" t="str">
        <f t="shared" si="450"/>
        <v>O</v>
      </c>
      <c r="AR565" s="66" t="str">
        <f t="shared" si="451"/>
        <v>X</v>
      </c>
      <c r="AS565" s="66" t="str">
        <f t="shared" si="452"/>
        <v>X</v>
      </c>
      <c r="AT565" s="66" t="str">
        <f t="shared" si="453"/>
        <v>X</v>
      </c>
      <c r="AU565" s="66" t="str">
        <f t="shared" si="454"/>
        <v>X</v>
      </c>
      <c r="AV565" s="66" t="str">
        <f t="shared" si="455"/>
        <v>X</v>
      </c>
      <c r="AW565" s="66" t="str">
        <f t="shared" si="456"/>
        <v>X</v>
      </c>
      <c r="AX565" s="66" t="str">
        <f t="shared" si="457"/>
        <v>X</v>
      </c>
      <c r="AY565" s="66" t="str">
        <f t="shared" si="458"/>
        <v>O</v>
      </c>
      <c r="AZ565" s="66" t="str">
        <f t="shared" si="459"/>
        <v>X</v>
      </c>
      <c r="BA565" s="27" t="str">
        <f t="shared" si="460"/>
        <v>X</v>
      </c>
      <c r="BB565" s="27">
        <f t="shared" si="461"/>
        <v>3</v>
      </c>
      <c r="BC565" s="315" t="str">
        <f t="shared" si="471"/>
        <v>1G</v>
      </c>
      <c r="BD565" s="315" t="str">
        <f t="shared" si="471"/>
        <v>1G</v>
      </c>
      <c r="BE565" s="315" t="str">
        <f t="shared" si="471"/>
        <v>2G</v>
      </c>
      <c r="BF565" s="315" t="str">
        <f t="shared" si="471"/>
        <v>3G</v>
      </c>
      <c r="BG565" s="315" t="str">
        <f t="shared" si="471"/>
        <v>3G</v>
      </c>
      <c r="BH565" s="315" t="str">
        <f t="shared" si="471"/>
        <v>3G</v>
      </c>
      <c r="BI565" s="315">
        <f t="shared" si="416"/>
        <v>2</v>
      </c>
      <c r="BJ565" s="315">
        <f t="shared" si="417"/>
        <v>1</v>
      </c>
      <c r="BK565" s="315">
        <f t="shared" si="418"/>
        <v>3</v>
      </c>
      <c r="BL565" s="315" t="str">
        <f t="shared" ref="BL565:BL570" si="472">BI565&amp;BJ565&amp;BK565</f>
        <v>213</v>
      </c>
      <c r="BS565"/>
    </row>
    <row r="566" spans="2:71" ht="16.5" hidden="1">
      <c r="B566" s="18">
        <v>562</v>
      </c>
      <c r="C566" s="363" t="s">
        <v>911</v>
      </c>
      <c r="N566" s="28">
        <v>4</v>
      </c>
      <c r="O566" s="28">
        <v>11</v>
      </c>
      <c r="P566" s="28">
        <v>13</v>
      </c>
      <c r="Q566" s="28">
        <v>17</v>
      </c>
      <c r="R566" s="28">
        <v>20</v>
      </c>
      <c r="S566" s="28">
        <v>31</v>
      </c>
      <c r="T566" s="28">
        <v>33</v>
      </c>
      <c r="U566" s="28">
        <f t="shared" si="376"/>
        <v>96</v>
      </c>
      <c r="W566" s="27" t="str">
        <f t="shared" si="430"/>
        <v>짝수</v>
      </c>
      <c r="X566" s="27" t="str">
        <f t="shared" si="431"/>
        <v>홀수</v>
      </c>
      <c r="Y566" s="27" t="str">
        <f t="shared" si="432"/>
        <v>홀수</v>
      </c>
      <c r="Z566" s="27" t="str">
        <f t="shared" si="433"/>
        <v>홀수</v>
      </c>
      <c r="AA566" s="28" t="str">
        <f t="shared" si="434"/>
        <v>짝수</v>
      </c>
      <c r="AB566" s="28" t="str">
        <f t="shared" si="435"/>
        <v>홀수</v>
      </c>
      <c r="AC566" s="27" t="str">
        <f t="shared" si="436"/>
        <v>4 : 2</v>
      </c>
      <c r="AD566" s="32">
        <f t="shared" si="437"/>
        <v>4</v>
      </c>
      <c r="AE566" s="32">
        <f t="shared" si="438"/>
        <v>2</v>
      </c>
      <c r="AF566" s="66" t="str">
        <f t="shared" si="439"/>
        <v>저수</v>
      </c>
      <c r="AG566" s="66" t="str">
        <f t="shared" si="440"/>
        <v>저수</v>
      </c>
      <c r="AH566" s="66" t="str">
        <f t="shared" si="441"/>
        <v>저수</v>
      </c>
      <c r="AI566" s="66" t="str">
        <f t="shared" si="442"/>
        <v>저수</v>
      </c>
      <c r="AJ566" s="66" t="str">
        <f t="shared" si="443"/>
        <v>저수</v>
      </c>
      <c r="AK566" s="66" t="str">
        <f t="shared" si="444"/>
        <v>고수</v>
      </c>
      <c r="AL566" s="66" t="str">
        <f t="shared" si="445"/>
        <v>5 : 1</v>
      </c>
      <c r="AM566" s="27">
        <f t="shared" si="446"/>
        <v>5</v>
      </c>
      <c r="AN566" s="27">
        <f t="shared" si="447"/>
        <v>1</v>
      </c>
      <c r="AO566" s="27">
        <f t="shared" si="448"/>
        <v>16</v>
      </c>
      <c r="AP566" s="66" t="str">
        <f t="shared" si="449"/>
        <v>X</v>
      </c>
      <c r="AQ566" s="66" t="str">
        <f t="shared" si="450"/>
        <v>O</v>
      </c>
      <c r="AR566" s="66" t="str">
        <f t="shared" si="451"/>
        <v>O</v>
      </c>
      <c r="AS566" s="66" t="str">
        <f t="shared" si="452"/>
        <v>O</v>
      </c>
      <c r="AT566" s="66" t="str">
        <f t="shared" si="453"/>
        <v>X</v>
      </c>
      <c r="AU566" s="66" t="str">
        <f t="shared" si="454"/>
        <v>X</v>
      </c>
      <c r="AV566" s="66" t="str">
        <f t="shared" si="455"/>
        <v>X</v>
      </c>
      <c r="AW566" s="66" t="str">
        <f t="shared" si="456"/>
        <v>X</v>
      </c>
      <c r="AX566" s="66" t="str">
        <f t="shared" si="457"/>
        <v>X</v>
      </c>
      <c r="AY566" s="66" t="str">
        <f t="shared" si="458"/>
        <v>X</v>
      </c>
      <c r="AZ566" s="66" t="str">
        <f t="shared" si="459"/>
        <v>X</v>
      </c>
      <c r="BA566" s="27" t="str">
        <f t="shared" si="460"/>
        <v>O</v>
      </c>
      <c r="BB566" s="27">
        <f t="shared" si="461"/>
        <v>4</v>
      </c>
      <c r="BC566" s="318" t="str">
        <f t="shared" si="471"/>
        <v>1G</v>
      </c>
      <c r="BD566" s="318" t="str">
        <f t="shared" si="471"/>
        <v>1G</v>
      </c>
      <c r="BE566" s="318" t="str">
        <f t="shared" si="471"/>
        <v>1G</v>
      </c>
      <c r="BF566" s="318" t="str">
        <f t="shared" si="471"/>
        <v>2G</v>
      </c>
      <c r="BG566" s="318" t="str">
        <f t="shared" si="471"/>
        <v>2G</v>
      </c>
      <c r="BH566" s="318" t="str">
        <f t="shared" si="471"/>
        <v>3G</v>
      </c>
      <c r="BI566" s="318">
        <f t="shared" si="416"/>
        <v>3</v>
      </c>
      <c r="BJ566" s="318">
        <f t="shared" si="417"/>
        <v>2</v>
      </c>
      <c r="BK566" s="318">
        <f t="shared" si="418"/>
        <v>1</v>
      </c>
      <c r="BL566" s="318" t="str">
        <f t="shared" si="472"/>
        <v>321</v>
      </c>
      <c r="BS566"/>
    </row>
    <row r="567" spans="2:71" ht="16.5" hidden="1">
      <c r="B567" s="18">
        <v>563</v>
      </c>
      <c r="C567" s="363" t="s">
        <v>912</v>
      </c>
      <c r="N567" s="28">
        <v>5</v>
      </c>
      <c r="O567" s="28">
        <v>10</v>
      </c>
      <c r="P567" s="28">
        <v>16</v>
      </c>
      <c r="Q567" s="28">
        <v>17</v>
      </c>
      <c r="R567" s="28">
        <v>31</v>
      </c>
      <c r="S567" s="28">
        <v>32</v>
      </c>
      <c r="T567" s="28">
        <v>21</v>
      </c>
      <c r="U567" s="28">
        <f t="shared" si="376"/>
        <v>111</v>
      </c>
      <c r="W567" s="27" t="str">
        <f t="shared" si="430"/>
        <v>홀수</v>
      </c>
      <c r="X567" s="27" t="str">
        <f t="shared" si="431"/>
        <v>짝수</v>
      </c>
      <c r="Y567" s="27" t="str">
        <f t="shared" si="432"/>
        <v>짝수</v>
      </c>
      <c r="Z567" s="27" t="str">
        <f t="shared" si="433"/>
        <v>홀수</v>
      </c>
      <c r="AA567" s="28" t="str">
        <f t="shared" si="434"/>
        <v>홀수</v>
      </c>
      <c r="AB567" s="28" t="str">
        <f t="shared" si="435"/>
        <v>짝수</v>
      </c>
      <c r="AC567" s="27" t="str">
        <f t="shared" si="436"/>
        <v>3 : 3</v>
      </c>
      <c r="AD567" s="32">
        <f t="shared" si="437"/>
        <v>3</v>
      </c>
      <c r="AE567" s="32">
        <f t="shared" si="438"/>
        <v>3</v>
      </c>
      <c r="AF567" s="66" t="str">
        <f t="shared" si="439"/>
        <v>저수</v>
      </c>
      <c r="AG567" s="66" t="str">
        <f t="shared" si="440"/>
        <v>저수</v>
      </c>
      <c r="AH567" s="66" t="str">
        <f t="shared" si="441"/>
        <v>저수</v>
      </c>
      <c r="AI567" s="66" t="str">
        <f t="shared" si="442"/>
        <v>저수</v>
      </c>
      <c r="AJ567" s="66" t="str">
        <f t="shared" si="443"/>
        <v>고수</v>
      </c>
      <c r="AK567" s="66" t="str">
        <f t="shared" si="444"/>
        <v>고수</v>
      </c>
      <c r="AL567" s="66" t="str">
        <f t="shared" si="445"/>
        <v>4 : 2</v>
      </c>
      <c r="AM567" s="27">
        <f t="shared" si="446"/>
        <v>4</v>
      </c>
      <c r="AN567" s="27">
        <f t="shared" si="447"/>
        <v>2</v>
      </c>
      <c r="AO567" s="27">
        <f t="shared" si="448"/>
        <v>21</v>
      </c>
      <c r="AP567" s="66" t="str">
        <f t="shared" si="449"/>
        <v>O</v>
      </c>
      <c r="AQ567" s="66" t="str">
        <f t="shared" si="450"/>
        <v>X</v>
      </c>
      <c r="AR567" s="66" t="str">
        <f t="shared" si="451"/>
        <v>X</v>
      </c>
      <c r="AS567" s="66" t="str">
        <f t="shared" si="452"/>
        <v>O</v>
      </c>
      <c r="AT567" s="66" t="str">
        <f t="shared" si="453"/>
        <v>X</v>
      </c>
      <c r="AU567" s="66" t="str">
        <f t="shared" si="454"/>
        <v>X</v>
      </c>
      <c r="AV567" s="66" t="str">
        <f t="shared" si="455"/>
        <v>X</v>
      </c>
      <c r="AW567" s="66" t="str">
        <f t="shared" si="456"/>
        <v>X</v>
      </c>
      <c r="AX567" s="66" t="str">
        <f t="shared" si="457"/>
        <v>X</v>
      </c>
      <c r="AY567" s="66" t="str">
        <f t="shared" si="458"/>
        <v>X</v>
      </c>
      <c r="AZ567" s="66" t="str">
        <f t="shared" si="459"/>
        <v>O</v>
      </c>
      <c r="BA567" s="27" t="str">
        <f t="shared" si="460"/>
        <v>X</v>
      </c>
      <c r="BB567" s="27">
        <f t="shared" si="461"/>
        <v>3</v>
      </c>
      <c r="BC567" s="319" t="str">
        <f t="shared" si="471"/>
        <v>1G</v>
      </c>
      <c r="BD567" s="319" t="str">
        <f t="shared" si="471"/>
        <v>1G</v>
      </c>
      <c r="BE567" s="319" t="str">
        <f t="shared" si="471"/>
        <v>2G</v>
      </c>
      <c r="BF567" s="319" t="str">
        <f t="shared" si="471"/>
        <v>2G</v>
      </c>
      <c r="BG567" s="319" t="str">
        <f t="shared" si="471"/>
        <v>3G</v>
      </c>
      <c r="BH567" s="319" t="str">
        <f t="shared" si="471"/>
        <v>3G</v>
      </c>
      <c r="BI567" s="319">
        <f t="shared" si="416"/>
        <v>2</v>
      </c>
      <c r="BJ567" s="319">
        <f t="shared" si="417"/>
        <v>2</v>
      </c>
      <c r="BK567" s="319">
        <f t="shared" si="418"/>
        <v>2</v>
      </c>
      <c r="BL567" s="319" t="str">
        <f t="shared" si="472"/>
        <v>222</v>
      </c>
      <c r="BS567"/>
    </row>
    <row r="568" spans="2:71" ht="16.5" hidden="1">
      <c r="B568" s="18">
        <v>564</v>
      </c>
      <c r="C568" s="363" t="s">
        <v>913</v>
      </c>
      <c r="N568" s="28">
        <v>14</v>
      </c>
      <c r="O568" s="28">
        <v>19</v>
      </c>
      <c r="P568" s="28">
        <v>25</v>
      </c>
      <c r="Q568" s="28">
        <v>26</v>
      </c>
      <c r="R568" s="28">
        <v>27</v>
      </c>
      <c r="S568" s="28">
        <v>34</v>
      </c>
      <c r="T568" s="28">
        <v>2</v>
      </c>
      <c r="U568" s="28">
        <f t="shared" si="376"/>
        <v>145</v>
      </c>
      <c r="W568" s="27" t="str">
        <f t="shared" si="430"/>
        <v>짝수</v>
      </c>
      <c r="X568" s="27" t="str">
        <f t="shared" si="431"/>
        <v>홀수</v>
      </c>
      <c r="Y568" s="27" t="str">
        <f t="shared" si="432"/>
        <v>홀수</v>
      </c>
      <c r="Z568" s="27" t="str">
        <f t="shared" si="433"/>
        <v>짝수</v>
      </c>
      <c r="AA568" s="28" t="str">
        <f t="shared" si="434"/>
        <v>홀수</v>
      </c>
      <c r="AB568" s="28" t="str">
        <f t="shared" si="435"/>
        <v>짝수</v>
      </c>
      <c r="AC568" s="27" t="str">
        <f t="shared" si="436"/>
        <v>3 : 3</v>
      </c>
      <c r="AD568" s="32">
        <f t="shared" si="437"/>
        <v>3</v>
      </c>
      <c r="AE568" s="32">
        <f t="shared" si="438"/>
        <v>3</v>
      </c>
      <c r="AF568" s="66" t="str">
        <f t="shared" si="439"/>
        <v>저수</v>
      </c>
      <c r="AG568" s="66" t="str">
        <f t="shared" si="440"/>
        <v>저수</v>
      </c>
      <c r="AH568" s="66" t="str">
        <f t="shared" si="441"/>
        <v>고수</v>
      </c>
      <c r="AI568" s="66" t="str">
        <f t="shared" si="442"/>
        <v>고수</v>
      </c>
      <c r="AJ568" s="66" t="str">
        <f t="shared" si="443"/>
        <v>고수</v>
      </c>
      <c r="AK568" s="66" t="str">
        <f t="shared" si="444"/>
        <v>고수</v>
      </c>
      <c r="AL568" s="66" t="str">
        <f t="shared" si="445"/>
        <v>2 : 4</v>
      </c>
      <c r="AM568" s="27">
        <f t="shared" si="446"/>
        <v>2</v>
      </c>
      <c r="AN568" s="27">
        <f t="shared" si="447"/>
        <v>4</v>
      </c>
      <c r="AO568" s="27">
        <f t="shared" si="448"/>
        <v>35</v>
      </c>
      <c r="AP568" s="66" t="str">
        <f t="shared" si="449"/>
        <v>X</v>
      </c>
      <c r="AQ568" s="66" t="str">
        <f t="shared" si="450"/>
        <v>O</v>
      </c>
      <c r="AR568" s="66" t="str">
        <f t="shared" si="451"/>
        <v>X</v>
      </c>
      <c r="AS568" s="66" t="str">
        <f t="shared" si="452"/>
        <v>X</v>
      </c>
      <c r="AT568" s="66" t="str">
        <f t="shared" si="453"/>
        <v>X</v>
      </c>
      <c r="AU568" s="66" t="str">
        <f t="shared" si="454"/>
        <v>X</v>
      </c>
      <c r="AV568" s="66" t="str">
        <f t="shared" si="455"/>
        <v>X</v>
      </c>
      <c r="AW568" s="66" t="str">
        <f t="shared" si="456"/>
        <v>X</v>
      </c>
      <c r="AX568" s="66" t="str">
        <f t="shared" si="457"/>
        <v>X</v>
      </c>
      <c r="AY568" s="66" t="str">
        <f t="shared" si="458"/>
        <v>X</v>
      </c>
      <c r="AZ568" s="66" t="str">
        <f t="shared" si="459"/>
        <v>X</v>
      </c>
      <c r="BA568" s="27" t="str">
        <f t="shared" si="460"/>
        <v>X</v>
      </c>
      <c r="BB568" s="27">
        <f t="shared" si="461"/>
        <v>1</v>
      </c>
      <c r="BC568" s="324" t="str">
        <f t="shared" si="471"/>
        <v>1G</v>
      </c>
      <c r="BD568" s="324" t="str">
        <f t="shared" si="471"/>
        <v>2G</v>
      </c>
      <c r="BE568" s="324" t="str">
        <f t="shared" si="471"/>
        <v>2G</v>
      </c>
      <c r="BF568" s="324" t="str">
        <f t="shared" si="471"/>
        <v>2G</v>
      </c>
      <c r="BG568" s="324" t="str">
        <f t="shared" si="471"/>
        <v>2G</v>
      </c>
      <c r="BH568" s="324" t="str">
        <f t="shared" si="471"/>
        <v>3G</v>
      </c>
      <c r="BI568" s="324">
        <f t="shared" si="416"/>
        <v>1</v>
      </c>
      <c r="BJ568" s="324">
        <f t="shared" si="417"/>
        <v>4</v>
      </c>
      <c r="BK568" s="324">
        <f t="shared" si="418"/>
        <v>1</v>
      </c>
      <c r="BL568" s="324" t="str">
        <f t="shared" si="472"/>
        <v>141</v>
      </c>
      <c r="BS568"/>
    </row>
    <row r="569" spans="2:71" ht="16.5" hidden="1">
      <c r="B569" s="18">
        <v>565</v>
      </c>
      <c r="C569" s="363" t="s">
        <v>914</v>
      </c>
      <c r="N569" s="28">
        <v>4</v>
      </c>
      <c r="O569" s="28">
        <v>10</v>
      </c>
      <c r="P569" s="28">
        <v>18</v>
      </c>
      <c r="Q569" s="28">
        <v>27</v>
      </c>
      <c r="R569" s="28">
        <v>40</v>
      </c>
      <c r="S569" s="28">
        <v>45</v>
      </c>
      <c r="T569" s="28">
        <v>38</v>
      </c>
      <c r="U569" s="28">
        <f t="shared" si="376"/>
        <v>144</v>
      </c>
      <c r="W569" s="27" t="str">
        <f t="shared" si="430"/>
        <v>짝수</v>
      </c>
      <c r="X569" s="27" t="str">
        <f t="shared" si="431"/>
        <v>짝수</v>
      </c>
      <c r="Y569" s="27" t="str">
        <f t="shared" si="432"/>
        <v>짝수</v>
      </c>
      <c r="Z569" s="27" t="str">
        <f t="shared" si="433"/>
        <v>홀수</v>
      </c>
      <c r="AA569" s="28" t="str">
        <f t="shared" si="434"/>
        <v>짝수</v>
      </c>
      <c r="AB569" s="28" t="str">
        <f t="shared" si="435"/>
        <v>홀수</v>
      </c>
      <c r="AC569" s="27" t="str">
        <f t="shared" si="436"/>
        <v>2 : 4</v>
      </c>
      <c r="AD569" s="32">
        <f t="shared" si="437"/>
        <v>2</v>
      </c>
      <c r="AE569" s="32">
        <f t="shared" si="438"/>
        <v>4</v>
      </c>
      <c r="AF569" s="66" t="str">
        <f t="shared" si="439"/>
        <v>저수</v>
      </c>
      <c r="AG569" s="66" t="str">
        <f t="shared" si="440"/>
        <v>저수</v>
      </c>
      <c r="AH569" s="66" t="str">
        <f t="shared" si="441"/>
        <v>저수</v>
      </c>
      <c r="AI569" s="66" t="str">
        <f t="shared" si="442"/>
        <v>고수</v>
      </c>
      <c r="AJ569" s="66" t="str">
        <f t="shared" si="443"/>
        <v>고수</v>
      </c>
      <c r="AK569" s="66" t="str">
        <f t="shared" si="444"/>
        <v>고수</v>
      </c>
      <c r="AL569" s="66" t="str">
        <f t="shared" si="445"/>
        <v>3 : 3</v>
      </c>
      <c r="AM569" s="27">
        <f t="shared" si="446"/>
        <v>3</v>
      </c>
      <c r="AN569" s="27">
        <f t="shared" si="447"/>
        <v>3</v>
      </c>
      <c r="AO569" s="27">
        <f t="shared" si="448"/>
        <v>24</v>
      </c>
      <c r="AP569" s="66" t="str">
        <f t="shared" si="449"/>
        <v>X</v>
      </c>
      <c r="AQ569" s="66" t="str">
        <f t="shared" si="450"/>
        <v>X</v>
      </c>
      <c r="AR569" s="66" t="str">
        <f t="shared" si="451"/>
        <v>X</v>
      </c>
      <c r="AS569" s="66" t="str">
        <f t="shared" si="452"/>
        <v>X</v>
      </c>
      <c r="AT569" s="66" t="str">
        <f t="shared" si="453"/>
        <v>X</v>
      </c>
      <c r="AU569" s="66" t="str">
        <f t="shared" si="454"/>
        <v>X</v>
      </c>
      <c r="AV569" s="66" t="str">
        <f t="shared" si="455"/>
        <v>X</v>
      </c>
      <c r="AW569" s="66" t="str">
        <f t="shared" si="456"/>
        <v>X</v>
      </c>
      <c r="AX569" s="66" t="str">
        <f t="shared" si="457"/>
        <v>X</v>
      </c>
      <c r="AY569" s="66" t="str">
        <f t="shared" si="458"/>
        <v>X</v>
      </c>
      <c r="AZ569" s="66" t="str">
        <f t="shared" si="459"/>
        <v>X</v>
      </c>
      <c r="BA569" s="27" t="str">
        <f t="shared" si="460"/>
        <v>X</v>
      </c>
      <c r="BB569" s="27">
        <f t="shared" si="461"/>
        <v>0</v>
      </c>
      <c r="BC569" s="325" t="str">
        <f t="shared" si="471"/>
        <v>1G</v>
      </c>
      <c r="BD569" s="325" t="str">
        <f t="shared" si="471"/>
        <v>1G</v>
      </c>
      <c r="BE569" s="325" t="str">
        <f t="shared" si="471"/>
        <v>2G</v>
      </c>
      <c r="BF569" s="325" t="str">
        <f t="shared" si="471"/>
        <v>2G</v>
      </c>
      <c r="BG569" s="325" t="str">
        <f t="shared" si="471"/>
        <v>3G</v>
      </c>
      <c r="BH569" s="325" t="str">
        <f t="shared" si="471"/>
        <v>3G</v>
      </c>
      <c r="BI569" s="325">
        <f t="shared" si="416"/>
        <v>2</v>
      </c>
      <c r="BJ569" s="325">
        <f t="shared" si="417"/>
        <v>2</v>
      </c>
      <c r="BK569" s="325">
        <f t="shared" si="418"/>
        <v>2</v>
      </c>
      <c r="BL569" s="325" t="str">
        <f t="shared" si="472"/>
        <v>222</v>
      </c>
      <c r="BS569"/>
    </row>
    <row r="570" spans="2:71" ht="16.5" hidden="1">
      <c r="B570" s="18">
        <v>566</v>
      </c>
      <c r="C570" s="363" t="s">
        <v>915</v>
      </c>
      <c r="N570" s="28">
        <v>4</v>
      </c>
      <c r="O570" s="28">
        <v>5</v>
      </c>
      <c r="P570" s="28">
        <v>6</v>
      </c>
      <c r="Q570" s="28">
        <v>25</v>
      </c>
      <c r="R570" s="28">
        <v>26</v>
      </c>
      <c r="S570" s="28">
        <v>43</v>
      </c>
      <c r="T570" s="28">
        <v>41</v>
      </c>
      <c r="U570" s="28">
        <f t="shared" si="376"/>
        <v>109</v>
      </c>
      <c r="W570" s="27" t="str">
        <f t="shared" si="430"/>
        <v>짝수</v>
      </c>
      <c r="X570" s="27" t="str">
        <f t="shared" si="431"/>
        <v>홀수</v>
      </c>
      <c r="Y570" s="27" t="str">
        <f t="shared" si="432"/>
        <v>짝수</v>
      </c>
      <c r="Z570" s="27" t="str">
        <f t="shared" si="433"/>
        <v>홀수</v>
      </c>
      <c r="AA570" s="28" t="str">
        <f t="shared" si="434"/>
        <v>짝수</v>
      </c>
      <c r="AB570" s="28" t="str">
        <f t="shared" si="435"/>
        <v>홀수</v>
      </c>
      <c r="AC570" s="27" t="str">
        <f t="shared" si="436"/>
        <v>3 : 3</v>
      </c>
      <c r="AD570" s="32">
        <f t="shared" si="437"/>
        <v>3</v>
      </c>
      <c r="AE570" s="32">
        <f t="shared" si="438"/>
        <v>3</v>
      </c>
      <c r="AF570" s="66" t="str">
        <f t="shared" si="439"/>
        <v>저수</v>
      </c>
      <c r="AG570" s="66" t="str">
        <f t="shared" si="440"/>
        <v>저수</v>
      </c>
      <c r="AH570" s="66" t="str">
        <f t="shared" si="441"/>
        <v>저수</v>
      </c>
      <c r="AI570" s="66" t="str">
        <f t="shared" si="442"/>
        <v>고수</v>
      </c>
      <c r="AJ570" s="66" t="str">
        <f t="shared" si="443"/>
        <v>고수</v>
      </c>
      <c r="AK570" s="66" t="str">
        <f t="shared" si="444"/>
        <v>고수</v>
      </c>
      <c r="AL570" s="66" t="str">
        <f t="shared" si="445"/>
        <v>3 : 3</v>
      </c>
      <c r="AM570" s="27">
        <f t="shared" si="446"/>
        <v>3</v>
      </c>
      <c r="AN570" s="27">
        <f t="shared" si="447"/>
        <v>3</v>
      </c>
      <c r="AO570" s="27">
        <f t="shared" si="448"/>
        <v>29</v>
      </c>
      <c r="AP570" s="66" t="str">
        <f t="shared" si="449"/>
        <v>X</v>
      </c>
      <c r="AQ570" s="66" t="str">
        <f t="shared" si="450"/>
        <v>O</v>
      </c>
      <c r="AR570" s="66" t="str">
        <f t="shared" si="451"/>
        <v>X</v>
      </c>
      <c r="AS570" s="66" t="str">
        <f t="shared" si="452"/>
        <v>X</v>
      </c>
      <c r="AT570" s="66" t="str">
        <f t="shared" si="453"/>
        <v>X</v>
      </c>
      <c r="AU570" s="66" t="str">
        <f t="shared" si="454"/>
        <v>X</v>
      </c>
      <c r="AV570" s="66" t="str">
        <f t="shared" si="455"/>
        <v>X</v>
      </c>
      <c r="AW570" s="66" t="str">
        <f t="shared" si="456"/>
        <v>X</v>
      </c>
      <c r="AX570" s="66" t="str">
        <f t="shared" si="457"/>
        <v>X</v>
      </c>
      <c r="AY570" s="66" t="str">
        <f t="shared" si="458"/>
        <v>X</v>
      </c>
      <c r="AZ570" s="66" t="str">
        <f t="shared" si="459"/>
        <v>X</v>
      </c>
      <c r="BA570" s="27" t="str">
        <f t="shared" si="460"/>
        <v>O</v>
      </c>
      <c r="BB570" s="27">
        <f t="shared" si="461"/>
        <v>2</v>
      </c>
      <c r="BC570" s="328" t="str">
        <f t="shared" ref="BC570" si="473">VLOOKUP(N570,삼그룹,6,FALSE)</f>
        <v>1G</v>
      </c>
      <c r="BD570" s="328" t="str">
        <f t="shared" ref="BD570" si="474">VLOOKUP(O570,삼그룹,6,FALSE)</f>
        <v>1G</v>
      </c>
      <c r="BE570" s="328" t="str">
        <f t="shared" ref="BE570" si="475">VLOOKUP(P570,삼그룹,6,FALSE)</f>
        <v>1G</v>
      </c>
      <c r="BF570" s="328" t="str">
        <f t="shared" ref="BF570" si="476">VLOOKUP(Q570,삼그룹,6,FALSE)</f>
        <v>2G</v>
      </c>
      <c r="BG570" s="328" t="str">
        <f t="shared" ref="BG570" si="477">VLOOKUP(R570,삼그룹,6,FALSE)</f>
        <v>2G</v>
      </c>
      <c r="BH570" s="328" t="str">
        <f t="shared" ref="BH570" si="478">VLOOKUP(S570,삼그룹,6,FALSE)</f>
        <v>3G</v>
      </c>
      <c r="BI570" s="328">
        <f t="shared" si="416"/>
        <v>3</v>
      </c>
      <c r="BJ570" s="328">
        <f t="shared" si="417"/>
        <v>2</v>
      </c>
      <c r="BK570" s="328">
        <f t="shared" si="418"/>
        <v>1</v>
      </c>
      <c r="BL570" s="328" t="str">
        <f t="shared" si="472"/>
        <v>321</v>
      </c>
      <c r="BS570"/>
    </row>
    <row r="571" spans="2:71" hidden="1">
      <c r="B571" s="18">
        <v>567</v>
      </c>
      <c r="C571" s="363" t="s">
        <v>916</v>
      </c>
      <c r="N571" s="28">
        <v>1</v>
      </c>
      <c r="O571" s="28">
        <v>10</v>
      </c>
      <c r="P571" s="28">
        <v>15</v>
      </c>
      <c r="Q571" s="28">
        <v>16</v>
      </c>
      <c r="R571" s="28">
        <v>32</v>
      </c>
      <c r="S571" s="28">
        <v>41</v>
      </c>
      <c r="T571" s="28">
        <v>28</v>
      </c>
      <c r="U571" s="28">
        <f t="shared" si="376"/>
        <v>115</v>
      </c>
      <c r="W571" s="27" t="str">
        <f t="shared" si="430"/>
        <v>홀수</v>
      </c>
      <c r="X571" s="27" t="str">
        <f t="shared" si="431"/>
        <v>짝수</v>
      </c>
      <c r="Y571" s="27" t="str">
        <f t="shared" si="432"/>
        <v>홀수</v>
      </c>
      <c r="Z571" s="27" t="str">
        <f t="shared" si="433"/>
        <v>짝수</v>
      </c>
      <c r="AA571" s="28" t="str">
        <f t="shared" si="434"/>
        <v>짝수</v>
      </c>
      <c r="AB571" s="28" t="str">
        <f t="shared" si="435"/>
        <v>홀수</v>
      </c>
      <c r="AC571" s="27" t="str">
        <f t="shared" si="436"/>
        <v>3 : 3</v>
      </c>
      <c r="AD571" s="32">
        <f t="shared" si="437"/>
        <v>3</v>
      </c>
      <c r="AE571" s="32">
        <f t="shared" si="438"/>
        <v>3</v>
      </c>
      <c r="AF571" s="66" t="str">
        <f t="shared" si="439"/>
        <v>저수</v>
      </c>
      <c r="AG571" s="66" t="str">
        <f t="shared" si="440"/>
        <v>저수</v>
      </c>
      <c r="AH571" s="66" t="str">
        <f t="shared" si="441"/>
        <v>저수</v>
      </c>
      <c r="AI571" s="66" t="str">
        <f t="shared" si="442"/>
        <v>저수</v>
      </c>
      <c r="AJ571" s="66" t="str">
        <f t="shared" si="443"/>
        <v>고수</v>
      </c>
      <c r="AK571" s="66" t="str">
        <f t="shared" si="444"/>
        <v>고수</v>
      </c>
      <c r="AL571" s="66" t="str">
        <f t="shared" si="445"/>
        <v>4 : 2</v>
      </c>
      <c r="AM571" s="27">
        <f t="shared" si="446"/>
        <v>4</v>
      </c>
      <c r="AN571" s="27">
        <f t="shared" si="447"/>
        <v>2</v>
      </c>
      <c r="AO571" s="27">
        <f t="shared" si="448"/>
        <v>15</v>
      </c>
      <c r="AP571" s="66" t="str">
        <f t="shared" si="449"/>
        <v>X</v>
      </c>
      <c r="AQ571" s="66" t="str">
        <f t="shared" si="450"/>
        <v>X</v>
      </c>
      <c r="AR571" s="66" t="str">
        <f t="shared" si="451"/>
        <v>X</v>
      </c>
      <c r="AS571" s="66" t="str">
        <f t="shared" si="452"/>
        <v>X</v>
      </c>
      <c r="AT571" s="66" t="str">
        <f t="shared" si="453"/>
        <v>X</v>
      </c>
      <c r="AU571" s="66" t="str">
        <f t="shared" si="454"/>
        <v>X</v>
      </c>
      <c r="AV571" s="66" t="str">
        <f t="shared" si="455"/>
        <v>X</v>
      </c>
      <c r="AW571" s="66" t="str">
        <f t="shared" si="456"/>
        <v>X</v>
      </c>
      <c r="AX571" s="66" t="str">
        <f t="shared" si="457"/>
        <v>X</v>
      </c>
      <c r="AY571" s="66" t="str">
        <f t="shared" si="458"/>
        <v>X</v>
      </c>
      <c r="AZ571" s="66" t="str">
        <f t="shared" si="459"/>
        <v>X</v>
      </c>
      <c r="BA571" s="27" t="str">
        <f t="shared" si="460"/>
        <v>O</v>
      </c>
      <c r="BB571" s="27">
        <f t="shared" si="461"/>
        <v>1</v>
      </c>
      <c r="BC571" s="331" t="str">
        <f t="shared" ref="BC571" si="479">VLOOKUP(N571,삼그룹,6,FALSE)</f>
        <v>1G</v>
      </c>
      <c r="BD571" s="331" t="str">
        <f t="shared" ref="BD571" si="480">VLOOKUP(O571,삼그룹,6,FALSE)</f>
        <v>1G</v>
      </c>
      <c r="BE571" s="331" t="str">
        <f t="shared" ref="BE571" si="481">VLOOKUP(P571,삼그룹,6,FALSE)</f>
        <v>1G</v>
      </c>
      <c r="BF571" s="331" t="str">
        <f t="shared" ref="BF571" si="482">VLOOKUP(Q571,삼그룹,6,FALSE)</f>
        <v>2G</v>
      </c>
      <c r="BG571" s="331" t="str">
        <f t="shared" ref="BG571" si="483">VLOOKUP(R571,삼그룹,6,FALSE)</f>
        <v>3G</v>
      </c>
      <c r="BH571" s="331" t="str">
        <f t="shared" ref="BH571" si="484">VLOOKUP(S571,삼그룹,6,FALSE)</f>
        <v>3G</v>
      </c>
      <c r="BI571" s="331">
        <f t="shared" si="416"/>
        <v>3</v>
      </c>
      <c r="BJ571" s="331">
        <f t="shared" si="417"/>
        <v>1</v>
      </c>
      <c r="BK571" s="331">
        <f t="shared" si="418"/>
        <v>2</v>
      </c>
      <c r="BL571" s="331" t="str">
        <f t="shared" ref="BL571" si="485">BI571&amp;BJ571&amp;BK571</f>
        <v>312</v>
      </c>
      <c r="BS571" s="320"/>
    </row>
    <row r="572" spans="2:71" hidden="1">
      <c r="B572" s="18">
        <v>568</v>
      </c>
      <c r="C572" s="363" t="s">
        <v>917</v>
      </c>
      <c r="N572" s="28">
        <v>1</v>
      </c>
      <c r="O572" s="28">
        <v>3</v>
      </c>
      <c r="P572" s="28">
        <v>17</v>
      </c>
      <c r="Q572" s="28">
        <v>20</v>
      </c>
      <c r="R572" s="28">
        <v>31</v>
      </c>
      <c r="S572" s="28">
        <v>44</v>
      </c>
      <c r="T572" s="28">
        <v>40</v>
      </c>
      <c r="U572" s="28">
        <f t="shared" si="376"/>
        <v>116</v>
      </c>
      <c r="W572" s="27" t="str">
        <f t="shared" si="430"/>
        <v>홀수</v>
      </c>
      <c r="X572" s="27" t="str">
        <f t="shared" si="431"/>
        <v>홀수</v>
      </c>
      <c r="Y572" s="27" t="str">
        <f t="shared" si="432"/>
        <v>홀수</v>
      </c>
      <c r="Z572" s="27" t="str">
        <f t="shared" si="433"/>
        <v>짝수</v>
      </c>
      <c r="AA572" s="28" t="str">
        <f t="shared" si="434"/>
        <v>홀수</v>
      </c>
      <c r="AB572" s="28" t="str">
        <f t="shared" si="435"/>
        <v>짝수</v>
      </c>
      <c r="AC572" s="27" t="str">
        <f t="shared" si="436"/>
        <v>4 : 2</v>
      </c>
      <c r="AD572" s="32">
        <f t="shared" si="437"/>
        <v>4</v>
      </c>
      <c r="AE572" s="32">
        <f t="shared" si="438"/>
        <v>2</v>
      </c>
      <c r="AF572" s="66" t="str">
        <f t="shared" si="439"/>
        <v>저수</v>
      </c>
      <c r="AG572" s="66" t="str">
        <f t="shared" si="440"/>
        <v>저수</v>
      </c>
      <c r="AH572" s="66" t="str">
        <f t="shared" si="441"/>
        <v>저수</v>
      </c>
      <c r="AI572" s="66" t="str">
        <f t="shared" si="442"/>
        <v>저수</v>
      </c>
      <c r="AJ572" s="66" t="str">
        <f t="shared" si="443"/>
        <v>고수</v>
      </c>
      <c r="AK572" s="66" t="str">
        <f t="shared" si="444"/>
        <v>고수</v>
      </c>
      <c r="AL572" s="66" t="str">
        <f t="shared" si="445"/>
        <v>4 : 2</v>
      </c>
      <c r="AM572" s="27">
        <f t="shared" si="446"/>
        <v>4</v>
      </c>
      <c r="AN572" s="27">
        <f t="shared" si="447"/>
        <v>2</v>
      </c>
      <c r="AO572" s="27">
        <f t="shared" si="448"/>
        <v>16</v>
      </c>
      <c r="AP572" s="66" t="str">
        <f t="shared" si="449"/>
        <v>X</v>
      </c>
      <c r="AQ572" s="66" t="str">
        <f t="shared" si="450"/>
        <v>O</v>
      </c>
      <c r="AR572" s="66" t="str">
        <f t="shared" si="451"/>
        <v>O</v>
      </c>
      <c r="AS572" s="66" t="str">
        <f t="shared" si="452"/>
        <v>X</v>
      </c>
      <c r="AT572" s="66" t="str">
        <f t="shared" si="453"/>
        <v>X</v>
      </c>
      <c r="AU572" s="66" t="str">
        <f t="shared" si="454"/>
        <v>X</v>
      </c>
      <c r="AV572" s="66" t="str">
        <f t="shared" si="455"/>
        <v>X</v>
      </c>
      <c r="AW572" s="66" t="str">
        <f t="shared" si="456"/>
        <v>X</v>
      </c>
      <c r="AX572" s="66" t="str">
        <f t="shared" si="457"/>
        <v>X</v>
      </c>
      <c r="AY572" s="66" t="str">
        <f t="shared" si="458"/>
        <v>X</v>
      </c>
      <c r="AZ572" s="66" t="str">
        <f t="shared" si="459"/>
        <v>O</v>
      </c>
      <c r="BA572" s="27" t="str">
        <f t="shared" si="460"/>
        <v>X</v>
      </c>
      <c r="BB572" s="27">
        <f t="shared" si="461"/>
        <v>3</v>
      </c>
      <c r="BC572" s="332" t="str">
        <f t="shared" ref="BC572" si="486">VLOOKUP(N572,삼그룹,6,FALSE)</f>
        <v>1G</v>
      </c>
      <c r="BD572" s="332" t="str">
        <f t="shared" ref="BD572" si="487">VLOOKUP(O572,삼그룹,6,FALSE)</f>
        <v>1G</v>
      </c>
      <c r="BE572" s="332" t="str">
        <f t="shared" ref="BE572" si="488">VLOOKUP(P572,삼그룹,6,FALSE)</f>
        <v>2G</v>
      </c>
      <c r="BF572" s="332" t="str">
        <f t="shared" ref="BF572" si="489">VLOOKUP(Q572,삼그룹,6,FALSE)</f>
        <v>2G</v>
      </c>
      <c r="BG572" s="332" t="str">
        <f t="shared" ref="BG572" si="490">VLOOKUP(R572,삼그룹,6,FALSE)</f>
        <v>3G</v>
      </c>
      <c r="BH572" s="332" t="str">
        <f t="shared" ref="BH572" si="491">VLOOKUP(S572,삼그룹,6,FALSE)</f>
        <v>3G</v>
      </c>
      <c r="BI572" s="332">
        <f t="shared" si="416"/>
        <v>2</v>
      </c>
      <c r="BJ572" s="332">
        <f t="shared" si="417"/>
        <v>2</v>
      </c>
      <c r="BK572" s="332">
        <f t="shared" si="418"/>
        <v>2</v>
      </c>
      <c r="BL572" s="332" t="str">
        <f t="shared" ref="BL572" si="492">BI572&amp;BJ572&amp;BK572</f>
        <v>222</v>
      </c>
      <c r="BS572" s="320"/>
    </row>
    <row r="573" spans="2:71" hidden="1">
      <c r="B573" s="18">
        <v>569</v>
      </c>
      <c r="C573" s="363" t="s">
        <v>918</v>
      </c>
      <c r="N573" s="28">
        <v>3</v>
      </c>
      <c r="O573" s="28">
        <v>6</v>
      </c>
      <c r="P573" s="28">
        <v>13</v>
      </c>
      <c r="Q573" s="28">
        <v>23</v>
      </c>
      <c r="R573" s="28">
        <v>24</v>
      </c>
      <c r="S573" s="28">
        <v>35</v>
      </c>
      <c r="T573" s="28">
        <v>1</v>
      </c>
      <c r="U573" s="28">
        <f t="shared" si="376"/>
        <v>104</v>
      </c>
      <c r="W573" s="27" t="str">
        <f t="shared" si="430"/>
        <v>홀수</v>
      </c>
      <c r="X573" s="27" t="str">
        <f t="shared" si="431"/>
        <v>짝수</v>
      </c>
      <c r="Y573" s="27" t="str">
        <f t="shared" si="432"/>
        <v>홀수</v>
      </c>
      <c r="Z573" s="27" t="str">
        <f t="shared" si="433"/>
        <v>홀수</v>
      </c>
      <c r="AA573" s="28" t="str">
        <f t="shared" si="434"/>
        <v>짝수</v>
      </c>
      <c r="AB573" s="28" t="str">
        <f t="shared" si="435"/>
        <v>홀수</v>
      </c>
      <c r="AC573" s="27" t="str">
        <f t="shared" si="436"/>
        <v>4 : 2</v>
      </c>
      <c r="AD573" s="32">
        <f t="shared" si="437"/>
        <v>4</v>
      </c>
      <c r="AE573" s="32">
        <f t="shared" si="438"/>
        <v>2</v>
      </c>
      <c r="AF573" s="66" t="str">
        <f t="shared" si="439"/>
        <v>저수</v>
      </c>
      <c r="AG573" s="66" t="str">
        <f t="shared" si="440"/>
        <v>저수</v>
      </c>
      <c r="AH573" s="66" t="str">
        <f t="shared" si="441"/>
        <v>저수</v>
      </c>
      <c r="AI573" s="66" t="str">
        <f t="shared" si="442"/>
        <v>고수</v>
      </c>
      <c r="AJ573" s="66" t="str">
        <f t="shared" si="443"/>
        <v>고수</v>
      </c>
      <c r="AK573" s="66" t="str">
        <f t="shared" si="444"/>
        <v>고수</v>
      </c>
      <c r="AL573" s="66" t="str">
        <f t="shared" si="445"/>
        <v>3 : 3</v>
      </c>
      <c r="AM573" s="27">
        <f t="shared" si="446"/>
        <v>3</v>
      </c>
      <c r="AN573" s="27">
        <f t="shared" si="447"/>
        <v>3</v>
      </c>
      <c r="AO573" s="27">
        <f t="shared" si="448"/>
        <v>24</v>
      </c>
      <c r="AP573" s="66" t="str">
        <f t="shared" si="449"/>
        <v>O</v>
      </c>
      <c r="AQ573" s="66" t="str">
        <f t="shared" si="450"/>
        <v>X</v>
      </c>
      <c r="AR573" s="66" t="str">
        <f t="shared" si="451"/>
        <v>O</v>
      </c>
      <c r="AS573" s="66" t="str">
        <f t="shared" si="452"/>
        <v>X</v>
      </c>
      <c r="AT573" s="66" t="str">
        <f t="shared" si="453"/>
        <v>X</v>
      </c>
      <c r="AU573" s="66" t="str">
        <f t="shared" si="454"/>
        <v>X</v>
      </c>
      <c r="AV573" s="66" t="str">
        <f t="shared" si="455"/>
        <v>X</v>
      </c>
      <c r="AW573" s="66" t="str">
        <f t="shared" si="456"/>
        <v>X</v>
      </c>
      <c r="AX573" s="66" t="str">
        <f t="shared" si="457"/>
        <v>X</v>
      </c>
      <c r="AY573" s="66" t="str">
        <f t="shared" si="458"/>
        <v>O</v>
      </c>
      <c r="AZ573" s="66" t="str">
        <f t="shared" si="459"/>
        <v>X</v>
      </c>
      <c r="BA573" s="27" t="str">
        <f t="shared" si="460"/>
        <v>X</v>
      </c>
      <c r="BB573" s="27">
        <f t="shared" si="461"/>
        <v>3</v>
      </c>
      <c r="BC573" s="336" t="str">
        <f t="shared" ref="BC573" si="493">VLOOKUP(N573,삼그룹,6,FALSE)</f>
        <v>1G</v>
      </c>
      <c r="BD573" s="336" t="str">
        <f t="shared" ref="BD573" si="494">VLOOKUP(O573,삼그룹,6,FALSE)</f>
        <v>1G</v>
      </c>
      <c r="BE573" s="336" t="str">
        <f t="shared" ref="BE573" si="495">VLOOKUP(P573,삼그룹,6,FALSE)</f>
        <v>1G</v>
      </c>
      <c r="BF573" s="336" t="str">
        <f t="shared" ref="BF573" si="496">VLOOKUP(Q573,삼그룹,6,FALSE)</f>
        <v>2G</v>
      </c>
      <c r="BG573" s="336" t="str">
        <f t="shared" ref="BG573" si="497">VLOOKUP(R573,삼그룹,6,FALSE)</f>
        <v>2G</v>
      </c>
      <c r="BH573" s="336" t="str">
        <f t="shared" ref="BH573" si="498">VLOOKUP(S573,삼그룹,6,FALSE)</f>
        <v>3G</v>
      </c>
      <c r="BI573" s="336">
        <f t="shared" si="416"/>
        <v>3</v>
      </c>
      <c r="BJ573" s="336">
        <f t="shared" si="417"/>
        <v>2</v>
      </c>
      <c r="BK573" s="336">
        <f t="shared" si="418"/>
        <v>1</v>
      </c>
      <c r="BL573" s="336" t="str">
        <f t="shared" ref="BL573" si="499">BI573&amp;BJ573&amp;BK573</f>
        <v>321</v>
      </c>
      <c r="BS573" s="320"/>
    </row>
    <row r="574" spans="2:71" hidden="1">
      <c r="B574" s="18">
        <v>570</v>
      </c>
      <c r="C574" s="363" t="s">
        <v>919</v>
      </c>
      <c r="N574" s="28">
        <v>1</v>
      </c>
      <c r="O574" s="28">
        <v>12</v>
      </c>
      <c r="P574" s="28">
        <v>26</v>
      </c>
      <c r="Q574" s="28">
        <v>27</v>
      </c>
      <c r="R574" s="28">
        <v>29</v>
      </c>
      <c r="S574" s="28">
        <v>33</v>
      </c>
      <c r="T574" s="28">
        <v>42</v>
      </c>
      <c r="U574" s="28">
        <f t="shared" si="376"/>
        <v>128</v>
      </c>
      <c r="W574" s="27" t="str">
        <f t="shared" si="430"/>
        <v>홀수</v>
      </c>
      <c r="X574" s="27" t="str">
        <f t="shared" si="431"/>
        <v>짝수</v>
      </c>
      <c r="Y574" s="27" t="str">
        <f t="shared" si="432"/>
        <v>짝수</v>
      </c>
      <c r="Z574" s="27" t="str">
        <f t="shared" si="433"/>
        <v>홀수</v>
      </c>
      <c r="AA574" s="28" t="str">
        <f t="shared" si="434"/>
        <v>홀수</v>
      </c>
      <c r="AB574" s="28" t="str">
        <f t="shared" si="435"/>
        <v>홀수</v>
      </c>
      <c r="AC574" s="27" t="str">
        <f t="shared" si="436"/>
        <v>4 : 2</v>
      </c>
      <c r="AD574" s="32">
        <f t="shared" si="437"/>
        <v>4</v>
      </c>
      <c r="AE574" s="32">
        <f t="shared" si="438"/>
        <v>2</v>
      </c>
      <c r="AF574" s="66" t="str">
        <f t="shared" si="439"/>
        <v>저수</v>
      </c>
      <c r="AG574" s="66" t="str">
        <f t="shared" si="440"/>
        <v>저수</v>
      </c>
      <c r="AH574" s="66" t="str">
        <f t="shared" si="441"/>
        <v>고수</v>
      </c>
      <c r="AI574" s="66" t="str">
        <f t="shared" si="442"/>
        <v>고수</v>
      </c>
      <c r="AJ574" s="66" t="str">
        <f t="shared" si="443"/>
        <v>고수</v>
      </c>
      <c r="AK574" s="66" t="str">
        <f t="shared" si="444"/>
        <v>고수</v>
      </c>
      <c r="AL574" s="66" t="str">
        <f t="shared" si="445"/>
        <v>2 : 4</v>
      </c>
      <c r="AM574" s="27">
        <f t="shared" si="446"/>
        <v>2</v>
      </c>
      <c r="AN574" s="27">
        <f t="shared" si="447"/>
        <v>4</v>
      </c>
      <c r="AO574" s="27">
        <f t="shared" si="448"/>
        <v>28</v>
      </c>
      <c r="AP574" s="66" t="str">
        <f t="shared" si="449"/>
        <v>X</v>
      </c>
      <c r="AQ574" s="66" t="str">
        <f t="shared" si="450"/>
        <v>X</v>
      </c>
      <c r="AR574" s="66" t="str">
        <f t="shared" si="451"/>
        <v>X</v>
      </c>
      <c r="AS574" s="66" t="str">
        <f t="shared" si="452"/>
        <v>X</v>
      </c>
      <c r="AT574" s="66" t="str">
        <f t="shared" si="453"/>
        <v>X</v>
      </c>
      <c r="AU574" s="66" t="str">
        <f t="shared" si="454"/>
        <v>X</v>
      </c>
      <c r="AV574" s="66" t="str">
        <f t="shared" si="455"/>
        <v>X</v>
      </c>
      <c r="AW574" s="66" t="str">
        <f t="shared" si="456"/>
        <v>X</v>
      </c>
      <c r="AX574" s="66" t="str">
        <f t="shared" si="457"/>
        <v>X</v>
      </c>
      <c r="AY574" s="66" t="str">
        <f t="shared" si="458"/>
        <v>X</v>
      </c>
      <c r="AZ574" s="66" t="str">
        <f t="shared" si="459"/>
        <v>O</v>
      </c>
      <c r="BA574" s="27" t="str">
        <f t="shared" si="460"/>
        <v>X</v>
      </c>
      <c r="BB574" s="27">
        <f t="shared" si="461"/>
        <v>1</v>
      </c>
      <c r="BC574" s="336" t="str">
        <f t="shared" ref="BC574" si="500">VLOOKUP(N574,삼그룹,6,FALSE)</f>
        <v>1G</v>
      </c>
      <c r="BD574" s="336" t="str">
        <f t="shared" ref="BD574" si="501">VLOOKUP(O574,삼그룹,6,FALSE)</f>
        <v>1G</v>
      </c>
      <c r="BE574" s="336" t="str">
        <f t="shared" ref="BE574" si="502">VLOOKUP(P574,삼그룹,6,FALSE)</f>
        <v>2G</v>
      </c>
      <c r="BF574" s="336" t="str">
        <f t="shared" ref="BF574" si="503">VLOOKUP(Q574,삼그룹,6,FALSE)</f>
        <v>2G</v>
      </c>
      <c r="BG574" s="336" t="str">
        <f t="shared" ref="BG574" si="504">VLOOKUP(R574,삼그룹,6,FALSE)</f>
        <v>2G</v>
      </c>
      <c r="BH574" s="336" t="str">
        <f t="shared" ref="BH574" si="505">VLOOKUP(S574,삼그룹,6,FALSE)</f>
        <v>3G</v>
      </c>
      <c r="BI574" s="336">
        <f t="shared" si="416"/>
        <v>2</v>
      </c>
      <c r="BJ574" s="336">
        <f t="shared" si="417"/>
        <v>3</v>
      </c>
      <c r="BK574" s="336">
        <f t="shared" si="418"/>
        <v>1</v>
      </c>
      <c r="BL574" s="336" t="str">
        <f t="shared" ref="BL574" si="506">BI574&amp;BJ574&amp;BK574</f>
        <v>231</v>
      </c>
      <c r="BS574" s="320"/>
    </row>
    <row r="575" spans="2:71" hidden="1">
      <c r="B575" s="18">
        <v>571</v>
      </c>
      <c r="C575" s="363" t="s">
        <v>920</v>
      </c>
      <c r="N575" s="28">
        <v>11</v>
      </c>
      <c r="O575" s="28">
        <v>18</v>
      </c>
      <c r="P575" s="28">
        <v>21</v>
      </c>
      <c r="Q575" s="28">
        <v>26</v>
      </c>
      <c r="R575" s="28">
        <v>38</v>
      </c>
      <c r="S575" s="28">
        <v>43</v>
      </c>
      <c r="T575" s="28">
        <v>29</v>
      </c>
      <c r="U575" s="28">
        <f t="shared" si="376"/>
        <v>157</v>
      </c>
      <c r="W575" s="27" t="str">
        <f t="shared" si="430"/>
        <v>홀수</v>
      </c>
      <c r="X575" s="27" t="str">
        <f t="shared" si="431"/>
        <v>짝수</v>
      </c>
      <c r="Y575" s="27" t="str">
        <f t="shared" si="432"/>
        <v>홀수</v>
      </c>
      <c r="Z575" s="27" t="str">
        <f t="shared" si="433"/>
        <v>짝수</v>
      </c>
      <c r="AA575" s="28" t="str">
        <f t="shared" si="434"/>
        <v>짝수</v>
      </c>
      <c r="AB575" s="28" t="str">
        <f t="shared" si="435"/>
        <v>홀수</v>
      </c>
      <c r="AC575" s="27" t="str">
        <f t="shared" si="436"/>
        <v>3 : 3</v>
      </c>
      <c r="AD575" s="28">
        <f t="shared" si="437"/>
        <v>3</v>
      </c>
      <c r="AE575" s="313">
        <f t="shared" si="438"/>
        <v>3</v>
      </c>
      <c r="AF575" s="28" t="str">
        <f t="shared" si="439"/>
        <v>저수</v>
      </c>
      <c r="AG575" s="313" t="str">
        <f t="shared" si="440"/>
        <v>저수</v>
      </c>
      <c r="AH575" s="28" t="str">
        <f t="shared" si="441"/>
        <v>저수</v>
      </c>
      <c r="AI575" s="313" t="str">
        <f t="shared" si="442"/>
        <v>고수</v>
      </c>
      <c r="AJ575" s="28" t="str">
        <f t="shared" si="443"/>
        <v>고수</v>
      </c>
      <c r="AK575" s="313" t="str">
        <f t="shared" si="444"/>
        <v>고수</v>
      </c>
      <c r="AL575" s="28" t="str">
        <f t="shared" si="445"/>
        <v>3 : 3</v>
      </c>
      <c r="AM575" s="313">
        <f t="shared" si="446"/>
        <v>3</v>
      </c>
      <c r="AN575" s="28">
        <f t="shared" si="447"/>
        <v>3</v>
      </c>
      <c r="AO575" s="313">
        <f t="shared" si="448"/>
        <v>27</v>
      </c>
      <c r="AP575" s="28" t="str">
        <f t="shared" si="449"/>
        <v>O</v>
      </c>
      <c r="AQ575" s="313" t="str">
        <f t="shared" si="450"/>
        <v>X</v>
      </c>
      <c r="AR575" s="66" t="str">
        <f t="shared" si="451"/>
        <v>X</v>
      </c>
      <c r="AS575" s="66" t="str">
        <f t="shared" si="452"/>
        <v>X</v>
      </c>
      <c r="AT575" s="66" t="str">
        <f t="shared" si="453"/>
        <v>X</v>
      </c>
      <c r="AU575" s="66" t="str">
        <f t="shared" si="454"/>
        <v>X</v>
      </c>
      <c r="AV575" s="66" t="str">
        <f t="shared" si="455"/>
        <v>X</v>
      </c>
      <c r="AW575" s="66" t="str">
        <f t="shared" si="456"/>
        <v>X</v>
      </c>
      <c r="AX575" s="66" t="str">
        <f t="shared" si="457"/>
        <v>X</v>
      </c>
      <c r="AY575" s="66" t="str">
        <f t="shared" si="458"/>
        <v>X</v>
      </c>
      <c r="AZ575" s="66" t="str">
        <f t="shared" si="459"/>
        <v>X</v>
      </c>
      <c r="BA575" s="27" t="str">
        <f t="shared" si="460"/>
        <v>O</v>
      </c>
      <c r="BB575" s="27">
        <f t="shared" si="461"/>
        <v>2</v>
      </c>
      <c r="BC575" s="342" t="str">
        <f t="shared" ref="BC575" si="507">VLOOKUP(N575,삼그룹,6,FALSE)</f>
        <v>1G</v>
      </c>
      <c r="BD575" s="342" t="str">
        <f t="shared" ref="BD575" si="508">VLOOKUP(O575,삼그룹,6,FALSE)</f>
        <v>2G</v>
      </c>
      <c r="BE575" s="342" t="str">
        <f t="shared" ref="BE575" si="509">VLOOKUP(P575,삼그룹,6,FALSE)</f>
        <v>2G</v>
      </c>
      <c r="BF575" s="342" t="str">
        <f t="shared" ref="BF575" si="510">VLOOKUP(Q575,삼그룹,6,FALSE)</f>
        <v>2G</v>
      </c>
      <c r="BG575" s="342" t="str">
        <f t="shared" ref="BG575" si="511">VLOOKUP(R575,삼그룹,6,FALSE)</f>
        <v>3G</v>
      </c>
      <c r="BH575" s="342" t="str">
        <f t="shared" ref="BH575" si="512">VLOOKUP(S575,삼그룹,6,FALSE)</f>
        <v>3G</v>
      </c>
      <c r="BI575" s="342">
        <f t="shared" si="416"/>
        <v>1</v>
      </c>
      <c r="BJ575" s="342">
        <f t="shared" si="417"/>
        <v>3</v>
      </c>
      <c r="BK575" s="342">
        <f t="shared" si="418"/>
        <v>2</v>
      </c>
      <c r="BL575" s="342" t="str">
        <f t="shared" ref="BL575" si="513">BI575&amp;BJ575&amp;BK575</f>
        <v>132</v>
      </c>
      <c r="BS575" s="320"/>
    </row>
    <row r="576" spans="2:71" hidden="1">
      <c r="B576" s="18">
        <v>572</v>
      </c>
      <c r="C576" s="363" t="s">
        <v>921</v>
      </c>
      <c r="N576" s="28">
        <v>3</v>
      </c>
      <c r="O576" s="28">
        <v>13</v>
      </c>
      <c r="P576" s="28">
        <v>18</v>
      </c>
      <c r="Q576" s="28">
        <v>33</v>
      </c>
      <c r="R576" s="28">
        <v>37</v>
      </c>
      <c r="S576" s="28">
        <v>45</v>
      </c>
      <c r="T576" s="28">
        <v>1</v>
      </c>
      <c r="U576" s="28">
        <f t="shared" si="376"/>
        <v>149</v>
      </c>
      <c r="W576" s="27" t="str">
        <f t="shared" si="430"/>
        <v>홀수</v>
      </c>
      <c r="X576" s="27" t="str">
        <f t="shared" si="431"/>
        <v>홀수</v>
      </c>
      <c r="Y576" s="27" t="str">
        <f t="shared" si="432"/>
        <v>짝수</v>
      </c>
      <c r="Z576" s="27" t="str">
        <f t="shared" si="433"/>
        <v>홀수</v>
      </c>
      <c r="AA576" s="28" t="str">
        <f t="shared" si="434"/>
        <v>홀수</v>
      </c>
      <c r="AB576" s="28" t="str">
        <f t="shared" si="435"/>
        <v>홀수</v>
      </c>
      <c r="AC576" s="66" t="str">
        <f t="shared" si="436"/>
        <v>5 : 1</v>
      </c>
      <c r="AD576" s="32">
        <f t="shared" si="437"/>
        <v>5</v>
      </c>
      <c r="AE576" s="32">
        <f t="shared" si="438"/>
        <v>1</v>
      </c>
      <c r="AF576" s="66" t="str">
        <f t="shared" si="439"/>
        <v>저수</v>
      </c>
      <c r="AG576" s="66" t="str">
        <f t="shared" si="440"/>
        <v>저수</v>
      </c>
      <c r="AH576" s="66" t="str">
        <f t="shared" si="441"/>
        <v>저수</v>
      </c>
      <c r="AI576" s="66" t="str">
        <f t="shared" si="442"/>
        <v>고수</v>
      </c>
      <c r="AJ576" s="66" t="str">
        <f t="shared" si="443"/>
        <v>고수</v>
      </c>
      <c r="AK576" s="66" t="str">
        <f t="shared" si="444"/>
        <v>고수</v>
      </c>
      <c r="AL576" s="66" t="str">
        <f t="shared" si="445"/>
        <v>3 : 3</v>
      </c>
      <c r="AM576" s="27">
        <f t="shared" si="446"/>
        <v>3</v>
      </c>
      <c r="AN576" s="27">
        <f t="shared" si="447"/>
        <v>3</v>
      </c>
      <c r="AO576" s="27">
        <f t="shared" si="448"/>
        <v>29</v>
      </c>
      <c r="AP576" s="66" t="str">
        <f t="shared" si="449"/>
        <v>O</v>
      </c>
      <c r="AQ576" s="66" t="str">
        <f t="shared" si="450"/>
        <v>O</v>
      </c>
      <c r="AR576" s="66" t="str">
        <f t="shared" si="451"/>
        <v>X</v>
      </c>
      <c r="AS576" s="66" t="str">
        <f t="shared" si="452"/>
        <v>X</v>
      </c>
      <c r="AT576" s="66" t="str">
        <f t="shared" si="453"/>
        <v>X</v>
      </c>
      <c r="AU576" s="66" t="str">
        <f t="shared" si="454"/>
        <v>X</v>
      </c>
      <c r="AV576" s="66" t="str">
        <f t="shared" si="455"/>
        <v>X</v>
      </c>
      <c r="AW576" s="66" t="str">
        <f t="shared" si="456"/>
        <v>X</v>
      </c>
      <c r="AX576" s="66" t="str">
        <f t="shared" si="457"/>
        <v>X</v>
      </c>
      <c r="AY576" s="66" t="str">
        <f t="shared" si="458"/>
        <v>X</v>
      </c>
      <c r="AZ576" s="66" t="str">
        <f t="shared" si="459"/>
        <v>O</v>
      </c>
      <c r="BA576" s="27" t="str">
        <f t="shared" si="460"/>
        <v>X</v>
      </c>
      <c r="BB576" s="27">
        <f t="shared" si="461"/>
        <v>3</v>
      </c>
      <c r="BC576" s="346" t="str">
        <f t="shared" ref="BC576" si="514">VLOOKUP(N576,삼그룹,6,FALSE)</f>
        <v>1G</v>
      </c>
      <c r="BD576" s="346" t="str">
        <f t="shared" ref="BD576" si="515">VLOOKUP(O576,삼그룹,6,FALSE)</f>
        <v>1G</v>
      </c>
      <c r="BE576" s="346" t="str">
        <f t="shared" ref="BE576" si="516">VLOOKUP(P576,삼그룹,6,FALSE)</f>
        <v>2G</v>
      </c>
      <c r="BF576" s="346" t="str">
        <f t="shared" ref="BF576" si="517">VLOOKUP(Q576,삼그룹,6,FALSE)</f>
        <v>3G</v>
      </c>
      <c r="BG576" s="346" t="str">
        <f t="shared" ref="BG576" si="518">VLOOKUP(R576,삼그룹,6,FALSE)</f>
        <v>3G</v>
      </c>
      <c r="BH576" s="346" t="str">
        <f t="shared" ref="BH576" si="519">VLOOKUP(S576,삼그룹,6,FALSE)</f>
        <v>3G</v>
      </c>
      <c r="BI576" s="346">
        <f t="shared" si="416"/>
        <v>2</v>
      </c>
      <c r="BJ576" s="346">
        <f t="shared" si="417"/>
        <v>1</v>
      </c>
      <c r="BK576" s="346">
        <f t="shared" si="418"/>
        <v>3</v>
      </c>
      <c r="BL576" s="346" t="str">
        <f t="shared" ref="BL576" si="520">BI576&amp;BJ576&amp;BK576</f>
        <v>213</v>
      </c>
      <c r="BS576" s="320"/>
    </row>
    <row r="577" spans="2:71" ht="16.5" hidden="1">
      <c r="B577" s="18">
        <v>573</v>
      </c>
      <c r="C577" s="363" t="s">
        <v>924</v>
      </c>
      <c r="N577" s="28">
        <v>2</v>
      </c>
      <c r="O577" s="28">
        <v>4</v>
      </c>
      <c r="P577" s="28">
        <v>20</v>
      </c>
      <c r="Q577" s="28">
        <v>34</v>
      </c>
      <c r="R577" s="28">
        <v>35</v>
      </c>
      <c r="S577" s="28">
        <v>43</v>
      </c>
      <c r="T577" s="28">
        <v>14</v>
      </c>
      <c r="U577" s="28">
        <f t="shared" si="376"/>
        <v>138</v>
      </c>
      <c r="W577" s="27" t="str">
        <f t="shared" si="430"/>
        <v>짝수</v>
      </c>
      <c r="X577" s="27" t="str">
        <f t="shared" si="431"/>
        <v>짝수</v>
      </c>
      <c r="Y577" s="27" t="str">
        <f t="shared" si="432"/>
        <v>짝수</v>
      </c>
      <c r="Z577" s="27" t="str">
        <f t="shared" si="433"/>
        <v>짝수</v>
      </c>
      <c r="AA577" s="28" t="str">
        <f t="shared" si="434"/>
        <v>홀수</v>
      </c>
      <c r="AB577" s="28" t="str">
        <f t="shared" si="435"/>
        <v>홀수</v>
      </c>
      <c r="AC577" s="66" t="str">
        <f t="shared" si="436"/>
        <v>2 : 4</v>
      </c>
      <c r="AD577" s="32">
        <f t="shared" si="437"/>
        <v>2</v>
      </c>
      <c r="AE577" s="32">
        <f t="shared" si="438"/>
        <v>4</v>
      </c>
      <c r="AF577" s="66" t="str">
        <f t="shared" si="439"/>
        <v>저수</v>
      </c>
      <c r="AG577" s="66" t="str">
        <f t="shared" si="440"/>
        <v>저수</v>
      </c>
      <c r="AH577" s="66" t="str">
        <f t="shared" si="441"/>
        <v>저수</v>
      </c>
      <c r="AI577" s="66" t="str">
        <f t="shared" si="442"/>
        <v>고수</v>
      </c>
      <c r="AJ577" s="66" t="str">
        <f t="shared" si="443"/>
        <v>고수</v>
      </c>
      <c r="AK577" s="66" t="str">
        <f t="shared" si="444"/>
        <v>고수</v>
      </c>
      <c r="AL577" s="66" t="str">
        <f t="shared" si="445"/>
        <v>3 : 3</v>
      </c>
      <c r="AM577" s="27">
        <f t="shared" si="446"/>
        <v>3</v>
      </c>
      <c r="AN577" s="27">
        <f t="shared" si="447"/>
        <v>3</v>
      </c>
      <c r="AO577" s="27">
        <f t="shared" si="448"/>
        <v>18</v>
      </c>
      <c r="AP577" s="66" t="str">
        <f t="shared" si="449"/>
        <v>O</v>
      </c>
      <c r="AQ577" s="66" t="str">
        <f t="shared" si="450"/>
        <v>X</v>
      </c>
      <c r="AR577" s="66" t="str">
        <f t="shared" si="451"/>
        <v>X</v>
      </c>
      <c r="AS577" s="66" t="str">
        <f t="shared" si="452"/>
        <v>X</v>
      </c>
      <c r="AT577" s="66" t="str">
        <f t="shared" si="453"/>
        <v>X</v>
      </c>
      <c r="AU577" s="66" t="str">
        <f t="shared" si="454"/>
        <v>X</v>
      </c>
      <c r="AV577" s="66" t="str">
        <f t="shared" si="455"/>
        <v>X</v>
      </c>
      <c r="AW577" s="66" t="str">
        <f t="shared" si="456"/>
        <v>X</v>
      </c>
      <c r="AX577" s="66" t="str">
        <f t="shared" si="457"/>
        <v>X</v>
      </c>
      <c r="AY577" s="66" t="str">
        <f t="shared" si="458"/>
        <v>X</v>
      </c>
      <c r="AZ577" s="66" t="str">
        <f t="shared" si="459"/>
        <v>X</v>
      </c>
      <c r="BA577" s="27" t="str">
        <f t="shared" si="460"/>
        <v>O</v>
      </c>
      <c r="BB577" s="27">
        <f t="shared" si="461"/>
        <v>2</v>
      </c>
      <c r="BC577" s="352" t="str">
        <f t="shared" ref="BC577" si="521">VLOOKUP(N577,삼그룹,6,FALSE)</f>
        <v>1G</v>
      </c>
      <c r="BD577" s="352" t="str">
        <f t="shared" ref="BD577" si="522">VLOOKUP(O577,삼그룹,6,FALSE)</f>
        <v>1G</v>
      </c>
      <c r="BE577" s="352" t="str">
        <f t="shared" ref="BE577" si="523">VLOOKUP(P577,삼그룹,6,FALSE)</f>
        <v>2G</v>
      </c>
      <c r="BF577" s="352" t="str">
        <f t="shared" ref="BF577" si="524">VLOOKUP(Q577,삼그룹,6,FALSE)</f>
        <v>3G</v>
      </c>
      <c r="BG577" s="352" t="str">
        <f t="shared" ref="BG577" si="525">VLOOKUP(R577,삼그룹,6,FALSE)</f>
        <v>3G</v>
      </c>
      <c r="BH577" s="352" t="str">
        <f t="shared" ref="BH577" si="526">VLOOKUP(S577,삼그룹,6,FALSE)</f>
        <v>3G</v>
      </c>
      <c r="BI577" s="352">
        <f t="shared" si="416"/>
        <v>2</v>
      </c>
      <c r="BJ577" s="352">
        <f t="shared" si="417"/>
        <v>1</v>
      </c>
      <c r="BK577" s="352">
        <f t="shared" si="418"/>
        <v>3</v>
      </c>
      <c r="BL577" s="352" t="str">
        <f t="shared" ref="BL577" si="527">BI577&amp;BJ577&amp;BK577</f>
        <v>213</v>
      </c>
      <c r="BS577"/>
    </row>
    <row r="578" spans="2:71" ht="16.5" hidden="1">
      <c r="B578" s="360">
        <v>575</v>
      </c>
      <c r="C578" s="355"/>
      <c r="D578" s="359"/>
      <c r="E578" s="359"/>
      <c r="F578" s="359"/>
      <c r="G578" s="359"/>
      <c r="H578" s="359"/>
      <c r="I578" s="359"/>
      <c r="J578" s="359"/>
      <c r="K578" s="359"/>
      <c r="L578" s="359"/>
      <c r="M578" s="359"/>
      <c r="N578" s="361">
        <v>2</v>
      </c>
      <c r="O578" s="361">
        <v>8</v>
      </c>
      <c r="P578" s="361">
        <v>20</v>
      </c>
      <c r="Q578" s="361">
        <v>30</v>
      </c>
      <c r="R578" s="361">
        <v>33</v>
      </c>
      <c r="S578" s="361">
        <v>34</v>
      </c>
      <c r="T578" s="363">
        <v>6</v>
      </c>
      <c r="U578" s="363">
        <f t="shared" ref="U578:U670" si="528">SUM(N578:T578)-T578</f>
        <v>127</v>
      </c>
      <c r="V578" s="363"/>
      <c r="W578" s="362" t="str">
        <f t="shared" ref="W578:W663" si="529">IF(RIGHT(N578,1)="1","홀수",IF(RIGHT(N578,1)="3","홀수",IF(RIGHT(N578,1)="5","홀수",IF(RIGHT(N578,1)="7","홀수",IF(RIGHT(N578,1)="9","홀수","짝수")))))</f>
        <v>짝수</v>
      </c>
      <c r="X578" s="362" t="str">
        <f t="shared" ref="X578:X663" si="530">IF(RIGHT(O578,1)="1","홀수",IF(RIGHT(O578,1)="3","홀수",IF(RIGHT(O578,1)="5","홀수",IF(RIGHT(O578,1)="7","홀수",IF(RIGHT(O578,1)="9","홀수","짝수")))))</f>
        <v>짝수</v>
      </c>
      <c r="Y578" s="362" t="str">
        <f t="shared" ref="Y578:Y663" si="531">IF(RIGHT(P578,1)="1","홀수",IF(RIGHT(P578,1)="3","홀수",IF(RIGHT(P578,1)="5","홀수",IF(RIGHT(P578,1)="7","홀수",IF(RIGHT(P578,1)="9","홀수","짝수")))))</f>
        <v>짝수</v>
      </c>
      <c r="Z578" s="362" t="str">
        <f t="shared" ref="Z578:Z663" si="532">IF(RIGHT(Q578,1)="1","홀수",IF(RIGHT(Q578,1)="3","홀수",IF(RIGHT(Q578,1)="5","홀수",IF(RIGHT(Q578,1)="7","홀수",IF(RIGHT(Q578,1)="9","홀수","짝수")))))</f>
        <v>짝수</v>
      </c>
      <c r="AA578" s="363" t="str">
        <f t="shared" ref="AA578:AA663" si="533">IF(RIGHT(R578,1)="1","홀수",IF(RIGHT(R578,1)="3","홀수",IF(RIGHT(R578,1)="5","홀수",IF(RIGHT(R578,1)="7","홀수",IF(RIGHT(R578,1)="9","홀수","짝수")))))</f>
        <v>홀수</v>
      </c>
      <c r="AB578" s="363" t="str">
        <f t="shared" ref="AB578:AB663" si="534">IF(RIGHT(S578,1)="1","홀수",IF(RIGHT(S578,1)="3","홀수",IF(RIGHT(S578,1)="5","홀수",IF(RIGHT(S578,1)="7","홀수",IF(RIGHT(S578,1)="9","홀수","짝수")))))</f>
        <v>짝수</v>
      </c>
      <c r="AC578" s="362" t="str">
        <f t="shared" ref="AC578:AC663" si="535">AD578&amp;" : "&amp;AE578</f>
        <v>1 : 5</v>
      </c>
      <c r="AD578" s="362">
        <f t="shared" ref="AD578:AD663" si="536">COUNTIF(W578:AB578,"홀수")</f>
        <v>1</v>
      </c>
      <c r="AE578" s="362">
        <f t="shared" ref="AE578:AE663" si="537">COUNTIF(W578:AB578,"짝수")</f>
        <v>5</v>
      </c>
      <c r="AF578" s="362" t="str">
        <f t="shared" ref="AF578:AF663" si="538">IF(N578&lt;23,"저수","고수")</f>
        <v>저수</v>
      </c>
      <c r="AG578" s="362" t="str">
        <f t="shared" ref="AG578:AG663" si="539">IF(O578&lt;23,"저수","고수")</f>
        <v>저수</v>
      </c>
      <c r="AH578" s="362" t="str">
        <f t="shared" ref="AH578:AH663" si="540">IF(P578&lt;23,"저수","고수")</f>
        <v>저수</v>
      </c>
      <c r="AI578" s="362" t="str">
        <f t="shared" ref="AI578:AI663" si="541">IF(Q578&lt;23,"저수","고수")</f>
        <v>고수</v>
      </c>
      <c r="AJ578" s="362" t="str">
        <f t="shared" ref="AJ578:AJ663" si="542">IF(R578&lt;23,"저수","고수")</f>
        <v>고수</v>
      </c>
      <c r="AK578" s="362" t="str">
        <f t="shared" ref="AK578:AK663" si="543">IF(S578&lt;23,"저수","고수")</f>
        <v>고수</v>
      </c>
      <c r="AL578" s="362" t="str">
        <f t="shared" ref="AL578:AL663" si="544">AM578&amp;" : "&amp;AN578</f>
        <v>3 : 3</v>
      </c>
      <c r="AM578" s="362">
        <f t="shared" ref="AM578:AM663" si="545">COUNTIF(AF578:AK578,"저수")</f>
        <v>3</v>
      </c>
      <c r="AN578" s="362">
        <f t="shared" ref="AN578:AN663" si="546">COUNTIF(AF578:AK578,"고수")</f>
        <v>3</v>
      </c>
      <c r="AO578" s="362">
        <f t="shared" ref="AO578:AO663" si="547">RIGHT(N578,1)+RIGHT(O578,1)+RIGHT(P578,1)+RIGHT(Q578,1)+RIGHT(R578,1)+RIGHT(S578,1)</f>
        <v>17</v>
      </c>
      <c r="AP578" s="362" t="str">
        <f t="shared" ref="AP578:AP663" si="548">IF(N578=2,"O",IF(N578=3,"O",IF(N578=5,"O",IF(N578=7,"O",IF(N578=11,"O",IF(N578=13,"O",IF(N578=17,"O",IF(N578=19,"O","X"))))))))</f>
        <v>O</v>
      </c>
      <c r="AQ578" s="362" t="str">
        <f t="shared" ref="AQ578:AQ663" si="549">IF(O578=2,"O",IF(O578=3,"O",IF(O578=5,"O",IF(O578=7,"O",IF(O578=11,"O",IF(O578=13,"O",IF(O578=17,"O",IF(O578=19,"O","X"))))))))</f>
        <v>X</v>
      </c>
      <c r="AR578" s="362" t="str">
        <f t="shared" ref="AR578:AR663" si="550">IF(P578=2,"O",IF(P578=3,"O",IF(P578=5,"O",IF(P578=7,"O",IF(P578=11,"O",IF(P578=13,"O",IF(P578=17,"O",IF(P578=19,"O","X"))))))))</f>
        <v>X</v>
      </c>
      <c r="AS578" s="362" t="str">
        <f t="shared" ref="AS578:AS663" si="551">IF(Q578=2,"O",IF(Q578=3,"O",IF(Q578=5,"O",IF(Q578=7,"O",IF(Q578=11,"O",IF(Q578=13,"O",IF(Q578=17,"O",IF(Q578=19,"O","X"))))))))</f>
        <v>X</v>
      </c>
      <c r="AT578" s="362" t="str">
        <f t="shared" ref="AT578:AT663" si="552">IF(R578=2,"O",IF(R578=3,"O",IF(R578=5,"O",IF(R578=7,"O",IF(R578=11,"O",IF(R578=13,"O",IF(R578=17,"O",IF(R578=19,"O","X"))))))))</f>
        <v>X</v>
      </c>
      <c r="AU578" s="362" t="str">
        <f t="shared" ref="AU578:AU663" si="553">IF(S578=2,"O",IF(S578=3,"O",IF(S578=5,"O",IF(S578=7,"O",IF(S578=11,"O",IF(S578=13,"O",IF(S578=17,"O",IF(S578=19,"O","X"))))))))</f>
        <v>X</v>
      </c>
      <c r="AV578" s="362" t="str">
        <f t="shared" ref="AV578:AV663" si="554">IF(N578=23,"O",IF(N578=29,"O",IF(N578=31,"O",IF(N578=37,"O",IF(N578=41,"O",IF(N578=43,"O","X"))))))</f>
        <v>X</v>
      </c>
      <c r="AW578" s="362" t="str">
        <f t="shared" ref="AW578:AW663" si="555">IF(O578=23,"O",IF(O578=29,"O",IF(O578=31,"O",IF(O578=37,"O",IF(O578=41,"O",IF(O578=43,"O","X"))))))</f>
        <v>X</v>
      </c>
      <c r="AX578" s="362" t="str">
        <f t="shared" ref="AX578:AX663" si="556">IF(P578=23,"O",IF(P578=29,"O",IF(P578=31,"O",IF(P578=37,"O",IF(P578=41,"O",IF(P578=43,"O","X"))))))</f>
        <v>X</v>
      </c>
      <c r="AY578" s="362" t="str">
        <f t="shared" ref="AY578:AY663" si="557">IF(Q578=23,"O",IF(Q578=29,"O",IF(Q578=31,"O",IF(Q578=37,"O",IF(Q578=41,"O",IF(Q578=43,"O","X"))))))</f>
        <v>X</v>
      </c>
      <c r="AZ578" s="362" t="str">
        <f t="shared" ref="AZ578:AZ663" si="558">IF(R578=23,"O",IF(R578=29,"O",IF(R578=31,"O",IF(R578=37,"O",IF(R578=41,"O",IF(R578=43,"O","X"))))))</f>
        <v>X</v>
      </c>
      <c r="BA578" s="362" t="str">
        <f t="shared" ref="BA578:BA663" si="559">IF(S578=23,"O",IF(S578=29,"O",IF(S578=31,"O",IF(S578=37,"O",IF(S578=41,"O",IF(S578=43,"O","X"))))))</f>
        <v>X</v>
      </c>
      <c r="BB578" s="362">
        <f t="shared" ref="BB578:BB663" si="560">COUNTIF(AP578:BA578,"O")</f>
        <v>1</v>
      </c>
      <c r="BC578" s="362" t="str">
        <f t="shared" ref="BC578:BC606" si="561">VLOOKUP(N578,삼그룹,6,FALSE)</f>
        <v>1G</v>
      </c>
      <c r="BD578" s="362" t="str">
        <f t="shared" ref="BD578:BD606" si="562">VLOOKUP(O578,삼그룹,6,FALSE)</f>
        <v>1G</v>
      </c>
      <c r="BE578" s="362" t="str">
        <f t="shared" ref="BE578:BE606" si="563">VLOOKUP(P578,삼그룹,6,FALSE)</f>
        <v>2G</v>
      </c>
      <c r="BF578" s="362" t="str">
        <f t="shared" ref="BF578:BF606" si="564">VLOOKUP(Q578,삼그룹,6,FALSE)</f>
        <v>2G</v>
      </c>
      <c r="BG578" s="362" t="str">
        <f t="shared" ref="BG578:BG606" si="565">VLOOKUP(R578,삼그룹,6,FALSE)</f>
        <v>3G</v>
      </c>
      <c r="BH578" s="362" t="str">
        <f t="shared" ref="BH578:BH606" si="566">VLOOKUP(S578,삼그룹,6,FALSE)</f>
        <v>3G</v>
      </c>
      <c r="BI578" s="362">
        <f t="shared" si="416"/>
        <v>2</v>
      </c>
      <c r="BJ578" s="362">
        <f t="shared" si="417"/>
        <v>2</v>
      </c>
      <c r="BK578" s="362">
        <f t="shared" si="418"/>
        <v>2</v>
      </c>
      <c r="BL578" s="362" t="str">
        <f t="shared" ref="BL578:BL606" si="567">BI578&amp;BJ578&amp;BK578</f>
        <v>222</v>
      </c>
      <c r="BS578"/>
    </row>
    <row r="579" spans="2:71" ht="16.5" hidden="1">
      <c r="B579" s="360">
        <v>576</v>
      </c>
      <c r="C579" s="355"/>
      <c r="D579" s="359"/>
      <c r="E579" s="359"/>
      <c r="F579" s="359"/>
      <c r="G579" s="359"/>
      <c r="H579" s="359"/>
      <c r="I579" s="359"/>
      <c r="J579" s="359"/>
      <c r="K579" s="359"/>
      <c r="L579" s="359"/>
      <c r="M579" s="359"/>
      <c r="N579" s="361">
        <v>10</v>
      </c>
      <c r="O579" s="361">
        <v>11</v>
      </c>
      <c r="P579" s="361">
        <v>15</v>
      </c>
      <c r="Q579" s="361">
        <v>25</v>
      </c>
      <c r="R579" s="361">
        <v>35</v>
      </c>
      <c r="S579" s="361">
        <v>41</v>
      </c>
      <c r="T579" s="363">
        <v>13</v>
      </c>
      <c r="U579" s="363">
        <f t="shared" si="528"/>
        <v>137</v>
      </c>
      <c r="V579" s="363"/>
      <c r="W579" s="362" t="str">
        <f t="shared" si="529"/>
        <v>짝수</v>
      </c>
      <c r="X579" s="362" t="str">
        <f t="shared" si="530"/>
        <v>홀수</v>
      </c>
      <c r="Y579" s="362" t="str">
        <f t="shared" si="531"/>
        <v>홀수</v>
      </c>
      <c r="Z579" s="362" t="str">
        <f t="shared" si="532"/>
        <v>홀수</v>
      </c>
      <c r="AA579" s="363" t="str">
        <f t="shared" si="533"/>
        <v>홀수</v>
      </c>
      <c r="AB579" s="363" t="str">
        <f t="shared" si="534"/>
        <v>홀수</v>
      </c>
      <c r="AC579" s="362" t="str">
        <f t="shared" si="535"/>
        <v>5 : 1</v>
      </c>
      <c r="AD579" s="362">
        <f t="shared" si="536"/>
        <v>5</v>
      </c>
      <c r="AE579" s="362">
        <f t="shared" si="537"/>
        <v>1</v>
      </c>
      <c r="AF579" s="362" t="str">
        <f t="shared" si="538"/>
        <v>저수</v>
      </c>
      <c r="AG579" s="362" t="str">
        <f t="shared" si="539"/>
        <v>저수</v>
      </c>
      <c r="AH579" s="362" t="str">
        <f t="shared" si="540"/>
        <v>저수</v>
      </c>
      <c r="AI579" s="362" t="str">
        <f t="shared" si="541"/>
        <v>고수</v>
      </c>
      <c r="AJ579" s="362" t="str">
        <f t="shared" si="542"/>
        <v>고수</v>
      </c>
      <c r="AK579" s="362" t="str">
        <f t="shared" si="543"/>
        <v>고수</v>
      </c>
      <c r="AL579" s="362" t="str">
        <f t="shared" si="544"/>
        <v>3 : 3</v>
      </c>
      <c r="AM579" s="362">
        <f t="shared" si="545"/>
        <v>3</v>
      </c>
      <c r="AN579" s="362">
        <f t="shared" si="546"/>
        <v>3</v>
      </c>
      <c r="AO579" s="362">
        <f t="shared" si="547"/>
        <v>17</v>
      </c>
      <c r="AP579" s="362" t="str">
        <f t="shared" si="548"/>
        <v>X</v>
      </c>
      <c r="AQ579" s="362" t="str">
        <f t="shared" si="549"/>
        <v>O</v>
      </c>
      <c r="AR579" s="362" t="str">
        <f t="shared" si="550"/>
        <v>X</v>
      </c>
      <c r="AS579" s="362" t="str">
        <f t="shared" si="551"/>
        <v>X</v>
      </c>
      <c r="AT579" s="362" t="str">
        <f t="shared" si="552"/>
        <v>X</v>
      </c>
      <c r="AU579" s="362" t="str">
        <f t="shared" si="553"/>
        <v>X</v>
      </c>
      <c r="AV579" s="362" t="str">
        <f t="shared" si="554"/>
        <v>X</v>
      </c>
      <c r="AW579" s="362" t="str">
        <f t="shared" si="555"/>
        <v>X</v>
      </c>
      <c r="AX579" s="362" t="str">
        <f t="shared" si="556"/>
        <v>X</v>
      </c>
      <c r="AY579" s="362" t="str">
        <f t="shared" si="557"/>
        <v>X</v>
      </c>
      <c r="AZ579" s="362" t="str">
        <f t="shared" si="558"/>
        <v>X</v>
      </c>
      <c r="BA579" s="362" t="str">
        <f t="shared" si="559"/>
        <v>O</v>
      </c>
      <c r="BB579" s="362">
        <f t="shared" si="560"/>
        <v>2</v>
      </c>
      <c r="BC579" s="362" t="str">
        <f t="shared" si="561"/>
        <v>1G</v>
      </c>
      <c r="BD579" s="362" t="str">
        <f t="shared" si="562"/>
        <v>1G</v>
      </c>
      <c r="BE579" s="362" t="str">
        <f t="shared" si="563"/>
        <v>1G</v>
      </c>
      <c r="BF579" s="362" t="str">
        <f t="shared" si="564"/>
        <v>2G</v>
      </c>
      <c r="BG579" s="362" t="str">
        <f t="shared" si="565"/>
        <v>3G</v>
      </c>
      <c r="BH579" s="362" t="str">
        <f t="shared" si="566"/>
        <v>3G</v>
      </c>
      <c r="BI579" s="362">
        <f t="shared" si="416"/>
        <v>3</v>
      </c>
      <c r="BJ579" s="362">
        <f t="shared" si="417"/>
        <v>1</v>
      </c>
      <c r="BK579" s="362">
        <f t="shared" si="418"/>
        <v>2</v>
      </c>
      <c r="BL579" s="362" t="str">
        <f t="shared" si="567"/>
        <v>312</v>
      </c>
      <c r="BS579"/>
    </row>
    <row r="580" spans="2:71" ht="16.5" hidden="1">
      <c r="B580" s="360">
        <v>577</v>
      </c>
      <c r="C580" s="355"/>
      <c r="D580" s="359"/>
      <c r="E580" s="359"/>
      <c r="F580" s="359"/>
      <c r="G580" s="359"/>
      <c r="H580" s="359"/>
      <c r="I580" s="359"/>
      <c r="J580" s="359"/>
      <c r="K580" s="359"/>
      <c r="L580" s="359"/>
      <c r="M580" s="359"/>
      <c r="N580" s="361">
        <v>16</v>
      </c>
      <c r="O580" s="361">
        <v>17</v>
      </c>
      <c r="P580" s="361">
        <v>22</v>
      </c>
      <c r="Q580" s="361">
        <v>31</v>
      </c>
      <c r="R580" s="361">
        <v>34</v>
      </c>
      <c r="S580" s="361">
        <v>37</v>
      </c>
      <c r="T580" s="363">
        <v>33</v>
      </c>
      <c r="U580" s="363">
        <f t="shared" si="528"/>
        <v>157</v>
      </c>
      <c r="V580" s="363"/>
      <c r="W580" s="362" t="str">
        <f t="shared" si="529"/>
        <v>짝수</v>
      </c>
      <c r="X580" s="362" t="str">
        <f t="shared" si="530"/>
        <v>홀수</v>
      </c>
      <c r="Y580" s="362" t="str">
        <f t="shared" si="531"/>
        <v>짝수</v>
      </c>
      <c r="Z580" s="362" t="str">
        <f t="shared" si="532"/>
        <v>홀수</v>
      </c>
      <c r="AA580" s="363" t="str">
        <f t="shared" si="533"/>
        <v>짝수</v>
      </c>
      <c r="AB580" s="363" t="str">
        <f t="shared" si="534"/>
        <v>홀수</v>
      </c>
      <c r="AC580" s="362" t="str">
        <f t="shared" si="535"/>
        <v>3 : 3</v>
      </c>
      <c r="AD580" s="362">
        <f t="shared" si="536"/>
        <v>3</v>
      </c>
      <c r="AE580" s="362">
        <f t="shared" si="537"/>
        <v>3</v>
      </c>
      <c r="AF580" s="362" t="str">
        <f t="shared" si="538"/>
        <v>저수</v>
      </c>
      <c r="AG580" s="362" t="str">
        <f t="shared" si="539"/>
        <v>저수</v>
      </c>
      <c r="AH580" s="362" t="str">
        <f t="shared" si="540"/>
        <v>저수</v>
      </c>
      <c r="AI580" s="362" t="str">
        <f t="shared" si="541"/>
        <v>고수</v>
      </c>
      <c r="AJ580" s="362" t="str">
        <f t="shared" si="542"/>
        <v>고수</v>
      </c>
      <c r="AK580" s="362" t="str">
        <f t="shared" si="543"/>
        <v>고수</v>
      </c>
      <c r="AL580" s="362" t="str">
        <f t="shared" si="544"/>
        <v>3 : 3</v>
      </c>
      <c r="AM580" s="362">
        <f t="shared" si="545"/>
        <v>3</v>
      </c>
      <c r="AN580" s="362">
        <f t="shared" si="546"/>
        <v>3</v>
      </c>
      <c r="AO580" s="362">
        <f t="shared" si="547"/>
        <v>27</v>
      </c>
      <c r="AP580" s="362" t="str">
        <f t="shared" si="548"/>
        <v>X</v>
      </c>
      <c r="AQ580" s="362" t="str">
        <f t="shared" si="549"/>
        <v>O</v>
      </c>
      <c r="AR580" s="362" t="str">
        <f t="shared" si="550"/>
        <v>X</v>
      </c>
      <c r="AS580" s="362" t="str">
        <f t="shared" si="551"/>
        <v>X</v>
      </c>
      <c r="AT580" s="362" t="str">
        <f t="shared" si="552"/>
        <v>X</v>
      </c>
      <c r="AU580" s="362" t="str">
        <f t="shared" si="553"/>
        <v>X</v>
      </c>
      <c r="AV580" s="362" t="str">
        <f t="shared" si="554"/>
        <v>X</v>
      </c>
      <c r="AW580" s="362" t="str">
        <f t="shared" si="555"/>
        <v>X</v>
      </c>
      <c r="AX580" s="362" t="str">
        <f t="shared" si="556"/>
        <v>X</v>
      </c>
      <c r="AY580" s="362" t="str">
        <f t="shared" si="557"/>
        <v>O</v>
      </c>
      <c r="AZ580" s="362" t="str">
        <f t="shared" si="558"/>
        <v>X</v>
      </c>
      <c r="BA580" s="362" t="str">
        <f t="shared" si="559"/>
        <v>O</v>
      </c>
      <c r="BB580" s="362">
        <f t="shared" si="560"/>
        <v>3</v>
      </c>
      <c r="BC580" s="362" t="str">
        <f t="shared" si="561"/>
        <v>2G</v>
      </c>
      <c r="BD580" s="362" t="str">
        <f t="shared" si="562"/>
        <v>2G</v>
      </c>
      <c r="BE580" s="362" t="str">
        <f t="shared" si="563"/>
        <v>2G</v>
      </c>
      <c r="BF580" s="362" t="str">
        <f t="shared" si="564"/>
        <v>3G</v>
      </c>
      <c r="BG580" s="362" t="str">
        <f t="shared" si="565"/>
        <v>3G</v>
      </c>
      <c r="BH580" s="362" t="str">
        <f t="shared" si="566"/>
        <v>3G</v>
      </c>
      <c r="BI580" s="362">
        <f t="shared" si="416"/>
        <v>0</v>
      </c>
      <c r="BJ580" s="362">
        <f t="shared" si="417"/>
        <v>3</v>
      </c>
      <c r="BK580" s="362">
        <f t="shared" si="418"/>
        <v>3</v>
      </c>
      <c r="BL580" s="362" t="str">
        <f t="shared" si="567"/>
        <v>033</v>
      </c>
      <c r="BS580"/>
    </row>
    <row r="581" spans="2:71" ht="16.5" hidden="1">
      <c r="B581" s="360">
        <v>578</v>
      </c>
      <c r="C581" s="355"/>
      <c r="D581" s="359"/>
      <c r="E581" s="359"/>
      <c r="F581" s="359"/>
      <c r="G581" s="359"/>
      <c r="H581" s="359"/>
      <c r="I581" s="359"/>
      <c r="J581" s="359"/>
      <c r="K581" s="359"/>
      <c r="L581" s="359"/>
      <c r="M581" s="359"/>
      <c r="N581" s="361">
        <v>5</v>
      </c>
      <c r="O581" s="361">
        <v>12</v>
      </c>
      <c r="P581" s="361">
        <v>14</v>
      </c>
      <c r="Q581" s="361">
        <v>32</v>
      </c>
      <c r="R581" s="361">
        <v>34</v>
      </c>
      <c r="S581" s="361">
        <v>42</v>
      </c>
      <c r="T581" s="363">
        <v>16</v>
      </c>
      <c r="U581" s="363">
        <f t="shared" si="528"/>
        <v>139</v>
      </c>
      <c r="V581" s="363"/>
      <c r="W581" s="362" t="str">
        <f t="shared" si="529"/>
        <v>홀수</v>
      </c>
      <c r="X581" s="362" t="str">
        <f t="shared" si="530"/>
        <v>짝수</v>
      </c>
      <c r="Y581" s="362" t="str">
        <f t="shared" si="531"/>
        <v>짝수</v>
      </c>
      <c r="Z581" s="362" t="str">
        <f t="shared" si="532"/>
        <v>짝수</v>
      </c>
      <c r="AA581" s="363" t="str">
        <f t="shared" si="533"/>
        <v>짝수</v>
      </c>
      <c r="AB581" s="363" t="str">
        <f t="shared" si="534"/>
        <v>짝수</v>
      </c>
      <c r="AC581" s="362" t="str">
        <f t="shared" si="535"/>
        <v>1 : 5</v>
      </c>
      <c r="AD581" s="362">
        <f t="shared" si="536"/>
        <v>1</v>
      </c>
      <c r="AE581" s="362">
        <f t="shared" si="537"/>
        <v>5</v>
      </c>
      <c r="AF581" s="362" t="str">
        <f t="shared" si="538"/>
        <v>저수</v>
      </c>
      <c r="AG581" s="362" t="str">
        <f t="shared" si="539"/>
        <v>저수</v>
      </c>
      <c r="AH581" s="362" t="str">
        <f t="shared" si="540"/>
        <v>저수</v>
      </c>
      <c r="AI581" s="362" t="str">
        <f t="shared" si="541"/>
        <v>고수</v>
      </c>
      <c r="AJ581" s="362" t="str">
        <f t="shared" si="542"/>
        <v>고수</v>
      </c>
      <c r="AK581" s="362" t="str">
        <f t="shared" si="543"/>
        <v>고수</v>
      </c>
      <c r="AL581" s="362" t="str">
        <f t="shared" si="544"/>
        <v>3 : 3</v>
      </c>
      <c r="AM581" s="362">
        <f t="shared" si="545"/>
        <v>3</v>
      </c>
      <c r="AN581" s="362">
        <f t="shared" si="546"/>
        <v>3</v>
      </c>
      <c r="AO581" s="362">
        <f t="shared" si="547"/>
        <v>19</v>
      </c>
      <c r="AP581" s="362" t="str">
        <f t="shared" si="548"/>
        <v>O</v>
      </c>
      <c r="AQ581" s="362" t="str">
        <f t="shared" si="549"/>
        <v>X</v>
      </c>
      <c r="AR581" s="362" t="str">
        <f t="shared" si="550"/>
        <v>X</v>
      </c>
      <c r="AS581" s="362" t="str">
        <f t="shared" si="551"/>
        <v>X</v>
      </c>
      <c r="AT581" s="362" t="str">
        <f t="shared" si="552"/>
        <v>X</v>
      </c>
      <c r="AU581" s="362" t="str">
        <f t="shared" si="553"/>
        <v>X</v>
      </c>
      <c r="AV581" s="362" t="str">
        <f t="shared" si="554"/>
        <v>X</v>
      </c>
      <c r="AW581" s="362" t="str">
        <f t="shared" si="555"/>
        <v>X</v>
      </c>
      <c r="AX581" s="362" t="str">
        <f t="shared" si="556"/>
        <v>X</v>
      </c>
      <c r="AY581" s="362" t="str">
        <f t="shared" si="557"/>
        <v>X</v>
      </c>
      <c r="AZ581" s="362" t="str">
        <f t="shared" si="558"/>
        <v>X</v>
      </c>
      <c r="BA581" s="362" t="str">
        <f t="shared" si="559"/>
        <v>X</v>
      </c>
      <c r="BB581" s="362">
        <f t="shared" si="560"/>
        <v>1</v>
      </c>
      <c r="BC581" s="362" t="str">
        <f t="shared" si="561"/>
        <v>1G</v>
      </c>
      <c r="BD581" s="362" t="str">
        <f t="shared" si="562"/>
        <v>1G</v>
      </c>
      <c r="BE581" s="362" t="str">
        <f t="shared" si="563"/>
        <v>1G</v>
      </c>
      <c r="BF581" s="362" t="str">
        <f t="shared" si="564"/>
        <v>3G</v>
      </c>
      <c r="BG581" s="362" t="str">
        <f t="shared" si="565"/>
        <v>3G</v>
      </c>
      <c r="BH581" s="362" t="str">
        <f t="shared" si="566"/>
        <v>3G</v>
      </c>
      <c r="BI581" s="362">
        <f t="shared" si="416"/>
        <v>3</v>
      </c>
      <c r="BJ581" s="362">
        <f t="shared" si="417"/>
        <v>0</v>
      </c>
      <c r="BK581" s="362">
        <f t="shared" si="418"/>
        <v>3</v>
      </c>
      <c r="BL581" s="362" t="str">
        <f t="shared" si="567"/>
        <v>303</v>
      </c>
      <c r="BS581"/>
    </row>
    <row r="582" spans="2:71" ht="16.5" hidden="1">
      <c r="B582" s="360">
        <v>579</v>
      </c>
      <c r="C582" s="355"/>
      <c r="D582" s="359"/>
      <c r="E582" s="359"/>
      <c r="F582" s="359"/>
      <c r="G582" s="359"/>
      <c r="H582" s="359"/>
      <c r="I582" s="359"/>
      <c r="J582" s="359"/>
      <c r="K582" s="359"/>
      <c r="L582" s="359"/>
      <c r="M582" s="359"/>
      <c r="N582" s="361">
        <v>5</v>
      </c>
      <c r="O582" s="361">
        <v>7</v>
      </c>
      <c r="P582" s="361">
        <v>20</v>
      </c>
      <c r="Q582" s="361">
        <v>22</v>
      </c>
      <c r="R582" s="361">
        <v>37</v>
      </c>
      <c r="S582" s="361">
        <v>42</v>
      </c>
      <c r="T582" s="363">
        <v>39</v>
      </c>
      <c r="U582" s="363">
        <f t="shared" si="528"/>
        <v>133</v>
      </c>
      <c r="V582" s="363"/>
      <c r="W582" s="362" t="str">
        <f t="shared" si="529"/>
        <v>홀수</v>
      </c>
      <c r="X582" s="362" t="str">
        <f t="shared" si="530"/>
        <v>홀수</v>
      </c>
      <c r="Y582" s="362" t="str">
        <f t="shared" si="531"/>
        <v>짝수</v>
      </c>
      <c r="Z582" s="362" t="str">
        <f t="shared" si="532"/>
        <v>짝수</v>
      </c>
      <c r="AA582" s="363" t="str">
        <f t="shared" si="533"/>
        <v>홀수</v>
      </c>
      <c r="AB582" s="363" t="str">
        <f t="shared" si="534"/>
        <v>짝수</v>
      </c>
      <c r="AC582" s="362" t="str">
        <f t="shared" si="535"/>
        <v>3 : 3</v>
      </c>
      <c r="AD582" s="362">
        <f t="shared" si="536"/>
        <v>3</v>
      </c>
      <c r="AE582" s="362">
        <f t="shared" si="537"/>
        <v>3</v>
      </c>
      <c r="AF582" s="362" t="str">
        <f t="shared" si="538"/>
        <v>저수</v>
      </c>
      <c r="AG582" s="362" t="str">
        <f t="shared" si="539"/>
        <v>저수</v>
      </c>
      <c r="AH582" s="362" t="str">
        <f t="shared" si="540"/>
        <v>저수</v>
      </c>
      <c r="AI582" s="362" t="str">
        <f t="shared" si="541"/>
        <v>저수</v>
      </c>
      <c r="AJ582" s="362" t="str">
        <f t="shared" si="542"/>
        <v>고수</v>
      </c>
      <c r="AK582" s="362" t="str">
        <f t="shared" si="543"/>
        <v>고수</v>
      </c>
      <c r="AL582" s="362" t="str">
        <f t="shared" si="544"/>
        <v>4 : 2</v>
      </c>
      <c r="AM582" s="362">
        <f t="shared" si="545"/>
        <v>4</v>
      </c>
      <c r="AN582" s="362">
        <f t="shared" si="546"/>
        <v>2</v>
      </c>
      <c r="AO582" s="362">
        <f t="shared" si="547"/>
        <v>23</v>
      </c>
      <c r="AP582" s="362" t="str">
        <f t="shared" si="548"/>
        <v>O</v>
      </c>
      <c r="AQ582" s="362" t="str">
        <f t="shared" si="549"/>
        <v>O</v>
      </c>
      <c r="AR582" s="362" t="str">
        <f t="shared" si="550"/>
        <v>X</v>
      </c>
      <c r="AS582" s="362" t="str">
        <f t="shared" si="551"/>
        <v>X</v>
      </c>
      <c r="AT582" s="362" t="str">
        <f t="shared" si="552"/>
        <v>X</v>
      </c>
      <c r="AU582" s="362" t="str">
        <f t="shared" si="553"/>
        <v>X</v>
      </c>
      <c r="AV582" s="362" t="str">
        <f t="shared" si="554"/>
        <v>X</v>
      </c>
      <c r="AW582" s="362" t="str">
        <f t="shared" si="555"/>
        <v>X</v>
      </c>
      <c r="AX582" s="362" t="str">
        <f t="shared" si="556"/>
        <v>X</v>
      </c>
      <c r="AY582" s="362" t="str">
        <f t="shared" si="557"/>
        <v>X</v>
      </c>
      <c r="AZ582" s="362" t="str">
        <f t="shared" si="558"/>
        <v>O</v>
      </c>
      <c r="BA582" s="362" t="str">
        <f t="shared" si="559"/>
        <v>X</v>
      </c>
      <c r="BB582" s="362">
        <f t="shared" si="560"/>
        <v>3</v>
      </c>
      <c r="BC582" s="362" t="str">
        <f t="shared" si="561"/>
        <v>1G</v>
      </c>
      <c r="BD582" s="362" t="str">
        <f t="shared" si="562"/>
        <v>1G</v>
      </c>
      <c r="BE582" s="362" t="str">
        <f t="shared" si="563"/>
        <v>2G</v>
      </c>
      <c r="BF582" s="362" t="str">
        <f t="shared" si="564"/>
        <v>2G</v>
      </c>
      <c r="BG582" s="362" t="str">
        <f t="shared" si="565"/>
        <v>3G</v>
      </c>
      <c r="BH582" s="362" t="str">
        <f t="shared" si="566"/>
        <v>3G</v>
      </c>
      <c r="BI582" s="362">
        <f t="shared" ref="BI582:BI702" si="568">COUNTIF($BC582:$BH582,"1G")</f>
        <v>2</v>
      </c>
      <c r="BJ582" s="362">
        <f t="shared" ref="BJ582:BJ702" si="569">COUNTIF($BC582:$BH582,"2G")</f>
        <v>2</v>
      </c>
      <c r="BK582" s="362">
        <f t="shared" ref="BK582:BK702" si="570">COUNTIF($BC582:$BH582,"3G")</f>
        <v>2</v>
      </c>
      <c r="BL582" s="362" t="str">
        <f t="shared" si="567"/>
        <v>222</v>
      </c>
      <c r="BS582"/>
    </row>
    <row r="583" spans="2:71" ht="16.5" hidden="1">
      <c r="B583" s="360">
        <v>580</v>
      </c>
      <c r="C583" s="355"/>
      <c r="D583" s="359"/>
      <c r="E583" s="359"/>
      <c r="F583" s="359"/>
      <c r="G583" s="359"/>
      <c r="H583" s="359"/>
      <c r="I583" s="359"/>
      <c r="J583" s="359"/>
      <c r="K583" s="359"/>
      <c r="L583" s="359"/>
      <c r="M583" s="359"/>
      <c r="N583" s="361">
        <v>5</v>
      </c>
      <c r="O583" s="361">
        <v>7</v>
      </c>
      <c r="P583" s="361">
        <v>9</v>
      </c>
      <c r="Q583" s="361">
        <v>11</v>
      </c>
      <c r="R583" s="361">
        <v>32</v>
      </c>
      <c r="S583" s="361">
        <v>35</v>
      </c>
      <c r="T583" s="363">
        <v>33</v>
      </c>
      <c r="U583" s="363">
        <f t="shared" si="528"/>
        <v>99</v>
      </c>
      <c r="V583" s="363"/>
      <c r="W583" s="362" t="str">
        <f t="shared" si="529"/>
        <v>홀수</v>
      </c>
      <c r="X583" s="362" t="str">
        <f t="shared" si="530"/>
        <v>홀수</v>
      </c>
      <c r="Y583" s="362" t="str">
        <f t="shared" si="531"/>
        <v>홀수</v>
      </c>
      <c r="Z583" s="362" t="str">
        <f t="shared" si="532"/>
        <v>홀수</v>
      </c>
      <c r="AA583" s="363" t="str">
        <f t="shared" si="533"/>
        <v>짝수</v>
      </c>
      <c r="AB583" s="363" t="str">
        <f t="shared" si="534"/>
        <v>홀수</v>
      </c>
      <c r="AC583" s="362" t="str">
        <f t="shared" si="535"/>
        <v>5 : 1</v>
      </c>
      <c r="AD583" s="362">
        <f t="shared" si="536"/>
        <v>5</v>
      </c>
      <c r="AE583" s="362">
        <f t="shared" si="537"/>
        <v>1</v>
      </c>
      <c r="AF583" s="362" t="str">
        <f t="shared" si="538"/>
        <v>저수</v>
      </c>
      <c r="AG583" s="362" t="str">
        <f t="shared" si="539"/>
        <v>저수</v>
      </c>
      <c r="AH583" s="362" t="str">
        <f t="shared" si="540"/>
        <v>저수</v>
      </c>
      <c r="AI583" s="362" t="str">
        <f t="shared" si="541"/>
        <v>저수</v>
      </c>
      <c r="AJ583" s="362" t="str">
        <f t="shared" si="542"/>
        <v>고수</v>
      </c>
      <c r="AK583" s="362" t="str">
        <f t="shared" si="543"/>
        <v>고수</v>
      </c>
      <c r="AL583" s="362" t="str">
        <f t="shared" si="544"/>
        <v>4 : 2</v>
      </c>
      <c r="AM583" s="362">
        <f t="shared" si="545"/>
        <v>4</v>
      </c>
      <c r="AN583" s="362">
        <f t="shared" si="546"/>
        <v>2</v>
      </c>
      <c r="AO583" s="362">
        <f t="shared" si="547"/>
        <v>29</v>
      </c>
      <c r="AP583" s="362" t="str">
        <f t="shared" si="548"/>
        <v>O</v>
      </c>
      <c r="AQ583" s="362" t="str">
        <f t="shared" si="549"/>
        <v>O</v>
      </c>
      <c r="AR583" s="362" t="str">
        <f t="shared" si="550"/>
        <v>X</v>
      </c>
      <c r="AS583" s="362" t="str">
        <f t="shared" si="551"/>
        <v>O</v>
      </c>
      <c r="AT583" s="362" t="str">
        <f t="shared" si="552"/>
        <v>X</v>
      </c>
      <c r="AU583" s="362" t="str">
        <f t="shared" si="553"/>
        <v>X</v>
      </c>
      <c r="AV583" s="362" t="str">
        <f t="shared" si="554"/>
        <v>X</v>
      </c>
      <c r="AW583" s="362" t="str">
        <f t="shared" si="555"/>
        <v>X</v>
      </c>
      <c r="AX583" s="362" t="str">
        <f t="shared" si="556"/>
        <v>X</v>
      </c>
      <c r="AY583" s="362" t="str">
        <f t="shared" si="557"/>
        <v>X</v>
      </c>
      <c r="AZ583" s="362" t="str">
        <f t="shared" si="558"/>
        <v>X</v>
      </c>
      <c r="BA583" s="362" t="str">
        <f t="shared" si="559"/>
        <v>X</v>
      </c>
      <c r="BB583" s="362">
        <f t="shared" si="560"/>
        <v>3</v>
      </c>
      <c r="BC583" s="362" t="str">
        <f t="shared" si="561"/>
        <v>1G</v>
      </c>
      <c r="BD583" s="362" t="str">
        <f t="shared" si="562"/>
        <v>1G</v>
      </c>
      <c r="BE583" s="362" t="str">
        <f t="shared" si="563"/>
        <v>1G</v>
      </c>
      <c r="BF583" s="362" t="str">
        <f t="shared" si="564"/>
        <v>1G</v>
      </c>
      <c r="BG583" s="362" t="str">
        <f t="shared" si="565"/>
        <v>3G</v>
      </c>
      <c r="BH583" s="362" t="str">
        <f t="shared" si="566"/>
        <v>3G</v>
      </c>
      <c r="BI583" s="362">
        <f t="shared" si="568"/>
        <v>4</v>
      </c>
      <c r="BJ583" s="362">
        <f t="shared" si="569"/>
        <v>0</v>
      </c>
      <c r="BK583" s="362">
        <f t="shared" si="570"/>
        <v>2</v>
      </c>
      <c r="BL583" s="362" t="str">
        <f t="shared" si="567"/>
        <v>402</v>
      </c>
      <c r="BS583"/>
    </row>
    <row r="584" spans="2:71" ht="16.5" hidden="1">
      <c r="B584" s="360">
        <v>581</v>
      </c>
      <c r="C584" s="355" t="s">
        <v>957</v>
      </c>
      <c r="D584" s="359"/>
      <c r="E584" s="359"/>
      <c r="F584" s="359"/>
      <c r="G584" s="359"/>
      <c r="H584" s="359"/>
      <c r="I584" s="359"/>
      <c r="J584" s="359"/>
      <c r="K584" s="359"/>
      <c r="L584" s="359"/>
      <c r="M584" s="359"/>
      <c r="N584" s="361">
        <v>3</v>
      </c>
      <c r="O584" s="361">
        <v>5</v>
      </c>
      <c r="P584" s="361">
        <v>14</v>
      </c>
      <c r="Q584" s="361">
        <v>20</v>
      </c>
      <c r="R584" s="361">
        <v>42</v>
      </c>
      <c r="S584" s="361">
        <v>44</v>
      </c>
      <c r="T584" s="363">
        <v>33</v>
      </c>
      <c r="U584" s="363">
        <f t="shared" si="528"/>
        <v>128</v>
      </c>
      <c r="V584" s="363"/>
      <c r="W584" s="362" t="str">
        <f t="shared" si="529"/>
        <v>홀수</v>
      </c>
      <c r="X584" s="362" t="str">
        <f t="shared" si="530"/>
        <v>홀수</v>
      </c>
      <c r="Y584" s="362" t="str">
        <f t="shared" si="531"/>
        <v>짝수</v>
      </c>
      <c r="Z584" s="362" t="str">
        <f t="shared" si="532"/>
        <v>짝수</v>
      </c>
      <c r="AA584" s="363" t="str">
        <f t="shared" si="533"/>
        <v>짝수</v>
      </c>
      <c r="AB584" s="363" t="str">
        <f t="shared" si="534"/>
        <v>짝수</v>
      </c>
      <c r="AC584" s="362" t="str">
        <f t="shared" si="535"/>
        <v>2 : 4</v>
      </c>
      <c r="AD584" s="362">
        <f t="shared" si="536"/>
        <v>2</v>
      </c>
      <c r="AE584" s="362">
        <f t="shared" si="537"/>
        <v>4</v>
      </c>
      <c r="AF584" s="362" t="str">
        <f t="shared" si="538"/>
        <v>저수</v>
      </c>
      <c r="AG584" s="362" t="str">
        <f t="shared" si="539"/>
        <v>저수</v>
      </c>
      <c r="AH584" s="362" t="str">
        <f t="shared" si="540"/>
        <v>저수</v>
      </c>
      <c r="AI584" s="362" t="str">
        <f t="shared" si="541"/>
        <v>저수</v>
      </c>
      <c r="AJ584" s="362" t="str">
        <f t="shared" si="542"/>
        <v>고수</v>
      </c>
      <c r="AK584" s="362" t="str">
        <f t="shared" si="543"/>
        <v>고수</v>
      </c>
      <c r="AL584" s="362" t="str">
        <f t="shared" si="544"/>
        <v>4 : 2</v>
      </c>
      <c r="AM584" s="362">
        <f t="shared" si="545"/>
        <v>4</v>
      </c>
      <c r="AN584" s="362">
        <f t="shared" si="546"/>
        <v>2</v>
      </c>
      <c r="AO584" s="362">
        <f t="shared" si="547"/>
        <v>18</v>
      </c>
      <c r="AP584" s="362" t="str">
        <f t="shared" si="548"/>
        <v>O</v>
      </c>
      <c r="AQ584" s="362" t="str">
        <f t="shared" si="549"/>
        <v>O</v>
      </c>
      <c r="AR584" s="362" t="str">
        <f t="shared" si="550"/>
        <v>X</v>
      </c>
      <c r="AS584" s="362" t="str">
        <f t="shared" si="551"/>
        <v>X</v>
      </c>
      <c r="AT584" s="362" t="str">
        <f t="shared" si="552"/>
        <v>X</v>
      </c>
      <c r="AU584" s="362" t="str">
        <f t="shared" si="553"/>
        <v>X</v>
      </c>
      <c r="AV584" s="362" t="str">
        <f t="shared" si="554"/>
        <v>X</v>
      </c>
      <c r="AW584" s="362" t="str">
        <f t="shared" si="555"/>
        <v>X</v>
      </c>
      <c r="AX584" s="362" t="str">
        <f t="shared" si="556"/>
        <v>X</v>
      </c>
      <c r="AY584" s="362" t="str">
        <f t="shared" si="557"/>
        <v>X</v>
      </c>
      <c r="AZ584" s="362" t="str">
        <f t="shared" si="558"/>
        <v>X</v>
      </c>
      <c r="BA584" s="362" t="str">
        <f t="shared" si="559"/>
        <v>X</v>
      </c>
      <c r="BB584" s="362">
        <f t="shared" si="560"/>
        <v>2</v>
      </c>
      <c r="BC584" s="362" t="str">
        <f t="shared" si="561"/>
        <v>1G</v>
      </c>
      <c r="BD584" s="362" t="str">
        <f t="shared" si="562"/>
        <v>1G</v>
      </c>
      <c r="BE584" s="362" t="str">
        <f t="shared" si="563"/>
        <v>1G</v>
      </c>
      <c r="BF584" s="362" t="str">
        <f t="shared" si="564"/>
        <v>2G</v>
      </c>
      <c r="BG584" s="362" t="str">
        <f t="shared" si="565"/>
        <v>3G</v>
      </c>
      <c r="BH584" s="362" t="str">
        <f t="shared" si="566"/>
        <v>3G</v>
      </c>
      <c r="BI584" s="362">
        <f t="shared" si="568"/>
        <v>3</v>
      </c>
      <c r="BJ584" s="362">
        <f t="shared" si="569"/>
        <v>1</v>
      </c>
      <c r="BK584" s="362">
        <f t="shared" si="570"/>
        <v>2</v>
      </c>
      <c r="BL584" s="362" t="str">
        <f t="shared" si="567"/>
        <v>312</v>
      </c>
      <c r="BS584"/>
    </row>
    <row r="585" spans="2:71" ht="16.5" hidden="1">
      <c r="B585" s="360">
        <v>582</v>
      </c>
      <c r="C585" s="355" t="s">
        <v>956</v>
      </c>
      <c r="D585" s="359"/>
      <c r="E585" s="359"/>
      <c r="F585" s="359"/>
      <c r="G585" s="359"/>
      <c r="H585" s="359"/>
      <c r="I585" s="359"/>
      <c r="J585" s="359"/>
      <c r="K585" s="359"/>
      <c r="L585" s="359"/>
      <c r="M585" s="359"/>
      <c r="N585" s="361">
        <v>2</v>
      </c>
      <c r="O585" s="361">
        <v>12</v>
      </c>
      <c r="P585" s="361">
        <v>14</v>
      </c>
      <c r="Q585" s="361">
        <v>33</v>
      </c>
      <c r="R585" s="361">
        <v>40</v>
      </c>
      <c r="S585" s="361">
        <v>41</v>
      </c>
      <c r="T585" s="363">
        <v>25</v>
      </c>
      <c r="U585" s="363">
        <f t="shared" si="528"/>
        <v>142</v>
      </c>
      <c r="V585" s="363"/>
      <c r="W585" s="362" t="str">
        <f t="shared" si="529"/>
        <v>짝수</v>
      </c>
      <c r="X585" s="362" t="str">
        <f t="shared" si="530"/>
        <v>짝수</v>
      </c>
      <c r="Y585" s="362" t="str">
        <f t="shared" si="531"/>
        <v>짝수</v>
      </c>
      <c r="Z585" s="362" t="str">
        <f t="shared" si="532"/>
        <v>홀수</v>
      </c>
      <c r="AA585" s="363" t="str">
        <f t="shared" si="533"/>
        <v>짝수</v>
      </c>
      <c r="AB585" s="363" t="str">
        <f t="shared" si="534"/>
        <v>홀수</v>
      </c>
      <c r="AC585" s="362" t="str">
        <f t="shared" si="535"/>
        <v>2 : 4</v>
      </c>
      <c r="AD585" s="362">
        <f t="shared" si="536"/>
        <v>2</v>
      </c>
      <c r="AE585" s="362">
        <f t="shared" si="537"/>
        <v>4</v>
      </c>
      <c r="AF585" s="362" t="str">
        <f t="shared" si="538"/>
        <v>저수</v>
      </c>
      <c r="AG585" s="362" t="str">
        <f t="shared" si="539"/>
        <v>저수</v>
      </c>
      <c r="AH585" s="362" t="str">
        <f t="shared" si="540"/>
        <v>저수</v>
      </c>
      <c r="AI585" s="362" t="str">
        <f t="shared" si="541"/>
        <v>고수</v>
      </c>
      <c r="AJ585" s="362" t="str">
        <f t="shared" si="542"/>
        <v>고수</v>
      </c>
      <c r="AK585" s="362" t="str">
        <f t="shared" si="543"/>
        <v>고수</v>
      </c>
      <c r="AL585" s="362" t="str">
        <f t="shared" si="544"/>
        <v>3 : 3</v>
      </c>
      <c r="AM585" s="362">
        <f t="shared" si="545"/>
        <v>3</v>
      </c>
      <c r="AN585" s="362">
        <f t="shared" si="546"/>
        <v>3</v>
      </c>
      <c r="AO585" s="362">
        <f t="shared" si="547"/>
        <v>12</v>
      </c>
      <c r="AP585" s="362" t="str">
        <f t="shared" si="548"/>
        <v>O</v>
      </c>
      <c r="AQ585" s="362" t="str">
        <f t="shared" si="549"/>
        <v>X</v>
      </c>
      <c r="AR585" s="362" t="str">
        <f t="shared" si="550"/>
        <v>X</v>
      </c>
      <c r="AS585" s="362" t="str">
        <f t="shared" si="551"/>
        <v>X</v>
      </c>
      <c r="AT585" s="362" t="str">
        <f t="shared" si="552"/>
        <v>X</v>
      </c>
      <c r="AU585" s="362" t="str">
        <f t="shared" si="553"/>
        <v>X</v>
      </c>
      <c r="AV585" s="362" t="str">
        <f t="shared" si="554"/>
        <v>X</v>
      </c>
      <c r="AW585" s="362" t="str">
        <f t="shared" si="555"/>
        <v>X</v>
      </c>
      <c r="AX585" s="362" t="str">
        <f t="shared" si="556"/>
        <v>X</v>
      </c>
      <c r="AY585" s="362" t="str">
        <f t="shared" si="557"/>
        <v>X</v>
      </c>
      <c r="AZ585" s="362" t="str">
        <f t="shared" si="558"/>
        <v>X</v>
      </c>
      <c r="BA585" s="362" t="str">
        <f t="shared" si="559"/>
        <v>O</v>
      </c>
      <c r="BB585" s="362">
        <f t="shared" si="560"/>
        <v>2</v>
      </c>
      <c r="BC585" s="362" t="str">
        <f t="shared" si="561"/>
        <v>1G</v>
      </c>
      <c r="BD585" s="362" t="str">
        <f t="shared" si="562"/>
        <v>1G</v>
      </c>
      <c r="BE585" s="362" t="str">
        <f t="shared" si="563"/>
        <v>1G</v>
      </c>
      <c r="BF585" s="362" t="str">
        <f t="shared" si="564"/>
        <v>3G</v>
      </c>
      <c r="BG585" s="362" t="str">
        <f t="shared" si="565"/>
        <v>3G</v>
      </c>
      <c r="BH585" s="362" t="str">
        <f t="shared" si="566"/>
        <v>3G</v>
      </c>
      <c r="BI585" s="362">
        <f t="shared" si="568"/>
        <v>3</v>
      </c>
      <c r="BJ585" s="362">
        <f t="shared" si="569"/>
        <v>0</v>
      </c>
      <c r="BK585" s="362">
        <f t="shared" si="570"/>
        <v>3</v>
      </c>
      <c r="BL585" s="362" t="str">
        <f t="shared" si="567"/>
        <v>303</v>
      </c>
      <c r="BS585"/>
    </row>
    <row r="586" spans="2:71" ht="16.5" hidden="1">
      <c r="B586" s="360">
        <v>583</v>
      </c>
      <c r="C586" s="355" t="s">
        <v>955</v>
      </c>
      <c r="D586" s="359"/>
      <c r="E586" s="359"/>
      <c r="F586" s="359"/>
      <c r="G586" s="359"/>
      <c r="H586" s="359"/>
      <c r="I586" s="359"/>
      <c r="J586" s="359"/>
      <c r="K586" s="359"/>
      <c r="L586" s="359"/>
      <c r="M586" s="359"/>
      <c r="N586" s="361">
        <v>8</v>
      </c>
      <c r="O586" s="361">
        <v>17</v>
      </c>
      <c r="P586" s="361">
        <v>27</v>
      </c>
      <c r="Q586" s="361">
        <v>33</v>
      </c>
      <c r="R586" s="361">
        <v>40</v>
      </c>
      <c r="S586" s="361">
        <v>44</v>
      </c>
      <c r="T586" s="363">
        <v>24</v>
      </c>
      <c r="U586" s="363">
        <f t="shared" si="528"/>
        <v>169</v>
      </c>
      <c r="V586" s="363"/>
      <c r="W586" s="362" t="str">
        <f t="shared" si="529"/>
        <v>짝수</v>
      </c>
      <c r="X586" s="362" t="str">
        <f t="shared" si="530"/>
        <v>홀수</v>
      </c>
      <c r="Y586" s="362" t="str">
        <f t="shared" si="531"/>
        <v>홀수</v>
      </c>
      <c r="Z586" s="362" t="str">
        <f t="shared" si="532"/>
        <v>홀수</v>
      </c>
      <c r="AA586" s="363" t="str">
        <f t="shared" si="533"/>
        <v>짝수</v>
      </c>
      <c r="AB586" s="363" t="str">
        <f t="shared" si="534"/>
        <v>짝수</v>
      </c>
      <c r="AC586" s="362" t="str">
        <f t="shared" si="535"/>
        <v>3 : 3</v>
      </c>
      <c r="AD586" s="362">
        <f t="shared" si="536"/>
        <v>3</v>
      </c>
      <c r="AE586" s="362">
        <f t="shared" si="537"/>
        <v>3</v>
      </c>
      <c r="AF586" s="362" t="str">
        <f t="shared" si="538"/>
        <v>저수</v>
      </c>
      <c r="AG586" s="362" t="str">
        <f t="shared" si="539"/>
        <v>저수</v>
      </c>
      <c r="AH586" s="362" t="str">
        <f t="shared" si="540"/>
        <v>고수</v>
      </c>
      <c r="AI586" s="362" t="str">
        <f t="shared" si="541"/>
        <v>고수</v>
      </c>
      <c r="AJ586" s="362" t="str">
        <f t="shared" si="542"/>
        <v>고수</v>
      </c>
      <c r="AK586" s="362" t="str">
        <f t="shared" si="543"/>
        <v>고수</v>
      </c>
      <c r="AL586" s="362" t="str">
        <f t="shared" si="544"/>
        <v>2 : 4</v>
      </c>
      <c r="AM586" s="362">
        <f t="shared" si="545"/>
        <v>2</v>
      </c>
      <c r="AN586" s="362">
        <f t="shared" si="546"/>
        <v>4</v>
      </c>
      <c r="AO586" s="362">
        <f t="shared" si="547"/>
        <v>29</v>
      </c>
      <c r="AP586" s="362" t="str">
        <f t="shared" si="548"/>
        <v>X</v>
      </c>
      <c r="AQ586" s="362" t="str">
        <f t="shared" si="549"/>
        <v>O</v>
      </c>
      <c r="AR586" s="362" t="str">
        <f t="shared" si="550"/>
        <v>X</v>
      </c>
      <c r="AS586" s="362" t="str">
        <f t="shared" si="551"/>
        <v>X</v>
      </c>
      <c r="AT586" s="362" t="str">
        <f t="shared" si="552"/>
        <v>X</v>
      </c>
      <c r="AU586" s="362" t="str">
        <f t="shared" si="553"/>
        <v>X</v>
      </c>
      <c r="AV586" s="362" t="str">
        <f t="shared" si="554"/>
        <v>X</v>
      </c>
      <c r="AW586" s="362" t="str">
        <f t="shared" si="555"/>
        <v>X</v>
      </c>
      <c r="AX586" s="362" t="str">
        <f t="shared" si="556"/>
        <v>X</v>
      </c>
      <c r="AY586" s="362" t="str">
        <f t="shared" si="557"/>
        <v>X</v>
      </c>
      <c r="AZ586" s="362" t="str">
        <f t="shared" si="558"/>
        <v>X</v>
      </c>
      <c r="BA586" s="362" t="str">
        <f t="shared" si="559"/>
        <v>X</v>
      </c>
      <c r="BB586" s="362">
        <f t="shared" si="560"/>
        <v>1</v>
      </c>
      <c r="BC586" s="362" t="str">
        <f t="shared" si="561"/>
        <v>1G</v>
      </c>
      <c r="BD586" s="362" t="str">
        <f t="shared" si="562"/>
        <v>2G</v>
      </c>
      <c r="BE586" s="362" t="str">
        <f t="shared" si="563"/>
        <v>2G</v>
      </c>
      <c r="BF586" s="362" t="str">
        <f t="shared" si="564"/>
        <v>3G</v>
      </c>
      <c r="BG586" s="362" t="str">
        <f t="shared" si="565"/>
        <v>3G</v>
      </c>
      <c r="BH586" s="362" t="str">
        <f t="shared" si="566"/>
        <v>3G</v>
      </c>
      <c r="BI586" s="362">
        <f t="shared" si="568"/>
        <v>1</v>
      </c>
      <c r="BJ586" s="362">
        <f t="shared" si="569"/>
        <v>2</v>
      </c>
      <c r="BK586" s="362">
        <f t="shared" si="570"/>
        <v>3</v>
      </c>
      <c r="BL586" s="362" t="str">
        <f t="shared" si="567"/>
        <v>123</v>
      </c>
      <c r="BS586"/>
    </row>
    <row r="587" spans="2:71" ht="16.5" hidden="1">
      <c r="B587" s="360">
        <v>584</v>
      </c>
      <c r="C587" s="355" t="s">
        <v>954</v>
      </c>
      <c r="D587" s="359"/>
      <c r="E587" s="359"/>
      <c r="F587" s="359"/>
      <c r="G587" s="359"/>
      <c r="H587" s="359"/>
      <c r="I587" s="359"/>
      <c r="J587" s="359"/>
      <c r="K587" s="359"/>
      <c r="L587" s="359"/>
      <c r="M587" s="359"/>
      <c r="N587" s="361">
        <v>7</v>
      </c>
      <c r="O587" s="361">
        <v>18</v>
      </c>
      <c r="P587" s="361">
        <v>30</v>
      </c>
      <c r="Q587" s="361">
        <v>39</v>
      </c>
      <c r="R587" s="361">
        <v>40</v>
      </c>
      <c r="S587" s="361">
        <v>41</v>
      </c>
      <c r="T587" s="363">
        <v>36</v>
      </c>
      <c r="U587" s="363">
        <f t="shared" si="528"/>
        <v>175</v>
      </c>
      <c r="V587" s="363"/>
      <c r="W587" s="362" t="str">
        <f t="shared" si="529"/>
        <v>홀수</v>
      </c>
      <c r="X587" s="362" t="str">
        <f t="shared" si="530"/>
        <v>짝수</v>
      </c>
      <c r="Y587" s="362" t="str">
        <f t="shared" si="531"/>
        <v>짝수</v>
      </c>
      <c r="Z587" s="362" t="str">
        <f t="shared" si="532"/>
        <v>홀수</v>
      </c>
      <c r="AA587" s="363" t="str">
        <f t="shared" si="533"/>
        <v>짝수</v>
      </c>
      <c r="AB587" s="363" t="str">
        <f t="shared" si="534"/>
        <v>홀수</v>
      </c>
      <c r="AC587" s="362" t="str">
        <f t="shared" si="535"/>
        <v>3 : 3</v>
      </c>
      <c r="AD587" s="362">
        <f t="shared" si="536"/>
        <v>3</v>
      </c>
      <c r="AE587" s="362">
        <f t="shared" si="537"/>
        <v>3</v>
      </c>
      <c r="AF587" s="362" t="str">
        <f t="shared" si="538"/>
        <v>저수</v>
      </c>
      <c r="AG587" s="362" t="str">
        <f t="shared" si="539"/>
        <v>저수</v>
      </c>
      <c r="AH587" s="362" t="str">
        <f t="shared" si="540"/>
        <v>고수</v>
      </c>
      <c r="AI587" s="362" t="str">
        <f t="shared" si="541"/>
        <v>고수</v>
      </c>
      <c r="AJ587" s="362" t="str">
        <f t="shared" si="542"/>
        <v>고수</v>
      </c>
      <c r="AK587" s="362" t="str">
        <f t="shared" si="543"/>
        <v>고수</v>
      </c>
      <c r="AL587" s="362" t="str">
        <f t="shared" si="544"/>
        <v>2 : 4</v>
      </c>
      <c r="AM587" s="362">
        <f t="shared" si="545"/>
        <v>2</v>
      </c>
      <c r="AN587" s="362">
        <f t="shared" si="546"/>
        <v>4</v>
      </c>
      <c r="AO587" s="362">
        <f t="shared" si="547"/>
        <v>25</v>
      </c>
      <c r="AP587" s="362" t="str">
        <f t="shared" si="548"/>
        <v>O</v>
      </c>
      <c r="AQ587" s="362" t="str">
        <f t="shared" si="549"/>
        <v>X</v>
      </c>
      <c r="AR587" s="362" t="str">
        <f t="shared" si="550"/>
        <v>X</v>
      </c>
      <c r="AS587" s="362" t="str">
        <f t="shared" si="551"/>
        <v>X</v>
      </c>
      <c r="AT587" s="362" t="str">
        <f t="shared" si="552"/>
        <v>X</v>
      </c>
      <c r="AU587" s="362" t="str">
        <f t="shared" si="553"/>
        <v>X</v>
      </c>
      <c r="AV587" s="362" t="str">
        <f t="shared" si="554"/>
        <v>X</v>
      </c>
      <c r="AW587" s="362" t="str">
        <f t="shared" si="555"/>
        <v>X</v>
      </c>
      <c r="AX587" s="362" t="str">
        <f t="shared" si="556"/>
        <v>X</v>
      </c>
      <c r="AY587" s="362" t="str">
        <f t="shared" si="557"/>
        <v>X</v>
      </c>
      <c r="AZ587" s="362" t="str">
        <f t="shared" si="558"/>
        <v>X</v>
      </c>
      <c r="BA587" s="362" t="str">
        <f t="shared" si="559"/>
        <v>O</v>
      </c>
      <c r="BB587" s="362">
        <f t="shared" si="560"/>
        <v>2</v>
      </c>
      <c r="BC587" s="362" t="str">
        <f t="shared" si="561"/>
        <v>1G</v>
      </c>
      <c r="BD587" s="362" t="str">
        <f t="shared" si="562"/>
        <v>2G</v>
      </c>
      <c r="BE587" s="362" t="str">
        <f t="shared" si="563"/>
        <v>2G</v>
      </c>
      <c r="BF587" s="362" t="str">
        <f t="shared" si="564"/>
        <v>3G</v>
      </c>
      <c r="BG587" s="362" t="str">
        <f t="shared" si="565"/>
        <v>3G</v>
      </c>
      <c r="BH587" s="362" t="str">
        <f t="shared" si="566"/>
        <v>3G</v>
      </c>
      <c r="BI587" s="362">
        <f t="shared" si="568"/>
        <v>1</v>
      </c>
      <c r="BJ587" s="362">
        <f t="shared" si="569"/>
        <v>2</v>
      </c>
      <c r="BK587" s="362">
        <f t="shared" si="570"/>
        <v>3</v>
      </c>
      <c r="BL587" s="362" t="str">
        <f t="shared" si="567"/>
        <v>123</v>
      </c>
      <c r="BS587"/>
    </row>
    <row r="588" spans="2:71" ht="16.5" hidden="1">
      <c r="B588" s="360">
        <v>585</v>
      </c>
      <c r="C588" s="355" t="s">
        <v>953</v>
      </c>
      <c r="D588" s="359"/>
      <c r="E588" s="359"/>
      <c r="F588" s="359"/>
      <c r="G588" s="359"/>
      <c r="H588" s="359"/>
      <c r="I588" s="359"/>
      <c r="J588" s="359"/>
      <c r="K588" s="359"/>
      <c r="L588" s="359"/>
      <c r="M588" s="359"/>
      <c r="N588" s="361">
        <v>6</v>
      </c>
      <c r="O588" s="361">
        <v>7</v>
      </c>
      <c r="P588" s="361">
        <v>10</v>
      </c>
      <c r="Q588" s="361">
        <v>16</v>
      </c>
      <c r="R588" s="361">
        <v>38</v>
      </c>
      <c r="S588" s="361">
        <v>41</v>
      </c>
      <c r="T588" s="363">
        <v>4</v>
      </c>
      <c r="U588" s="363">
        <f t="shared" si="528"/>
        <v>118</v>
      </c>
      <c r="V588" s="363"/>
      <c r="W588" s="362" t="str">
        <f t="shared" si="529"/>
        <v>짝수</v>
      </c>
      <c r="X588" s="362" t="str">
        <f t="shared" si="530"/>
        <v>홀수</v>
      </c>
      <c r="Y588" s="362" t="str">
        <f t="shared" si="531"/>
        <v>짝수</v>
      </c>
      <c r="Z588" s="362" t="str">
        <f t="shared" si="532"/>
        <v>짝수</v>
      </c>
      <c r="AA588" s="363" t="str">
        <f t="shared" si="533"/>
        <v>짝수</v>
      </c>
      <c r="AB588" s="363" t="str">
        <f t="shared" si="534"/>
        <v>홀수</v>
      </c>
      <c r="AC588" s="362" t="str">
        <f t="shared" si="535"/>
        <v>2 : 4</v>
      </c>
      <c r="AD588" s="362">
        <f t="shared" si="536"/>
        <v>2</v>
      </c>
      <c r="AE588" s="362">
        <f t="shared" si="537"/>
        <v>4</v>
      </c>
      <c r="AF588" s="362" t="str">
        <f t="shared" si="538"/>
        <v>저수</v>
      </c>
      <c r="AG588" s="362" t="str">
        <f t="shared" si="539"/>
        <v>저수</v>
      </c>
      <c r="AH588" s="362" t="str">
        <f t="shared" si="540"/>
        <v>저수</v>
      </c>
      <c r="AI588" s="362" t="str">
        <f t="shared" si="541"/>
        <v>저수</v>
      </c>
      <c r="AJ588" s="362" t="str">
        <f t="shared" si="542"/>
        <v>고수</v>
      </c>
      <c r="AK588" s="362" t="str">
        <f t="shared" si="543"/>
        <v>고수</v>
      </c>
      <c r="AL588" s="362" t="str">
        <f t="shared" si="544"/>
        <v>4 : 2</v>
      </c>
      <c r="AM588" s="362">
        <f t="shared" si="545"/>
        <v>4</v>
      </c>
      <c r="AN588" s="362">
        <f t="shared" si="546"/>
        <v>2</v>
      </c>
      <c r="AO588" s="362">
        <f t="shared" si="547"/>
        <v>28</v>
      </c>
      <c r="AP588" s="362" t="str">
        <f t="shared" si="548"/>
        <v>X</v>
      </c>
      <c r="AQ588" s="362" t="str">
        <f t="shared" si="549"/>
        <v>O</v>
      </c>
      <c r="AR588" s="362" t="str">
        <f t="shared" si="550"/>
        <v>X</v>
      </c>
      <c r="AS588" s="362" t="str">
        <f t="shared" si="551"/>
        <v>X</v>
      </c>
      <c r="AT588" s="362" t="str">
        <f t="shared" si="552"/>
        <v>X</v>
      </c>
      <c r="AU588" s="362" t="str">
        <f t="shared" si="553"/>
        <v>X</v>
      </c>
      <c r="AV588" s="362" t="str">
        <f t="shared" si="554"/>
        <v>X</v>
      </c>
      <c r="AW588" s="362" t="str">
        <f t="shared" si="555"/>
        <v>X</v>
      </c>
      <c r="AX588" s="362" t="str">
        <f t="shared" si="556"/>
        <v>X</v>
      </c>
      <c r="AY588" s="362" t="str">
        <f t="shared" si="557"/>
        <v>X</v>
      </c>
      <c r="AZ588" s="362" t="str">
        <f t="shared" si="558"/>
        <v>X</v>
      </c>
      <c r="BA588" s="362" t="str">
        <f t="shared" si="559"/>
        <v>O</v>
      </c>
      <c r="BB588" s="362">
        <f t="shared" si="560"/>
        <v>2</v>
      </c>
      <c r="BC588" s="362" t="str">
        <f t="shared" si="561"/>
        <v>1G</v>
      </c>
      <c r="BD588" s="362" t="str">
        <f t="shared" si="562"/>
        <v>1G</v>
      </c>
      <c r="BE588" s="362" t="str">
        <f t="shared" si="563"/>
        <v>1G</v>
      </c>
      <c r="BF588" s="362" t="str">
        <f t="shared" si="564"/>
        <v>2G</v>
      </c>
      <c r="BG588" s="362" t="str">
        <f t="shared" si="565"/>
        <v>3G</v>
      </c>
      <c r="BH588" s="362" t="str">
        <f t="shared" si="566"/>
        <v>3G</v>
      </c>
      <c r="BI588" s="362">
        <f t="shared" si="568"/>
        <v>3</v>
      </c>
      <c r="BJ588" s="362">
        <f t="shared" si="569"/>
        <v>1</v>
      </c>
      <c r="BK588" s="362">
        <f t="shared" si="570"/>
        <v>2</v>
      </c>
      <c r="BL588" s="362" t="str">
        <f t="shared" si="567"/>
        <v>312</v>
      </c>
      <c r="BS588"/>
    </row>
    <row r="589" spans="2:71" ht="16.5" hidden="1">
      <c r="B589" s="360">
        <v>586</v>
      </c>
      <c r="C589" s="355" t="s">
        <v>952</v>
      </c>
      <c r="D589" s="359"/>
      <c r="E589" s="359"/>
      <c r="F589" s="359"/>
      <c r="G589" s="359"/>
      <c r="H589" s="359"/>
      <c r="I589" s="359"/>
      <c r="J589" s="359"/>
      <c r="K589" s="359"/>
      <c r="L589" s="359"/>
      <c r="M589" s="359"/>
      <c r="N589" s="361">
        <v>2</v>
      </c>
      <c r="O589" s="361">
        <v>7</v>
      </c>
      <c r="P589" s="361">
        <v>12</v>
      </c>
      <c r="Q589" s="361">
        <v>15</v>
      </c>
      <c r="R589" s="361">
        <v>21</v>
      </c>
      <c r="S589" s="361">
        <v>34</v>
      </c>
      <c r="T589" s="363">
        <v>5</v>
      </c>
      <c r="U589" s="363">
        <f t="shared" si="528"/>
        <v>91</v>
      </c>
      <c r="V589" s="363"/>
      <c r="W589" s="362" t="str">
        <f t="shared" si="529"/>
        <v>짝수</v>
      </c>
      <c r="X589" s="362" t="str">
        <f t="shared" si="530"/>
        <v>홀수</v>
      </c>
      <c r="Y589" s="362" t="str">
        <f t="shared" si="531"/>
        <v>짝수</v>
      </c>
      <c r="Z589" s="362" t="str">
        <f t="shared" si="532"/>
        <v>홀수</v>
      </c>
      <c r="AA589" s="363" t="str">
        <f t="shared" si="533"/>
        <v>홀수</v>
      </c>
      <c r="AB589" s="363" t="str">
        <f t="shared" si="534"/>
        <v>짝수</v>
      </c>
      <c r="AC589" s="362" t="str">
        <f t="shared" si="535"/>
        <v>3 : 3</v>
      </c>
      <c r="AD589" s="362">
        <f t="shared" si="536"/>
        <v>3</v>
      </c>
      <c r="AE589" s="362">
        <f t="shared" si="537"/>
        <v>3</v>
      </c>
      <c r="AF589" s="362" t="str">
        <f t="shared" si="538"/>
        <v>저수</v>
      </c>
      <c r="AG589" s="362" t="str">
        <f t="shared" si="539"/>
        <v>저수</v>
      </c>
      <c r="AH589" s="362" t="str">
        <f t="shared" si="540"/>
        <v>저수</v>
      </c>
      <c r="AI589" s="362" t="str">
        <f t="shared" si="541"/>
        <v>저수</v>
      </c>
      <c r="AJ589" s="362" t="str">
        <f t="shared" si="542"/>
        <v>저수</v>
      </c>
      <c r="AK589" s="362" t="str">
        <f t="shared" si="543"/>
        <v>고수</v>
      </c>
      <c r="AL589" s="362" t="str">
        <f t="shared" si="544"/>
        <v>5 : 1</v>
      </c>
      <c r="AM589" s="362">
        <f t="shared" si="545"/>
        <v>5</v>
      </c>
      <c r="AN589" s="362">
        <f t="shared" si="546"/>
        <v>1</v>
      </c>
      <c r="AO589" s="362">
        <f t="shared" si="547"/>
        <v>21</v>
      </c>
      <c r="AP589" s="362" t="str">
        <f t="shared" si="548"/>
        <v>O</v>
      </c>
      <c r="AQ589" s="362" t="str">
        <f t="shared" si="549"/>
        <v>O</v>
      </c>
      <c r="AR589" s="362" t="str">
        <f t="shared" si="550"/>
        <v>X</v>
      </c>
      <c r="AS589" s="362" t="str">
        <f t="shared" si="551"/>
        <v>X</v>
      </c>
      <c r="AT589" s="362" t="str">
        <f t="shared" si="552"/>
        <v>X</v>
      </c>
      <c r="AU589" s="362" t="str">
        <f t="shared" si="553"/>
        <v>X</v>
      </c>
      <c r="AV589" s="362" t="str">
        <f t="shared" si="554"/>
        <v>X</v>
      </c>
      <c r="AW589" s="362" t="str">
        <f t="shared" si="555"/>
        <v>X</v>
      </c>
      <c r="AX589" s="362" t="str">
        <f t="shared" si="556"/>
        <v>X</v>
      </c>
      <c r="AY589" s="362" t="str">
        <f t="shared" si="557"/>
        <v>X</v>
      </c>
      <c r="AZ589" s="362" t="str">
        <f t="shared" si="558"/>
        <v>X</v>
      </c>
      <c r="BA589" s="362" t="str">
        <f t="shared" si="559"/>
        <v>X</v>
      </c>
      <c r="BB589" s="362">
        <f t="shared" si="560"/>
        <v>2</v>
      </c>
      <c r="BC589" s="362" t="str">
        <f t="shared" si="561"/>
        <v>1G</v>
      </c>
      <c r="BD589" s="362" t="str">
        <f t="shared" si="562"/>
        <v>1G</v>
      </c>
      <c r="BE589" s="362" t="str">
        <f t="shared" si="563"/>
        <v>1G</v>
      </c>
      <c r="BF589" s="362" t="str">
        <f t="shared" si="564"/>
        <v>1G</v>
      </c>
      <c r="BG589" s="362" t="str">
        <f t="shared" si="565"/>
        <v>2G</v>
      </c>
      <c r="BH589" s="362" t="str">
        <f t="shared" si="566"/>
        <v>3G</v>
      </c>
      <c r="BI589" s="362">
        <f t="shared" si="568"/>
        <v>4</v>
      </c>
      <c r="BJ589" s="362">
        <f t="shared" si="569"/>
        <v>1</v>
      </c>
      <c r="BK589" s="362">
        <f t="shared" si="570"/>
        <v>1</v>
      </c>
      <c r="BL589" s="362" t="str">
        <f t="shared" si="567"/>
        <v>411</v>
      </c>
      <c r="BS589"/>
    </row>
    <row r="590" spans="2:71" ht="16.5" hidden="1">
      <c r="B590" s="360">
        <v>587</v>
      </c>
      <c r="C590" s="355" t="s">
        <v>951</v>
      </c>
      <c r="D590" s="359"/>
      <c r="E590" s="359"/>
      <c r="F590" s="359"/>
      <c r="G590" s="359"/>
      <c r="H590" s="359"/>
      <c r="I590" s="359"/>
      <c r="J590" s="359"/>
      <c r="K590" s="359"/>
      <c r="L590" s="359"/>
      <c r="M590" s="359"/>
      <c r="N590" s="361">
        <v>14</v>
      </c>
      <c r="O590" s="361">
        <v>21</v>
      </c>
      <c r="P590" s="361">
        <v>29</v>
      </c>
      <c r="Q590" s="361">
        <v>31</v>
      </c>
      <c r="R590" s="361">
        <v>32</v>
      </c>
      <c r="S590" s="361">
        <v>37</v>
      </c>
      <c r="T590" s="363">
        <v>17</v>
      </c>
      <c r="U590" s="363">
        <f t="shared" si="528"/>
        <v>164</v>
      </c>
      <c r="V590" s="363"/>
      <c r="W590" s="362" t="str">
        <f t="shared" si="529"/>
        <v>짝수</v>
      </c>
      <c r="X590" s="362" t="str">
        <f t="shared" si="530"/>
        <v>홀수</v>
      </c>
      <c r="Y590" s="362" t="str">
        <f t="shared" si="531"/>
        <v>홀수</v>
      </c>
      <c r="Z590" s="362" t="str">
        <f t="shared" si="532"/>
        <v>홀수</v>
      </c>
      <c r="AA590" s="363" t="str">
        <f t="shared" si="533"/>
        <v>짝수</v>
      </c>
      <c r="AB590" s="363" t="str">
        <f t="shared" si="534"/>
        <v>홀수</v>
      </c>
      <c r="AC590" s="362" t="str">
        <f t="shared" si="535"/>
        <v>4 : 2</v>
      </c>
      <c r="AD590" s="362">
        <f t="shared" si="536"/>
        <v>4</v>
      </c>
      <c r="AE590" s="362">
        <f t="shared" si="537"/>
        <v>2</v>
      </c>
      <c r="AF590" s="362" t="str">
        <f t="shared" si="538"/>
        <v>저수</v>
      </c>
      <c r="AG590" s="362" t="str">
        <f t="shared" si="539"/>
        <v>저수</v>
      </c>
      <c r="AH590" s="362" t="str">
        <f t="shared" si="540"/>
        <v>고수</v>
      </c>
      <c r="AI590" s="362" t="str">
        <f t="shared" si="541"/>
        <v>고수</v>
      </c>
      <c r="AJ590" s="362" t="str">
        <f t="shared" si="542"/>
        <v>고수</v>
      </c>
      <c r="AK590" s="362" t="str">
        <f t="shared" si="543"/>
        <v>고수</v>
      </c>
      <c r="AL590" s="362" t="str">
        <f t="shared" si="544"/>
        <v>2 : 4</v>
      </c>
      <c r="AM590" s="362">
        <f t="shared" si="545"/>
        <v>2</v>
      </c>
      <c r="AN590" s="362">
        <f t="shared" si="546"/>
        <v>4</v>
      </c>
      <c r="AO590" s="362">
        <f t="shared" si="547"/>
        <v>24</v>
      </c>
      <c r="AP590" s="362" t="str">
        <f t="shared" si="548"/>
        <v>X</v>
      </c>
      <c r="AQ590" s="362" t="str">
        <f t="shared" si="549"/>
        <v>X</v>
      </c>
      <c r="AR590" s="362" t="str">
        <f t="shared" si="550"/>
        <v>X</v>
      </c>
      <c r="AS590" s="362" t="str">
        <f t="shared" si="551"/>
        <v>X</v>
      </c>
      <c r="AT590" s="362" t="str">
        <f t="shared" si="552"/>
        <v>X</v>
      </c>
      <c r="AU590" s="362" t="str">
        <f t="shared" si="553"/>
        <v>X</v>
      </c>
      <c r="AV590" s="362" t="str">
        <f t="shared" si="554"/>
        <v>X</v>
      </c>
      <c r="AW590" s="362" t="str">
        <f t="shared" si="555"/>
        <v>X</v>
      </c>
      <c r="AX590" s="362" t="str">
        <f t="shared" si="556"/>
        <v>O</v>
      </c>
      <c r="AY590" s="362" t="str">
        <f t="shared" si="557"/>
        <v>O</v>
      </c>
      <c r="AZ590" s="362" t="str">
        <f t="shared" si="558"/>
        <v>X</v>
      </c>
      <c r="BA590" s="362" t="str">
        <f t="shared" si="559"/>
        <v>O</v>
      </c>
      <c r="BB590" s="362">
        <f t="shared" si="560"/>
        <v>3</v>
      </c>
      <c r="BC590" s="362" t="str">
        <f t="shared" si="561"/>
        <v>1G</v>
      </c>
      <c r="BD590" s="362" t="str">
        <f t="shared" si="562"/>
        <v>2G</v>
      </c>
      <c r="BE590" s="362" t="str">
        <f t="shared" si="563"/>
        <v>2G</v>
      </c>
      <c r="BF590" s="362" t="str">
        <f t="shared" si="564"/>
        <v>3G</v>
      </c>
      <c r="BG590" s="362" t="str">
        <f t="shared" si="565"/>
        <v>3G</v>
      </c>
      <c r="BH590" s="362" t="str">
        <f t="shared" si="566"/>
        <v>3G</v>
      </c>
      <c r="BI590" s="362">
        <f t="shared" si="568"/>
        <v>1</v>
      </c>
      <c r="BJ590" s="362">
        <f t="shared" si="569"/>
        <v>2</v>
      </c>
      <c r="BK590" s="362">
        <f t="shared" si="570"/>
        <v>3</v>
      </c>
      <c r="BL590" s="362" t="str">
        <f t="shared" si="567"/>
        <v>123</v>
      </c>
      <c r="BS590"/>
    </row>
    <row r="591" spans="2:71" ht="16.5" hidden="1">
      <c r="B591" s="360">
        <v>588</v>
      </c>
      <c r="C591" s="355" t="s">
        <v>950</v>
      </c>
      <c r="D591" s="359"/>
      <c r="E591" s="359"/>
      <c r="F591" s="359"/>
      <c r="G591" s="359"/>
      <c r="H591" s="359"/>
      <c r="I591" s="359"/>
      <c r="J591" s="359"/>
      <c r="K591" s="359"/>
      <c r="L591" s="359"/>
      <c r="M591" s="359"/>
      <c r="N591" s="361">
        <v>2</v>
      </c>
      <c r="O591" s="361">
        <v>8</v>
      </c>
      <c r="P591" s="361">
        <v>15</v>
      </c>
      <c r="Q591" s="361">
        <v>22</v>
      </c>
      <c r="R591" s="361">
        <v>25</v>
      </c>
      <c r="S591" s="361">
        <v>41</v>
      </c>
      <c r="T591" s="363">
        <v>30</v>
      </c>
      <c r="U591" s="363">
        <f t="shared" si="528"/>
        <v>113</v>
      </c>
      <c r="V591" s="363"/>
      <c r="W591" s="362" t="str">
        <f t="shared" si="529"/>
        <v>짝수</v>
      </c>
      <c r="X591" s="362" t="str">
        <f t="shared" si="530"/>
        <v>짝수</v>
      </c>
      <c r="Y591" s="362" t="str">
        <f t="shared" si="531"/>
        <v>홀수</v>
      </c>
      <c r="Z591" s="362" t="str">
        <f t="shared" si="532"/>
        <v>짝수</v>
      </c>
      <c r="AA591" s="363" t="str">
        <f t="shared" si="533"/>
        <v>홀수</v>
      </c>
      <c r="AB591" s="363" t="str">
        <f t="shared" si="534"/>
        <v>홀수</v>
      </c>
      <c r="AC591" s="362" t="str">
        <f t="shared" si="535"/>
        <v>3 : 3</v>
      </c>
      <c r="AD591" s="362">
        <f t="shared" si="536"/>
        <v>3</v>
      </c>
      <c r="AE591" s="362">
        <f t="shared" si="537"/>
        <v>3</v>
      </c>
      <c r="AF591" s="362" t="str">
        <f t="shared" si="538"/>
        <v>저수</v>
      </c>
      <c r="AG591" s="362" t="str">
        <f t="shared" si="539"/>
        <v>저수</v>
      </c>
      <c r="AH591" s="362" t="str">
        <f t="shared" si="540"/>
        <v>저수</v>
      </c>
      <c r="AI591" s="362" t="str">
        <f t="shared" si="541"/>
        <v>저수</v>
      </c>
      <c r="AJ591" s="362" t="str">
        <f t="shared" si="542"/>
        <v>고수</v>
      </c>
      <c r="AK591" s="362" t="str">
        <f t="shared" si="543"/>
        <v>고수</v>
      </c>
      <c r="AL591" s="362" t="str">
        <f t="shared" si="544"/>
        <v>4 : 2</v>
      </c>
      <c r="AM591" s="362">
        <f t="shared" si="545"/>
        <v>4</v>
      </c>
      <c r="AN591" s="362">
        <f t="shared" si="546"/>
        <v>2</v>
      </c>
      <c r="AO591" s="362">
        <f t="shared" si="547"/>
        <v>23</v>
      </c>
      <c r="AP591" s="362" t="str">
        <f t="shared" si="548"/>
        <v>O</v>
      </c>
      <c r="AQ591" s="362" t="str">
        <f t="shared" si="549"/>
        <v>X</v>
      </c>
      <c r="AR591" s="362" t="str">
        <f t="shared" si="550"/>
        <v>X</v>
      </c>
      <c r="AS591" s="362" t="str">
        <f t="shared" si="551"/>
        <v>X</v>
      </c>
      <c r="AT591" s="362" t="str">
        <f t="shared" si="552"/>
        <v>X</v>
      </c>
      <c r="AU591" s="362" t="str">
        <f t="shared" si="553"/>
        <v>X</v>
      </c>
      <c r="AV591" s="362" t="str">
        <f t="shared" si="554"/>
        <v>X</v>
      </c>
      <c r="AW591" s="362" t="str">
        <f t="shared" si="555"/>
        <v>X</v>
      </c>
      <c r="AX591" s="362" t="str">
        <f t="shared" si="556"/>
        <v>X</v>
      </c>
      <c r="AY591" s="362" t="str">
        <f t="shared" si="557"/>
        <v>X</v>
      </c>
      <c r="AZ591" s="362" t="str">
        <f t="shared" si="558"/>
        <v>X</v>
      </c>
      <c r="BA591" s="362" t="str">
        <f t="shared" si="559"/>
        <v>O</v>
      </c>
      <c r="BB591" s="362">
        <f t="shared" si="560"/>
        <v>2</v>
      </c>
      <c r="BC591" s="362" t="str">
        <f t="shared" si="561"/>
        <v>1G</v>
      </c>
      <c r="BD591" s="362" t="str">
        <f t="shared" si="562"/>
        <v>1G</v>
      </c>
      <c r="BE591" s="362" t="str">
        <f t="shared" si="563"/>
        <v>1G</v>
      </c>
      <c r="BF591" s="362" t="str">
        <f t="shared" si="564"/>
        <v>2G</v>
      </c>
      <c r="BG591" s="362" t="str">
        <f t="shared" si="565"/>
        <v>2G</v>
      </c>
      <c r="BH591" s="362" t="str">
        <f t="shared" si="566"/>
        <v>3G</v>
      </c>
      <c r="BI591" s="362">
        <f t="shared" si="568"/>
        <v>3</v>
      </c>
      <c r="BJ591" s="362">
        <f t="shared" si="569"/>
        <v>2</v>
      </c>
      <c r="BK591" s="362">
        <f t="shared" si="570"/>
        <v>1</v>
      </c>
      <c r="BL591" s="362" t="str">
        <f t="shared" si="567"/>
        <v>321</v>
      </c>
      <c r="BS591"/>
    </row>
    <row r="592" spans="2:71" ht="16.5" hidden="1">
      <c r="B592" s="360">
        <v>589</v>
      </c>
      <c r="C592" s="355" t="s">
        <v>949</v>
      </c>
      <c r="D592" s="359"/>
      <c r="E592" s="359"/>
      <c r="F592" s="359"/>
      <c r="G592" s="359"/>
      <c r="H592" s="359"/>
      <c r="I592" s="359"/>
      <c r="J592" s="359"/>
      <c r="K592" s="359"/>
      <c r="L592" s="359"/>
      <c r="M592" s="359"/>
      <c r="N592" s="361">
        <v>6</v>
      </c>
      <c r="O592" s="361">
        <v>8</v>
      </c>
      <c r="P592" s="361">
        <v>28</v>
      </c>
      <c r="Q592" s="361">
        <v>33</v>
      </c>
      <c r="R592" s="361">
        <v>38</v>
      </c>
      <c r="S592" s="361">
        <v>39</v>
      </c>
      <c r="T592" s="363">
        <v>22</v>
      </c>
      <c r="U592" s="363">
        <f t="shared" si="528"/>
        <v>152</v>
      </c>
      <c r="V592" s="363"/>
      <c r="W592" s="362" t="str">
        <f t="shared" si="529"/>
        <v>짝수</v>
      </c>
      <c r="X592" s="362" t="str">
        <f t="shared" si="530"/>
        <v>짝수</v>
      </c>
      <c r="Y592" s="362" t="str">
        <f t="shared" si="531"/>
        <v>짝수</v>
      </c>
      <c r="Z592" s="362" t="str">
        <f t="shared" si="532"/>
        <v>홀수</v>
      </c>
      <c r="AA592" s="363" t="str">
        <f t="shared" si="533"/>
        <v>짝수</v>
      </c>
      <c r="AB592" s="363" t="str">
        <f t="shared" si="534"/>
        <v>홀수</v>
      </c>
      <c r="AC592" s="362" t="str">
        <f t="shared" si="535"/>
        <v>2 : 4</v>
      </c>
      <c r="AD592" s="362">
        <f t="shared" si="536"/>
        <v>2</v>
      </c>
      <c r="AE592" s="362">
        <f t="shared" si="537"/>
        <v>4</v>
      </c>
      <c r="AF592" s="362" t="str">
        <f t="shared" si="538"/>
        <v>저수</v>
      </c>
      <c r="AG592" s="362" t="str">
        <f t="shared" si="539"/>
        <v>저수</v>
      </c>
      <c r="AH592" s="362" t="str">
        <f t="shared" si="540"/>
        <v>고수</v>
      </c>
      <c r="AI592" s="362" t="str">
        <f t="shared" si="541"/>
        <v>고수</v>
      </c>
      <c r="AJ592" s="362" t="str">
        <f t="shared" si="542"/>
        <v>고수</v>
      </c>
      <c r="AK592" s="362" t="str">
        <f t="shared" si="543"/>
        <v>고수</v>
      </c>
      <c r="AL592" s="362" t="str">
        <f t="shared" si="544"/>
        <v>2 : 4</v>
      </c>
      <c r="AM592" s="362">
        <f t="shared" si="545"/>
        <v>2</v>
      </c>
      <c r="AN592" s="362">
        <f t="shared" si="546"/>
        <v>4</v>
      </c>
      <c r="AO592" s="362">
        <f t="shared" si="547"/>
        <v>42</v>
      </c>
      <c r="AP592" s="362" t="str">
        <f t="shared" si="548"/>
        <v>X</v>
      </c>
      <c r="AQ592" s="362" t="str">
        <f t="shared" si="549"/>
        <v>X</v>
      </c>
      <c r="AR592" s="362" t="str">
        <f t="shared" si="550"/>
        <v>X</v>
      </c>
      <c r="AS592" s="362" t="str">
        <f t="shared" si="551"/>
        <v>X</v>
      </c>
      <c r="AT592" s="362" t="str">
        <f t="shared" si="552"/>
        <v>X</v>
      </c>
      <c r="AU592" s="362" t="str">
        <f t="shared" si="553"/>
        <v>X</v>
      </c>
      <c r="AV592" s="362" t="str">
        <f t="shared" si="554"/>
        <v>X</v>
      </c>
      <c r="AW592" s="362" t="str">
        <f t="shared" si="555"/>
        <v>X</v>
      </c>
      <c r="AX592" s="362" t="str">
        <f t="shared" si="556"/>
        <v>X</v>
      </c>
      <c r="AY592" s="362" t="str">
        <f t="shared" si="557"/>
        <v>X</v>
      </c>
      <c r="AZ592" s="362" t="str">
        <f t="shared" si="558"/>
        <v>X</v>
      </c>
      <c r="BA592" s="362" t="str">
        <f t="shared" si="559"/>
        <v>X</v>
      </c>
      <c r="BB592" s="362">
        <f t="shared" si="560"/>
        <v>0</v>
      </c>
      <c r="BC592" s="362" t="str">
        <f t="shared" si="561"/>
        <v>1G</v>
      </c>
      <c r="BD592" s="362" t="str">
        <f t="shared" si="562"/>
        <v>1G</v>
      </c>
      <c r="BE592" s="362" t="str">
        <f t="shared" si="563"/>
        <v>2G</v>
      </c>
      <c r="BF592" s="362" t="str">
        <f t="shared" si="564"/>
        <v>3G</v>
      </c>
      <c r="BG592" s="362" t="str">
        <f t="shared" si="565"/>
        <v>3G</v>
      </c>
      <c r="BH592" s="362" t="str">
        <f t="shared" si="566"/>
        <v>3G</v>
      </c>
      <c r="BI592" s="362">
        <f t="shared" si="568"/>
        <v>2</v>
      </c>
      <c r="BJ592" s="362">
        <f t="shared" si="569"/>
        <v>1</v>
      </c>
      <c r="BK592" s="362">
        <f t="shared" si="570"/>
        <v>3</v>
      </c>
      <c r="BL592" s="362" t="str">
        <f t="shared" si="567"/>
        <v>213</v>
      </c>
      <c r="BS592"/>
    </row>
    <row r="593" spans="2:71" ht="16.5" hidden="1">
      <c r="B593" s="360">
        <v>590</v>
      </c>
      <c r="C593" s="355" t="s">
        <v>948</v>
      </c>
      <c r="D593" s="359"/>
      <c r="E593" s="359"/>
      <c r="F593" s="359"/>
      <c r="G593" s="359"/>
      <c r="H593" s="359"/>
      <c r="I593" s="359"/>
      <c r="J593" s="359"/>
      <c r="K593" s="359"/>
      <c r="L593" s="359"/>
      <c r="M593" s="359"/>
      <c r="N593" s="361">
        <v>20</v>
      </c>
      <c r="O593" s="361">
        <v>30</v>
      </c>
      <c r="P593" s="361">
        <v>36</v>
      </c>
      <c r="Q593" s="361">
        <v>38</v>
      </c>
      <c r="R593" s="361">
        <v>41</v>
      </c>
      <c r="S593" s="361">
        <v>45</v>
      </c>
      <c r="T593" s="363">
        <v>23</v>
      </c>
      <c r="U593" s="363">
        <f t="shared" si="528"/>
        <v>210</v>
      </c>
      <c r="V593" s="363"/>
      <c r="W593" s="362" t="str">
        <f t="shared" si="529"/>
        <v>짝수</v>
      </c>
      <c r="X593" s="362" t="str">
        <f t="shared" si="530"/>
        <v>짝수</v>
      </c>
      <c r="Y593" s="362" t="str">
        <f t="shared" si="531"/>
        <v>짝수</v>
      </c>
      <c r="Z593" s="362" t="str">
        <f t="shared" si="532"/>
        <v>짝수</v>
      </c>
      <c r="AA593" s="363" t="str">
        <f t="shared" si="533"/>
        <v>홀수</v>
      </c>
      <c r="AB593" s="363" t="str">
        <f t="shared" si="534"/>
        <v>홀수</v>
      </c>
      <c r="AC593" s="362" t="str">
        <f t="shared" si="535"/>
        <v>2 : 4</v>
      </c>
      <c r="AD593" s="362">
        <f t="shared" si="536"/>
        <v>2</v>
      </c>
      <c r="AE593" s="362">
        <f t="shared" si="537"/>
        <v>4</v>
      </c>
      <c r="AF593" s="362" t="str">
        <f t="shared" si="538"/>
        <v>저수</v>
      </c>
      <c r="AG593" s="362" t="str">
        <f t="shared" si="539"/>
        <v>고수</v>
      </c>
      <c r="AH593" s="362" t="str">
        <f t="shared" si="540"/>
        <v>고수</v>
      </c>
      <c r="AI593" s="362" t="str">
        <f t="shared" si="541"/>
        <v>고수</v>
      </c>
      <c r="AJ593" s="362" t="str">
        <f t="shared" si="542"/>
        <v>고수</v>
      </c>
      <c r="AK593" s="362" t="str">
        <f t="shared" si="543"/>
        <v>고수</v>
      </c>
      <c r="AL593" s="362" t="str">
        <f t="shared" si="544"/>
        <v>1 : 5</v>
      </c>
      <c r="AM593" s="362">
        <f t="shared" si="545"/>
        <v>1</v>
      </c>
      <c r="AN593" s="362">
        <f t="shared" si="546"/>
        <v>5</v>
      </c>
      <c r="AO593" s="362">
        <f t="shared" si="547"/>
        <v>20</v>
      </c>
      <c r="AP593" s="362" t="str">
        <f t="shared" si="548"/>
        <v>X</v>
      </c>
      <c r="AQ593" s="362" t="str">
        <f t="shared" si="549"/>
        <v>X</v>
      </c>
      <c r="AR593" s="362" t="str">
        <f t="shared" si="550"/>
        <v>X</v>
      </c>
      <c r="AS593" s="362" t="str">
        <f t="shared" si="551"/>
        <v>X</v>
      </c>
      <c r="AT593" s="362" t="str">
        <f t="shared" si="552"/>
        <v>X</v>
      </c>
      <c r="AU593" s="362" t="str">
        <f t="shared" si="553"/>
        <v>X</v>
      </c>
      <c r="AV593" s="362" t="str">
        <f t="shared" si="554"/>
        <v>X</v>
      </c>
      <c r="AW593" s="362" t="str">
        <f t="shared" si="555"/>
        <v>X</v>
      </c>
      <c r="AX593" s="362" t="str">
        <f t="shared" si="556"/>
        <v>X</v>
      </c>
      <c r="AY593" s="362" t="str">
        <f t="shared" si="557"/>
        <v>X</v>
      </c>
      <c r="AZ593" s="362" t="str">
        <f t="shared" si="558"/>
        <v>O</v>
      </c>
      <c r="BA593" s="362" t="str">
        <f t="shared" si="559"/>
        <v>X</v>
      </c>
      <c r="BB593" s="362">
        <f t="shared" si="560"/>
        <v>1</v>
      </c>
      <c r="BC593" s="362" t="str">
        <f t="shared" si="561"/>
        <v>2G</v>
      </c>
      <c r="BD593" s="362" t="str">
        <f t="shared" si="562"/>
        <v>2G</v>
      </c>
      <c r="BE593" s="362" t="str">
        <f t="shared" si="563"/>
        <v>3G</v>
      </c>
      <c r="BF593" s="362" t="str">
        <f t="shared" si="564"/>
        <v>3G</v>
      </c>
      <c r="BG593" s="362" t="str">
        <f t="shared" si="565"/>
        <v>3G</v>
      </c>
      <c r="BH593" s="362" t="str">
        <f t="shared" si="566"/>
        <v>3G</v>
      </c>
      <c r="BI593" s="362">
        <f t="shared" si="568"/>
        <v>0</v>
      </c>
      <c r="BJ593" s="362">
        <f t="shared" si="569"/>
        <v>2</v>
      </c>
      <c r="BK593" s="362">
        <f t="shared" si="570"/>
        <v>4</v>
      </c>
      <c r="BL593" s="362" t="str">
        <f t="shared" si="567"/>
        <v>024</v>
      </c>
      <c r="BS593"/>
    </row>
    <row r="594" spans="2:71" ht="16.5" hidden="1">
      <c r="B594" s="360">
        <v>591</v>
      </c>
      <c r="C594" s="355" t="s">
        <v>947</v>
      </c>
      <c r="D594" s="359"/>
      <c r="E594" s="359"/>
      <c r="F594" s="359"/>
      <c r="G594" s="359"/>
      <c r="H594" s="359"/>
      <c r="I594" s="359"/>
      <c r="J594" s="359"/>
      <c r="K594" s="359"/>
      <c r="L594" s="359"/>
      <c r="M594" s="359"/>
      <c r="N594" s="361">
        <v>8</v>
      </c>
      <c r="O594" s="361">
        <v>13</v>
      </c>
      <c r="P594" s="361">
        <v>14</v>
      </c>
      <c r="Q594" s="361">
        <v>30</v>
      </c>
      <c r="R594" s="361">
        <v>38</v>
      </c>
      <c r="S594" s="361">
        <v>39</v>
      </c>
      <c r="T594" s="363">
        <v>5</v>
      </c>
      <c r="U594" s="363">
        <f t="shared" si="528"/>
        <v>142</v>
      </c>
      <c r="V594" s="363"/>
      <c r="W594" s="362" t="str">
        <f t="shared" si="529"/>
        <v>짝수</v>
      </c>
      <c r="X594" s="362" t="str">
        <f t="shared" si="530"/>
        <v>홀수</v>
      </c>
      <c r="Y594" s="362" t="str">
        <f t="shared" si="531"/>
        <v>짝수</v>
      </c>
      <c r="Z594" s="362" t="str">
        <f t="shared" si="532"/>
        <v>짝수</v>
      </c>
      <c r="AA594" s="363" t="str">
        <f t="shared" si="533"/>
        <v>짝수</v>
      </c>
      <c r="AB594" s="363" t="str">
        <f t="shared" si="534"/>
        <v>홀수</v>
      </c>
      <c r="AC594" s="362" t="str">
        <f t="shared" si="535"/>
        <v>2 : 4</v>
      </c>
      <c r="AD594" s="362">
        <f t="shared" si="536"/>
        <v>2</v>
      </c>
      <c r="AE594" s="362">
        <f t="shared" si="537"/>
        <v>4</v>
      </c>
      <c r="AF594" s="362" t="str">
        <f t="shared" si="538"/>
        <v>저수</v>
      </c>
      <c r="AG594" s="362" t="str">
        <f t="shared" si="539"/>
        <v>저수</v>
      </c>
      <c r="AH594" s="362" t="str">
        <f t="shared" si="540"/>
        <v>저수</v>
      </c>
      <c r="AI594" s="362" t="str">
        <f t="shared" si="541"/>
        <v>고수</v>
      </c>
      <c r="AJ594" s="362" t="str">
        <f t="shared" si="542"/>
        <v>고수</v>
      </c>
      <c r="AK594" s="362" t="str">
        <f t="shared" si="543"/>
        <v>고수</v>
      </c>
      <c r="AL594" s="362" t="str">
        <f t="shared" si="544"/>
        <v>3 : 3</v>
      </c>
      <c r="AM594" s="362">
        <f t="shared" si="545"/>
        <v>3</v>
      </c>
      <c r="AN594" s="362">
        <f t="shared" si="546"/>
        <v>3</v>
      </c>
      <c r="AO594" s="362">
        <f t="shared" si="547"/>
        <v>32</v>
      </c>
      <c r="AP594" s="362" t="str">
        <f t="shared" si="548"/>
        <v>X</v>
      </c>
      <c r="AQ594" s="362" t="str">
        <f t="shared" si="549"/>
        <v>O</v>
      </c>
      <c r="AR594" s="362" t="str">
        <f t="shared" si="550"/>
        <v>X</v>
      </c>
      <c r="AS594" s="362" t="str">
        <f t="shared" si="551"/>
        <v>X</v>
      </c>
      <c r="AT594" s="362" t="str">
        <f t="shared" si="552"/>
        <v>X</v>
      </c>
      <c r="AU594" s="362" t="str">
        <f t="shared" si="553"/>
        <v>X</v>
      </c>
      <c r="AV594" s="362" t="str">
        <f t="shared" si="554"/>
        <v>X</v>
      </c>
      <c r="AW594" s="362" t="str">
        <f t="shared" si="555"/>
        <v>X</v>
      </c>
      <c r="AX594" s="362" t="str">
        <f t="shared" si="556"/>
        <v>X</v>
      </c>
      <c r="AY594" s="362" t="str">
        <f t="shared" si="557"/>
        <v>X</v>
      </c>
      <c r="AZ594" s="362" t="str">
        <f t="shared" si="558"/>
        <v>X</v>
      </c>
      <c r="BA594" s="362" t="str">
        <f t="shared" si="559"/>
        <v>X</v>
      </c>
      <c r="BB594" s="362">
        <f t="shared" si="560"/>
        <v>1</v>
      </c>
      <c r="BC594" s="362" t="str">
        <f t="shared" si="561"/>
        <v>1G</v>
      </c>
      <c r="BD594" s="362" t="str">
        <f t="shared" si="562"/>
        <v>1G</v>
      </c>
      <c r="BE594" s="362" t="str">
        <f t="shared" si="563"/>
        <v>1G</v>
      </c>
      <c r="BF594" s="362" t="str">
        <f t="shared" si="564"/>
        <v>2G</v>
      </c>
      <c r="BG594" s="362" t="str">
        <f t="shared" si="565"/>
        <v>3G</v>
      </c>
      <c r="BH594" s="362" t="str">
        <f t="shared" si="566"/>
        <v>3G</v>
      </c>
      <c r="BI594" s="362">
        <f t="shared" si="568"/>
        <v>3</v>
      </c>
      <c r="BJ594" s="362">
        <f t="shared" si="569"/>
        <v>1</v>
      </c>
      <c r="BK594" s="362">
        <f t="shared" si="570"/>
        <v>2</v>
      </c>
      <c r="BL594" s="362" t="str">
        <f t="shared" si="567"/>
        <v>312</v>
      </c>
      <c r="BS594"/>
    </row>
    <row r="595" spans="2:71" ht="16.5" hidden="1">
      <c r="B595" s="360">
        <v>592</v>
      </c>
      <c r="C595" s="355" t="s">
        <v>946</v>
      </c>
      <c r="D595" s="359"/>
      <c r="E595" s="359"/>
      <c r="F595" s="359"/>
      <c r="G595" s="359"/>
      <c r="H595" s="359"/>
      <c r="I595" s="359"/>
      <c r="J595" s="359"/>
      <c r="K595" s="359"/>
      <c r="L595" s="359"/>
      <c r="M595" s="359"/>
      <c r="N595" s="361">
        <v>2</v>
      </c>
      <c r="O595" s="361">
        <v>5</v>
      </c>
      <c r="P595" s="361">
        <v>6</v>
      </c>
      <c r="Q595" s="361">
        <v>13</v>
      </c>
      <c r="R595" s="361">
        <v>28</v>
      </c>
      <c r="S595" s="361">
        <v>44</v>
      </c>
      <c r="T595" s="363">
        <v>43</v>
      </c>
      <c r="U595" s="363">
        <f t="shared" si="528"/>
        <v>98</v>
      </c>
      <c r="V595" s="363"/>
      <c r="W595" s="362" t="str">
        <f t="shared" si="529"/>
        <v>짝수</v>
      </c>
      <c r="X595" s="362" t="str">
        <f t="shared" si="530"/>
        <v>홀수</v>
      </c>
      <c r="Y595" s="362" t="str">
        <f t="shared" si="531"/>
        <v>짝수</v>
      </c>
      <c r="Z595" s="362" t="str">
        <f t="shared" si="532"/>
        <v>홀수</v>
      </c>
      <c r="AA595" s="363" t="str">
        <f t="shared" si="533"/>
        <v>짝수</v>
      </c>
      <c r="AB595" s="363" t="str">
        <f t="shared" si="534"/>
        <v>짝수</v>
      </c>
      <c r="AC595" s="362" t="str">
        <f t="shared" si="535"/>
        <v>2 : 4</v>
      </c>
      <c r="AD595" s="362">
        <f t="shared" si="536"/>
        <v>2</v>
      </c>
      <c r="AE595" s="362">
        <f t="shared" si="537"/>
        <v>4</v>
      </c>
      <c r="AF595" s="362" t="str">
        <f t="shared" si="538"/>
        <v>저수</v>
      </c>
      <c r="AG595" s="362" t="str">
        <f t="shared" si="539"/>
        <v>저수</v>
      </c>
      <c r="AH595" s="362" t="str">
        <f t="shared" si="540"/>
        <v>저수</v>
      </c>
      <c r="AI595" s="362" t="str">
        <f t="shared" si="541"/>
        <v>저수</v>
      </c>
      <c r="AJ595" s="362" t="str">
        <f t="shared" si="542"/>
        <v>고수</v>
      </c>
      <c r="AK595" s="362" t="str">
        <f t="shared" si="543"/>
        <v>고수</v>
      </c>
      <c r="AL595" s="362" t="str">
        <f t="shared" si="544"/>
        <v>4 : 2</v>
      </c>
      <c r="AM595" s="362">
        <f t="shared" si="545"/>
        <v>4</v>
      </c>
      <c r="AN595" s="362">
        <f t="shared" si="546"/>
        <v>2</v>
      </c>
      <c r="AO595" s="362">
        <f t="shared" si="547"/>
        <v>28</v>
      </c>
      <c r="AP595" s="362" t="str">
        <f t="shared" si="548"/>
        <v>O</v>
      </c>
      <c r="AQ595" s="362" t="str">
        <f t="shared" si="549"/>
        <v>O</v>
      </c>
      <c r="AR595" s="362" t="str">
        <f t="shared" si="550"/>
        <v>X</v>
      </c>
      <c r="AS595" s="362" t="str">
        <f t="shared" si="551"/>
        <v>O</v>
      </c>
      <c r="AT595" s="362" t="str">
        <f t="shared" si="552"/>
        <v>X</v>
      </c>
      <c r="AU595" s="362" t="str">
        <f t="shared" si="553"/>
        <v>X</v>
      </c>
      <c r="AV595" s="362" t="str">
        <f t="shared" si="554"/>
        <v>X</v>
      </c>
      <c r="AW595" s="362" t="str">
        <f t="shared" si="555"/>
        <v>X</v>
      </c>
      <c r="AX595" s="362" t="str">
        <f t="shared" si="556"/>
        <v>X</v>
      </c>
      <c r="AY595" s="362" t="str">
        <f t="shared" si="557"/>
        <v>X</v>
      </c>
      <c r="AZ595" s="362" t="str">
        <f t="shared" si="558"/>
        <v>X</v>
      </c>
      <c r="BA595" s="362" t="str">
        <f t="shared" si="559"/>
        <v>X</v>
      </c>
      <c r="BB595" s="362">
        <f t="shared" si="560"/>
        <v>3</v>
      </c>
      <c r="BC595" s="362" t="str">
        <f t="shared" si="561"/>
        <v>1G</v>
      </c>
      <c r="BD595" s="362" t="str">
        <f t="shared" si="562"/>
        <v>1G</v>
      </c>
      <c r="BE595" s="362" t="str">
        <f t="shared" si="563"/>
        <v>1G</v>
      </c>
      <c r="BF595" s="362" t="str">
        <f t="shared" si="564"/>
        <v>1G</v>
      </c>
      <c r="BG595" s="362" t="str">
        <f t="shared" si="565"/>
        <v>2G</v>
      </c>
      <c r="BH595" s="362" t="str">
        <f t="shared" si="566"/>
        <v>3G</v>
      </c>
      <c r="BI595" s="362">
        <f t="shared" si="568"/>
        <v>4</v>
      </c>
      <c r="BJ595" s="362">
        <f t="shared" si="569"/>
        <v>1</v>
      </c>
      <c r="BK595" s="362">
        <f t="shared" si="570"/>
        <v>1</v>
      </c>
      <c r="BL595" s="362" t="str">
        <f t="shared" si="567"/>
        <v>411</v>
      </c>
      <c r="BS595"/>
    </row>
    <row r="596" spans="2:71" ht="16.5" hidden="1">
      <c r="B596" s="360">
        <v>593</v>
      </c>
      <c r="C596" s="355" t="s">
        <v>945</v>
      </c>
      <c r="D596" s="359"/>
      <c r="E596" s="359"/>
      <c r="F596" s="359"/>
      <c r="G596" s="359"/>
      <c r="H596" s="359"/>
      <c r="I596" s="359"/>
      <c r="J596" s="359"/>
      <c r="K596" s="359"/>
      <c r="L596" s="359"/>
      <c r="M596" s="359"/>
      <c r="N596" s="361">
        <v>9</v>
      </c>
      <c r="O596" s="361">
        <v>10</v>
      </c>
      <c r="P596" s="361">
        <v>13</v>
      </c>
      <c r="Q596" s="361">
        <v>24</v>
      </c>
      <c r="R596" s="361">
        <v>33</v>
      </c>
      <c r="S596" s="361">
        <v>38</v>
      </c>
      <c r="T596" s="363">
        <v>28</v>
      </c>
      <c r="U596" s="363">
        <f t="shared" si="528"/>
        <v>127</v>
      </c>
      <c r="V596" s="363"/>
      <c r="W596" s="362" t="str">
        <f t="shared" si="529"/>
        <v>홀수</v>
      </c>
      <c r="X596" s="362" t="str">
        <f t="shared" si="530"/>
        <v>짝수</v>
      </c>
      <c r="Y596" s="362" t="str">
        <f t="shared" si="531"/>
        <v>홀수</v>
      </c>
      <c r="Z596" s="362" t="str">
        <f t="shared" si="532"/>
        <v>짝수</v>
      </c>
      <c r="AA596" s="363" t="str">
        <f t="shared" si="533"/>
        <v>홀수</v>
      </c>
      <c r="AB596" s="363" t="str">
        <f t="shared" si="534"/>
        <v>짝수</v>
      </c>
      <c r="AC596" s="362" t="str">
        <f t="shared" si="535"/>
        <v>3 : 3</v>
      </c>
      <c r="AD596" s="362">
        <f t="shared" si="536"/>
        <v>3</v>
      </c>
      <c r="AE596" s="362">
        <f t="shared" si="537"/>
        <v>3</v>
      </c>
      <c r="AF596" s="362" t="str">
        <f t="shared" si="538"/>
        <v>저수</v>
      </c>
      <c r="AG596" s="362" t="str">
        <f t="shared" si="539"/>
        <v>저수</v>
      </c>
      <c r="AH596" s="362" t="str">
        <f t="shared" si="540"/>
        <v>저수</v>
      </c>
      <c r="AI596" s="362" t="str">
        <f t="shared" si="541"/>
        <v>고수</v>
      </c>
      <c r="AJ596" s="362" t="str">
        <f t="shared" si="542"/>
        <v>고수</v>
      </c>
      <c r="AK596" s="362" t="str">
        <f t="shared" si="543"/>
        <v>고수</v>
      </c>
      <c r="AL596" s="362" t="str">
        <f t="shared" si="544"/>
        <v>3 : 3</v>
      </c>
      <c r="AM596" s="362">
        <f t="shared" si="545"/>
        <v>3</v>
      </c>
      <c r="AN596" s="362">
        <f t="shared" si="546"/>
        <v>3</v>
      </c>
      <c r="AO596" s="362">
        <f t="shared" si="547"/>
        <v>27</v>
      </c>
      <c r="AP596" s="362" t="str">
        <f t="shared" si="548"/>
        <v>X</v>
      </c>
      <c r="AQ596" s="362" t="str">
        <f t="shared" si="549"/>
        <v>X</v>
      </c>
      <c r="AR596" s="362" t="str">
        <f t="shared" si="550"/>
        <v>O</v>
      </c>
      <c r="AS596" s="362" t="str">
        <f t="shared" si="551"/>
        <v>X</v>
      </c>
      <c r="AT596" s="362" t="str">
        <f t="shared" si="552"/>
        <v>X</v>
      </c>
      <c r="AU596" s="362" t="str">
        <f t="shared" si="553"/>
        <v>X</v>
      </c>
      <c r="AV596" s="362" t="str">
        <f t="shared" si="554"/>
        <v>X</v>
      </c>
      <c r="AW596" s="362" t="str">
        <f t="shared" si="555"/>
        <v>X</v>
      </c>
      <c r="AX596" s="362" t="str">
        <f t="shared" si="556"/>
        <v>X</v>
      </c>
      <c r="AY596" s="362" t="str">
        <f t="shared" si="557"/>
        <v>X</v>
      </c>
      <c r="AZ596" s="362" t="str">
        <f t="shared" si="558"/>
        <v>X</v>
      </c>
      <c r="BA596" s="362" t="str">
        <f t="shared" si="559"/>
        <v>X</v>
      </c>
      <c r="BB596" s="362">
        <f t="shared" si="560"/>
        <v>1</v>
      </c>
      <c r="BC596" s="362" t="str">
        <f t="shared" si="561"/>
        <v>1G</v>
      </c>
      <c r="BD596" s="362" t="str">
        <f t="shared" si="562"/>
        <v>1G</v>
      </c>
      <c r="BE596" s="362" t="str">
        <f t="shared" si="563"/>
        <v>1G</v>
      </c>
      <c r="BF596" s="362" t="str">
        <f t="shared" si="564"/>
        <v>2G</v>
      </c>
      <c r="BG596" s="362" t="str">
        <f t="shared" si="565"/>
        <v>3G</v>
      </c>
      <c r="BH596" s="362" t="str">
        <f t="shared" si="566"/>
        <v>3G</v>
      </c>
      <c r="BI596" s="362">
        <f t="shared" si="568"/>
        <v>3</v>
      </c>
      <c r="BJ596" s="362">
        <f t="shared" si="569"/>
        <v>1</v>
      </c>
      <c r="BK596" s="362">
        <f t="shared" si="570"/>
        <v>2</v>
      </c>
      <c r="BL596" s="362" t="str">
        <f t="shared" si="567"/>
        <v>312</v>
      </c>
      <c r="BS596"/>
    </row>
    <row r="597" spans="2:71" ht="16.5" hidden="1">
      <c r="B597" s="360">
        <v>594</v>
      </c>
      <c r="C597" s="355" t="s">
        <v>944</v>
      </c>
      <c r="D597" s="359"/>
      <c r="E597" s="359"/>
      <c r="F597" s="359"/>
      <c r="G597" s="359"/>
      <c r="H597" s="359"/>
      <c r="I597" s="359"/>
      <c r="J597" s="359"/>
      <c r="K597" s="359"/>
      <c r="L597" s="359"/>
      <c r="M597" s="359"/>
      <c r="N597" s="361">
        <v>2</v>
      </c>
      <c r="O597" s="361">
        <v>8</v>
      </c>
      <c r="P597" s="361">
        <v>13</v>
      </c>
      <c r="Q597" s="361">
        <v>25</v>
      </c>
      <c r="R597" s="361">
        <v>28</v>
      </c>
      <c r="S597" s="361">
        <v>37</v>
      </c>
      <c r="T597" s="363">
        <v>3</v>
      </c>
      <c r="U597" s="363">
        <f t="shared" si="528"/>
        <v>113</v>
      </c>
      <c r="V597" s="363"/>
      <c r="W597" s="362" t="str">
        <f t="shared" si="529"/>
        <v>짝수</v>
      </c>
      <c r="X597" s="362" t="str">
        <f t="shared" si="530"/>
        <v>짝수</v>
      </c>
      <c r="Y597" s="362" t="str">
        <f t="shared" si="531"/>
        <v>홀수</v>
      </c>
      <c r="Z597" s="362" t="str">
        <f t="shared" si="532"/>
        <v>홀수</v>
      </c>
      <c r="AA597" s="363" t="str">
        <f t="shared" si="533"/>
        <v>짝수</v>
      </c>
      <c r="AB597" s="363" t="str">
        <f t="shared" si="534"/>
        <v>홀수</v>
      </c>
      <c r="AC597" s="362" t="str">
        <f t="shared" si="535"/>
        <v>3 : 3</v>
      </c>
      <c r="AD597" s="362">
        <f t="shared" si="536"/>
        <v>3</v>
      </c>
      <c r="AE597" s="362">
        <f t="shared" si="537"/>
        <v>3</v>
      </c>
      <c r="AF597" s="362" t="str">
        <f t="shared" si="538"/>
        <v>저수</v>
      </c>
      <c r="AG597" s="362" t="str">
        <f t="shared" si="539"/>
        <v>저수</v>
      </c>
      <c r="AH597" s="362" t="str">
        <f t="shared" si="540"/>
        <v>저수</v>
      </c>
      <c r="AI597" s="362" t="str">
        <f t="shared" si="541"/>
        <v>고수</v>
      </c>
      <c r="AJ597" s="362" t="str">
        <f t="shared" si="542"/>
        <v>고수</v>
      </c>
      <c r="AK597" s="362" t="str">
        <f t="shared" si="543"/>
        <v>고수</v>
      </c>
      <c r="AL597" s="362" t="str">
        <f t="shared" si="544"/>
        <v>3 : 3</v>
      </c>
      <c r="AM597" s="362">
        <f t="shared" si="545"/>
        <v>3</v>
      </c>
      <c r="AN597" s="362">
        <f t="shared" si="546"/>
        <v>3</v>
      </c>
      <c r="AO597" s="362">
        <f t="shared" si="547"/>
        <v>33</v>
      </c>
      <c r="AP597" s="362" t="str">
        <f t="shared" si="548"/>
        <v>O</v>
      </c>
      <c r="AQ597" s="362" t="str">
        <f t="shared" si="549"/>
        <v>X</v>
      </c>
      <c r="AR597" s="362" t="str">
        <f t="shared" si="550"/>
        <v>O</v>
      </c>
      <c r="AS597" s="362" t="str">
        <f t="shared" si="551"/>
        <v>X</v>
      </c>
      <c r="AT597" s="362" t="str">
        <f t="shared" si="552"/>
        <v>X</v>
      </c>
      <c r="AU597" s="362" t="str">
        <f t="shared" si="553"/>
        <v>X</v>
      </c>
      <c r="AV597" s="362" t="str">
        <f t="shared" si="554"/>
        <v>X</v>
      </c>
      <c r="AW597" s="362" t="str">
        <f t="shared" si="555"/>
        <v>X</v>
      </c>
      <c r="AX597" s="362" t="str">
        <f t="shared" si="556"/>
        <v>X</v>
      </c>
      <c r="AY597" s="362" t="str">
        <f t="shared" si="557"/>
        <v>X</v>
      </c>
      <c r="AZ597" s="362" t="str">
        <f t="shared" si="558"/>
        <v>X</v>
      </c>
      <c r="BA597" s="362" t="str">
        <f t="shared" si="559"/>
        <v>O</v>
      </c>
      <c r="BB597" s="362">
        <f t="shared" si="560"/>
        <v>3</v>
      </c>
      <c r="BC597" s="362" t="str">
        <f t="shared" si="561"/>
        <v>1G</v>
      </c>
      <c r="BD597" s="362" t="str">
        <f t="shared" si="562"/>
        <v>1G</v>
      </c>
      <c r="BE597" s="362" t="str">
        <f t="shared" si="563"/>
        <v>1G</v>
      </c>
      <c r="BF597" s="362" t="str">
        <f t="shared" si="564"/>
        <v>2G</v>
      </c>
      <c r="BG597" s="362" t="str">
        <f t="shared" si="565"/>
        <v>2G</v>
      </c>
      <c r="BH597" s="362" t="str">
        <f t="shared" si="566"/>
        <v>3G</v>
      </c>
      <c r="BI597" s="362">
        <f t="shared" si="568"/>
        <v>3</v>
      </c>
      <c r="BJ597" s="362">
        <f t="shared" si="569"/>
        <v>2</v>
      </c>
      <c r="BK597" s="362">
        <f t="shared" si="570"/>
        <v>1</v>
      </c>
      <c r="BL597" s="362" t="str">
        <f t="shared" si="567"/>
        <v>321</v>
      </c>
      <c r="BS597"/>
    </row>
    <row r="598" spans="2:71" ht="16.5" hidden="1">
      <c r="B598" s="360">
        <v>595</v>
      </c>
      <c r="C598" s="355" t="s">
        <v>943</v>
      </c>
      <c r="D598" s="359"/>
      <c r="E598" s="359"/>
      <c r="F598" s="359"/>
      <c r="G598" s="359"/>
      <c r="H598" s="359"/>
      <c r="I598" s="359"/>
      <c r="J598" s="359"/>
      <c r="K598" s="359"/>
      <c r="L598" s="359"/>
      <c r="M598" s="359"/>
      <c r="N598" s="361">
        <v>8</v>
      </c>
      <c r="O598" s="361">
        <v>24</v>
      </c>
      <c r="P598" s="361">
        <v>28</v>
      </c>
      <c r="Q598" s="361">
        <v>35</v>
      </c>
      <c r="R598" s="361">
        <v>38</v>
      </c>
      <c r="S598" s="361">
        <v>40</v>
      </c>
      <c r="T598" s="363">
        <v>5</v>
      </c>
      <c r="U598" s="363">
        <f t="shared" si="528"/>
        <v>173</v>
      </c>
      <c r="V598" s="363"/>
      <c r="W598" s="362" t="str">
        <f t="shared" si="529"/>
        <v>짝수</v>
      </c>
      <c r="X598" s="362" t="str">
        <f t="shared" si="530"/>
        <v>짝수</v>
      </c>
      <c r="Y598" s="362" t="str">
        <f t="shared" si="531"/>
        <v>짝수</v>
      </c>
      <c r="Z598" s="362" t="str">
        <f t="shared" si="532"/>
        <v>홀수</v>
      </c>
      <c r="AA598" s="363" t="str">
        <f t="shared" si="533"/>
        <v>짝수</v>
      </c>
      <c r="AB598" s="363" t="str">
        <f t="shared" si="534"/>
        <v>짝수</v>
      </c>
      <c r="AC598" s="362" t="str">
        <f t="shared" si="535"/>
        <v>1 : 5</v>
      </c>
      <c r="AD598" s="362">
        <f t="shared" si="536"/>
        <v>1</v>
      </c>
      <c r="AE598" s="362">
        <f t="shared" si="537"/>
        <v>5</v>
      </c>
      <c r="AF598" s="362" t="str">
        <f t="shared" si="538"/>
        <v>저수</v>
      </c>
      <c r="AG598" s="362" t="str">
        <f t="shared" si="539"/>
        <v>고수</v>
      </c>
      <c r="AH598" s="362" t="str">
        <f t="shared" si="540"/>
        <v>고수</v>
      </c>
      <c r="AI598" s="362" t="str">
        <f t="shared" si="541"/>
        <v>고수</v>
      </c>
      <c r="AJ598" s="362" t="str">
        <f t="shared" si="542"/>
        <v>고수</v>
      </c>
      <c r="AK598" s="362" t="str">
        <f t="shared" si="543"/>
        <v>고수</v>
      </c>
      <c r="AL598" s="362" t="str">
        <f t="shared" si="544"/>
        <v>1 : 5</v>
      </c>
      <c r="AM598" s="362">
        <f t="shared" si="545"/>
        <v>1</v>
      </c>
      <c r="AN598" s="362">
        <f t="shared" si="546"/>
        <v>5</v>
      </c>
      <c r="AO598" s="362">
        <f t="shared" si="547"/>
        <v>33</v>
      </c>
      <c r="AP598" s="362" t="str">
        <f t="shared" si="548"/>
        <v>X</v>
      </c>
      <c r="AQ598" s="362" t="str">
        <f t="shared" si="549"/>
        <v>X</v>
      </c>
      <c r="AR598" s="362" t="str">
        <f t="shared" si="550"/>
        <v>X</v>
      </c>
      <c r="AS598" s="362" t="str">
        <f t="shared" si="551"/>
        <v>X</v>
      </c>
      <c r="AT598" s="362" t="str">
        <f t="shared" si="552"/>
        <v>X</v>
      </c>
      <c r="AU598" s="362" t="str">
        <f t="shared" si="553"/>
        <v>X</v>
      </c>
      <c r="AV598" s="362" t="str">
        <f t="shared" si="554"/>
        <v>X</v>
      </c>
      <c r="AW598" s="362" t="str">
        <f t="shared" si="555"/>
        <v>X</v>
      </c>
      <c r="AX598" s="362" t="str">
        <f t="shared" si="556"/>
        <v>X</v>
      </c>
      <c r="AY598" s="362" t="str">
        <f t="shared" si="557"/>
        <v>X</v>
      </c>
      <c r="AZ598" s="362" t="str">
        <f t="shared" si="558"/>
        <v>X</v>
      </c>
      <c r="BA598" s="362" t="str">
        <f t="shared" si="559"/>
        <v>X</v>
      </c>
      <c r="BB598" s="362">
        <f t="shared" si="560"/>
        <v>0</v>
      </c>
      <c r="BC598" s="362" t="str">
        <f t="shared" si="561"/>
        <v>1G</v>
      </c>
      <c r="BD598" s="362" t="str">
        <f t="shared" si="562"/>
        <v>2G</v>
      </c>
      <c r="BE598" s="362" t="str">
        <f t="shared" si="563"/>
        <v>2G</v>
      </c>
      <c r="BF598" s="362" t="str">
        <f t="shared" si="564"/>
        <v>3G</v>
      </c>
      <c r="BG598" s="362" t="str">
        <f t="shared" si="565"/>
        <v>3G</v>
      </c>
      <c r="BH598" s="362" t="str">
        <f t="shared" si="566"/>
        <v>3G</v>
      </c>
      <c r="BI598" s="362">
        <f t="shared" si="568"/>
        <v>1</v>
      </c>
      <c r="BJ598" s="362">
        <f t="shared" si="569"/>
        <v>2</v>
      </c>
      <c r="BK598" s="362">
        <f t="shared" si="570"/>
        <v>3</v>
      </c>
      <c r="BL598" s="362" t="str">
        <f t="shared" si="567"/>
        <v>123</v>
      </c>
      <c r="BS598"/>
    </row>
    <row r="599" spans="2:71" ht="16.5" hidden="1">
      <c r="B599" s="360">
        <v>596</v>
      </c>
      <c r="C599" s="355" t="s">
        <v>942</v>
      </c>
      <c r="D599" s="359"/>
      <c r="E599" s="359"/>
      <c r="F599" s="359"/>
      <c r="G599" s="359"/>
      <c r="H599" s="359"/>
      <c r="I599" s="359"/>
      <c r="J599" s="359"/>
      <c r="K599" s="359"/>
      <c r="L599" s="359"/>
      <c r="M599" s="359"/>
      <c r="N599" s="361">
        <v>3</v>
      </c>
      <c r="O599" s="361">
        <v>4</v>
      </c>
      <c r="P599" s="361">
        <v>12</v>
      </c>
      <c r="Q599" s="361">
        <v>14</v>
      </c>
      <c r="R599" s="361">
        <v>25</v>
      </c>
      <c r="S599" s="361">
        <v>43</v>
      </c>
      <c r="T599" s="363">
        <v>17</v>
      </c>
      <c r="U599" s="363">
        <f t="shared" si="528"/>
        <v>101</v>
      </c>
      <c r="V599" s="363"/>
      <c r="W599" s="362" t="str">
        <f t="shared" si="529"/>
        <v>홀수</v>
      </c>
      <c r="X599" s="362" t="str">
        <f t="shared" si="530"/>
        <v>짝수</v>
      </c>
      <c r="Y599" s="362" t="str">
        <f t="shared" si="531"/>
        <v>짝수</v>
      </c>
      <c r="Z599" s="362" t="str">
        <f t="shared" si="532"/>
        <v>짝수</v>
      </c>
      <c r="AA599" s="363" t="str">
        <f t="shared" si="533"/>
        <v>홀수</v>
      </c>
      <c r="AB599" s="363" t="str">
        <f t="shared" si="534"/>
        <v>홀수</v>
      </c>
      <c r="AC599" s="362" t="str">
        <f t="shared" si="535"/>
        <v>3 : 3</v>
      </c>
      <c r="AD599" s="362">
        <f t="shared" si="536"/>
        <v>3</v>
      </c>
      <c r="AE599" s="362">
        <f t="shared" si="537"/>
        <v>3</v>
      </c>
      <c r="AF599" s="362" t="str">
        <f t="shared" si="538"/>
        <v>저수</v>
      </c>
      <c r="AG599" s="362" t="str">
        <f t="shared" si="539"/>
        <v>저수</v>
      </c>
      <c r="AH599" s="362" t="str">
        <f t="shared" si="540"/>
        <v>저수</v>
      </c>
      <c r="AI599" s="362" t="str">
        <f t="shared" si="541"/>
        <v>저수</v>
      </c>
      <c r="AJ599" s="362" t="str">
        <f t="shared" si="542"/>
        <v>고수</v>
      </c>
      <c r="AK599" s="362" t="str">
        <f t="shared" si="543"/>
        <v>고수</v>
      </c>
      <c r="AL599" s="362" t="str">
        <f t="shared" si="544"/>
        <v>4 : 2</v>
      </c>
      <c r="AM599" s="362">
        <f t="shared" si="545"/>
        <v>4</v>
      </c>
      <c r="AN599" s="362">
        <f t="shared" si="546"/>
        <v>2</v>
      </c>
      <c r="AO599" s="362">
        <f t="shared" si="547"/>
        <v>21</v>
      </c>
      <c r="AP599" s="362" t="str">
        <f t="shared" si="548"/>
        <v>O</v>
      </c>
      <c r="AQ599" s="362" t="str">
        <f t="shared" si="549"/>
        <v>X</v>
      </c>
      <c r="AR599" s="362" t="str">
        <f t="shared" si="550"/>
        <v>X</v>
      </c>
      <c r="AS599" s="362" t="str">
        <f t="shared" si="551"/>
        <v>X</v>
      </c>
      <c r="AT599" s="362" t="str">
        <f t="shared" si="552"/>
        <v>X</v>
      </c>
      <c r="AU599" s="362" t="str">
        <f t="shared" si="553"/>
        <v>X</v>
      </c>
      <c r="AV599" s="362" t="str">
        <f t="shared" si="554"/>
        <v>X</v>
      </c>
      <c r="AW599" s="362" t="str">
        <f t="shared" si="555"/>
        <v>X</v>
      </c>
      <c r="AX599" s="362" t="str">
        <f t="shared" si="556"/>
        <v>X</v>
      </c>
      <c r="AY599" s="362" t="str">
        <f t="shared" si="557"/>
        <v>X</v>
      </c>
      <c r="AZ599" s="362" t="str">
        <f t="shared" si="558"/>
        <v>X</v>
      </c>
      <c r="BA599" s="362" t="str">
        <f t="shared" si="559"/>
        <v>O</v>
      </c>
      <c r="BB599" s="362">
        <f t="shared" si="560"/>
        <v>2</v>
      </c>
      <c r="BC599" s="362" t="str">
        <f t="shared" si="561"/>
        <v>1G</v>
      </c>
      <c r="BD599" s="362" t="str">
        <f t="shared" si="562"/>
        <v>1G</v>
      </c>
      <c r="BE599" s="362" t="str">
        <f t="shared" si="563"/>
        <v>1G</v>
      </c>
      <c r="BF599" s="362" t="str">
        <f t="shared" si="564"/>
        <v>1G</v>
      </c>
      <c r="BG599" s="362" t="str">
        <f t="shared" si="565"/>
        <v>2G</v>
      </c>
      <c r="BH599" s="362" t="str">
        <f t="shared" si="566"/>
        <v>3G</v>
      </c>
      <c r="BI599" s="362">
        <f t="shared" si="568"/>
        <v>4</v>
      </c>
      <c r="BJ599" s="362">
        <f t="shared" si="569"/>
        <v>1</v>
      </c>
      <c r="BK599" s="362">
        <f t="shared" si="570"/>
        <v>1</v>
      </c>
      <c r="BL599" s="362" t="str">
        <f t="shared" si="567"/>
        <v>411</v>
      </c>
      <c r="BS599"/>
    </row>
    <row r="600" spans="2:71" ht="16.5" hidden="1">
      <c r="B600" s="360">
        <v>597</v>
      </c>
      <c r="C600" s="355" t="s">
        <v>941</v>
      </c>
      <c r="D600" s="359"/>
      <c r="E600" s="359"/>
      <c r="F600" s="359"/>
      <c r="G600" s="359"/>
      <c r="H600" s="359"/>
      <c r="I600" s="359"/>
      <c r="J600" s="359"/>
      <c r="K600" s="359"/>
      <c r="L600" s="359"/>
      <c r="M600" s="359"/>
      <c r="N600" s="361">
        <v>8</v>
      </c>
      <c r="O600" s="361">
        <v>10</v>
      </c>
      <c r="P600" s="361">
        <v>23</v>
      </c>
      <c r="Q600" s="361">
        <v>24</v>
      </c>
      <c r="R600" s="361">
        <v>35</v>
      </c>
      <c r="S600" s="361">
        <v>43</v>
      </c>
      <c r="T600" s="363">
        <v>37</v>
      </c>
      <c r="U600" s="363">
        <f t="shared" si="528"/>
        <v>143</v>
      </c>
      <c r="V600" s="363"/>
      <c r="W600" s="362" t="str">
        <f t="shared" si="529"/>
        <v>짝수</v>
      </c>
      <c r="X600" s="362" t="str">
        <f t="shared" si="530"/>
        <v>짝수</v>
      </c>
      <c r="Y600" s="362" t="str">
        <f t="shared" si="531"/>
        <v>홀수</v>
      </c>
      <c r="Z600" s="362" t="str">
        <f t="shared" si="532"/>
        <v>짝수</v>
      </c>
      <c r="AA600" s="363" t="str">
        <f t="shared" si="533"/>
        <v>홀수</v>
      </c>
      <c r="AB600" s="363" t="str">
        <f t="shared" si="534"/>
        <v>홀수</v>
      </c>
      <c r="AC600" s="362" t="str">
        <f t="shared" si="535"/>
        <v>3 : 3</v>
      </c>
      <c r="AD600" s="362">
        <f t="shared" si="536"/>
        <v>3</v>
      </c>
      <c r="AE600" s="362">
        <f t="shared" si="537"/>
        <v>3</v>
      </c>
      <c r="AF600" s="362" t="str">
        <f t="shared" si="538"/>
        <v>저수</v>
      </c>
      <c r="AG600" s="362" t="str">
        <f t="shared" si="539"/>
        <v>저수</v>
      </c>
      <c r="AH600" s="362" t="str">
        <f t="shared" si="540"/>
        <v>고수</v>
      </c>
      <c r="AI600" s="362" t="str">
        <f t="shared" si="541"/>
        <v>고수</v>
      </c>
      <c r="AJ600" s="362" t="str">
        <f t="shared" si="542"/>
        <v>고수</v>
      </c>
      <c r="AK600" s="362" t="str">
        <f t="shared" si="543"/>
        <v>고수</v>
      </c>
      <c r="AL600" s="362" t="str">
        <f t="shared" si="544"/>
        <v>2 : 4</v>
      </c>
      <c r="AM600" s="362">
        <f t="shared" si="545"/>
        <v>2</v>
      </c>
      <c r="AN600" s="362">
        <f t="shared" si="546"/>
        <v>4</v>
      </c>
      <c r="AO600" s="362">
        <f t="shared" si="547"/>
        <v>23</v>
      </c>
      <c r="AP600" s="362" t="str">
        <f t="shared" si="548"/>
        <v>X</v>
      </c>
      <c r="AQ600" s="362" t="str">
        <f t="shared" si="549"/>
        <v>X</v>
      </c>
      <c r="AR600" s="362" t="str">
        <f t="shared" si="550"/>
        <v>X</v>
      </c>
      <c r="AS600" s="362" t="str">
        <f t="shared" si="551"/>
        <v>X</v>
      </c>
      <c r="AT600" s="362" t="str">
        <f t="shared" si="552"/>
        <v>X</v>
      </c>
      <c r="AU600" s="362" t="str">
        <f t="shared" si="553"/>
        <v>X</v>
      </c>
      <c r="AV600" s="362" t="str">
        <f t="shared" si="554"/>
        <v>X</v>
      </c>
      <c r="AW600" s="362" t="str">
        <f t="shared" si="555"/>
        <v>X</v>
      </c>
      <c r="AX600" s="362" t="str">
        <f t="shared" si="556"/>
        <v>O</v>
      </c>
      <c r="AY600" s="362" t="str">
        <f t="shared" si="557"/>
        <v>X</v>
      </c>
      <c r="AZ600" s="362" t="str">
        <f t="shared" si="558"/>
        <v>X</v>
      </c>
      <c r="BA600" s="362" t="str">
        <f t="shared" si="559"/>
        <v>O</v>
      </c>
      <c r="BB600" s="362">
        <f t="shared" si="560"/>
        <v>2</v>
      </c>
      <c r="BC600" s="362" t="str">
        <f t="shared" si="561"/>
        <v>1G</v>
      </c>
      <c r="BD600" s="362" t="str">
        <f t="shared" si="562"/>
        <v>1G</v>
      </c>
      <c r="BE600" s="362" t="str">
        <f t="shared" si="563"/>
        <v>2G</v>
      </c>
      <c r="BF600" s="362" t="str">
        <f t="shared" si="564"/>
        <v>2G</v>
      </c>
      <c r="BG600" s="362" t="str">
        <f t="shared" si="565"/>
        <v>3G</v>
      </c>
      <c r="BH600" s="362" t="str">
        <f t="shared" si="566"/>
        <v>3G</v>
      </c>
      <c r="BI600" s="362">
        <f t="shared" si="568"/>
        <v>2</v>
      </c>
      <c r="BJ600" s="362">
        <f t="shared" si="569"/>
        <v>2</v>
      </c>
      <c r="BK600" s="362">
        <f t="shared" si="570"/>
        <v>2</v>
      </c>
      <c r="BL600" s="362" t="str">
        <f t="shared" si="567"/>
        <v>222</v>
      </c>
      <c r="BS600"/>
    </row>
    <row r="601" spans="2:71" ht="16.5" hidden="1">
      <c r="B601" s="360">
        <v>598</v>
      </c>
      <c r="C601" s="355" t="s">
        <v>940</v>
      </c>
      <c r="D601" s="359"/>
      <c r="E601" s="359"/>
      <c r="F601" s="359"/>
      <c r="G601" s="359"/>
      <c r="H601" s="359"/>
      <c r="I601" s="359"/>
      <c r="J601" s="359"/>
      <c r="K601" s="359"/>
      <c r="L601" s="359"/>
      <c r="M601" s="359"/>
      <c r="N601" s="361">
        <v>4</v>
      </c>
      <c r="O601" s="361">
        <v>12</v>
      </c>
      <c r="P601" s="361">
        <v>24</v>
      </c>
      <c r="Q601" s="361">
        <v>33</v>
      </c>
      <c r="R601" s="361">
        <v>38</v>
      </c>
      <c r="S601" s="361">
        <v>45</v>
      </c>
      <c r="T601" s="363">
        <v>22</v>
      </c>
      <c r="U601" s="363">
        <f t="shared" si="528"/>
        <v>156</v>
      </c>
      <c r="V601" s="363"/>
      <c r="W601" s="362" t="str">
        <f t="shared" si="529"/>
        <v>짝수</v>
      </c>
      <c r="X601" s="362" t="str">
        <f t="shared" si="530"/>
        <v>짝수</v>
      </c>
      <c r="Y601" s="362" t="str">
        <f t="shared" si="531"/>
        <v>짝수</v>
      </c>
      <c r="Z601" s="362" t="str">
        <f t="shared" si="532"/>
        <v>홀수</v>
      </c>
      <c r="AA601" s="363" t="str">
        <f t="shared" si="533"/>
        <v>짝수</v>
      </c>
      <c r="AB601" s="363" t="str">
        <f t="shared" si="534"/>
        <v>홀수</v>
      </c>
      <c r="AC601" s="362" t="str">
        <f t="shared" si="535"/>
        <v>2 : 4</v>
      </c>
      <c r="AD601" s="362">
        <f t="shared" si="536"/>
        <v>2</v>
      </c>
      <c r="AE601" s="362">
        <f t="shared" si="537"/>
        <v>4</v>
      </c>
      <c r="AF601" s="362" t="str">
        <f t="shared" si="538"/>
        <v>저수</v>
      </c>
      <c r="AG601" s="362" t="str">
        <f t="shared" si="539"/>
        <v>저수</v>
      </c>
      <c r="AH601" s="362" t="str">
        <f t="shared" si="540"/>
        <v>고수</v>
      </c>
      <c r="AI601" s="362" t="str">
        <f t="shared" si="541"/>
        <v>고수</v>
      </c>
      <c r="AJ601" s="362" t="str">
        <f t="shared" si="542"/>
        <v>고수</v>
      </c>
      <c r="AK601" s="362" t="str">
        <f t="shared" si="543"/>
        <v>고수</v>
      </c>
      <c r="AL601" s="362" t="str">
        <f t="shared" si="544"/>
        <v>2 : 4</v>
      </c>
      <c r="AM601" s="362">
        <f t="shared" si="545"/>
        <v>2</v>
      </c>
      <c r="AN601" s="362">
        <f t="shared" si="546"/>
        <v>4</v>
      </c>
      <c r="AO601" s="362">
        <f t="shared" si="547"/>
        <v>26</v>
      </c>
      <c r="AP601" s="362" t="str">
        <f t="shared" si="548"/>
        <v>X</v>
      </c>
      <c r="AQ601" s="362" t="str">
        <f t="shared" si="549"/>
        <v>X</v>
      </c>
      <c r="AR601" s="362" t="str">
        <f t="shared" si="550"/>
        <v>X</v>
      </c>
      <c r="AS601" s="362" t="str">
        <f t="shared" si="551"/>
        <v>X</v>
      </c>
      <c r="AT601" s="362" t="str">
        <f t="shared" si="552"/>
        <v>X</v>
      </c>
      <c r="AU601" s="362" t="str">
        <f t="shared" si="553"/>
        <v>X</v>
      </c>
      <c r="AV601" s="362" t="str">
        <f t="shared" si="554"/>
        <v>X</v>
      </c>
      <c r="AW601" s="362" t="str">
        <f t="shared" si="555"/>
        <v>X</v>
      </c>
      <c r="AX601" s="362" t="str">
        <f t="shared" si="556"/>
        <v>X</v>
      </c>
      <c r="AY601" s="362" t="str">
        <f t="shared" si="557"/>
        <v>X</v>
      </c>
      <c r="AZ601" s="362" t="str">
        <f t="shared" si="558"/>
        <v>X</v>
      </c>
      <c r="BA601" s="362" t="str">
        <f t="shared" si="559"/>
        <v>X</v>
      </c>
      <c r="BB601" s="362">
        <f t="shared" si="560"/>
        <v>0</v>
      </c>
      <c r="BC601" s="362" t="str">
        <f t="shared" si="561"/>
        <v>1G</v>
      </c>
      <c r="BD601" s="362" t="str">
        <f t="shared" si="562"/>
        <v>1G</v>
      </c>
      <c r="BE601" s="362" t="str">
        <f t="shared" si="563"/>
        <v>2G</v>
      </c>
      <c r="BF601" s="362" t="str">
        <f t="shared" si="564"/>
        <v>3G</v>
      </c>
      <c r="BG601" s="362" t="str">
        <f t="shared" si="565"/>
        <v>3G</v>
      </c>
      <c r="BH601" s="362" t="str">
        <f t="shared" si="566"/>
        <v>3G</v>
      </c>
      <c r="BI601" s="362">
        <f t="shared" si="568"/>
        <v>2</v>
      </c>
      <c r="BJ601" s="362">
        <f t="shared" si="569"/>
        <v>1</v>
      </c>
      <c r="BK601" s="362">
        <f t="shared" si="570"/>
        <v>3</v>
      </c>
      <c r="BL601" s="362" t="str">
        <f t="shared" si="567"/>
        <v>213</v>
      </c>
      <c r="BS601"/>
    </row>
    <row r="602" spans="2:71" ht="16.5" hidden="1">
      <c r="B602" s="360">
        <v>599</v>
      </c>
      <c r="C602" s="355" t="s">
        <v>939</v>
      </c>
      <c r="D602" s="359"/>
      <c r="E602" s="359"/>
      <c r="F602" s="359"/>
      <c r="G602" s="359"/>
      <c r="H602" s="359"/>
      <c r="I602" s="359"/>
      <c r="J602" s="359"/>
      <c r="K602" s="359"/>
      <c r="L602" s="359"/>
      <c r="M602" s="359"/>
      <c r="N602" s="361">
        <v>5</v>
      </c>
      <c r="O602" s="361">
        <v>12</v>
      </c>
      <c r="P602" s="361">
        <v>17</v>
      </c>
      <c r="Q602" s="361">
        <v>29</v>
      </c>
      <c r="R602" s="361">
        <v>34</v>
      </c>
      <c r="S602" s="361">
        <v>35</v>
      </c>
      <c r="T602" s="363">
        <v>27</v>
      </c>
      <c r="U602" s="363">
        <f t="shared" si="528"/>
        <v>132</v>
      </c>
      <c r="V602" s="363"/>
      <c r="W602" s="362" t="str">
        <f t="shared" si="529"/>
        <v>홀수</v>
      </c>
      <c r="X602" s="362" t="str">
        <f t="shared" si="530"/>
        <v>짝수</v>
      </c>
      <c r="Y602" s="362" t="str">
        <f t="shared" si="531"/>
        <v>홀수</v>
      </c>
      <c r="Z602" s="362" t="str">
        <f t="shared" si="532"/>
        <v>홀수</v>
      </c>
      <c r="AA602" s="363" t="str">
        <f t="shared" si="533"/>
        <v>짝수</v>
      </c>
      <c r="AB602" s="363" t="str">
        <f t="shared" si="534"/>
        <v>홀수</v>
      </c>
      <c r="AC602" s="362" t="str">
        <f t="shared" si="535"/>
        <v>4 : 2</v>
      </c>
      <c r="AD602" s="362">
        <f t="shared" si="536"/>
        <v>4</v>
      </c>
      <c r="AE602" s="362">
        <f t="shared" si="537"/>
        <v>2</v>
      </c>
      <c r="AF602" s="362" t="str">
        <f t="shared" si="538"/>
        <v>저수</v>
      </c>
      <c r="AG602" s="362" t="str">
        <f t="shared" si="539"/>
        <v>저수</v>
      </c>
      <c r="AH602" s="362" t="str">
        <f t="shared" si="540"/>
        <v>저수</v>
      </c>
      <c r="AI602" s="362" t="str">
        <f t="shared" si="541"/>
        <v>고수</v>
      </c>
      <c r="AJ602" s="362" t="str">
        <f t="shared" si="542"/>
        <v>고수</v>
      </c>
      <c r="AK602" s="362" t="str">
        <f t="shared" si="543"/>
        <v>고수</v>
      </c>
      <c r="AL602" s="362" t="str">
        <f t="shared" si="544"/>
        <v>3 : 3</v>
      </c>
      <c r="AM602" s="362">
        <f t="shared" si="545"/>
        <v>3</v>
      </c>
      <c r="AN602" s="362">
        <f t="shared" si="546"/>
        <v>3</v>
      </c>
      <c r="AO602" s="362">
        <f t="shared" si="547"/>
        <v>32</v>
      </c>
      <c r="AP602" s="362" t="str">
        <f t="shared" si="548"/>
        <v>O</v>
      </c>
      <c r="AQ602" s="362" t="str">
        <f t="shared" si="549"/>
        <v>X</v>
      </c>
      <c r="AR602" s="362" t="str">
        <f t="shared" si="550"/>
        <v>O</v>
      </c>
      <c r="AS602" s="362" t="str">
        <f t="shared" si="551"/>
        <v>X</v>
      </c>
      <c r="AT602" s="362" t="str">
        <f t="shared" si="552"/>
        <v>X</v>
      </c>
      <c r="AU602" s="362" t="str">
        <f t="shared" si="553"/>
        <v>X</v>
      </c>
      <c r="AV602" s="362" t="str">
        <f t="shared" si="554"/>
        <v>X</v>
      </c>
      <c r="AW602" s="362" t="str">
        <f t="shared" si="555"/>
        <v>X</v>
      </c>
      <c r="AX602" s="362" t="str">
        <f t="shared" si="556"/>
        <v>X</v>
      </c>
      <c r="AY602" s="362" t="str">
        <f t="shared" si="557"/>
        <v>O</v>
      </c>
      <c r="AZ602" s="362" t="str">
        <f t="shared" si="558"/>
        <v>X</v>
      </c>
      <c r="BA602" s="362" t="str">
        <f t="shared" si="559"/>
        <v>X</v>
      </c>
      <c r="BB602" s="362">
        <f t="shared" si="560"/>
        <v>3</v>
      </c>
      <c r="BC602" s="362" t="str">
        <f t="shared" si="561"/>
        <v>1G</v>
      </c>
      <c r="BD602" s="362" t="str">
        <f t="shared" si="562"/>
        <v>1G</v>
      </c>
      <c r="BE602" s="362" t="str">
        <f t="shared" si="563"/>
        <v>2G</v>
      </c>
      <c r="BF602" s="362" t="str">
        <f t="shared" si="564"/>
        <v>2G</v>
      </c>
      <c r="BG602" s="362" t="str">
        <f t="shared" si="565"/>
        <v>3G</v>
      </c>
      <c r="BH602" s="362" t="str">
        <f t="shared" si="566"/>
        <v>3G</v>
      </c>
      <c r="BI602" s="362">
        <f t="shared" si="568"/>
        <v>2</v>
      </c>
      <c r="BJ602" s="362">
        <f t="shared" si="569"/>
        <v>2</v>
      </c>
      <c r="BK602" s="362">
        <f t="shared" si="570"/>
        <v>2</v>
      </c>
      <c r="BL602" s="362" t="str">
        <f t="shared" si="567"/>
        <v>222</v>
      </c>
      <c r="BS602"/>
    </row>
    <row r="603" spans="2:71" ht="16.5" hidden="1">
      <c r="B603" s="360">
        <v>600</v>
      </c>
      <c r="C603" s="355" t="s">
        <v>938</v>
      </c>
      <c r="D603" s="359"/>
      <c r="E603" s="359"/>
      <c r="F603" s="359"/>
      <c r="G603" s="359"/>
      <c r="H603" s="359"/>
      <c r="I603" s="359"/>
      <c r="J603" s="359"/>
      <c r="K603" s="359"/>
      <c r="L603" s="359"/>
      <c r="M603" s="359"/>
      <c r="N603" s="361">
        <v>5</v>
      </c>
      <c r="O603" s="361">
        <v>11</v>
      </c>
      <c r="P603" s="361">
        <v>14</v>
      </c>
      <c r="Q603" s="361">
        <v>27</v>
      </c>
      <c r="R603" s="361">
        <v>29</v>
      </c>
      <c r="S603" s="361">
        <v>36</v>
      </c>
      <c r="T603" s="363">
        <v>44</v>
      </c>
      <c r="U603" s="363">
        <f t="shared" si="528"/>
        <v>122</v>
      </c>
      <c r="V603" s="363"/>
      <c r="W603" s="362" t="str">
        <f t="shared" si="529"/>
        <v>홀수</v>
      </c>
      <c r="X603" s="362" t="str">
        <f t="shared" si="530"/>
        <v>홀수</v>
      </c>
      <c r="Y603" s="362" t="str">
        <f t="shared" si="531"/>
        <v>짝수</v>
      </c>
      <c r="Z603" s="362" t="str">
        <f t="shared" si="532"/>
        <v>홀수</v>
      </c>
      <c r="AA603" s="363" t="str">
        <f t="shared" si="533"/>
        <v>홀수</v>
      </c>
      <c r="AB603" s="363" t="str">
        <f t="shared" si="534"/>
        <v>짝수</v>
      </c>
      <c r="AC603" s="362" t="str">
        <f t="shared" si="535"/>
        <v>4 : 2</v>
      </c>
      <c r="AD603" s="362">
        <f t="shared" si="536"/>
        <v>4</v>
      </c>
      <c r="AE603" s="362">
        <f t="shared" si="537"/>
        <v>2</v>
      </c>
      <c r="AF603" s="362" t="str">
        <f t="shared" si="538"/>
        <v>저수</v>
      </c>
      <c r="AG603" s="362" t="str">
        <f t="shared" si="539"/>
        <v>저수</v>
      </c>
      <c r="AH603" s="362" t="str">
        <f t="shared" si="540"/>
        <v>저수</v>
      </c>
      <c r="AI603" s="362" t="str">
        <f t="shared" si="541"/>
        <v>고수</v>
      </c>
      <c r="AJ603" s="362" t="str">
        <f t="shared" si="542"/>
        <v>고수</v>
      </c>
      <c r="AK603" s="362" t="str">
        <f t="shared" si="543"/>
        <v>고수</v>
      </c>
      <c r="AL603" s="362" t="str">
        <f t="shared" si="544"/>
        <v>3 : 3</v>
      </c>
      <c r="AM603" s="362">
        <f t="shared" si="545"/>
        <v>3</v>
      </c>
      <c r="AN603" s="362">
        <f t="shared" si="546"/>
        <v>3</v>
      </c>
      <c r="AO603" s="362">
        <f t="shared" si="547"/>
        <v>32</v>
      </c>
      <c r="AP603" s="362" t="str">
        <f t="shared" si="548"/>
        <v>O</v>
      </c>
      <c r="AQ603" s="362" t="str">
        <f t="shared" si="549"/>
        <v>O</v>
      </c>
      <c r="AR603" s="362" t="str">
        <f t="shared" si="550"/>
        <v>X</v>
      </c>
      <c r="AS603" s="362" t="str">
        <f t="shared" si="551"/>
        <v>X</v>
      </c>
      <c r="AT603" s="362" t="str">
        <f t="shared" si="552"/>
        <v>X</v>
      </c>
      <c r="AU603" s="362" t="str">
        <f t="shared" si="553"/>
        <v>X</v>
      </c>
      <c r="AV603" s="362" t="str">
        <f t="shared" si="554"/>
        <v>X</v>
      </c>
      <c r="AW603" s="362" t="str">
        <f t="shared" si="555"/>
        <v>X</v>
      </c>
      <c r="AX603" s="362" t="str">
        <f t="shared" si="556"/>
        <v>X</v>
      </c>
      <c r="AY603" s="362" t="str">
        <f t="shared" si="557"/>
        <v>X</v>
      </c>
      <c r="AZ603" s="362" t="str">
        <f t="shared" si="558"/>
        <v>O</v>
      </c>
      <c r="BA603" s="362" t="str">
        <f t="shared" si="559"/>
        <v>X</v>
      </c>
      <c r="BB603" s="362">
        <f t="shared" si="560"/>
        <v>3</v>
      </c>
      <c r="BC603" s="362" t="str">
        <f t="shared" si="561"/>
        <v>1G</v>
      </c>
      <c r="BD603" s="362" t="str">
        <f t="shared" si="562"/>
        <v>1G</v>
      </c>
      <c r="BE603" s="362" t="str">
        <f t="shared" si="563"/>
        <v>1G</v>
      </c>
      <c r="BF603" s="362" t="str">
        <f t="shared" si="564"/>
        <v>2G</v>
      </c>
      <c r="BG603" s="362" t="str">
        <f t="shared" si="565"/>
        <v>2G</v>
      </c>
      <c r="BH603" s="362" t="str">
        <f t="shared" si="566"/>
        <v>3G</v>
      </c>
      <c r="BI603" s="362">
        <f t="shared" si="568"/>
        <v>3</v>
      </c>
      <c r="BJ603" s="362">
        <f t="shared" si="569"/>
        <v>2</v>
      </c>
      <c r="BK603" s="362">
        <f t="shared" si="570"/>
        <v>1</v>
      </c>
      <c r="BL603" s="362" t="str">
        <f t="shared" si="567"/>
        <v>321</v>
      </c>
      <c r="BS603"/>
    </row>
    <row r="604" spans="2:71" ht="16.5" hidden="1">
      <c r="B604" s="360">
        <v>601</v>
      </c>
      <c r="C604" s="355" t="s">
        <v>937</v>
      </c>
      <c r="D604" s="359"/>
      <c r="E604" s="359"/>
      <c r="F604" s="359"/>
      <c r="G604" s="359"/>
      <c r="H604" s="359"/>
      <c r="I604" s="359"/>
      <c r="J604" s="359"/>
      <c r="K604" s="359"/>
      <c r="L604" s="359"/>
      <c r="M604" s="359"/>
      <c r="N604" s="361">
        <v>2</v>
      </c>
      <c r="O604" s="361">
        <v>16</v>
      </c>
      <c r="P604" s="361">
        <v>19</v>
      </c>
      <c r="Q604" s="361">
        <v>31</v>
      </c>
      <c r="R604" s="361">
        <v>34</v>
      </c>
      <c r="S604" s="361">
        <v>35</v>
      </c>
      <c r="T604" s="363">
        <v>37</v>
      </c>
      <c r="U604" s="363">
        <f t="shared" si="528"/>
        <v>137</v>
      </c>
      <c r="V604" s="363"/>
      <c r="W604" s="362" t="str">
        <f t="shared" si="529"/>
        <v>짝수</v>
      </c>
      <c r="X604" s="362" t="str">
        <f t="shared" si="530"/>
        <v>짝수</v>
      </c>
      <c r="Y604" s="362" t="str">
        <f t="shared" si="531"/>
        <v>홀수</v>
      </c>
      <c r="Z604" s="362" t="str">
        <f t="shared" si="532"/>
        <v>홀수</v>
      </c>
      <c r="AA604" s="363" t="str">
        <f t="shared" si="533"/>
        <v>짝수</v>
      </c>
      <c r="AB604" s="363" t="str">
        <f t="shared" si="534"/>
        <v>홀수</v>
      </c>
      <c r="AC604" s="362" t="str">
        <f t="shared" si="535"/>
        <v>3 : 3</v>
      </c>
      <c r="AD604" s="362">
        <f t="shared" si="536"/>
        <v>3</v>
      </c>
      <c r="AE604" s="362">
        <f t="shared" si="537"/>
        <v>3</v>
      </c>
      <c r="AF604" s="362" t="str">
        <f t="shared" si="538"/>
        <v>저수</v>
      </c>
      <c r="AG604" s="362" t="str">
        <f t="shared" si="539"/>
        <v>저수</v>
      </c>
      <c r="AH604" s="362" t="str">
        <f t="shared" si="540"/>
        <v>저수</v>
      </c>
      <c r="AI604" s="362" t="str">
        <f t="shared" si="541"/>
        <v>고수</v>
      </c>
      <c r="AJ604" s="362" t="str">
        <f t="shared" si="542"/>
        <v>고수</v>
      </c>
      <c r="AK604" s="362" t="str">
        <f t="shared" si="543"/>
        <v>고수</v>
      </c>
      <c r="AL604" s="362" t="str">
        <f t="shared" si="544"/>
        <v>3 : 3</v>
      </c>
      <c r="AM604" s="362">
        <f t="shared" si="545"/>
        <v>3</v>
      </c>
      <c r="AN604" s="362">
        <f t="shared" si="546"/>
        <v>3</v>
      </c>
      <c r="AO604" s="362">
        <f t="shared" si="547"/>
        <v>27</v>
      </c>
      <c r="AP604" s="362" t="str">
        <f t="shared" si="548"/>
        <v>O</v>
      </c>
      <c r="AQ604" s="362" t="str">
        <f t="shared" si="549"/>
        <v>X</v>
      </c>
      <c r="AR604" s="362" t="str">
        <f t="shared" si="550"/>
        <v>O</v>
      </c>
      <c r="AS604" s="362" t="str">
        <f t="shared" si="551"/>
        <v>X</v>
      </c>
      <c r="AT604" s="362" t="str">
        <f t="shared" si="552"/>
        <v>X</v>
      </c>
      <c r="AU604" s="362" t="str">
        <f t="shared" si="553"/>
        <v>X</v>
      </c>
      <c r="AV604" s="362" t="str">
        <f t="shared" si="554"/>
        <v>X</v>
      </c>
      <c r="AW604" s="362" t="str">
        <f t="shared" si="555"/>
        <v>X</v>
      </c>
      <c r="AX604" s="362" t="str">
        <f t="shared" si="556"/>
        <v>X</v>
      </c>
      <c r="AY604" s="362" t="str">
        <f t="shared" si="557"/>
        <v>O</v>
      </c>
      <c r="AZ604" s="362" t="str">
        <f t="shared" si="558"/>
        <v>X</v>
      </c>
      <c r="BA604" s="362" t="str">
        <f t="shared" si="559"/>
        <v>X</v>
      </c>
      <c r="BB604" s="362">
        <f t="shared" si="560"/>
        <v>3</v>
      </c>
      <c r="BC604" s="362" t="str">
        <f t="shared" si="561"/>
        <v>1G</v>
      </c>
      <c r="BD604" s="362" t="str">
        <f t="shared" si="562"/>
        <v>2G</v>
      </c>
      <c r="BE604" s="362" t="str">
        <f t="shared" si="563"/>
        <v>2G</v>
      </c>
      <c r="BF604" s="362" t="str">
        <f t="shared" si="564"/>
        <v>3G</v>
      </c>
      <c r="BG604" s="362" t="str">
        <f t="shared" si="565"/>
        <v>3G</v>
      </c>
      <c r="BH604" s="362" t="str">
        <f t="shared" si="566"/>
        <v>3G</v>
      </c>
      <c r="BI604" s="362">
        <f t="shared" si="568"/>
        <v>1</v>
      </c>
      <c r="BJ604" s="362">
        <f t="shared" si="569"/>
        <v>2</v>
      </c>
      <c r="BK604" s="362">
        <f t="shared" si="570"/>
        <v>3</v>
      </c>
      <c r="BL604" s="362" t="str">
        <f t="shared" si="567"/>
        <v>123</v>
      </c>
      <c r="BS604"/>
    </row>
    <row r="605" spans="2:71" ht="16.5" hidden="1">
      <c r="B605" s="360">
        <v>602</v>
      </c>
      <c r="C605" s="355" t="s">
        <v>936</v>
      </c>
      <c r="D605" s="359"/>
      <c r="E605" s="359"/>
      <c r="F605" s="359"/>
      <c r="G605" s="359"/>
      <c r="H605" s="359"/>
      <c r="I605" s="359"/>
      <c r="J605" s="359"/>
      <c r="K605" s="359"/>
      <c r="L605" s="359"/>
      <c r="M605" s="359"/>
      <c r="N605" s="361">
        <v>13</v>
      </c>
      <c r="O605" s="361">
        <v>14</v>
      </c>
      <c r="P605" s="361">
        <v>22</v>
      </c>
      <c r="Q605" s="361">
        <v>27</v>
      </c>
      <c r="R605" s="361">
        <v>30</v>
      </c>
      <c r="S605" s="361">
        <v>38</v>
      </c>
      <c r="T605" s="363">
        <v>2</v>
      </c>
      <c r="U605" s="363">
        <f t="shared" si="528"/>
        <v>144</v>
      </c>
      <c r="V605" s="363"/>
      <c r="W605" s="362" t="str">
        <f t="shared" si="529"/>
        <v>홀수</v>
      </c>
      <c r="X605" s="362" t="str">
        <f t="shared" si="530"/>
        <v>짝수</v>
      </c>
      <c r="Y605" s="362" t="str">
        <f t="shared" si="531"/>
        <v>짝수</v>
      </c>
      <c r="Z605" s="362" t="str">
        <f t="shared" si="532"/>
        <v>홀수</v>
      </c>
      <c r="AA605" s="363" t="str">
        <f t="shared" si="533"/>
        <v>짝수</v>
      </c>
      <c r="AB605" s="363" t="str">
        <f t="shared" si="534"/>
        <v>짝수</v>
      </c>
      <c r="AC605" s="362" t="str">
        <f t="shared" si="535"/>
        <v>2 : 4</v>
      </c>
      <c r="AD605" s="362">
        <f t="shared" si="536"/>
        <v>2</v>
      </c>
      <c r="AE605" s="362">
        <f t="shared" si="537"/>
        <v>4</v>
      </c>
      <c r="AF605" s="362" t="str">
        <f t="shared" si="538"/>
        <v>저수</v>
      </c>
      <c r="AG605" s="362" t="str">
        <f t="shared" si="539"/>
        <v>저수</v>
      </c>
      <c r="AH605" s="362" t="str">
        <f t="shared" si="540"/>
        <v>저수</v>
      </c>
      <c r="AI605" s="362" t="str">
        <f t="shared" si="541"/>
        <v>고수</v>
      </c>
      <c r="AJ605" s="362" t="str">
        <f t="shared" si="542"/>
        <v>고수</v>
      </c>
      <c r="AK605" s="362" t="str">
        <f t="shared" si="543"/>
        <v>고수</v>
      </c>
      <c r="AL605" s="362" t="str">
        <f t="shared" si="544"/>
        <v>3 : 3</v>
      </c>
      <c r="AM605" s="362">
        <f t="shared" si="545"/>
        <v>3</v>
      </c>
      <c r="AN605" s="362">
        <f t="shared" si="546"/>
        <v>3</v>
      </c>
      <c r="AO605" s="362">
        <f t="shared" si="547"/>
        <v>24</v>
      </c>
      <c r="AP605" s="362" t="str">
        <f t="shared" si="548"/>
        <v>O</v>
      </c>
      <c r="AQ605" s="362" t="str">
        <f t="shared" si="549"/>
        <v>X</v>
      </c>
      <c r="AR605" s="362" t="str">
        <f t="shared" si="550"/>
        <v>X</v>
      </c>
      <c r="AS605" s="362" t="str">
        <f t="shared" si="551"/>
        <v>X</v>
      </c>
      <c r="AT605" s="362" t="str">
        <f t="shared" si="552"/>
        <v>X</v>
      </c>
      <c r="AU605" s="362" t="str">
        <f t="shared" si="553"/>
        <v>X</v>
      </c>
      <c r="AV605" s="362" t="str">
        <f t="shared" si="554"/>
        <v>X</v>
      </c>
      <c r="AW605" s="362" t="str">
        <f t="shared" si="555"/>
        <v>X</v>
      </c>
      <c r="AX605" s="362" t="str">
        <f t="shared" si="556"/>
        <v>X</v>
      </c>
      <c r="AY605" s="362" t="str">
        <f t="shared" si="557"/>
        <v>X</v>
      </c>
      <c r="AZ605" s="362" t="str">
        <f t="shared" si="558"/>
        <v>X</v>
      </c>
      <c r="BA605" s="362" t="str">
        <f t="shared" si="559"/>
        <v>X</v>
      </c>
      <c r="BB605" s="362">
        <f t="shared" si="560"/>
        <v>1</v>
      </c>
      <c r="BC605" s="362" t="str">
        <f t="shared" si="561"/>
        <v>1G</v>
      </c>
      <c r="BD605" s="362" t="str">
        <f t="shared" si="562"/>
        <v>1G</v>
      </c>
      <c r="BE605" s="362" t="str">
        <f t="shared" si="563"/>
        <v>2G</v>
      </c>
      <c r="BF605" s="362" t="str">
        <f t="shared" si="564"/>
        <v>2G</v>
      </c>
      <c r="BG605" s="362" t="str">
        <f t="shared" si="565"/>
        <v>2G</v>
      </c>
      <c r="BH605" s="362" t="str">
        <f t="shared" si="566"/>
        <v>3G</v>
      </c>
      <c r="BI605" s="362">
        <f t="shared" si="568"/>
        <v>2</v>
      </c>
      <c r="BJ605" s="362">
        <f t="shared" si="569"/>
        <v>3</v>
      </c>
      <c r="BK605" s="362">
        <f t="shared" si="570"/>
        <v>1</v>
      </c>
      <c r="BL605" s="362" t="str">
        <f t="shared" si="567"/>
        <v>231</v>
      </c>
      <c r="BS605"/>
    </row>
    <row r="606" spans="2:71" ht="16.5" hidden="1">
      <c r="B606" s="360">
        <v>603</v>
      </c>
      <c r="C606" s="355" t="s">
        <v>935</v>
      </c>
      <c r="D606" s="359"/>
      <c r="E606" s="359"/>
      <c r="F606" s="359"/>
      <c r="G606" s="359"/>
      <c r="H606" s="359"/>
      <c r="I606" s="359"/>
      <c r="J606" s="359"/>
      <c r="K606" s="359"/>
      <c r="L606" s="359"/>
      <c r="M606" s="359"/>
      <c r="N606" s="361">
        <v>2</v>
      </c>
      <c r="O606" s="361">
        <v>19</v>
      </c>
      <c r="P606" s="361">
        <v>25</v>
      </c>
      <c r="Q606" s="361">
        <v>26</v>
      </c>
      <c r="R606" s="361">
        <v>27</v>
      </c>
      <c r="S606" s="361">
        <v>43</v>
      </c>
      <c r="T606" s="363">
        <v>28</v>
      </c>
      <c r="U606" s="363">
        <f t="shared" si="528"/>
        <v>142</v>
      </c>
      <c r="V606" s="363"/>
      <c r="W606" s="362" t="str">
        <f t="shared" si="529"/>
        <v>짝수</v>
      </c>
      <c r="X606" s="362" t="str">
        <f t="shared" si="530"/>
        <v>홀수</v>
      </c>
      <c r="Y606" s="362" t="str">
        <f t="shared" si="531"/>
        <v>홀수</v>
      </c>
      <c r="Z606" s="362" t="str">
        <f t="shared" si="532"/>
        <v>짝수</v>
      </c>
      <c r="AA606" s="363" t="str">
        <f t="shared" si="533"/>
        <v>홀수</v>
      </c>
      <c r="AB606" s="363" t="str">
        <f t="shared" si="534"/>
        <v>홀수</v>
      </c>
      <c r="AC606" s="362" t="str">
        <f t="shared" si="535"/>
        <v>4 : 2</v>
      </c>
      <c r="AD606" s="362">
        <f t="shared" si="536"/>
        <v>4</v>
      </c>
      <c r="AE606" s="362">
        <f t="shared" si="537"/>
        <v>2</v>
      </c>
      <c r="AF606" s="362" t="str">
        <f t="shared" si="538"/>
        <v>저수</v>
      </c>
      <c r="AG606" s="362" t="str">
        <f t="shared" si="539"/>
        <v>저수</v>
      </c>
      <c r="AH606" s="362" t="str">
        <f t="shared" si="540"/>
        <v>고수</v>
      </c>
      <c r="AI606" s="362" t="str">
        <f t="shared" si="541"/>
        <v>고수</v>
      </c>
      <c r="AJ606" s="362" t="str">
        <f t="shared" si="542"/>
        <v>고수</v>
      </c>
      <c r="AK606" s="362" t="str">
        <f t="shared" si="543"/>
        <v>고수</v>
      </c>
      <c r="AL606" s="362" t="str">
        <f t="shared" si="544"/>
        <v>2 : 4</v>
      </c>
      <c r="AM606" s="362">
        <f t="shared" si="545"/>
        <v>2</v>
      </c>
      <c r="AN606" s="362">
        <f t="shared" si="546"/>
        <v>4</v>
      </c>
      <c r="AO606" s="362">
        <f t="shared" si="547"/>
        <v>32</v>
      </c>
      <c r="AP606" s="362" t="str">
        <f t="shared" si="548"/>
        <v>O</v>
      </c>
      <c r="AQ606" s="362" t="str">
        <f t="shared" si="549"/>
        <v>O</v>
      </c>
      <c r="AR606" s="362" t="str">
        <f t="shared" si="550"/>
        <v>X</v>
      </c>
      <c r="AS606" s="362" t="str">
        <f t="shared" si="551"/>
        <v>X</v>
      </c>
      <c r="AT606" s="362" t="str">
        <f t="shared" si="552"/>
        <v>X</v>
      </c>
      <c r="AU606" s="362" t="str">
        <f t="shared" si="553"/>
        <v>X</v>
      </c>
      <c r="AV606" s="362" t="str">
        <f t="shared" si="554"/>
        <v>X</v>
      </c>
      <c r="AW606" s="362" t="str">
        <f t="shared" si="555"/>
        <v>X</v>
      </c>
      <c r="AX606" s="362" t="str">
        <f t="shared" si="556"/>
        <v>X</v>
      </c>
      <c r="AY606" s="362" t="str">
        <f t="shared" si="557"/>
        <v>X</v>
      </c>
      <c r="AZ606" s="362" t="str">
        <f t="shared" si="558"/>
        <v>X</v>
      </c>
      <c r="BA606" s="362" t="str">
        <f t="shared" si="559"/>
        <v>O</v>
      </c>
      <c r="BB606" s="362">
        <f t="shared" si="560"/>
        <v>3</v>
      </c>
      <c r="BC606" s="362" t="str">
        <f t="shared" si="561"/>
        <v>1G</v>
      </c>
      <c r="BD606" s="362" t="str">
        <f t="shared" si="562"/>
        <v>2G</v>
      </c>
      <c r="BE606" s="362" t="str">
        <f t="shared" si="563"/>
        <v>2G</v>
      </c>
      <c r="BF606" s="362" t="str">
        <f t="shared" si="564"/>
        <v>2G</v>
      </c>
      <c r="BG606" s="362" t="str">
        <f t="shared" si="565"/>
        <v>2G</v>
      </c>
      <c r="BH606" s="362" t="str">
        <f t="shared" si="566"/>
        <v>3G</v>
      </c>
      <c r="BI606" s="362">
        <f t="shared" si="568"/>
        <v>1</v>
      </c>
      <c r="BJ606" s="362">
        <f t="shared" si="569"/>
        <v>4</v>
      </c>
      <c r="BK606" s="362">
        <f t="shared" si="570"/>
        <v>1</v>
      </c>
      <c r="BL606" s="362" t="str">
        <f t="shared" si="567"/>
        <v>141</v>
      </c>
      <c r="BS606"/>
    </row>
    <row r="607" spans="2:71" ht="16.5" hidden="1">
      <c r="B607" s="18">
        <v>604</v>
      </c>
      <c r="C607" s="363" t="s">
        <v>958</v>
      </c>
      <c r="N607" s="28">
        <v>2</v>
      </c>
      <c r="O607" s="28">
        <v>6</v>
      </c>
      <c r="P607" s="28">
        <v>18</v>
      </c>
      <c r="Q607" s="28">
        <v>21</v>
      </c>
      <c r="R607" s="28">
        <v>33</v>
      </c>
      <c r="S607" s="28">
        <v>34</v>
      </c>
      <c r="T607" s="28">
        <v>30</v>
      </c>
      <c r="U607" s="28">
        <f t="shared" si="528"/>
        <v>114</v>
      </c>
      <c r="W607" s="27" t="str">
        <f t="shared" si="529"/>
        <v>짝수</v>
      </c>
      <c r="X607" s="27" t="str">
        <f t="shared" si="530"/>
        <v>짝수</v>
      </c>
      <c r="Y607" s="27" t="str">
        <f t="shared" si="531"/>
        <v>짝수</v>
      </c>
      <c r="Z607" s="27" t="str">
        <f t="shared" si="532"/>
        <v>홀수</v>
      </c>
      <c r="AA607" s="28" t="str">
        <f t="shared" si="533"/>
        <v>홀수</v>
      </c>
      <c r="AB607" s="28" t="str">
        <f t="shared" si="534"/>
        <v>짝수</v>
      </c>
      <c r="AC607" s="27" t="str">
        <f t="shared" si="535"/>
        <v>2 : 4</v>
      </c>
      <c r="AD607" s="32">
        <f t="shared" si="536"/>
        <v>2</v>
      </c>
      <c r="AE607" s="32">
        <f t="shared" si="537"/>
        <v>4</v>
      </c>
      <c r="AF607" s="66" t="str">
        <f t="shared" si="538"/>
        <v>저수</v>
      </c>
      <c r="AG607" s="66" t="str">
        <f t="shared" si="539"/>
        <v>저수</v>
      </c>
      <c r="AH607" s="66" t="str">
        <f t="shared" si="540"/>
        <v>저수</v>
      </c>
      <c r="AI607" s="66" t="str">
        <f t="shared" si="541"/>
        <v>저수</v>
      </c>
      <c r="AJ607" s="66" t="str">
        <f t="shared" si="542"/>
        <v>고수</v>
      </c>
      <c r="AK607" s="66" t="str">
        <f t="shared" si="543"/>
        <v>고수</v>
      </c>
      <c r="AL607" s="66" t="str">
        <f t="shared" si="544"/>
        <v>4 : 2</v>
      </c>
      <c r="AM607" s="27">
        <f t="shared" si="545"/>
        <v>4</v>
      </c>
      <c r="AN607" s="27">
        <f t="shared" si="546"/>
        <v>2</v>
      </c>
      <c r="AO607" s="27">
        <f t="shared" si="547"/>
        <v>24</v>
      </c>
      <c r="AP607" s="66" t="str">
        <f t="shared" si="548"/>
        <v>O</v>
      </c>
      <c r="AQ607" s="66" t="str">
        <f t="shared" si="549"/>
        <v>X</v>
      </c>
      <c r="AR607" s="66" t="str">
        <f t="shared" si="550"/>
        <v>X</v>
      </c>
      <c r="AS607" s="66" t="str">
        <f t="shared" si="551"/>
        <v>X</v>
      </c>
      <c r="AT607" s="66" t="str">
        <f t="shared" si="552"/>
        <v>X</v>
      </c>
      <c r="AU607" s="66" t="str">
        <f t="shared" si="553"/>
        <v>X</v>
      </c>
      <c r="AV607" s="66" t="str">
        <f t="shared" si="554"/>
        <v>X</v>
      </c>
      <c r="AW607" s="66" t="str">
        <f t="shared" si="555"/>
        <v>X</v>
      </c>
      <c r="AX607" s="66" t="str">
        <f t="shared" si="556"/>
        <v>X</v>
      </c>
      <c r="AY607" s="66" t="str">
        <f t="shared" si="557"/>
        <v>X</v>
      </c>
      <c r="AZ607" s="66" t="str">
        <f t="shared" si="558"/>
        <v>X</v>
      </c>
      <c r="BA607" s="27" t="str">
        <f t="shared" si="559"/>
        <v>X</v>
      </c>
      <c r="BB607" s="27">
        <f t="shared" si="560"/>
        <v>1</v>
      </c>
      <c r="BC607" s="364" t="str">
        <f t="shared" ref="BC607:BC624" si="571">VLOOKUP(N607,삼그룹,6,FALSE)</f>
        <v>1G</v>
      </c>
      <c r="BD607" s="364" t="str">
        <f t="shared" ref="BD607:BD624" si="572">VLOOKUP(O607,삼그룹,6,FALSE)</f>
        <v>1G</v>
      </c>
      <c r="BE607" s="364" t="str">
        <f t="shared" ref="BE607:BE624" si="573">VLOOKUP(P607,삼그룹,6,FALSE)</f>
        <v>2G</v>
      </c>
      <c r="BF607" s="364" t="str">
        <f t="shared" ref="BF607:BF624" si="574">VLOOKUP(Q607,삼그룹,6,FALSE)</f>
        <v>2G</v>
      </c>
      <c r="BG607" s="364" t="str">
        <f t="shared" ref="BG607:BG624" si="575">VLOOKUP(R607,삼그룹,6,FALSE)</f>
        <v>3G</v>
      </c>
      <c r="BH607" s="364" t="str">
        <f t="shared" ref="BH607:BH624" si="576">VLOOKUP(S607,삼그룹,6,FALSE)</f>
        <v>3G</v>
      </c>
      <c r="BI607" s="364">
        <f t="shared" si="568"/>
        <v>2</v>
      </c>
      <c r="BJ607" s="364">
        <f t="shared" si="569"/>
        <v>2</v>
      </c>
      <c r="BK607" s="364">
        <f t="shared" si="570"/>
        <v>2</v>
      </c>
      <c r="BL607" s="364" t="str">
        <f t="shared" ref="BL607:BL624" si="577">BI607&amp;BJ607&amp;BK607</f>
        <v>222</v>
      </c>
      <c r="BS607"/>
    </row>
    <row r="608" spans="2:71" ht="16.5" hidden="1">
      <c r="B608" s="18">
        <v>605</v>
      </c>
      <c r="C608" s="363" t="s">
        <v>959</v>
      </c>
      <c r="N608" s="28">
        <v>1</v>
      </c>
      <c r="O608" s="28">
        <v>2</v>
      </c>
      <c r="P608" s="28">
        <v>7</v>
      </c>
      <c r="Q608" s="28">
        <v>9</v>
      </c>
      <c r="R608" s="28">
        <v>10</v>
      </c>
      <c r="S608" s="28">
        <v>38</v>
      </c>
      <c r="T608" s="28">
        <v>42</v>
      </c>
      <c r="U608" s="28">
        <f t="shared" si="528"/>
        <v>67</v>
      </c>
      <c r="W608" s="27" t="str">
        <f t="shared" si="529"/>
        <v>홀수</v>
      </c>
      <c r="X608" s="27" t="str">
        <f t="shared" si="530"/>
        <v>짝수</v>
      </c>
      <c r="Y608" s="27" t="str">
        <f t="shared" si="531"/>
        <v>홀수</v>
      </c>
      <c r="Z608" s="27" t="str">
        <f t="shared" si="532"/>
        <v>홀수</v>
      </c>
      <c r="AA608" s="28" t="str">
        <f t="shared" si="533"/>
        <v>짝수</v>
      </c>
      <c r="AB608" s="28" t="str">
        <f t="shared" si="534"/>
        <v>짝수</v>
      </c>
      <c r="AC608" s="27" t="str">
        <f t="shared" si="535"/>
        <v>3 : 3</v>
      </c>
      <c r="AD608" s="32">
        <f t="shared" si="536"/>
        <v>3</v>
      </c>
      <c r="AE608" s="32">
        <f t="shared" si="537"/>
        <v>3</v>
      </c>
      <c r="AF608" s="66" t="str">
        <f t="shared" si="538"/>
        <v>저수</v>
      </c>
      <c r="AG608" s="66" t="str">
        <f t="shared" si="539"/>
        <v>저수</v>
      </c>
      <c r="AH608" s="66" t="str">
        <f t="shared" si="540"/>
        <v>저수</v>
      </c>
      <c r="AI608" s="66" t="str">
        <f t="shared" si="541"/>
        <v>저수</v>
      </c>
      <c r="AJ608" s="66" t="str">
        <f t="shared" si="542"/>
        <v>저수</v>
      </c>
      <c r="AK608" s="66" t="str">
        <f t="shared" si="543"/>
        <v>고수</v>
      </c>
      <c r="AL608" s="66" t="str">
        <f t="shared" si="544"/>
        <v>5 : 1</v>
      </c>
      <c r="AM608" s="27">
        <f t="shared" si="545"/>
        <v>5</v>
      </c>
      <c r="AN608" s="27">
        <f t="shared" si="546"/>
        <v>1</v>
      </c>
      <c r="AO608" s="27">
        <f t="shared" si="547"/>
        <v>27</v>
      </c>
      <c r="AP608" s="66" t="str">
        <f t="shared" si="548"/>
        <v>X</v>
      </c>
      <c r="AQ608" s="66" t="str">
        <f t="shared" si="549"/>
        <v>O</v>
      </c>
      <c r="AR608" s="66" t="str">
        <f t="shared" si="550"/>
        <v>O</v>
      </c>
      <c r="AS608" s="66" t="str">
        <f t="shared" si="551"/>
        <v>X</v>
      </c>
      <c r="AT608" s="66" t="str">
        <f t="shared" si="552"/>
        <v>X</v>
      </c>
      <c r="AU608" s="66" t="str">
        <f t="shared" si="553"/>
        <v>X</v>
      </c>
      <c r="AV608" s="66" t="str">
        <f t="shared" si="554"/>
        <v>X</v>
      </c>
      <c r="AW608" s="66" t="str">
        <f t="shared" si="555"/>
        <v>X</v>
      </c>
      <c r="AX608" s="66" t="str">
        <f t="shared" si="556"/>
        <v>X</v>
      </c>
      <c r="AY608" s="66" t="str">
        <f t="shared" si="557"/>
        <v>X</v>
      </c>
      <c r="AZ608" s="66" t="str">
        <f t="shared" si="558"/>
        <v>X</v>
      </c>
      <c r="BA608" s="27" t="str">
        <f t="shared" si="559"/>
        <v>X</v>
      </c>
      <c r="BB608" s="27">
        <f t="shared" si="560"/>
        <v>2</v>
      </c>
      <c r="BC608" s="364" t="str">
        <f t="shared" si="571"/>
        <v>1G</v>
      </c>
      <c r="BD608" s="364" t="str">
        <f t="shared" si="572"/>
        <v>1G</v>
      </c>
      <c r="BE608" s="364" t="str">
        <f t="shared" si="573"/>
        <v>1G</v>
      </c>
      <c r="BF608" s="364" t="str">
        <f t="shared" si="574"/>
        <v>1G</v>
      </c>
      <c r="BG608" s="364" t="str">
        <f t="shared" si="575"/>
        <v>1G</v>
      </c>
      <c r="BH608" s="364" t="str">
        <f t="shared" si="576"/>
        <v>3G</v>
      </c>
      <c r="BI608" s="364">
        <f t="shared" si="568"/>
        <v>5</v>
      </c>
      <c r="BJ608" s="364">
        <f t="shared" si="569"/>
        <v>0</v>
      </c>
      <c r="BK608" s="364">
        <f t="shared" si="570"/>
        <v>1</v>
      </c>
      <c r="BL608" s="364" t="str">
        <f t="shared" si="577"/>
        <v>501</v>
      </c>
      <c r="BS608"/>
    </row>
    <row r="609" spans="2:71" ht="16.5" hidden="1">
      <c r="B609" s="18">
        <v>606</v>
      </c>
      <c r="C609" s="363" t="s">
        <v>960</v>
      </c>
      <c r="N609" s="28">
        <v>1</v>
      </c>
      <c r="O609" s="28">
        <v>5</v>
      </c>
      <c r="P609" s="28">
        <v>6</v>
      </c>
      <c r="Q609" s="28">
        <v>14</v>
      </c>
      <c r="R609" s="28">
        <v>20</v>
      </c>
      <c r="S609" s="28">
        <v>39</v>
      </c>
      <c r="T609" s="28">
        <v>22</v>
      </c>
      <c r="U609" s="28">
        <f t="shared" si="528"/>
        <v>85</v>
      </c>
      <c r="W609" s="27" t="str">
        <f t="shared" si="529"/>
        <v>홀수</v>
      </c>
      <c r="X609" s="27" t="str">
        <f t="shared" si="530"/>
        <v>홀수</v>
      </c>
      <c r="Y609" s="27" t="str">
        <f t="shared" si="531"/>
        <v>짝수</v>
      </c>
      <c r="Z609" s="27" t="str">
        <f t="shared" si="532"/>
        <v>짝수</v>
      </c>
      <c r="AA609" s="28" t="str">
        <f t="shared" si="533"/>
        <v>짝수</v>
      </c>
      <c r="AB609" s="28" t="str">
        <f t="shared" si="534"/>
        <v>홀수</v>
      </c>
      <c r="AC609" s="27" t="str">
        <f t="shared" si="535"/>
        <v>3 : 3</v>
      </c>
      <c r="AD609" s="32">
        <f t="shared" si="536"/>
        <v>3</v>
      </c>
      <c r="AE609" s="32">
        <f t="shared" si="537"/>
        <v>3</v>
      </c>
      <c r="AF609" s="66" t="str">
        <f t="shared" si="538"/>
        <v>저수</v>
      </c>
      <c r="AG609" s="66" t="str">
        <f t="shared" si="539"/>
        <v>저수</v>
      </c>
      <c r="AH609" s="66" t="str">
        <f t="shared" si="540"/>
        <v>저수</v>
      </c>
      <c r="AI609" s="66" t="str">
        <f t="shared" si="541"/>
        <v>저수</v>
      </c>
      <c r="AJ609" s="66" t="str">
        <f t="shared" si="542"/>
        <v>저수</v>
      </c>
      <c r="AK609" s="66" t="str">
        <f t="shared" si="543"/>
        <v>고수</v>
      </c>
      <c r="AL609" s="66" t="str">
        <f t="shared" si="544"/>
        <v>5 : 1</v>
      </c>
      <c r="AM609" s="27">
        <f t="shared" si="545"/>
        <v>5</v>
      </c>
      <c r="AN609" s="27">
        <f t="shared" si="546"/>
        <v>1</v>
      </c>
      <c r="AO609" s="27">
        <f t="shared" si="547"/>
        <v>25</v>
      </c>
      <c r="AP609" s="66" t="str">
        <f t="shared" si="548"/>
        <v>X</v>
      </c>
      <c r="AQ609" s="66" t="str">
        <f t="shared" si="549"/>
        <v>O</v>
      </c>
      <c r="AR609" s="66" t="str">
        <f t="shared" si="550"/>
        <v>X</v>
      </c>
      <c r="AS609" s="66" t="str">
        <f t="shared" si="551"/>
        <v>X</v>
      </c>
      <c r="AT609" s="66" t="str">
        <f t="shared" si="552"/>
        <v>X</v>
      </c>
      <c r="AU609" s="66" t="str">
        <f t="shared" si="553"/>
        <v>X</v>
      </c>
      <c r="AV609" s="66" t="str">
        <f t="shared" si="554"/>
        <v>X</v>
      </c>
      <c r="AW609" s="66" t="str">
        <f t="shared" si="555"/>
        <v>X</v>
      </c>
      <c r="AX609" s="66" t="str">
        <f t="shared" si="556"/>
        <v>X</v>
      </c>
      <c r="AY609" s="66" t="str">
        <f t="shared" si="557"/>
        <v>X</v>
      </c>
      <c r="AZ609" s="66" t="str">
        <f t="shared" si="558"/>
        <v>X</v>
      </c>
      <c r="BA609" s="27" t="str">
        <f t="shared" si="559"/>
        <v>X</v>
      </c>
      <c r="BB609" s="27">
        <f t="shared" si="560"/>
        <v>1</v>
      </c>
      <c r="BC609" s="364" t="str">
        <f t="shared" si="571"/>
        <v>1G</v>
      </c>
      <c r="BD609" s="364" t="str">
        <f t="shared" si="572"/>
        <v>1G</v>
      </c>
      <c r="BE609" s="364" t="str">
        <f t="shared" si="573"/>
        <v>1G</v>
      </c>
      <c r="BF609" s="364" t="str">
        <f t="shared" si="574"/>
        <v>1G</v>
      </c>
      <c r="BG609" s="364" t="str">
        <f t="shared" si="575"/>
        <v>2G</v>
      </c>
      <c r="BH609" s="364" t="str">
        <f t="shared" si="576"/>
        <v>3G</v>
      </c>
      <c r="BI609" s="364">
        <f t="shared" si="568"/>
        <v>4</v>
      </c>
      <c r="BJ609" s="364">
        <f t="shared" si="569"/>
        <v>1</v>
      </c>
      <c r="BK609" s="364">
        <f t="shared" si="570"/>
        <v>1</v>
      </c>
      <c r="BL609" s="364" t="str">
        <f t="shared" si="577"/>
        <v>411</v>
      </c>
      <c r="BS609"/>
    </row>
    <row r="610" spans="2:71" ht="16.5" hidden="1">
      <c r="B610" s="18">
        <v>607</v>
      </c>
      <c r="C610" s="363" t="s">
        <v>961</v>
      </c>
      <c r="N610" s="28">
        <v>8</v>
      </c>
      <c r="O610" s="28">
        <v>14</v>
      </c>
      <c r="P610" s="28">
        <v>23</v>
      </c>
      <c r="Q610" s="28">
        <v>36</v>
      </c>
      <c r="R610" s="28">
        <v>38</v>
      </c>
      <c r="S610" s="28">
        <v>39</v>
      </c>
      <c r="T610" s="28">
        <v>13</v>
      </c>
      <c r="U610" s="28">
        <f t="shared" si="528"/>
        <v>158</v>
      </c>
      <c r="W610" s="27" t="str">
        <f t="shared" si="529"/>
        <v>짝수</v>
      </c>
      <c r="X610" s="27" t="str">
        <f t="shared" si="530"/>
        <v>짝수</v>
      </c>
      <c r="Y610" s="27" t="str">
        <f t="shared" si="531"/>
        <v>홀수</v>
      </c>
      <c r="Z610" s="27" t="str">
        <f t="shared" si="532"/>
        <v>짝수</v>
      </c>
      <c r="AA610" s="28" t="str">
        <f t="shared" si="533"/>
        <v>짝수</v>
      </c>
      <c r="AB610" s="28" t="str">
        <f t="shared" si="534"/>
        <v>홀수</v>
      </c>
      <c r="AC610" s="27" t="str">
        <f t="shared" si="535"/>
        <v>2 : 4</v>
      </c>
      <c r="AD610" s="32">
        <f t="shared" si="536"/>
        <v>2</v>
      </c>
      <c r="AE610" s="32">
        <f t="shared" si="537"/>
        <v>4</v>
      </c>
      <c r="AF610" s="66" t="str">
        <f t="shared" si="538"/>
        <v>저수</v>
      </c>
      <c r="AG610" s="66" t="str">
        <f t="shared" si="539"/>
        <v>저수</v>
      </c>
      <c r="AH610" s="66" t="str">
        <f t="shared" si="540"/>
        <v>고수</v>
      </c>
      <c r="AI610" s="66" t="str">
        <f t="shared" si="541"/>
        <v>고수</v>
      </c>
      <c r="AJ610" s="66" t="str">
        <f t="shared" si="542"/>
        <v>고수</v>
      </c>
      <c r="AK610" s="66" t="str">
        <f t="shared" si="543"/>
        <v>고수</v>
      </c>
      <c r="AL610" s="66" t="str">
        <f t="shared" si="544"/>
        <v>2 : 4</v>
      </c>
      <c r="AM610" s="27">
        <f t="shared" si="545"/>
        <v>2</v>
      </c>
      <c r="AN610" s="27">
        <f t="shared" si="546"/>
        <v>4</v>
      </c>
      <c r="AO610" s="27">
        <f t="shared" si="547"/>
        <v>38</v>
      </c>
      <c r="AP610" s="66" t="str">
        <f t="shared" si="548"/>
        <v>X</v>
      </c>
      <c r="AQ610" s="66" t="str">
        <f t="shared" si="549"/>
        <v>X</v>
      </c>
      <c r="AR610" s="66" t="str">
        <f t="shared" si="550"/>
        <v>X</v>
      </c>
      <c r="AS610" s="66" t="str">
        <f t="shared" si="551"/>
        <v>X</v>
      </c>
      <c r="AT610" s="66" t="str">
        <f t="shared" si="552"/>
        <v>X</v>
      </c>
      <c r="AU610" s="66" t="str">
        <f t="shared" si="553"/>
        <v>X</v>
      </c>
      <c r="AV610" s="66" t="str">
        <f t="shared" si="554"/>
        <v>X</v>
      </c>
      <c r="AW610" s="66" t="str">
        <f t="shared" si="555"/>
        <v>X</v>
      </c>
      <c r="AX610" s="66" t="str">
        <f t="shared" si="556"/>
        <v>O</v>
      </c>
      <c r="AY610" s="66" t="str">
        <f t="shared" si="557"/>
        <v>X</v>
      </c>
      <c r="AZ610" s="66" t="str">
        <f t="shared" si="558"/>
        <v>X</v>
      </c>
      <c r="BA610" s="27" t="str">
        <f t="shared" si="559"/>
        <v>X</v>
      </c>
      <c r="BB610" s="27">
        <f t="shared" si="560"/>
        <v>1</v>
      </c>
      <c r="BC610" s="364" t="str">
        <f t="shared" si="571"/>
        <v>1G</v>
      </c>
      <c r="BD610" s="364" t="str">
        <f t="shared" si="572"/>
        <v>1G</v>
      </c>
      <c r="BE610" s="364" t="str">
        <f t="shared" si="573"/>
        <v>2G</v>
      </c>
      <c r="BF610" s="364" t="str">
        <f t="shared" si="574"/>
        <v>3G</v>
      </c>
      <c r="BG610" s="364" t="str">
        <f t="shared" si="575"/>
        <v>3G</v>
      </c>
      <c r="BH610" s="364" t="str">
        <f t="shared" si="576"/>
        <v>3G</v>
      </c>
      <c r="BI610" s="364">
        <f t="shared" si="568"/>
        <v>2</v>
      </c>
      <c r="BJ610" s="364">
        <f t="shared" si="569"/>
        <v>1</v>
      </c>
      <c r="BK610" s="364">
        <f t="shared" si="570"/>
        <v>3</v>
      </c>
      <c r="BL610" s="364" t="str">
        <f t="shared" si="577"/>
        <v>213</v>
      </c>
      <c r="BS610"/>
    </row>
    <row r="611" spans="2:71" ht="16.5" hidden="1">
      <c r="B611" s="360">
        <v>608</v>
      </c>
      <c r="C611" s="363" t="s">
        <v>962</v>
      </c>
      <c r="N611" s="28">
        <v>4</v>
      </c>
      <c r="O611" s="28">
        <v>8</v>
      </c>
      <c r="P611" s="28">
        <v>18</v>
      </c>
      <c r="Q611" s="28">
        <v>19</v>
      </c>
      <c r="R611" s="28">
        <v>39</v>
      </c>
      <c r="S611" s="28">
        <v>44</v>
      </c>
      <c r="T611" s="28">
        <v>41</v>
      </c>
      <c r="U611" s="28">
        <f t="shared" si="528"/>
        <v>132</v>
      </c>
      <c r="W611" s="27" t="str">
        <f t="shared" si="529"/>
        <v>짝수</v>
      </c>
      <c r="X611" s="27" t="str">
        <f t="shared" si="530"/>
        <v>짝수</v>
      </c>
      <c r="Y611" s="27" t="str">
        <f t="shared" si="531"/>
        <v>짝수</v>
      </c>
      <c r="Z611" s="27" t="str">
        <f t="shared" si="532"/>
        <v>홀수</v>
      </c>
      <c r="AA611" s="28" t="str">
        <f t="shared" si="533"/>
        <v>홀수</v>
      </c>
      <c r="AB611" s="28" t="str">
        <f t="shared" si="534"/>
        <v>짝수</v>
      </c>
      <c r="AC611" s="27" t="str">
        <f t="shared" si="535"/>
        <v>2 : 4</v>
      </c>
      <c r="AD611" s="32">
        <f t="shared" si="536"/>
        <v>2</v>
      </c>
      <c r="AE611" s="32">
        <f t="shared" si="537"/>
        <v>4</v>
      </c>
      <c r="AF611" s="66" t="str">
        <f t="shared" si="538"/>
        <v>저수</v>
      </c>
      <c r="AG611" s="66" t="str">
        <f t="shared" si="539"/>
        <v>저수</v>
      </c>
      <c r="AH611" s="66" t="str">
        <f t="shared" si="540"/>
        <v>저수</v>
      </c>
      <c r="AI611" s="66" t="str">
        <f t="shared" si="541"/>
        <v>저수</v>
      </c>
      <c r="AJ611" s="66" t="str">
        <f t="shared" si="542"/>
        <v>고수</v>
      </c>
      <c r="AK611" s="66" t="str">
        <f t="shared" si="543"/>
        <v>고수</v>
      </c>
      <c r="AL611" s="66" t="str">
        <f t="shared" si="544"/>
        <v>4 : 2</v>
      </c>
      <c r="AM611" s="27">
        <f t="shared" si="545"/>
        <v>4</v>
      </c>
      <c r="AN611" s="27">
        <f t="shared" si="546"/>
        <v>2</v>
      </c>
      <c r="AO611" s="27">
        <f t="shared" si="547"/>
        <v>42</v>
      </c>
      <c r="AP611" s="66" t="str">
        <f t="shared" si="548"/>
        <v>X</v>
      </c>
      <c r="AQ611" s="66" t="str">
        <f t="shared" si="549"/>
        <v>X</v>
      </c>
      <c r="AR611" s="66" t="str">
        <f t="shared" si="550"/>
        <v>X</v>
      </c>
      <c r="AS611" s="66" t="str">
        <f t="shared" si="551"/>
        <v>O</v>
      </c>
      <c r="AT611" s="66" t="str">
        <f t="shared" si="552"/>
        <v>X</v>
      </c>
      <c r="AU611" s="66" t="str">
        <f t="shared" si="553"/>
        <v>X</v>
      </c>
      <c r="AV611" s="66" t="str">
        <f t="shared" si="554"/>
        <v>X</v>
      </c>
      <c r="AW611" s="66" t="str">
        <f t="shared" si="555"/>
        <v>X</v>
      </c>
      <c r="AX611" s="66" t="str">
        <f t="shared" si="556"/>
        <v>X</v>
      </c>
      <c r="AY611" s="66" t="str">
        <f t="shared" si="557"/>
        <v>X</v>
      </c>
      <c r="AZ611" s="66" t="str">
        <f t="shared" si="558"/>
        <v>X</v>
      </c>
      <c r="BA611" s="27" t="str">
        <f t="shared" si="559"/>
        <v>X</v>
      </c>
      <c r="BB611" s="27">
        <f t="shared" si="560"/>
        <v>1</v>
      </c>
      <c r="BC611" s="364" t="str">
        <f t="shared" si="571"/>
        <v>1G</v>
      </c>
      <c r="BD611" s="364" t="str">
        <f t="shared" si="572"/>
        <v>1G</v>
      </c>
      <c r="BE611" s="364" t="str">
        <f t="shared" si="573"/>
        <v>2G</v>
      </c>
      <c r="BF611" s="364" t="str">
        <f t="shared" si="574"/>
        <v>2G</v>
      </c>
      <c r="BG611" s="364" t="str">
        <f t="shared" si="575"/>
        <v>3G</v>
      </c>
      <c r="BH611" s="364" t="str">
        <f t="shared" si="576"/>
        <v>3G</v>
      </c>
      <c r="BI611" s="364">
        <f t="shared" si="568"/>
        <v>2</v>
      </c>
      <c r="BJ611" s="364">
        <f t="shared" si="569"/>
        <v>2</v>
      </c>
      <c r="BK611" s="364">
        <f t="shared" si="570"/>
        <v>2</v>
      </c>
      <c r="BL611" s="364" t="str">
        <f t="shared" si="577"/>
        <v>222</v>
      </c>
      <c r="BS611"/>
    </row>
    <row r="612" spans="2:71" ht="16.5" hidden="1">
      <c r="B612" s="360">
        <v>609</v>
      </c>
      <c r="C612" s="363" t="s">
        <v>963</v>
      </c>
      <c r="N612" s="28">
        <v>4</v>
      </c>
      <c r="O612" s="28">
        <v>8</v>
      </c>
      <c r="P612" s="28">
        <v>27</v>
      </c>
      <c r="Q612" s="28">
        <v>34</v>
      </c>
      <c r="R612" s="28">
        <v>39</v>
      </c>
      <c r="S612" s="28">
        <v>40</v>
      </c>
      <c r="T612" s="28">
        <v>13</v>
      </c>
      <c r="U612" s="28">
        <f t="shared" si="528"/>
        <v>152</v>
      </c>
      <c r="W612" s="27" t="str">
        <f t="shared" si="529"/>
        <v>짝수</v>
      </c>
      <c r="X612" s="27" t="str">
        <f t="shared" si="530"/>
        <v>짝수</v>
      </c>
      <c r="Y612" s="27" t="str">
        <f t="shared" si="531"/>
        <v>홀수</v>
      </c>
      <c r="Z612" s="27" t="str">
        <f t="shared" si="532"/>
        <v>짝수</v>
      </c>
      <c r="AA612" s="28" t="str">
        <f t="shared" si="533"/>
        <v>홀수</v>
      </c>
      <c r="AB612" s="28" t="str">
        <f t="shared" si="534"/>
        <v>짝수</v>
      </c>
      <c r="AC612" s="27" t="str">
        <f t="shared" si="535"/>
        <v>2 : 4</v>
      </c>
      <c r="AD612" s="32">
        <f t="shared" si="536"/>
        <v>2</v>
      </c>
      <c r="AE612" s="32">
        <f t="shared" si="537"/>
        <v>4</v>
      </c>
      <c r="AF612" s="66" t="str">
        <f t="shared" si="538"/>
        <v>저수</v>
      </c>
      <c r="AG612" s="66" t="str">
        <f t="shared" si="539"/>
        <v>저수</v>
      </c>
      <c r="AH612" s="66" t="str">
        <f t="shared" si="540"/>
        <v>고수</v>
      </c>
      <c r="AI612" s="66" t="str">
        <f t="shared" si="541"/>
        <v>고수</v>
      </c>
      <c r="AJ612" s="66" t="str">
        <f t="shared" si="542"/>
        <v>고수</v>
      </c>
      <c r="AK612" s="66" t="str">
        <f t="shared" si="543"/>
        <v>고수</v>
      </c>
      <c r="AL612" s="66" t="str">
        <f t="shared" si="544"/>
        <v>2 : 4</v>
      </c>
      <c r="AM612" s="27">
        <f t="shared" si="545"/>
        <v>2</v>
      </c>
      <c r="AN612" s="27">
        <f t="shared" si="546"/>
        <v>4</v>
      </c>
      <c r="AO612" s="27">
        <f t="shared" si="547"/>
        <v>32</v>
      </c>
      <c r="AP612" s="66" t="str">
        <f t="shared" si="548"/>
        <v>X</v>
      </c>
      <c r="AQ612" s="66" t="str">
        <f t="shared" si="549"/>
        <v>X</v>
      </c>
      <c r="AR612" s="66" t="str">
        <f t="shared" si="550"/>
        <v>X</v>
      </c>
      <c r="AS612" s="66" t="str">
        <f t="shared" si="551"/>
        <v>X</v>
      </c>
      <c r="AT612" s="66" t="str">
        <f t="shared" si="552"/>
        <v>X</v>
      </c>
      <c r="AU612" s="66" t="str">
        <f t="shared" si="553"/>
        <v>X</v>
      </c>
      <c r="AV612" s="66" t="str">
        <f t="shared" si="554"/>
        <v>X</v>
      </c>
      <c r="AW612" s="66" t="str">
        <f t="shared" si="555"/>
        <v>X</v>
      </c>
      <c r="AX612" s="66" t="str">
        <f t="shared" si="556"/>
        <v>X</v>
      </c>
      <c r="AY612" s="66" t="str">
        <f t="shared" si="557"/>
        <v>X</v>
      </c>
      <c r="AZ612" s="66" t="str">
        <f t="shared" si="558"/>
        <v>X</v>
      </c>
      <c r="BA612" s="27" t="str">
        <f t="shared" si="559"/>
        <v>X</v>
      </c>
      <c r="BB612" s="27">
        <f t="shared" si="560"/>
        <v>0</v>
      </c>
      <c r="BC612" s="364" t="str">
        <f t="shared" si="571"/>
        <v>1G</v>
      </c>
      <c r="BD612" s="364" t="str">
        <f t="shared" si="572"/>
        <v>1G</v>
      </c>
      <c r="BE612" s="364" t="str">
        <f t="shared" si="573"/>
        <v>2G</v>
      </c>
      <c r="BF612" s="364" t="str">
        <f t="shared" si="574"/>
        <v>3G</v>
      </c>
      <c r="BG612" s="364" t="str">
        <f t="shared" si="575"/>
        <v>3G</v>
      </c>
      <c r="BH612" s="364" t="str">
        <f t="shared" si="576"/>
        <v>3G</v>
      </c>
      <c r="BI612" s="364">
        <f t="shared" si="568"/>
        <v>2</v>
      </c>
      <c r="BJ612" s="364">
        <f t="shared" si="569"/>
        <v>1</v>
      </c>
      <c r="BK612" s="364">
        <f t="shared" si="570"/>
        <v>3</v>
      </c>
      <c r="BL612" s="364" t="str">
        <f t="shared" si="577"/>
        <v>213</v>
      </c>
      <c r="BS612"/>
    </row>
    <row r="613" spans="2:71" ht="16.5" hidden="1">
      <c r="B613" s="360">
        <v>610</v>
      </c>
      <c r="C613" s="363" t="s">
        <v>964</v>
      </c>
      <c r="N613" s="28">
        <v>14</v>
      </c>
      <c r="O613" s="28">
        <v>18</v>
      </c>
      <c r="P613" s="28">
        <v>20</v>
      </c>
      <c r="Q613" s="28">
        <v>23</v>
      </c>
      <c r="R613" s="28">
        <v>28</v>
      </c>
      <c r="S613" s="28">
        <v>36</v>
      </c>
      <c r="T613" s="28">
        <v>33</v>
      </c>
      <c r="U613" s="28">
        <f t="shared" si="528"/>
        <v>139</v>
      </c>
      <c r="W613" s="27" t="str">
        <f t="shared" si="529"/>
        <v>짝수</v>
      </c>
      <c r="X613" s="27" t="str">
        <f t="shared" si="530"/>
        <v>짝수</v>
      </c>
      <c r="Y613" s="27" t="str">
        <f t="shared" si="531"/>
        <v>짝수</v>
      </c>
      <c r="Z613" s="27" t="str">
        <f t="shared" si="532"/>
        <v>홀수</v>
      </c>
      <c r="AA613" s="28" t="str">
        <f t="shared" si="533"/>
        <v>짝수</v>
      </c>
      <c r="AB613" s="28" t="str">
        <f t="shared" si="534"/>
        <v>짝수</v>
      </c>
      <c r="AC613" s="27" t="str">
        <f t="shared" si="535"/>
        <v>1 : 5</v>
      </c>
      <c r="AD613" s="32">
        <f t="shared" si="536"/>
        <v>1</v>
      </c>
      <c r="AE613" s="32">
        <f t="shared" si="537"/>
        <v>5</v>
      </c>
      <c r="AF613" s="66" t="str">
        <f t="shared" si="538"/>
        <v>저수</v>
      </c>
      <c r="AG613" s="66" t="str">
        <f t="shared" si="539"/>
        <v>저수</v>
      </c>
      <c r="AH613" s="66" t="str">
        <f t="shared" si="540"/>
        <v>저수</v>
      </c>
      <c r="AI613" s="66" t="str">
        <f t="shared" si="541"/>
        <v>고수</v>
      </c>
      <c r="AJ613" s="66" t="str">
        <f t="shared" si="542"/>
        <v>고수</v>
      </c>
      <c r="AK613" s="66" t="str">
        <f t="shared" si="543"/>
        <v>고수</v>
      </c>
      <c r="AL613" s="66" t="str">
        <f t="shared" si="544"/>
        <v>3 : 3</v>
      </c>
      <c r="AM613" s="27">
        <f t="shared" si="545"/>
        <v>3</v>
      </c>
      <c r="AN613" s="27">
        <f t="shared" si="546"/>
        <v>3</v>
      </c>
      <c r="AO613" s="27">
        <f t="shared" si="547"/>
        <v>29</v>
      </c>
      <c r="AP613" s="66" t="str">
        <f t="shared" si="548"/>
        <v>X</v>
      </c>
      <c r="AQ613" s="66" t="str">
        <f t="shared" si="549"/>
        <v>X</v>
      </c>
      <c r="AR613" s="66" t="str">
        <f t="shared" si="550"/>
        <v>X</v>
      </c>
      <c r="AS613" s="66" t="str">
        <f t="shared" si="551"/>
        <v>X</v>
      </c>
      <c r="AT613" s="66" t="str">
        <f t="shared" si="552"/>
        <v>X</v>
      </c>
      <c r="AU613" s="66" t="str">
        <f t="shared" si="553"/>
        <v>X</v>
      </c>
      <c r="AV613" s="66" t="str">
        <f t="shared" si="554"/>
        <v>X</v>
      </c>
      <c r="AW613" s="66" t="str">
        <f t="shared" si="555"/>
        <v>X</v>
      </c>
      <c r="AX613" s="66" t="str">
        <f t="shared" si="556"/>
        <v>X</v>
      </c>
      <c r="AY613" s="66" t="str">
        <f t="shared" si="557"/>
        <v>O</v>
      </c>
      <c r="AZ613" s="66" t="str">
        <f t="shared" si="558"/>
        <v>X</v>
      </c>
      <c r="BA613" s="27" t="str">
        <f t="shared" si="559"/>
        <v>X</v>
      </c>
      <c r="BB613" s="27">
        <f t="shared" si="560"/>
        <v>1</v>
      </c>
      <c r="BC613" s="364" t="str">
        <f t="shared" si="571"/>
        <v>1G</v>
      </c>
      <c r="BD613" s="364" t="str">
        <f t="shared" si="572"/>
        <v>2G</v>
      </c>
      <c r="BE613" s="364" t="str">
        <f t="shared" si="573"/>
        <v>2G</v>
      </c>
      <c r="BF613" s="364" t="str">
        <f t="shared" si="574"/>
        <v>2G</v>
      </c>
      <c r="BG613" s="364" t="str">
        <f t="shared" si="575"/>
        <v>2G</v>
      </c>
      <c r="BH613" s="364" t="str">
        <f t="shared" si="576"/>
        <v>3G</v>
      </c>
      <c r="BI613" s="364">
        <f t="shared" si="568"/>
        <v>1</v>
      </c>
      <c r="BJ613" s="364">
        <f t="shared" si="569"/>
        <v>4</v>
      </c>
      <c r="BK613" s="364">
        <f t="shared" si="570"/>
        <v>1</v>
      </c>
      <c r="BL613" s="364" t="str">
        <f t="shared" si="577"/>
        <v>141</v>
      </c>
      <c r="BS613"/>
    </row>
    <row r="614" spans="2:71" ht="16.5" hidden="1">
      <c r="B614" s="360">
        <v>611</v>
      </c>
      <c r="C614" s="363" t="s">
        <v>965</v>
      </c>
      <c r="N614" s="28">
        <v>2</v>
      </c>
      <c r="O614" s="28">
        <v>22</v>
      </c>
      <c r="P614" s="28">
        <v>27</v>
      </c>
      <c r="Q614" s="28">
        <v>33</v>
      </c>
      <c r="R614" s="28">
        <v>36</v>
      </c>
      <c r="S614" s="28">
        <v>37</v>
      </c>
      <c r="T614" s="28">
        <v>14</v>
      </c>
      <c r="U614" s="28">
        <f t="shared" si="528"/>
        <v>157</v>
      </c>
      <c r="W614" s="27" t="str">
        <f t="shared" si="529"/>
        <v>짝수</v>
      </c>
      <c r="X614" s="27" t="str">
        <f t="shared" si="530"/>
        <v>짝수</v>
      </c>
      <c r="Y614" s="27" t="str">
        <f t="shared" si="531"/>
        <v>홀수</v>
      </c>
      <c r="Z614" s="27" t="str">
        <f t="shared" si="532"/>
        <v>홀수</v>
      </c>
      <c r="AA614" s="28" t="str">
        <f t="shared" si="533"/>
        <v>짝수</v>
      </c>
      <c r="AB614" s="28" t="str">
        <f t="shared" si="534"/>
        <v>홀수</v>
      </c>
      <c r="AC614" s="27" t="str">
        <f t="shared" si="535"/>
        <v>3 : 3</v>
      </c>
      <c r="AD614" s="32">
        <f t="shared" si="536"/>
        <v>3</v>
      </c>
      <c r="AE614" s="32">
        <f t="shared" si="537"/>
        <v>3</v>
      </c>
      <c r="AF614" s="66" t="str">
        <f t="shared" si="538"/>
        <v>저수</v>
      </c>
      <c r="AG614" s="66" t="str">
        <f t="shared" si="539"/>
        <v>저수</v>
      </c>
      <c r="AH614" s="66" t="str">
        <f t="shared" si="540"/>
        <v>고수</v>
      </c>
      <c r="AI614" s="66" t="str">
        <f t="shared" si="541"/>
        <v>고수</v>
      </c>
      <c r="AJ614" s="66" t="str">
        <f t="shared" si="542"/>
        <v>고수</v>
      </c>
      <c r="AK614" s="66" t="str">
        <f t="shared" si="543"/>
        <v>고수</v>
      </c>
      <c r="AL614" s="66" t="str">
        <f t="shared" si="544"/>
        <v>2 : 4</v>
      </c>
      <c r="AM614" s="27">
        <f t="shared" si="545"/>
        <v>2</v>
      </c>
      <c r="AN614" s="27">
        <f t="shared" si="546"/>
        <v>4</v>
      </c>
      <c r="AO614" s="27">
        <f t="shared" si="547"/>
        <v>27</v>
      </c>
      <c r="AP614" s="66" t="str">
        <f t="shared" si="548"/>
        <v>O</v>
      </c>
      <c r="AQ614" s="66" t="str">
        <f t="shared" si="549"/>
        <v>X</v>
      </c>
      <c r="AR614" s="66" t="str">
        <f t="shared" si="550"/>
        <v>X</v>
      </c>
      <c r="AS614" s="66" t="str">
        <f t="shared" si="551"/>
        <v>X</v>
      </c>
      <c r="AT614" s="66" t="str">
        <f t="shared" si="552"/>
        <v>X</v>
      </c>
      <c r="AU614" s="66" t="str">
        <f t="shared" si="553"/>
        <v>X</v>
      </c>
      <c r="AV614" s="66" t="str">
        <f t="shared" si="554"/>
        <v>X</v>
      </c>
      <c r="AW614" s="66" t="str">
        <f t="shared" si="555"/>
        <v>X</v>
      </c>
      <c r="AX614" s="66" t="str">
        <f t="shared" si="556"/>
        <v>X</v>
      </c>
      <c r="AY614" s="66" t="str">
        <f t="shared" si="557"/>
        <v>X</v>
      </c>
      <c r="AZ614" s="66" t="str">
        <f t="shared" si="558"/>
        <v>X</v>
      </c>
      <c r="BA614" s="27" t="str">
        <f t="shared" si="559"/>
        <v>O</v>
      </c>
      <c r="BB614" s="27">
        <f t="shared" si="560"/>
        <v>2</v>
      </c>
      <c r="BC614" s="364" t="str">
        <f t="shared" si="571"/>
        <v>1G</v>
      </c>
      <c r="BD614" s="364" t="str">
        <f t="shared" si="572"/>
        <v>2G</v>
      </c>
      <c r="BE614" s="364" t="str">
        <f t="shared" si="573"/>
        <v>2G</v>
      </c>
      <c r="BF614" s="364" t="str">
        <f t="shared" si="574"/>
        <v>3G</v>
      </c>
      <c r="BG614" s="364" t="str">
        <f t="shared" si="575"/>
        <v>3G</v>
      </c>
      <c r="BH614" s="364" t="str">
        <f t="shared" si="576"/>
        <v>3G</v>
      </c>
      <c r="BI614" s="364">
        <f t="shared" si="568"/>
        <v>1</v>
      </c>
      <c r="BJ614" s="364">
        <f t="shared" si="569"/>
        <v>2</v>
      </c>
      <c r="BK614" s="364">
        <f t="shared" si="570"/>
        <v>3</v>
      </c>
      <c r="BL614" s="364" t="str">
        <f t="shared" si="577"/>
        <v>123</v>
      </c>
      <c r="BS614"/>
    </row>
    <row r="615" spans="2:71" ht="16.5" hidden="1">
      <c r="B615" s="360">
        <v>612</v>
      </c>
      <c r="C615" s="363" t="s">
        <v>966</v>
      </c>
      <c r="N615" s="28">
        <v>6</v>
      </c>
      <c r="O615" s="28">
        <v>9</v>
      </c>
      <c r="P615" s="28">
        <v>18</v>
      </c>
      <c r="Q615" s="28">
        <v>19</v>
      </c>
      <c r="R615" s="28">
        <v>25</v>
      </c>
      <c r="S615" s="28">
        <v>33</v>
      </c>
      <c r="T615" s="28">
        <v>40</v>
      </c>
      <c r="U615" s="28">
        <f t="shared" si="528"/>
        <v>110</v>
      </c>
      <c r="W615" s="27" t="str">
        <f t="shared" si="529"/>
        <v>짝수</v>
      </c>
      <c r="X615" s="27" t="str">
        <f t="shared" si="530"/>
        <v>홀수</v>
      </c>
      <c r="Y615" s="27" t="str">
        <f t="shared" si="531"/>
        <v>짝수</v>
      </c>
      <c r="Z615" s="27" t="str">
        <f t="shared" si="532"/>
        <v>홀수</v>
      </c>
      <c r="AA615" s="28" t="str">
        <f t="shared" si="533"/>
        <v>홀수</v>
      </c>
      <c r="AB615" s="28" t="str">
        <f t="shared" si="534"/>
        <v>홀수</v>
      </c>
      <c r="AC615" s="27" t="str">
        <f t="shared" si="535"/>
        <v>4 : 2</v>
      </c>
      <c r="AD615" s="32">
        <f t="shared" si="536"/>
        <v>4</v>
      </c>
      <c r="AE615" s="32">
        <f t="shared" si="537"/>
        <v>2</v>
      </c>
      <c r="AF615" s="66" t="str">
        <f t="shared" si="538"/>
        <v>저수</v>
      </c>
      <c r="AG615" s="66" t="str">
        <f t="shared" si="539"/>
        <v>저수</v>
      </c>
      <c r="AH615" s="66" t="str">
        <f t="shared" si="540"/>
        <v>저수</v>
      </c>
      <c r="AI615" s="66" t="str">
        <f t="shared" si="541"/>
        <v>저수</v>
      </c>
      <c r="AJ615" s="66" t="str">
        <f t="shared" si="542"/>
        <v>고수</v>
      </c>
      <c r="AK615" s="66" t="str">
        <f t="shared" si="543"/>
        <v>고수</v>
      </c>
      <c r="AL615" s="66" t="str">
        <f t="shared" si="544"/>
        <v>4 : 2</v>
      </c>
      <c r="AM615" s="27">
        <f t="shared" si="545"/>
        <v>4</v>
      </c>
      <c r="AN615" s="27">
        <f t="shared" si="546"/>
        <v>2</v>
      </c>
      <c r="AO615" s="27">
        <f t="shared" si="547"/>
        <v>40</v>
      </c>
      <c r="AP615" s="66" t="str">
        <f t="shared" si="548"/>
        <v>X</v>
      </c>
      <c r="AQ615" s="66" t="str">
        <f t="shared" si="549"/>
        <v>X</v>
      </c>
      <c r="AR615" s="66" t="str">
        <f t="shared" si="550"/>
        <v>X</v>
      </c>
      <c r="AS615" s="66" t="str">
        <f t="shared" si="551"/>
        <v>O</v>
      </c>
      <c r="AT615" s="66" t="str">
        <f t="shared" si="552"/>
        <v>X</v>
      </c>
      <c r="AU615" s="66" t="str">
        <f t="shared" si="553"/>
        <v>X</v>
      </c>
      <c r="AV615" s="66" t="str">
        <f t="shared" si="554"/>
        <v>X</v>
      </c>
      <c r="AW615" s="66" t="str">
        <f t="shared" si="555"/>
        <v>X</v>
      </c>
      <c r="AX615" s="66" t="str">
        <f t="shared" si="556"/>
        <v>X</v>
      </c>
      <c r="AY615" s="66" t="str">
        <f t="shared" si="557"/>
        <v>X</v>
      </c>
      <c r="AZ615" s="66" t="str">
        <f t="shared" si="558"/>
        <v>X</v>
      </c>
      <c r="BA615" s="27" t="str">
        <f t="shared" si="559"/>
        <v>X</v>
      </c>
      <c r="BB615" s="27">
        <f t="shared" si="560"/>
        <v>1</v>
      </c>
      <c r="BC615" s="364" t="str">
        <f t="shared" si="571"/>
        <v>1G</v>
      </c>
      <c r="BD615" s="364" t="str">
        <f t="shared" si="572"/>
        <v>1G</v>
      </c>
      <c r="BE615" s="364" t="str">
        <f t="shared" si="573"/>
        <v>2G</v>
      </c>
      <c r="BF615" s="364" t="str">
        <f t="shared" si="574"/>
        <v>2G</v>
      </c>
      <c r="BG615" s="364" t="str">
        <f t="shared" si="575"/>
        <v>2G</v>
      </c>
      <c r="BH615" s="364" t="str">
        <f t="shared" si="576"/>
        <v>3G</v>
      </c>
      <c r="BI615" s="364">
        <f t="shared" si="568"/>
        <v>2</v>
      </c>
      <c r="BJ615" s="364">
        <f t="shared" si="569"/>
        <v>3</v>
      </c>
      <c r="BK615" s="364">
        <f t="shared" si="570"/>
        <v>1</v>
      </c>
      <c r="BL615" s="364" t="str">
        <f t="shared" si="577"/>
        <v>231</v>
      </c>
      <c r="BS615"/>
    </row>
    <row r="616" spans="2:71" ht="16.5" hidden="1">
      <c r="B616" s="360">
        <v>613</v>
      </c>
      <c r="C616" s="363" t="s">
        <v>967</v>
      </c>
      <c r="N616" s="28">
        <v>7</v>
      </c>
      <c r="O616" s="28">
        <v>8</v>
      </c>
      <c r="P616" s="28">
        <v>11</v>
      </c>
      <c r="Q616" s="28">
        <v>16</v>
      </c>
      <c r="R616" s="28">
        <v>41</v>
      </c>
      <c r="S616" s="28">
        <v>44</v>
      </c>
      <c r="T616" s="28">
        <v>35</v>
      </c>
      <c r="U616" s="28">
        <f t="shared" si="528"/>
        <v>127</v>
      </c>
      <c r="W616" s="27" t="str">
        <f t="shared" si="529"/>
        <v>홀수</v>
      </c>
      <c r="X616" s="27" t="str">
        <f t="shared" si="530"/>
        <v>짝수</v>
      </c>
      <c r="Y616" s="27" t="str">
        <f t="shared" si="531"/>
        <v>홀수</v>
      </c>
      <c r="Z616" s="27" t="str">
        <f t="shared" si="532"/>
        <v>짝수</v>
      </c>
      <c r="AA616" s="28" t="str">
        <f t="shared" si="533"/>
        <v>홀수</v>
      </c>
      <c r="AB616" s="28" t="str">
        <f t="shared" si="534"/>
        <v>짝수</v>
      </c>
      <c r="AC616" s="27" t="str">
        <f t="shared" si="535"/>
        <v>3 : 3</v>
      </c>
      <c r="AD616" s="32">
        <f t="shared" si="536"/>
        <v>3</v>
      </c>
      <c r="AE616" s="32">
        <f t="shared" si="537"/>
        <v>3</v>
      </c>
      <c r="AF616" s="66" t="str">
        <f t="shared" si="538"/>
        <v>저수</v>
      </c>
      <c r="AG616" s="66" t="str">
        <f t="shared" si="539"/>
        <v>저수</v>
      </c>
      <c r="AH616" s="66" t="str">
        <f t="shared" si="540"/>
        <v>저수</v>
      </c>
      <c r="AI616" s="66" t="str">
        <f t="shared" si="541"/>
        <v>저수</v>
      </c>
      <c r="AJ616" s="66" t="str">
        <f t="shared" si="542"/>
        <v>고수</v>
      </c>
      <c r="AK616" s="66" t="str">
        <f t="shared" si="543"/>
        <v>고수</v>
      </c>
      <c r="AL616" s="66" t="str">
        <f t="shared" si="544"/>
        <v>4 : 2</v>
      </c>
      <c r="AM616" s="27">
        <f t="shared" si="545"/>
        <v>4</v>
      </c>
      <c r="AN616" s="27">
        <f t="shared" si="546"/>
        <v>2</v>
      </c>
      <c r="AO616" s="27">
        <f t="shared" si="547"/>
        <v>27</v>
      </c>
      <c r="AP616" s="66" t="str">
        <f t="shared" si="548"/>
        <v>O</v>
      </c>
      <c r="AQ616" s="66" t="str">
        <f t="shared" si="549"/>
        <v>X</v>
      </c>
      <c r="AR616" s="66" t="str">
        <f t="shared" si="550"/>
        <v>O</v>
      </c>
      <c r="AS616" s="66" t="str">
        <f t="shared" si="551"/>
        <v>X</v>
      </c>
      <c r="AT616" s="66" t="str">
        <f t="shared" si="552"/>
        <v>X</v>
      </c>
      <c r="AU616" s="66" t="str">
        <f t="shared" si="553"/>
        <v>X</v>
      </c>
      <c r="AV616" s="66" t="str">
        <f t="shared" si="554"/>
        <v>X</v>
      </c>
      <c r="AW616" s="66" t="str">
        <f t="shared" si="555"/>
        <v>X</v>
      </c>
      <c r="AX616" s="66" t="str">
        <f t="shared" si="556"/>
        <v>X</v>
      </c>
      <c r="AY616" s="66" t="str">
        <f t="shared" si="557"/>
        <v>X</v>
      </c>
      <c r="AZ616" s="66" t="str">
        <f t="shared" si="558"/>
        <v>O</v>
      </c>
      <c r="BA616" s="27" t="str">
        <f t="shared" si="559"/>
        <v>X</v>
      </c>
      <c r="BB616" s="27">
        <f t="shared" si="560"/>
        <v>3</v>
      </c>
      <c r="BC616" s="364" t="str">
        <f t="shared" si="571"/>
        <v>1G</v>
      </c>
      <c r="BD616" s="364" t="str">
        <f t="shared" si="572"/>
        <v>1G</v>
      </c>
      <c r="BE616" s="364" t="str">
        <f t="shared" si="573"/>
        <v>1G</v>
      </c>
      <c r="BF616" s="364" t="str">
        <f t="shared" si="574"/>
        <v>2G</v>
      </c>
      <c r="BG616" s="364" t="str">
        <f t="shared" si="575"/>
        <v>3G</v>
      </c>
      <c r="BH616" s="364" t="str">
        <f t="shared" si="576"/>
        <v>3G</v>
      </c>
      <c r="BI616" s="364">
        <f t="shared" si="568"/>
        <v>3</v>
      </c>
      <c r="BJ616" s="364">
        <f t="shared" si="569"/>
        <v>1</v>
      </c>
      <c r="BK616" s="364">
        <f t="shared" si="570"/>
        <v>2</v>
      </c>
      <c r="BL616" s="364" t="str">
        <f t="shared" si="577"/>
        <v>312</v>
      </c>
      <c r="BS616"/>
    </row>
    <row r="617" spans="2:71" ht="16.5" hidden="1">
      <c r="B617" s="360">
        <v>614</v>
      </c>
      <c r="C617" s="363" t="s">
        <v>968</v>
      </c>
      <c r="N617" s="28">
        <v>8</v>
      </c>
      <c r="O617" s="28">
        <v>21</v>
      </c>
      <c r="P617" s="28">
        <v>25</v>
      </c>
      <c r="Q617" s="28">
        <v>39</v>
      </c>
      <c r="R617" s="28">
        <v>40</v>
      </c>
      <c r="S617" s="28">
        <v>44</v>
      </c>
      <c r="T617" s="28">
        <v>18</v>
      </c>
      <c r="U617" s="28">
        <f t="shared" si="528"/>
        <v>177</v>
      </c>
      <c r="W617" s="27" t="str">
        <f t="shared" si="529"/>
        <v>짝수</v>
      </c>
      <c r="X617" s="27" t="str">
        <f t="shared" si="530"/>
        <v>홀수</v>
      </c>
      <c r="Y617" s="27" t="str">
        <f t="shared" si="531"/>
        <v>홀수</v>
      </c>
      <c r="Z617" s="27" t="str">
        <f t="shared" si="532"/>
        <v>홀수</v>
      </c>
      <c r="AA617" s="28" t="str">
        <f t="shared" si="533"/>
        <v>짝수</v>
      </c>
      <c r="AB617" s="28" t="str">
        <f t="shared" si="534"/>
        <v>짝수</v>
      </c>
      <c r="AC617" s="27" t="str">
        <f t="shared" si="535"/>
        <v>3 : 3</v>
      </c>
      <c r="AD617" s="32">
        <f t="shared" si="536"/>
        <v>3</v>
      </c>
      <c r="AE617" s="32">
        <f t="shared" si="537"/>
        <v>3</v>
      </c>
      <c r="AF617" s="66" t="str">
        <f t="shared" si="538"/>
        <v>저수</v>
      </c>
      <c r="AG617" s="66" t="str">
        <f t="shared" si="539"/>
        <v>저수</v>
      </c>
      <c r="AH617" s="66" t="str">
        <f t="shared" si="540"/>
        <v>고수</v>
      </c>
      <c r="AI617" s="66" t="str">
        <f t="shared" si="541"/>
        <v>고수</v>
      </c>
      <c r="AJ617" s="66" t="str">
        <f t="shared" si="542"/>
        <v>고수</v>
      </c>
      <c r="AK617" s="66" t="str">
        <f t="shared" si="543"/>
        <v>고수</v>
      </c>
      <c r="AL617" s="66" t="str">
        <f t="shared" si="544"/>
        <v>2 : 4</v>
      </c>
      <c r="AM617" s="27">
        <f t="shared" si="545"/>
        <v>2</v>
      </c>
      <c r="AN617" s="27">
        <f t="shared" si="546"/>
        <v>4</v>
      </c>
      <c r="AO617" s="27">
        <f t="shared" si="547"/>
        <v>27</v>
      </c>
      <c r="AP617" s="66" t="str">
        <f t="shared" si="548"/>
        <v>X</v>
      </c>
      <c r="AQ617" s="66" t="str">
        <f t="shared" si="549"/>
        <v>X</v>
      </c>
      <c r="AR617" s="66" t="str">
        <f t="shared" si="550"/>
        <v>X</v>
      </c>
      <c r="AS617" s="66" t="str">
        <f t="shared" si="551"/>
        <v>X</v>
      </c>
      <c r="AT617" s="66" t="str">
        <f t="shared" si="552"/>
        <v>X</v>
      </c>
      <c r="AU617" s="66" t="str">
        <f t="shared" si="553"/>
        <v>X</v>
      </c>
      <c r="AV617" s="66" t="str">
        <f t="shared" si="554"/>
        <v>X</v>
      </c>
      <c r="AW617" s="66" t="str">
        <f t="shared" si="555"/>
        <v>X</v>
      </c>
      <c r="AX617" s="66" t="str">
        <f t="shared" si="556"/>
        <v>X</v>
      </c>
      <c r="AY617" s="66" t="str">
        <f t="shared" si="557"/>
        <v>X</v>
      </c>
      <c r="AZ617" s="66" t="str">
        <f t="shared" si="558"/>
        <v>X</v>
      </c>
      <c r="BA617" s="27" t="str">
        <f t="shared" si="559"/>
        <v>X</v>
      </c>
      <c r="BB617" s="27">
        <f t="shared" si="560"/>
        <v>0</v>
      </c>
      <c r="BC617" s="364" t="str">
        <f t="shared" si="571"/>
        <v>1G</v>
      </c>
      <c r="BD617" s="364" t="str">
        <f t="shared" si="572"/>
        <v>2G</v>
      </c>
      <c r="BE617" s="364" t="str">
        <f t="shared" si="573"/>
        <v>2G</v>
      </c>
      <c r="BF617" s="364" t="str">
        <f t="shared" si="574"/>
        <v>3G</v>
      </c>
      <c r="BG617" s="364" t="str">
        <f t="shared" si="575"/>
        <v>3G</v>
      </c>
      <c r="BH617" s="364" t="str">
        <f t="shared" si="576"/>
        <v>3G</v>
      </c>
      <c r="BI617" s="364">
        <f t="shared" si="568"/>
        <v>1</v>
      </c>
      <c r="BJ617" s="364">
        <f t="shared" si="569"/>
        <v>2</v>
      </c>
      <c r="BK617" s="364">
        <f t="shared" si="570"/>
        <v>3</v>
      </c>
      <c r="BL617" s="364" t="str">
        <f t="shared" si="577"/>
        <v>123</v>
      </c>
      <c r="BS617"/>
    </row>
    <row r="618" spans="2:71" ht="16.5" hidden="1">
      <c r="B618" s="360">
        <v>615</v>
      </c>
      <c r="C618" s="363" t="s">
        <v>969</v>
      </c>
      <c r="N618" s="28">
        <v>10</v>
      </c>
      <c r="O618" s="28">
        <v>17</v>
      </c>
      <c r="P618" s="28">
        <v>18</v>
      </c>
      <c r="Q618" s="28">
        <v>19</v>
      </c>
      <c r="R618" s="28">
        <v>23</v>
      </c>
      <c r="S618" s="28">
        <v>27</v>
      </c>
      <c r="T618" s="28">
        <v>35</v>
      </c>
      <c r="U618" s="28">
        <f t="shared" si="528"/>
        <v>114</v>
      </c>
      <c r="W618" s="27" t="str">
        <f t="shared" si="529"/>
        <v>짝수</v>
      </c>
      <c r="X618" s="27" t="str">
        <f t="shared" si="530"/>
        <v>홀수</v>
      </c>
      <c r="Y618" s="27" t="str">
        <f t="shared" si="531"/>
        <v>짝수</v>
      </c>
      <c r="Z618" s="27" t="str">
        <f t="shared" si="532"/>
        <v>홀수</v>
      </c>
      <c r="AA618" s="28" t="str">
        <f t="shared" si="533"/>
        <v>홀수</v>
      </c>
      <c r="AB618" s="28" t="str">
        <f t="shared" si="534"/>
        <v>홀수</v>
      </c>
      <c r="AC618" s="27" t="str">
        <f t="shared" si="535"/>
        <v>4 : 2</v>
      </c>
      <c r="AD618" s="32">
        <f t="shared" si="536"/>
        <v>4</v>
      </c>
      <c r="AE618" s="32">
        <f t="shared" si="537"/>
        <v>2</v>
      </c>
      <c r="AF618" s="66" t="str">
        <f t="shared" si="538"/>
        <v>저수</v>
      </c>
      <c r="AG618" s="66" t="str">
        <f t="shared" si="539"/>
        <v>저수</v>
      </c>
      <c r="AH618" s="66" t="str">
        <f t="shared" si="540"/>
        <v>저수</v>
      </c>
      <c r="AI618" s="66" t="str">
        <f t="shared" si="541"/>
        <v>저수</v>
      </c>
      <c r="AJ618" s="66" t="str">
        <f t="shared" si="542"/>
        <v>고수</v>
      </c>
      <c r="AK618" s="66" t="str">
        <f t="shared" si="543"/>
        <v>고수</v>
      </c>
      <c r="AL618" s="66" t="str">
        <f t="shared" si="544"/>
        <v>4 : 2</v>
      </c>
      <c r="AM618" s="27">
        <f t="shared" si="545"/>
        <v>4</v>
      </c>
      <c r="AN618" s="27">
        <f t="shared" si="546"/>
        <v>2</v>
      </c>
      <c r="AO618" s="27">
        <f t="shared" si="547"/>
        <v>34</v>
      </c>
      <c r="AP618" s="66" t="str">
        <f t="shared" si="548"/>
        <v>X</v>
      </c>
      <c r="AQ618" s="66" t="str">
        <f t="shared" si="549"/>
        <v>O</v>
      </c>
      <c r="AR618" s="66" t="str">
        <f t="shared" si="550"/>
        <v>X</v>
      </c>
      <c r="AS618" s="66" t="str">
        <f t="shared" si="551"/>
        <v>O</v>
      </c>
      <c r="AT618" s="66" t="str">
        <f t="shared" si="552"/>
        <v>X</v>
      </c>
      <c r="AU618" s="66" t="str">
        <f t="shared" si="553"/>
        <v>X</v>
      </c>
      <c r="AV618" s="66" t="str">
        <f t="shared" si="554"/>
        <v>X</v>
      </c>
      <c r="AW618" s="66" t="str">
        <f t="shared" si="555"/>
        <v>X</v>
      </c>
      <c r="AX618" s="66" t="str">
        <f t="shared" si="556"/>
        <v>X</v>
      </c>
      <c r="AY618" s="66" t="str">
        <f t="shared" si="557"/>
        <v>X</v>
      </c>
      <c r="AZ618" s="66" t="str">
        <f t="shared" si="558"/>
        <v>O</v>
      </c>
      <c r="BA618" s="27" t="str">
        <f t="shared" si="559"/>
        <v>X</v>
      </c>
      <c r="BB618" s="27">
        <f t="shared" si="560"/>
        <v>3</v>
      </c>
      <c r="BC618" s="364" t="str">
        <f t="shared" si="571"/>
        <v>1G</v>
      </c>
      <c r="BD618" s="364" t="str">
        <f t="shared" si="572"/>
        <v>2G</v>
      </c>
      <c r="BE618" s="364" t="str">
        <f t="shared" si="573"/>
        <v>2G</v>
      </c>
      <c r="BF618" s="364" t="str">
        <f t="shared" si="574"/>
        <v>2G</v>
      </c>
      <c r="BG618" s="364" t="str">
        <f t="shared" si="575"/>
        <v>2G</v>
      </c>
      <c r="BH618" s="364" t="str">
        <f t="shared" si="576"/>
        <v>2G</v>
      </c>
      <c r="BI618" s="364">
        <f t="shared" si="568"/>
        <v>1</v>
      </c>
      <c r="BJ618" s="364">
        <f t="shared" si="569"/>
        <v>5</v>
      </c>
      <c r="BK618" s="364">
        <f t="shared" si="570"/>
        <v>0</v>
      </c>
      <c r="BL618" s="364" t="str">
        <f t="shared" si="577"/>
        <v>150</v>
      </c>
      <c r="BS618"/>
    </row>
    <row r="619" spans="2:71" ht="16.5" hidden="1">
      <c r="B619" s="360">
        <v>616</v>
      </c>
      <c r="C619" s="363" t="s">
        <v>970</v>
      </c>
      <c r="N619" s="28">
        <v>5</v>
      </c>
      <c r="O619" s="28">
        <v>13</v>
      </c>
      <c r="P619" s="28">
        <v>18</v>
      </c>
      <c r="Q619" s="28">
        <v>23</v>
      </c>
      <c r="R619" s="28">
        <v>40</v>
      </c>
      <c r="S619" s="28">
        <v>45</v>
      </c>
      <c r="T619" s="28">
        <v>3</v>
      </c>
      <c r="U619" s="28">
        <f t="shared" si="528"/>
        <v>144</v>
      </c>
      <c r="W619" s="27" t="str">
        <f t="shared" si="529"/>
        <v>홀수</v>
      </c>
      <c r="X619" s="27" t="str">
        <f t="shared" si="530"/>
        <v>홀수</v>
      </c>
      <c r="Y619" s="27" t="str">
        <f t="shared" si="531"/>
        <v>짝수</v>
      </c>
      <c r="Z619" s="27" t="str">
        <f t="shared" si="532"/>
        <v>홀수</v>
      </c>
      <c r="AA619" s="28" t="str">
        <f t="shared" si="533"/>
        <v>짝수</v>
      </c>
      <c r="AB619" s="28" t="str">
        <f t="shared" si="534"/>
        <v>홀수</v>
      </c>
      <c r="AC619" s="27" t="str">
        <f t="shared" si="535"/>
        <v>4 : 2</v>
      </c>
      <c r="AD619" s="32">
        <f t="shared" si="536"/>
        <v>4</v>
      </c>
      <c r="AE619" s="32">
        <f t="shared" si="537"/>
        <v>2</v>
      </c>
      <c r="AF619" s="66" t="str">
        <f t="shared" si="538"/>
        <v>저수</v>
      </c>
      <c r="AG619" s="66" t="str">
        <f t="shared" si="539"/>
        <v>저수</v>
      </c>
      <c r="AH619" s="66" t="str">
        <f t="shared" si="540"/>
        <v>저수</v>
      </c>
      <c r="AI619" s="66" t="str">
        <f t="shared" si="541"/>
        <v>고수</v>
      </c>
      <c r="AJ619" s="66" t="str">
        <f t="shared" si="542"/>
        <v>고수</v>
      </c>
      <c r="AK619" s="66" t="str">
        <f t="shared" si="543"/>
        <v>고수</v>
      </c>
      <c r="AL619" s="66" t="str">
        <f t="shared" si="544"/>
        <v>3 : 3</v>
      </c>
      <c r="AM619" s="27">
        <f t="shared" si="545"/>
        <v>3</v>
      </c>
      <c r="AN619" s="27">
        <f t="shared" si="546"/>
        <v>3</v>
      </c>
      <c r="AO619" s="27">
        <f t="shared" si="547"/>
        <v>24</v>
      </c>
      <c r="AP619" s="66" t="str">
        <f t="shared" si="548"/>
        <v>O</v>
      </c>
      <c r="AQ619" s="66" t="str">
        <f t="shared" si="549"/>
        <v>O</v>
      </c>
      <c r="AR619" s="66" t="str">
        <f t="shared" si="550"/>
        <v>X</v>
      </c>
      <c r="AS619" s="66" t="str">
        <f t="shared" si="551"/>
        <v>X</v>
      </c>
      <c r="AT619" s="66" t="str">
        <f t="shared" si="552"/>
        <v>X</v>
      </c>
      <c r="AU619" s="66" t="str">
        <f t="shared" si="553"/>
        <v>X</v>
      </c>
      <c r="AV619" s="66" t="str">
        <f t="shared" si="554"/>
        <v>X</v>
      </c>
      <c r="AW619" s="66" t="str">
        <f t="shared" si="555"/>
        <v>X</v>
      </c>
      <c r="AX619" s="66" t="str">
        <f t="shared" si="556"/>
        <v>X</v>
      </c>
      <c r="AY619" s="66" t="str">
        <f t="shared" si="557"/>
        <v>O</v>
      </c>
      <c r="AZ619" s="66" t="str">
        <f t="shared" si="558"/>
        <v>X</v>
      </c>
      <c r="BA619" s="27" t="str">
        <f t="shared" si="559"/>
        <v>X</v>
      </c>
      <c r="BB619" s="27">
        <f t="shared" si="560"/>
        <v>3</v>
      </c>
      <c r="BC619" s="364" t="str">
        <f t="shared" si="571"/>
        <v>1G</v>
      </c>
      <c r="BD619" s="364" t="str">
        <f t="shared" si="572"/>
        <v>1G</v>
      </c>
      <c r="BE619" s="364" t="str">
        <f t="shared" si="573"/>
        <v>2G</v>
      </c>
      <c r="BF619" s="364" t="str">
        <f t="shared" si="574"/>
        <v>2G</v>
      </c>
      <c r="BG619" s="364" t="str">
        <f t="shared" si="575"/>
        <v>3G</v>
      </c>
      <c r="BH619" s="364" t="str">
        <f t="shared" si="576"/>
        <v>3G</v>
      </c>
      <c r="BI619" s="364">
        <f t="shared" si="568"/>
        <v>2</v>
      </c>
      <c r="BJ619" s="364">
        <f t="shared" si="569"/>
        <v>2</v>
      </c>
      <c r="BK619" s="364">
        <f t="shared" si="570"/>
        <v>2</v>
      </c>
      <c r="BL619" s="364" t="str">
        <f t="shared" si="577"/>
        <v>222</v>
      </c>
      <c r="BS619"/>
    </row>
    <row r="620" spans="2:71" ht="16.5" hidden="1">
      <c r="B620" s="360">
        <v>617</v>
      </c>
      <c r="C620" s="363" t="s">
        <v>971</v>
      </c>
      <c r="N620" s="28">
        <v>4</v>
      </c>
      <c r="O620" s="28">
        <v>5</v>
      </c>
      <c r="P620" s="28">
        <v>11</v>
      </c>
      <c r="Q620" s="28">
        <v>12</v>
      </c>
      <c r="R620" s="28">
        <v>24</v>
      </c>
      <c r="S620" s="28">
        <v>27</v>
      </c>
      <c r="T620" s="28">
        <v>28</v>
      </c>
      <c r="U620" s="28">
        <f t="shared" si="528"/>
        <v>83</v>
      </c>
      <c r="W620" s="27" t="str">
        <f t="shared" si="529"/>
        <v>짝수</v>
      </c>
      <c r="X620" s="27" t="str">
        <f t="shared" si="530"/>
        <v>홀수</v>
      </c>
      <c r="Y620" s="27" t="str">
        <f t="shared" si="531"/>
        <v>홀수</v>
      </c>
      <c r="Z620" s="27" t="str">
        <f t="shared" si="532"/>
        <v>짝수</v>
      </c>
      <c r="AA620" s="28" t="str">
        <f t="shared" si="533"/>
        <v>짝수</v>
      </c>
      <c r="AB620" s="28" t="str">
        <f t="shared" si="534"/>
        <v>홀수</v>
      </c>
      <c r="AC620" s="27" t="str">
        <f t="shared" si="535"/>
        <v>3 : 3</v>
      </c>
      <c r="AD620" s="32">
        <f t="shared" si="536"/>
        <v>3</v>
      </c>
      <c r="AE620" s="32">
        <f t="shared" si="537"/>
        <v>3</v>
      </c>
      <c r="AF620" s="66" t="str">
        <f t="shared" si="538"/>
        <v>저수</v>
      </c>
      <c r="AG620" s="66" t="str">
        <f t="shared" si="539"/>
        <v>저수</v>
      </c>
      <c r="AH620" s="66" t="str">
        <f t="shared" si="540"/>
        <v>저수</v>
      </c>
      <c r="AI620" s="66" t="str">
        <f t="shared" si="541"/>
        <v>저수</v>
      </c>
      <c r="AJ620" s="66" t="str">
        <f t="shared" si="542"/>
        <v>고수</v>
      </c>
      <c r="AK620" s="66" t="str">
        <f t="shared" si="543"/>
        <v>고수</v>
      </c>
      <c r="AL620" s="66" t="str">
        <f t="shared" si="544"/>
        <v>4 : 2</v>
      </c>
      <c r="AM620" s="27">
        <f t="shared" si="545"/>
        <v>4</v>
      </c>
      <c r="AN620" s="27">
        <f t="shared" si="546"/>
        <v>2</v>
      </c>
      <c r="AO620" s="27">
        <f t="shared" si="547"/>
        <v>23</v>
      </c>
      <c r="AP620" s="66" t="str">
        <f t="shared" si="548"/>
        <v>X</v>
      </c>
      <c r="AQ620" s="66" t="str">
        <f t="shared" si="549"/>
        <v>O</v>
      </c>
      <c r="AR620" s="66" t="str">
        <f t="shared" si="550"/>
        <v>O</v>
      </c>
      <c r="AS620" s="66" t="str">
        <f t="shared" si="551"/>
        <v>X</v>
      </c>
      <c r="AT620" s="66" t="str">
        <f t="shared" si="552"/>
        <v>X</v>
      </c>
      <c r="AU620" s="66" t="str">
        <f t="shared" si="553"/>
        <v>X</v>
      </c>
      <c r="AV620" s="66" t="str">
        <f t="shared" si="554"/>
        <v>X</v>
      </c>
      <c r="AW620" s="66" t="str">
        <f t="shared" si="555"/>
        <v>X</v>
      </c>
      <c r="AX620" s="66" t="str">
        <f t="shared" si="556"/>
        <v>X</v>
      </c>
      <c r="AY620" s="66" t="str">
        <f t="shared" si="557"/>
        <v>X</v>
      </c>
      <c r="AZ620" s="66" t="str">
        <f t="shared" si="558"/>
        <v>X</v>
      </c>
      <c r="BA620" s="27" t="str">
        <f t="shared" si="559"/>
        <v>X</v>
      </c>
      <c r="BB620" s="27">
        <f t="shared" si="560"/>
        <v>2</v>
      </c>
      <c r="BC620" s="364" t="str">
        <f t="shared" si="571"/>
        <v>1G</v>
      </c>
      <c r="BD620" s="364" t="str">
        <f t="shared" si="572"/>
        <v>1G</v>
      </c>
      <c r="BE620" s="364" t="str">
        <f t="shared" si="573"/>
        <v>1G</v>
      </c>
      <c r="BF620" s="364" t="str">
        <f t="shared" si="574"/>
        <v>1G</v>
      </c>
      <c r="BG620" s="364" t="str">
        <f t="shared" si="575"/>
        <v>2G</v>
      </c>
      <c r="BH620" s="364" t="str">
        <f t="shared" si="576"/>
        <v>2G</v>
      </c>
      <c r="BI620" s="364">
        <f t="shared" si="568"/>
        <v>4</v>
      </c>
      <c r="BJ620" s="364">
        <f t="shared" si="569"/>
        <v>2</v>
      </c>
      <c r="BK620" s="364">
        <f t="shared" si="570"/>
        <v>0</v>
      </c>
      <c r="BL620" s="364" t="str">
        <f t="shared" si="577"/>
        <v>420</v>
      </c>
      <c r="BS620"/>
    </row>
    <row r="621" spans="2:71" ht="16.5" hidden="1">
      <c r="B621" s="360">
        <v>618</v>
      </c>
      <c r="C621" s="363" t="s">
        <v>972</v>
      </c>
      <c r="N621" s="28">
        <v>8</v>
      </c>
      <c r="O621" s="28">
        <v>16</v>
      </c>
      <c r="P621" s="28">
        <v>25</v>
      </c>
      <c r="Q621" s="28">
        <v>30</v>
      </c>
      <c r="R621" s="28">
        <v>42</v>
      </c>
      <c r="S621" s="28">
        <v>43</v>
      </c>
      <c r="T621" s="28">
        <v>15</v>
      </c>
      <c r="U621" s="28">
        <f t="shared" si="528"/>
        <v>164</v>
      </c>
      <c r="W621" s="27" t="str">
        <f t="shared" si="529"/>
        <v>짝수</v>
      </c>
      <c r="X621" s="27" t="str">
        <f t="shared" si="530"/>
        <v>짝수</v>
      </c>
      <c r="Y621" s="27" t="str">
        <f t="shared" si="531"/>
        <v>홀수</v>
      </c>
      <c r="Z621" s="27" t="str">
        <f t="shared" si="532"/>
        <v>짝수</v>
      </c>
      <c r="AA621" s="28" t="str">
        <f t="shared" si="533"/>
        <v>짝수</v>
      </c>
      <c r="AB621" s="28" t="str">
        <f t="shared" si="534"/>
        <v>홀수</v>
      </c>
      <c r="AC621" s="27" t="str">
        <f t="shared" si="535"/>
        <v>2 : 4</v>
      </c>
      <c r="AD621" s="32">
        <f t="shared" si="536"/>
        <v>2</v>
      </c>
      <c r="AE621" s="32">
        <f t="shared" si="537"/>
        <v>4</v>
      </c>
      <c r="AF621" s="66" t="str">
        <f t="shared" si="538"/>
        <v>저수</v>
      </c>
      <c r="AG621" s="66" t="str">
        <f t="shared" si="539"/>
        <v>저수</v>
      </c>
      <c r="AH621" s="66" t="str">
        <f t="shared" si="540"/>
        <v>고수</v>
      </c>
      <c r="AI621" s="66" t="str">
        <f t="shared" si="541"/>
        <v>고수</v>
      </c>
      <c r="AJ621" s="66" t="str">
        <f t="shared" si="542"/>
        <v>고수</v>
      </c>
      <c r="AK621" s="66" t="str">
        <f t="shared" si="543"/>
        <v>고수</v>
      </c>
      <c r="AL621" s="66" t="str">
        <f t="shared" si="544"/>
        <v>2 : 4</v>
      </c>
      <c r="AM621" s="27">
        <f t="shared" si="545"/>
        <v>2</v>
      </c>
      <c r="AN621" s="27">
        <f t="shared" si="546"/>
        <v>4</v>
      </c>
      <c r="AO621" s="27">
        <f t="shared" si="547"/>
        <v>24</v>
      </c>
      <c r="AP621" s="66" t="str">
        <f t="shared" si="548"/>
        <v>X</v>
      </c>
      <c r="AQ621" s="66" t="str">
        <f t="shared" si="549"/>
        <v>X</v>
      </c>
      <c r="AR621" s="66" t="str">
        <f t="shared" si="550"/>
        <v>X</v>
      </c>
      <c r="AS621" s="66" t="str">
        <f t="shared" si="551"/>
        <v>X</v>
      </c>
      <c r="AT621" s="66" t="str">
        <f t="shared" si="552"/>
        <v>X</v>
      </c>
      <c r="AU621" s="66" t="str">
        <f t="shared" si="553"/>
        <v>X</v>
      </c>
      <c r="AV621" s="66" t="str">
        <f t="shared" si="554"/>
        <v>X</v>
      </c>
      <c r="AW621" s="66" t="str">
        <f t="shared" si="555"/>
        <v>X</v>
      </c>
      <c r="AX621" s="66" t="str">
        <f t="shared" si="556"/>
        <v>X</v>
      </c>
      <c r="AY621" s="66" t="str">
        <f t="shared" si="557"/>
        <v>X</v>
      </c>
      <c r="AZ621" s="66" t="str">
        <f t="shared" si="558"/>
        <v>X</v>
      </c>
      <c r="BA621" s="27" t="str">
        <f t="shared" si="559"/>
        <v>O</v>
      </c>
      <c r="BB621" s="27">
        <f t="shared" si="560"/>
        <v>1</v>
      </c>
      <c r="BC621" s="364" t="str">
        <f t="shared" si="571"/>
        <v>1G</v>
      </c>
      <c r="BD621" s="364" t="str">
        <f t="shared" si="572"/>
        <v>2G</v>
      </c>
      <c r="BE621" s="364" t="str">
        <f t="shared" si="573"/>
        <v>2G</v>
      </c>
      <c r="BF621" s="364" t="str">
        <f t="shared" si="574"/>
        <v>2G</v>
      </c>
      <c r="BG621" s="364" t="str">
        <f t="shared" si="575"/>
        <v>3G</v>
      </c>
      <c r="BH621" s="364" t="str">
        <f t="shared" si="576"/>
        <v>3G</v>
      </c>
      <c r="BI621" s="364">
        <f t="shared" si="568"/>
        <v>1</v>
      </c>
      <c r="BJ621" s="364">
        <f t="shared" si="569"/>
        <v>3</v>
      </c>
      <c r="BK621" s="364">
        <f t="shared" si="570"/>
        <v>2</v>
      </c>
      <c r="BL621" s="364" t="str">
        <f t="shared" si="577"/>
        <v>132</v>
      </c>
      <c r="BS621"/>
    </row>
    <row r="622" spans="2:71" ht="16.5" hidden="1">
      <c r="B622" s="360">
        <v>619</v>
      </c>
      <c r="C622" s="363" t="s">
        <v>973</v>
      </c>
      <c r="N622" s="28">
        <v>6</v>
      </c>
      <c r="O622" s="28">
        <v>8</v>
      </c>
      <c r="P622" s="28">
        <v>13</v>
      </c>
      <c r="Q622" s="28">
        <v>30</v>
      </c>
      <c r="R622" s="28">
        <v>35</v>
      </c>
      <c r="S622" s="28">
        <v>40</v>
      </c>
      <c r="T622" s="28">
        <v>21</v>
      </c>
      <c r="U622" s="28">
        <f t="shared" si="528"/>
        <v>132</v>
      </c>
      <c r="W622" s="27" t="str">
        <f t="shared" si="529"/>
        <v>짝수</v>
      </c>
      <c r="X622" s="27" t="str">
        <f t="shared" si="530"/>
        <v>짝수</v>
      </c>
      <c r="Y622" s="27" t="str">
        <f t="shared" si="531"/>
        <v>홀수</v>
      </c>
      <c r="Z622" s="27" t="str">
        <f t="shared" si="532"/>
        <v>짝수</v>
      </c>
      <c r="AA622" s="28" t="str">
        <f t="shared" si="533"/>
        <v>홀수</v>
      </c>
      <c r="AB622" s="28" t="str">
        <f t="shared" si="534"/>
        <v>짝수</v>
      </c>
      <c r="AC622" s="27" t="str">
        <f t="shared" si="535"/>
        <v>2 : 4</v>
      </c>
      <c r="AD622" s="32">
        <f t="shared" si="536"/>
        <v>2</v>
      </c>
      <c r="AE622" s="32">
        <f t="shared" si="537"/>
        <v>4</v>
      </c>
      <c r="AF622" s="66" t="str">
        <f t="shared" si="538"/>
        <v>저수</v>
      </c>
      <c r="AG622" s="66" t="str">
        <f t="shared" si="539"/>
        <v>저수</v>
      </c>
      <c r="AH622" s="66" t="str">
        <f t="shared" si="540"/>
        <v>저수</v>
      </c>
      <c r="AI622" s="66" t="str">
        <f t="shared" si="541"/>
        <v>고수</v>
      </c>
      <c r="AJ622" s="66" t="str">
        <f t="shared" si="542"/>
        <v>고수</v>
      </c>
      <c r="AK622" s="66" t="str">
        <f t="shared" si="543"/>
        <v>고수</v>
      </c>
      <c r="AL622" s="66" t="str">
        <f t="shared" si="544"/>
        <v>3 : 3</v>
      </c>
      <c r="AM622" s="27">
        <f t="shared" si="545"/>
        <v>3</v>
      </c>
      <c r="AN622" s="27">
        <f t="shared" si="546"/>
        <v>3</v>
      </c>
      <c r="AO622" s="27">
        <f t="shared" si="547"/>
        <v>22</v>
      </c>
      <c r="AP622" s="66" t="str">
        <f t="shared" si="548"/>
        <v>X</v>
      </c>
      <c r="AQ622" s="66" t="str">
        <f t="shared" si="549"/>
        <v>X</v>
      </c>
      <c r="AR622" s="66" t="str">
        <f t="shared" si="550"/>
        <v>O</v>
      </c>
      <c r="AS622" s="66" t="str">
        <f t="shared" si="551"/>
        <v>X</v>
      </c>
      <c r="AT622" s="66" t="str">
        <f t="shared" si="552"/>
        <v>X</v>
      </c>
      <c r="AU622" s="66" t="str">
        <f t="shared" si="553"/>
        <v>X</v>
      </c>
      <c r="AV622" s="66" t="str">
        <f t="shared" si="554"/>
        <v>X</v>
      </c>
      <c r="AW622" s="66" t="str">
        <f t="shared" si="555"/>
        <v>X</v>
      </c>
      <c r="AX622" s="66" t="str">
        <f t="shared" si="556"/>
        <v>X</v>
      </c>
      <c r="AY622" s="66" t="str">
        <f t="shared" si="557"/>
        <v>X</v>
      </c>
      <c r="AZ622" s="66" t="str">
        <f t="shared" si="558"/>
        <v>X</v>
      </c>
      <c r="BA622" s="27" t="str">
        <f t="shared" si="559"/>
        <v>X</v>
      </c>
      <c r="BB622" s="27">
        <f t="shared" si="560"/>
        <v>1</v>
      </c>
      <c r="BC622" s="364" t="str">
        <f t="shared" si="571"/>
        <v>1G</v>
      </c>
      <c r="BD622" s="364" t="str">
        <f t="shared" si="572"/>
        <v>1G</v>
      </c>
      <c r="BE622" s="364" t="str">
        <f t="shared" si="573"/>
        <v>1G</v>
      </c>
      <c r="BF622" s="364" t="str">
        <f t="shared" si="574"/>
        <v>2G</v>
      </c>
      <c r="BG622" s="364" t="str">
        <f t="shared" si="575"/>
        <v>3G</v>
      </c>
      <c r="BH622" s="364" t="str">
        <f t="shared" si="576"/>
        <v>3G</v>
      </c>
      <c r="BI622" s="364">
        <f t="shared" si="568"/>
        <v>3</v>
      </c>
      <c r="BJ622" s="364">
        <f t="shared" si="569"/>
        <v>1</v>
      </c>
      <c r="BK622" s="364">
        <f t="shared" si="570"/>
        <v>2</v>
      </c>
      <c r="BL622" s="364" t="str">
        <f t="shared" si="577"/>
        <v>312</v>
      </c>
      <c r="BS622"/>
    </row>
    <row r="623" spans="2:71" ht="16.5" hidden="1">
      <c r="B623" s="360">
        <v>620</v>
      </c>
      <c r="C623" s="363" t="s">
        <v>974</v>
      </c>
      <c r="N623" s="28">
        <v>2</v>
      </c>
      <c r="O623" s="28">
        <v>16</v>
      </c>
      <c r="P623" s="28">
        <v>17</v>
      </c>
      <c r="Q623" s="28">
        <v>32</v>
      </c>
      <c r="R623" s="28">
        <v>39</v>
      </c>
      <c r="S623" s="28">
        <v>45</v>
      </c>
      <c r="T623" s="28">
        <v>40</v>
      </c>
      <c r="U623" s="28">
        <f t="shared" si="528"/>
        <v>151</v>
      </c>
      <c r="W623" s="27" t="str">
        <f t="shared" si="529"/>
        <v>짝수</v>
      </c>
      <c r="X623" s="27" t="str">
        <f t="shared" si="530"/>
        <v>짝수</v>
      </c>
      <c r="Y623" s="27" t="str">
        <f t="shared" si="531"/>
        <v>홀수</v>
      </c>
      <c r="Z623" s="27" t="str">
        <f t="shared" si="532"/>
        <v>짝수</v>
      </c>
      <c r="AA623" s="28" t="str">
        <f t="shared" si="533"/>
        <v>홀수</v>
      </c>
      <c r="AB623" s="28" t="str">
        <f t="shared" si="534"/>
        <v>홀수</v>
      </c>
      <c r="AC623" s="27" t="str">
        <f t="shared" si="535"/>
        <v>3 : 3</v>
      </c>
      <c r="AD623" s="32">
        <f t="shared" si="536"/>
        <v>3</v>
      </c>
      <c r="AE623" s="32">
        <f t="shared" si="537"/>
        <v>3</v>
      </c>
      <c r="AF623" s="66" t="str">
        <f t="shared" si="538"/>
        <v>저수</v>
      </c>
      <c r="AG623" s="66" t="str">
        <f t="shared" si="539"/>
        <v>저수</v>
      </c>
      <c r="AH623" s="66" t="str">
        <f t="shared" si="540"/>
        <v>저수</v>
      </c>
      <c r="AI623" s="66" t="str">
        <f t="shared" si="541"/>
        <v>고수</v>
      </c>
      <c r="AJ623" s="66" t="str">
        <f t="shared" si="542"/>
        <v>고수</v>
      </c>
      <c r="AK623" s="66" t="str">
        <f t="shared" si="543"/>
        <v>고수</v>
      </c>
      <c r="AL623" s="66" t="str">
        <f t="shared" si="544"/>
        <v>3 : 3</v>
      </c>
      <c r="AM623" s="27">
        <f t="shared" si="545"/>
        <v>3</v>
      </c>
      <c r="AN623" s="27">
        <f t="shared" si="546"/>
        <v>3</v>
      </c>
      <c r="AO623" s="27">
        <f t="shared" si="547"/>
        <v>31</v>
      </c>
      <c r="AP623" s="66" t="str">
        <f t="shared" si="548"/>
        <v>O</v>
      </c>
      <c r="AQ623" s="66" t="str">
        <f t="shared" si="549"/>
        <v>X</v>
      </c>
      <c r="AR623" s="66" t="str">
        <f t="shared" si="550"/>
        <v>O</v>
      </c>
      <c r="AS623" s="66" t="str">
        <f t="shared" si="551"/>
        <v>X</v>
      </c>
      <c r="AT623" s="66" t="str">
        <f t="shared" si="552"/>
        <v>X</v>
      </c>
      <c r="AU623" s="66" t="str">
        <f t="shared" si="553"/>
        <v>X</v>
      </c>
      <c r="AV623" s="66" t="str">
        <f t="shared" si="554"/>
        <v>X</v>
      </c>
      <c r="AW623" s="66" t="str">
        <f t="shared" si="555"/>
        <v>X</v>
      </c>
      <c r="AX623" s="66" t="str">
        <f t="shared" si="556"/>
        <v>X</v>
      </c>
      <c r="AY623" s="66" t="str">
        <f t="shared" si="557"/>
        <v>X</v>
      </c>
      <c r="AZ623" s="66" t="str">
        <f t="shared" si="558"/>
        <v>X</v>
      </c>
      <c r="BA623" s="27" t="str">
        <f t="shared" si="559"/>
        <v>X</v>
      </c>
      <c r="BB623" s="27">
        <f t="shared" si="560"/>
        <v>2</v>
      </c>
      <c r="BC623" s="364" t="str">
        <f t="shared" si="571"/>
        <v>1G</v>
      </c>
      <c r="BD623" s="364" t="str">
        <f t="shared" si="572"/>
        <v>2G</v>
      </c>
      <c r="BE623" s="364" t="str">
        <f t="shared" si="573"/>
        <v>2G</v>
      </c>
      <c r="BF623" s="364" t="str">
        <f t="shared" si="574"/>
        <v>3G</v>
      </c>
      <c r="BG623" s="364" t="str">
        <f t="shared" si="575"/>
        <v>3G</v>
      </c>
      <c r="BH623" s="364" t="str">
        <f t="shared" si="576"/>
        <v>3G</v>
      </c>
      <c r="BI623" s="364">
        <f t="shared" si="568"/>
        <v>1</v>
      </c>
      <c r="BJ623" s="364">
        <f t="shared" si="569"/>
        <v>2</v>
      </c>
      <c r="BK623" s="364">
        <f t="shared" si="570"/>
        <v>3</v>
      </c>
      <c r="BL623" s="364" t="str">
        <f t="shared" si="577"/>
        <v>123</v>
      </c>
      <c r="BS623"/>
    </row>
    <row r="624" spans="2:71" ht="16.5" hidden="1">
      <c r="B624" s="360">
        <v>621</v>
      </c>
      <c r="C624" s="363" t="s">
        <v>975</v>
      </c>
      <c r="N624" s="28">
        <v>1</v>
      </c>
      <c r="O624" s="28">
        <v>2</v>
      </c>
      <c r="P624" s="28">
        <v>6</v>
      </c>
      <c r="Q624" s="28">
        <v>16</v>
      </c>
      <c r="R624" s="28">
        <v>19</v>
      </c>
      <c r="S624" s="28">
        <v>42</v>
      </c>
      <c r="T624" s="28">
        <v>9</v>
      </c>
      <c r="U624" s="28">
        <f t="shared" si="528"/>
        <v>86</v>
      </c>
      <c r="W624" s="27" t="str">
        <f t="shared" si="529"/>
        <v>홀수</v>
      </c>
      <c r="X624" s="27" t="str">
        <f t="shared" si="530"/>
        <v>짝수</v>
      </c>
      <c r="Y624" s="27" t="str">
        <f t="shared" si="531"/>
        <v>짝수</v>
      </c>
      <c r="Z624" s="27" t="str">
        <f t="shared" si="532"/>
        <v>짝수</v>
      </c>
      <c r="AA624" s="28" t="str">
        <f t="shared" si="533"/>
        <v>홀수</v>
      </c>
      <c r="AB624" s="28" t="str">
        <f t="shared" si="534"/>
        <v>짝수</v>
      </c>
      <c r="AC624" s="27" t="str">
        <f t="shared" si="535"/>
        <v>2 : 4</v>
      </c>
      <c r="AD624" s="32">
        <f t="shared" si="536"/>
        <v>2</v>
      </c>
      <c r="AE624" s="32">
        <f t="shared" si="537"/>
        <v>4</v>
      </c>
      <c r="AF624" s="66" t="str">
        <f t="shared" si="538"/>
        <v>저수</v>
      </c>
      <c r="AG624" s="66" t="str">
        <f t="shared" si="539"/>
        <v>저수</v>
      </c>
      <c r="AH624" s="66" t="str">
        <f t="shared" si="540"/>
        <v>저수</v>
      </c>
      <c r="AI624" s="66" t="str">
        <f t="shared" si="541"/>
        <v>저수</v>
      </c>
      <c r="AJ624" s="66" t="str">
        <f t="shared" si="542"/>
        <v>저수</v>
      </c>
      <c r="AK624" s="66" t="str">
        <f t="shared" si="543"/>
        <v>고수</v>
      </c>
      <c r="AL624" s="66" t="str">
        <f t="shared" si="544"/>
        <v>5 : 1</v>
      </c>
      <c r="AM624" s="27">
        <f t="shared" si="545"/>
        <v>5</v>
      </c>
      <c r="AN624" s="27">
        <f t="shared" si="546"/>
        <v>1</v>
      </c>
      <c r="AO624" s="27">
        <f t="shared" si="547"/>
        <v>26</v>
      </c>
      <c r="AP624" s="66" t="str">
        <f t="shared" si="548"/>
        <v>X</v>
      </c>
      <c r="AQ624" s="66" t="str">
        <f t="shared" si="549"/>
        <v>O</v>
      </c>
      <c r="AR624" s="66" t="str">
        <f t="shared" si="550"/>
        <v>X</v>
      </c>
      <c r="AS624" s="66" t="str">
        <f t="shared" si="551"/>
        <v>X</v>
      </c>
      <c r="AT624" s="66" t="str">
        <f t="shared" si="552"/>
        <v>O</v>
      </c>
      <c r="AU624" s="66" t="str">
        <f t="shared" si="553"/>
        <v>X</v>
      </c>
      <c r="AV624" s="66" t="str">
        <f t="shared" si="554"/>
        <v>X</v>
      </c>
      <c r="AW624" s="66" t="str">
        <f t="shared" si="555"/>
        <v>X</v>
      </c>
      <c r="AX624" s="66" t="str">
        <f t="shared" si="556"/>
        <v>X</v>
      </c>
      <c r="AY624" s="66" t="str">
        <f t="shared" si="557"/>
        <v>X</v>
      </c>
      <c r="AZ624" s="66" t="str">
        <f t="shared" si="558"/>
        <v>X</v>
      </c>
      <c r="BA624" s="27" t="str">
        <f t="shared" si="559"/>
        <v>X</v>
      </c>
      <c r="BB624" s="27">
        <f t="shared" si="560"/>
        <v>2</v>
      </c>
      <c r="BC624" s="364" t="str">
        <f t="shared" si="571"/>
        <v>1G</v>
      </c>
      <c r="BD624" s="364" t="str">
        <f t="shared" si="572"/>
        <v>1G</v>
      </c>
      <c r="BE624" s="364" t="str">
        <f t="shared" si="573"/>
        <v>1G</v>
      </c>
      <c r="BF624" s="364" t="str">
        <f t="shared" si="574"/>
        <v>2G</v>
      </c>
      <c r="BG624" s="364" t="str">
        <f t="shared" si="575"/>
        <v>2G</v>
      </c>
      <c r="BH624" s="364" t="str">
        <f t="shared" si="576"/>
        <v>3G</v>
      </c>
      <c r="BI624" s="364">
        <f t="shared" si="568"/>
        <v>3</v>
      </c>
      <c r="BJ624" s="364">
        <f t="shared" si="569"/>
        <v>2</v>
      </c>
      <c r="BK624" s="364">
        <f t="shared" si="570"/>
        <v>1</v>
      </c>
      <c r="BL624" s="364" t="str">
        <f t="shared" si="577"/>
        <v>321</v>
      </c>
      <c r="BS624"/>
    </row>
    <row r="625" spans="2:71" ht="16.5" hidden="1">
      <c r="B625" s="18">
        <v>622</v>
      </c>
      <c r="C625" s="363" t="s">
        <v>976</v>
      </c>
      <c r="N625" s="28">
        <v>9</v>
      </c>
      <c r="O625" s="28">
        <v>15</v>
      </c>
      <c r="P625" s="28">
        <v>16</v>
      </c>
      <c r="Q625" s="28">
        <v>21</v>
      </c>
      <c r="R625" s="28">
        <v>28</v>
      </c>
      <c r="S625" s="28">
        <v>34</v>
      </c>
      <c r="T625" s="28">
        <v>24</v>
      </c>
      <c r="U625" s="28">
        <f t="shared" si="528"/>
        <v>123</v>
      </c>
      <c r="W625" s="27" t="str">
        <f t="shared" si="529"/>
        <v>홀수</v>
      </c>
      <c r="X625" s="27" t="str">
        <f t="shared" si="530"/>
        <v>홀수</v>
      </c>
      <c r="Y625" s="27" t="str">
        <f t="shared" si="531"/>
        <v>짝수</v>
      </c>
      <c r="Z625" s="27" t="str">
        <f t="shared" si="532"/>
        <v>홀수</v>
      </c>
      <c r="AA625" s="28" t="str">
        <f t="shared" si="533"/>
        <v>짝수</v>
      </c>
      <c r="AB625" s="28" t="str">
        <f t="shared" si="534"/>
        <v>짝수</v>
      </c>
      <c r="AC625" s="27" t="str">
        <f t="shared" si="535"/>
        <v>3 : 3</v>
      </c>
      <c r="AD625" s="32">
        <f t="shared" si="536"/>
        <v>3</v>
      </c>
      <c r="AE625" s="32">
        <f t="shared" si="537"/>
        <v>3</v>
      </c>
      <c r="AF625" s="66" t="str">
        <f t="shared" si="538"/>
        <v>저수</v>
      </c>
      <c r="AG625" s="66" t="str">
        <f t="shared" si="539"/>
        <v>저수</v>
      </c>
      <c r="AH625" s="66" t="str">
        <f t="shared" si="540"/>
        <v>저수</v>
      </c>
      <c r="AI625" s="66" t="str">
        <f t="shared" si="541"/>
        <v>저수</v>
      </c>
      <c r="AJ625" s="66" t="str">
        <f t="shared" si="542"/>
        <v>고수</v>
      </c>
      <c r="AK625" s="66" t="str">
        <f t="shared" si="543"/>
        <v>고수</v>
      </c>
      <c r="AL625" s="66" t="str">
        <f t="shared" si="544"/>
        <v>4 : 2</v>
      </c>
      <c r="AM625" s="27">
        <f t="shared" si="545"/>
        <v>4</v>
      </c>
      <c r="AN625" s="27">
        <f t="shared" si="546"/>
        <v>2</v>
      </c>
      <c r="AO625" s="27">
        <f t="shared" si="547"/>
        <v>33</v>
      </c>
      <c r="AP625" s="66" t="str">
        <f t="shared" si="548"/>
        <v>X</v>
      </c>
      <c r="AQ625" s="66" t="str">
        <f t="shared" si="549"/>
        <v>X</v>
      </c>
      <c r="AR625" s="66" t="str">
        <f t="shared" si="550"/>
        <v>X</v>
      </c>
      <c r="AS625" s="66" t="str">
        <f t="shared" si="551"/>
        <v>X</v>
      </c>
      <c r="AT625" s="66" t="str">
        <f t="shared" si="552"/>
        <v>X</v>
      </c>
      <c r="AU625" s="66" t="str">
        <f t="shared" si="553"/>
        <v>X</v>
      </c>
      <c r="AV625" s="66" t="str">
        <f t="shared" si="554"/>
        <v>X</v>
      </c>
      <c r="AW625" s="66" t="str">
        <f t="shared" si="555"/>
        <v>X</v>
      </c>
      <c r="AX625" s="66" t="str">
        <f t="shared" si="556"/>
        <v>X</v>
      </c>
      <c r="AY625" s="66" t="str">
        <f t="shared" si="557"/>
        <v>X</v>
      </c>
      <c r="AZ625" s="66" t="str">
        <f t="shared" si="558"/>
        <v>X</v>
      </c>
      <c r="BA625" s="27" t="str">
        <f t="shared" si="559"/>
        <v>X</v>
      </c>
      <c r="BB625" s="27">
        <f t="shared" si="560"/>
        <v>0</v>
      </c>
      <c r="BC625" s="364" t="str">
        <f t="shared" ref="BC625" si="578">VLOOKUP(N625,삼그룹,6,FALSE)</f>
        <v>1G</v>
      </c>
      <c r="BD625" s="364" t="str">
        <f t="shared" ref="BD625" si="579">VLOOKUP(O625,삼그룹,6,FALSE)</f>
        <v>1G</v>
      </c>
      <c r="BE625" s="364" t="str">
        <f t="shared" ref="BE625" si="580">VLOOKUP(P625,삼그룹,6,FALSE)</f>
        <v>2G</v>
      </c>
      <c r="BF625" s="364" t="str">
        <f t="shared" ref="BF625" si="581">VLOOKUP(Q625,삼그룹,6,FALSE)</f>
        <v>2G</v>
      </c>
      <c r="BG625" s="364" t="str">
        <f t="shared" ref="BG625" si="582">VLOOKUP(R625,삼그룹,6,FALSE)</f>
        <v>2G</v>
      </c>
      <c r="BH625" s="364" t="str">
        <f t="shared" ref="BH625" si="583">VLOOKUP(S625,삼그룹,6,FALSE)</f>
        <v>3G</v>
      </c>
      <c r="BI625" s="364">
        <f t="shared" si="568"/>
        <v>2</v>
      </c>
      <c r="BJ625" s="364">
        <f t="shared" si="569"/>
        <v>3</v>
      </c>
      <c r="BK625" s="364">
        <f t="shared" si="570"/>
        <v>1</v>
      </c>
      <c r="BL625" s="364" t="str">
        <f t="shared" ref="BL625" si="584">BI625&amp;BJ625&amp;BK625</f>
        <v>231</v>
      </c>
      <c r="BS625"/>
    </row>
    <row r="626" spans="2:71" ht="16.5" hidden="1">
      <c r="B626" s="18">
        <v>623</v>
      </c>
      <c r="C626" s="363" t="s">
        <v>987</v>
      </c>
      <c r="N626" s="28">
        <v>7</v>
      </c>
      <c r="O626" s="28">
        <v>13</v>
      </c>
      <c r="P626" s="28">
        <v>30</v>
      </c>
      <c r="Q626" s="28">
        <v>39</v>
      </c>
      <c r="R626" s="28">
        <v>41</v>
      </c>
      <c r="S626" s="28">
        <v>45</v>
      </c>
      <c r="T626" s="28">
        <v>25</v>
      </c>
      <c r="U626" s="28">
        <f t="shared" si="528"/>
        <v>175</v>
      </c>
      <c r="W626" s="27" t="str">
        <f t="shared" si="529"/>
        <v>홀수</v>
      </c>
      <c r="X626" s="27" t="str">
        <f t="shared" si="530"/>
        <v>홀수</v>
      </c>
      <c r="Y626" s="27" t="str">
        <f t="shared" si="531"/>
        <v>짝수</v>
      </c>
      <c r="Z626" s="27" t="str">
        <f t="shared" si="532"/>
        <v>홀수</v>
      </c>
      <c r="AA626" s="28" t="str">
        <f t="shared" si="533"/>
        <v>홀수</v>
      </c>
      <c r="AB626" s="28" t="str">
        <f t="shared" si="534"/>
        <v>홀수</v>
      </c>
      <c r="AC626" s="27" t="str">
        <f t="shared" si="535"/>
        <v>5 : 1</v>
      </c>
      <c r="AD626" s="32">
        <f t="shared" si="536"/>
        <v>5</v>
      </c>
      <c r="AE626" s="32">
        <f t="shared" si="537"/>
        <v>1</v>
      </c>
      <c r="AF626" s="66" t="str">
        <f t="shared" si="538"/>
        <v>저수</v>
      </c>
      <c r="AG626" s="66" t="str">
        <f t="shared" si="539"/>
        <v>저수</v>
      </c>
      <c r="AH626" s="66" t="str">
        <f t="shared" si="540"/>
        <v>고수</v>
      </c>
      <c r="AI626" s="66" t="str">
        <f t="shared" si="541"/>
        <v>고수</v>
      </c>
      <c r="AJ626" s="66" t="str">
        <f t="shared" si="542"/>
        <v>고수</v>
      </c>
      <c r="AK626" s="66" t="str">
        <f t="shared" si="543"/>
        <v>고수</v>
      </c>
      <c r="AL626" s="66" t="str">
        <f t="shared" si="544"/>
        <v>2 : 4</v>
      </c>
      <c r="AM626" s="27">
        <f t="shared" si="545"/>
        <v>2</v>
      </c>
      <c r="AN626" s="27">
        <f t="shared" si="546"/>
        <v>4</v>
      </c>
      <c r="AO626" s="27">
        <f t="shared" si="547"/>
        <v>25</v>
      </c>
      <c r="AP626" s="66" t="str">
        <f t="shared" si="548"/>
        <v>O</v>
      </c>
      <c r="AQ626" s="66" t="str">
        <f t="shared" si="549"/>
        <v>O</v>
      </c>
      <c r="AR626" s="66" t="str">
        <f t="shared" si="550"/>
        <v>X</v>
      </c>
      <c r="AS626" s="66" t="str">
        <f t="shared" si="551"/>
        <v>X</v>
      </c>
      <c r="AT626" s="66" t="str">
        <f t="shared" si="552"/>
        <v>X</v>
      </c>
      <c r="AU626" s="66" t="str">
        <f t="shared" si="553"/>
        <v>X</v>
      </c>
      <c r="AV626" s="66" t="str">
        <f t="shared" si="554"/>
        <v>X</v>
      </c>
      <c r="AW626" s="66" t="str">
        <f t="shared" si="555"/>
        <v>X</v>
      </c>
      <c r="AX626" s="66" t="str">
        <f t="shared" si="556"/>
        <v>X</v>
      </c>
      <c r="AY626" s="66" t="str">
        <f t="shared" si="557"/>
        <v>X</v>
      </c>
      <c r="AZ626" s="66" t="str">
        <f t="shared" si="558"/>
        <v>O</v>
      </c>
      <c r="BA626" s="27" t="str">
        <f t="shared" si="559"/>
        <v>X</v>
      </c>
      <c r="BB626" s="27">
        <f t="shared" si="560"/>
        <v>3</v>
      </c>
      <c r="BC626" s="365" t="str">
        <f t="shared" ref="BC626" si="585">VLOOKUP(N626,삼그룹,6,FALSE)</f>
        <v>1G</v>
      </c>
      <c r="BD626" s="365" t="str">
        <f t="shared" ref="BD626" si="586">VLOOKUP(O626,삼그룹,6,FALSE)</f>
        <v>1G</v>
      </c>
      <c r="BE626" s="365" t="str">
        <f t="shared" ref="BE626" si="587">VLOOKUP(P626,삼그룹,6,FALSE)</f>
        <v>2G</v>
      </c>
      <c r="BF626" s="365" t="str">
        <f t="shared" ref="BF626" si="588">VLOOKUP(Q626,삼그룹,6,FALSE)</f>
        <v>3G</v>
      </c>
      <c r="BG626" s="365" t="str">
        <f t="shared" ref="BG626" si="589">VLOOKUP(R626,삼그룹,6,FALSE)</f>
        <v>3G</v>
      </c>
      <c r="BH626" s="365" t="str">
        <f t="shared" ref="BH626" si="590">VLOOKUP(S626,삼그룹,6,FALSE)</f>
        <v>3G</v>
      </c>
      <c r="BI626" s="365">
        <f t="shared" si="568"/>
        <v>2</v>
      </c>
      <c r="BJ626" s="365">
        <f t="shared" si="569"/>
        <v>1</v>
      </c>
      <c r="BK626" s="365">
        <f t="shared" si="570"/>
        <v>3</v>
      </c>
      <c r="BL626" s="365" t="str">
        <f t="shared" ref="BL626" si="591">BI626&amp;BJ626&amp;BK626</f>
        <v>213</v>
      </c>
      <c r="BS626"/>
    </row>
    <row r="627" spans="2:71" ht="16.5" hidden="1">
      <c r="B627" s="18">
        <v>624</v>
      </c>
      <c r="C627" s="363" t="s">
        <v>988</v>
      </c>
      <c r="N627" s="28">
        <v>1</v>
      </c>
      <c r="O627" s="28">
        <v>7</v>
      </c>
      <c r="P627" s="28">
        <v>19</v>
      </c>
      <c r="Q627" s="28">
        <v>26</v>
      </c>
      <c r="R627" s="28">
        <v>27</v>
      </c>
      <c r="S627" s="28">
        <v>35</v>
      </c>
      <c r="T627" s="28">
        <v>16</v>
      </c>
      <c r="U627" s="28">
        <f t="shared" si="528"/>
        <v>115</v>
      </c>
      <c r="W627" s="27" t="str">
        <f t="shared" si="529"/>
        <v>홀수</v>
      </c>
      <c r="X627" s="27" t="str">
        <f t="shared" si="530"/>
        <v>홀수</v>
      </c>
      <c r="Y627" s="27" t="str">
        <f t="shared" si="531"/>
        <v>홀수</v>
      </c>
      <c r="Z627" s="27" t="str">
        <f t="shared" si="532"/>
        <v>짝수</v>
      </c>
      <c r="AA627" s="28" t="str">
        <f t="shared" si="533"/>
        <v>홀수</v>
      </c>
      <c r="AB627" s="28" t="str">
        <f t="shared" si="534"/>
        <v>홀수</v>
      </c>
      <c r="AC627" s="27" t="str">
        <f t="shared" si="535"/>
        <v>5 : 1</v>
      </c>
      <c r="AD627" s="32">
        <f t="shared" si="536"/>
        <v>5</v>
      </c>
      <c r="AE627" s="32">
        <f t="shared" si="537"/>
        <v>1</v>
      </c>
      <c r="AF627" s="66" t="str">
        <f t="shared" si="538"/>
        <v>저수</v>
      </c>
      <c r="AG627" s="66" t="str">
        <f t="shared" si="539"/>
        <v>저수</v>
      </c>
      <c r="AH627" s="66" t="str">
        <f t="shared" si="540"/>
        <v>저수</v>
      </c>
      <c r="AI627" s="66" t="str">
        <f t="shared" si="541"/>
        <v>고수</v>
      </c>
      <c r="AJ627" s="66" t="str">
        <f t="shared" si="542"/>
        <v>고수</v>
      </c>
      <c r="AK627" s="66" t="str">
        <f t="shared" si="543"/>
        <v>고수</v>
      </c>
      <c r="AL627" s="66" t="str">
        <f t="shared" si="544"/>
        <v>3 : 3</v>
      </c>
      <c r="AM627" s="27">
        <f t="shared" si="545"/>
        <v>3</v>
      </c>
      <c r="AN627" s="27">
        <f t="shared" si="546"/>
        <v>3</v>
      </c>
      <c r="AO627" s="27">
        <f t="shared" si="547"/>
        <v>35</v>
      </c>
      <c r="AP627" s="66" t="str">
        <f t="shared" si="548"/>
        <v>X</v>
      </c>
      <c r="AQ627" s="66" t="str">
        <f t="shared" si="549"/>
        <v>O</v>
      </c>
      <c r="AR627" s="66" t="str">
        <f t="shared" si="550"/>
        <v>O</v>
      </c>
      <c r="AS627" s="66" t="str">
        <f t="shared" si="551"/>
        <v>X</v>
      </c>
      <c r="AT627" s="66" t="str">
        <f t="shared" si="552"/>
        <v>X</v>
      </c>
      <c r="AU627" s="66" t="str">
        <f t="shared" si="553"/>
        <v>X</v>
      </c>
      <c r="AV627" s="66" t="str">
        <f t="shared" si="554"/>
        <v>X</v>
      </c>
      <c r="AW627" s="66" t="str">
        <f t="shared" si="555"/>
        <v>X</v>
      </c>
      <c r="AX627" s="66" t="str">
        <f t="shared" si="556"/>
        <v>X</v>
      </c>
      <c r="AY627" s="66" t="str">
        <f t="shared" si="557"/>
        <v>X</v>
      </c>
      <c r="AZ627" s="66" t="str">
        <f t="shared" si="558"/>
        <v>X</v>
      </c>
      <c r="BA627" s="27" t="str">
        <f t="shared" si="559"/>
        <v>X</v>
      </c>
      <c r="BB627" s="27">
        <f t="shared" si="560"/>
        <v>2</v>
      </c>
      <c r="BC627" s="366" t="str">
        <f t="shared" ref="BC627" si="592">VLOOKUP(N627,삼그룹,6,FALSE)</f>
        <v>1G</v>
      </c>
      <c r="BD627" s="366" t="str">
        <f t="shared" ref="BD627" si="593">VLOOKUP(O627,삼그룹,6,FALSE)</f>
        <v>1G</v>
      </c>
      <c r="BE627" s="366" t="str">
        <f t="shared" ref="BE627" si="594">VLOOKUP(P627,삼그룹,6,FALSE)</f>
        <v>2G</v>
      </c>
      <c r="BF627" s="366" t="str">
        <f t="shared" ref="BF627" si="595">VLOOKUP(Q627,삼그룹,6,FALSE)</f>
        <v>2G</v>
      </c>
      <c r="BG627" s="366" t="str">
        <f t="shared" ref="BG627" si="596">VLOOKUP(R627,삼그룹,6,FALSE)</f>
        <v>2G</v>
      </c>
      <c r="BH627" s="366" t="str">
        <f t="shared" ref="BH627" si="597">VLOOKUP(S627,삼그룹,6,FALSE)</f>
        <v>3G</v>
      </c>
      <c r="BI627" s="366">
        <f t="shared" si="568"/>
        <v>2</v>
      </c>
      <c r="BJ627" s="366">
        <f t="shared" si="569"/>
        <v>3</v>
      </c>
      <c r="BK627" s="366">
        <f t="shared" si="570"/>
        <v>1</v>
      </c>
      <c r="BL627" s="366" t="str">
        <f t="shared" ref="BL627" si="598">BI627&amp;BJ627&amp;BK627</f>
        <v>231</v>
      </c>
      <c r="BS627"/>
    </row>
    <row r="628" spans="2:71" ht="16.5" hidden="1">
      <c r="B628" s="18">
        <v>625</v>
      </c>
      <c r="C628" s="363" t="s">
        <v>989</v>
      </c>
      <c r="N628" s="28">
        <v>3</v>
      </c>
      <c r="O628" s="28">
        <v>6</v>
      </c>
      <c r="P628" s="28">
        <v>7</v>
      </c>
      <c r="Q628" s="28">
        <v>20</v>
      </c>
      <c r="R628" s="28">
        <v>21</v>
      </c>
      <c r="S628" s="28">
        <v>39</v>
      </c>
      <c r="T628" s="28">
        <v>13</v>
      </c>
      <c r="U628" s="28">
        <f t="shared" si="528"/>
        <v>96</v>
      </c>
      <c r="W628" s="27" t="str">
        <f t="shared" si="529"/>
        <v>홀수</v>
      </c>
      <c r="X628" s="27" t="str">
        <f t="shared" si="530"/>
        <v>짝수</v>
      </c>
      <c r="Y628" s="27" t="str">
        <f t="shared" si="531"/>
        <v>홀수</v>
      </c>
      <c r="Z628" s="27" t="str">
        <f t="shared" si="532"/>
        <v>짝수</v>
      </c>
      <c r="AA628" s="28" t="str">
        <f t="shared" si="533"/>
        <v>홀수</v>
      </c>
      <c r="AB628" s="28" t="str">
        <f t="shared" si="534"/>
        <v>홀수</v>
      </c>
      <c r="AC628" s="27" t="str">
        <f t="shared" si="535"/>
        <v>4 : 2</v>
      </c>
      <c r="AD628" s="32">
        <f t="shared" si="536"/>
        <v>4</v>
      </c>
      <c r="AE628" s="32">
        <f t="shared" si="537"/>
        <v>2</v>
      </c>
      <c r="AF628" s="66" t="str">
        <f t="shared" si="538"/>
        <v>저수</v>
      </c>
      <c r="AG628" s="66" t="str">
        <f t="shared" si="539"/>
        <v>저수</v>
      </c>
      <c r="AH628" s="66" t="str">
        <f t="shared" si="540"/>
        <v>저수</v>
      </c>
      <c r="AI628" s="66" t="str">
        <f t="shared" si="541"/>
        <v>저수</v>
      </c>
      <c r="AJ628" s="66" t="str">
        <f t="shared" si="542"/>
        <v>저수</v>
      </c>
      <c r="AK628" s="66" t="str">
        <f t="shared" si="543"/>
        <v>고수</v>
      </c>
      <c r="AL628" s="66" t="str">
        <f t="shared" si="544"/>
        <v>5 : 1</v>
      </c>
      <c r="AM628" s="27">
        <f t="shared" si="545"/>
        <v>5</v>
      </c>
      <c r="AN628" s="27">
        <f t="shared" si="546"/>
        <v>1</v>
      </c>
      <c r="AO628" s="27">
        <f t="shared" si="547"/>
        <v>26</v>
      </c>
      <c r="AP628" s="66" t="str">
        <f t="shared" si="548"/>
        <v>O</v>
      </c>
      <c r="AQ628" s="66" t="str">
        <f t="shared" si="549"/>
        <v>X</v>
      </c>
      <c r="AR628" s="66" t="str">
        <f t="shared" si="550"/>
        <v>O</v>
      </c>
      <c r="AS628" s="66" t="str">
        <f t="shared" si="551"/>
        <v>X</v>
      </c>
      <c r="AT628" s="66" t="str">
        <f t="shared" si="552"/>
        <v>X</v>
      </c>
      <c r="AU628" s="66" t="str">
        <f t="shared" si="553"/>
        <v>X</v>
      </c>
      <c r="AV628" s="66" t="str">
        <f t="shared" si="554"/>
        <v>X</v>
      </c>
      <c r="AW628" s="66" t="str">
        <f t="shared" si="555"/>
        <v>X</v>
      </c>
      <c r="AX628" s="66" t="str">
        <f t="shared" si="556"/>
        <v>X</v>
      </c>
      <c r="AY628" s="66" t="str">
        <f t="shared" si="557"/>
        <v>X</v>
      </c>
      <c r="AZ628" s="66" t="str">
        <f t="shared" si="558"/>
        <v>X</v>
      </c>
      <c r="BA628" s="27" t="str">
        <f t="shared" si="559"/>
        <v>X</v>
      </c>
      <c r="BB628" s="27">
        <f t="shared" si="560"/>
        <v>2</v>
      </c>
      <c r="BC628" s="367" t="str">
        <f t="shared" ref="BC628" si="599">VLOOKUP(N628,삼그룹,6,FALSE)</f>
        <v>1G</v>
      </c>
      <c r="BD628" s="367" t="str">
        <f t="shared" ref="BD628" si="600">VLOOKUP(O628,삼그룹,6,FALSE)</f>
        <v>1G</v>
      </c>
      <c r="BE628" s="367" t="str">
        <f t="shared" ref="BE628" si="601">VLOOKUP(P628,삼그룹,6,FALSE)</f>
        <v>1G</v>
      </c>
      <c r="BF628" s="367" t="str">
        <f t="shared" ref="BF628" si="602">VLOOKUP(Q628,삼그룹,6,FALSE)</f>
        <v>2G</v>
      </c>
      <c r="BG628" s="367" t="str">
        <f t="shared" ref="BG628" si="603">VLOOKUP(R628,삼그룹,6,FALSE)</f>
        <v>2G</v>
      </c>
      <c r="BH628" s="367" t="str">
        <f t="shared" ref="BH628" si="604">VLOOKUP(S628,삼그룹,6,FALSE)</f>
        <v>3G</v>
      </c>
      <c r="BI628" s="367">
        <f t="shared" si="568"/>
        <v>3</v>
      </c>
      <c r="BJ628" s="367">
        <f t="shared" si="569"/>
        <v>2</v>
      </c>
      <c r="BK628" s="367">
        <f t="shared" si="570"/>
        <v>1</v>
      </c>
      <c r="BL628" s="367" t="str">
        <f t="shared" ref="BL628" si="605">BI628&amp;BJ628&amp;BK628</f>
        <v>321</v>
      </c>
      <c r="BS628"/>
    </row>
    <row r="629" spans="2:71" ht="16.5" hidden="1">
      <c r="B629" s="18">
        <v>626</v>
      </c>
      <c r="C629" s="363" t="s">
        <v>991</v>
      </c>
      <c r="N629" s="28">
        <v>13</v>
      </c>
      <c r="O629" s="28">
        <v>14</v>
      </c>
      <c r="P629" s="28">
        <v>26</v>
      </c>
      <c r="Q629" s="28">
        <v>33</v>
      </c>
      <c r="R629" s="28">
        <v>40</v>
      </c>
      <c r="S629" s="28">
        <v>43</v>
      </c>
      <c r="T629" s="28">
        <v>15</v>
      </c>
      <c r="U629" s="28">
        <f t="shared" si="528"/>
        <v>169</v>
      </c>
      <c r="W629" s="27" t="str">
        <f t="shared" si="529"/>
        <v>홀수</v>
      </c>
      <c r="X629" s="27" t="str">
        <f t="shared" si="530"/>
        <v>짝수</v>
      </c>
      <c r="Y629" s="27" t="str">
        <f t="shared" si="531"/>
        <v>짝수</v>
      </c>
      <c r="Z629" s="27" t="str">
        <f t="shared" si="532"/>
        <v>홀수</v>
      </c>
      <c r="AA629" s="28" t="str">
        <f t="shared" si="533"/>
        <v>짝수</v>
      </c>
      <c r="AB629" s="28" t="str">
        <f t="shared" si="534"/>
        <v>홀수</v>
      </c>
      <c r="AC629" s="27" t="str">
        <f t="shared" si="535"/>
        <v>3 : 3</v>
      </c>
      <c r="AD629" s="32">
        <f t="shared" si="536"/>
        <v>3</v>
      </c>
      <c r="AE629" s="32">
        <f t="shared" si="537"/>
        <v>3</v>
      </c>
      <c r="AF629" s="66" t="str">
        <f t="shared" si="538"/>
        <v>저수</v>
      </c>
      <c r="AG629" s="66" t="str">
        <f t="shared" si="539"/>
        <v>저수</v>
      </c>
      <c r="AH629" s="66" t="str">
        <f t="shared" si="540"/>
        <v>고수</v>
      </c>
      <c r="AI629" s="66" t="str">
        <f t="shared" si="541"/>
        <v>고수</v>
      </c>
      <c r="AJ629" s="66" t="str">
        <f t="shared" si="542"/>
        <v>고수</v>
      </c>
      <c r="AK629" s="66" t="str">
        <f t="shared" si="543"/>
        <v>고수</v>
      </c>
      <c r="AL629" s="66" t="str">
        <f t="shared" si="544"/>
        <v>2 : 4</v>
      </c>
      <c r="AM629" s="27">
        <f t="shared" si="545"/>
        <v>2</v>
      </c>
      <c r="AN629" s="27">
        <f t="shared" si="546"/>
        <v>4</v>
      </c>
      <c r="AO629" s="27">
        <f t="shared" si="547"/>
        <v>19</v>
      </c>
      <c r="AP629" s="66" t="str">
        <f t="shared" si="548"/>
        <v>O</v>
      </c>
      <c r="AQ629" s="66" t="str">
        <f t="shared" si="549"/>
        <v>X</v>
      </c>
      <c r="AR629" s="66" t="str">
        <f t="shared" si="550"/>
        <v>X</v>
      </c>
      <c r="AS629" s="66" t="str">
        <f t="shared" si="551"/>
        <v>X</v>
      </c>
      <c r="AT629" s="66" t="str">
        <f t="shared" si="552"/>
        <v>X</v>
      </c>
      <c r="AU629" s="66" t="str">
        <f t="shared" si="553"/>
        <v>X</v>
      </c>
      <c r="AV629" s="66" t="str">
        <f t="shared" si="554"/>
        <v>X</v>
      </c>
      <c r="AW629" s="66" t="str">
        <f t="shared" si="555"/>
        <v>X</v>
      </c>
      <c r="AX629" s="66" t="str">
        <f t="shared" si="556"/>
        <v>X</v>
      </c>
      <c r="AY629" s="66" t="str">
        <f t="shared" si="557"/>
        <v>X</v>
      </c>
      <c r="AZ629" s="66" t="str">
        <f t="shared" si="558"/>
        <v>X</v>
      </c>
      <c r="BA629" s="27" t="str">
        <f t="shared" si="559"/>
        <v>O</v>
      </c>
      <c r="BB629" s="27">
        <f t="shared" si="560"/>
        <v>2</v>
      </c>
      <c r="BC629" s="368" t="str">
        <f t="shared" ref="BC629" si="606">VLOOKUP(N629,삼그룹,6,FALSE)</f>
        <v>1G</v>
      </c>
      <c r="BD629" s="368" t="str">
        <f t="shared" ref="BD629" si="607">VLOOKUP(O629,삼그룹,6,FALSE)</f>
        <v>1G</v>
      </c>
      <c r="BE629" s="368" t="str">
        <f t="shared" ref="BE629" si="608">VLOOKUP(P629,삼그룹,6,FALSE)</f>
        <v>2G</v>
      </c>
      <c r="BF629" s="368" t="str">
        <f t="shared" ref="BF629" si="609">VLOOKUP(Q629,삼그룹,6,FALSE)</f>
        <v>3G</v>
      </c>
      <c r="BG629" s="368" t="str">
        <f t="shared" ref="BG629" si="610">VLOOKUP(R629,삼그룹,6,FALSE)</f>
        <v>3G</v>
      </c>
      <c r="BH629" s="368" t="str">
        <f t="shared" ref="BH629" si="611">VLOOKUP(S629,삼그룹,6,FALSE)</f>
        <v>3G</v>
      </c>
      <c r="BI629" s="368">
        <f t="shared" si="568"/>
        <v>2</v>
      </c>
      <c r="BJ629" s="368">
        <f t="shared" si="569"/>
        <v>1</v>
      </c>
      <c r="BK629" s="368">
        <f t="shared" si="570"/>
        <v>3</v>
      </c>
      <c r="BL629" s="368" t="str">
        <f t="shared" ref="BL629" si="612">BI629&amp;BJ629&amp;BK629</f>
        <v>213</v>
      </c>
      <c r="BS629"/>
    </row>
    <row r="630" spans="2:71" ht="16.5" hidden="1">
      <c r="B630" s="18">
        <v>627</v>
      </c>
      <c r="C630" s="363" t="s">
        <v>992</v>
      </c>
      <c r="N630" s="28">
        <v>2</v>
      </c>
      <c r="O630" s="28">
        <v>9</v>
      </c>
      <c r="P630" s="28">
        <v>22</v>
      </c>
      <c r="Q630" s="28">
        <v>25</v>
      </c>
      <c r="R630" s="28">
        <v>31</v>
      </c>
      <c r="S630" s="28">
        <v>45</v>
      </c>
      <c r="T630" s="28">
        <v>12</v>
      </c>
      <c r="U630" s="28">
        <f t="shared" si="528"/>
        <v>134</v>
      </c>
      <c r="W630" s="27" t="str">
        <f t="shared" si="529"/>
        <v>짝수</v>
      </c>
      <c r="X630" s="27" t="str">
        <f t="shared" si="530"/>
        <v>홀수</v>
      </c>
      <c r="Y630" s="27" t="str">
        <f t="shared" si="531"/>
        <v>짝수</v>
      </c>
      <c r="Z630" s="27" t="str">
        <f t="shared" si="532"/>
        <v>홀수</v>
      </c>
      <c r="AA630" s="28" t="str">
        <f t="shared" si="533"/>
        <v>홀수</v>
      </c>
      <c r="AB630" s="28" t="str">
        <f t="shared" si="534"/>
        <v>홀수</v>
      </c>
      <c r="AC630" s="27" t="str">
        <f t="shared" si="535"/>
        <v>4 : 2</v>
      </c>
      <c r="AD630" s="32">
        <f t="shared" si="536"/>
        <v>4</v>
      </c>
      <c r="AE630" s="32">
        <f t="shared" si="537"/>
        <v>2</v>
      </c>
      <c r="AF630" s="66" t="str">
        <f t="shared" si="538"/>
        <v>저수</v>
      </c>
      <c r="AG630" s="66" t="str">
        <f t="shared" si="539"/>
        <v>저수</v>
      </c>
      <c r="AH630" s="66" t="str">
        <f t="shared" si="540"/>
        <v>저수</v>
      </c>
      <c r="AI630" s="66" t="str">
        <f t="shared" si="541"/>
        <v>고수</v>
      </c>
      <c r="AJ630" s="66" t="str">
        <f t="shared" si="542"/>
        <v>고수</v>
      </c>
      <c r="AK630" s="66" t="str">
        <f t="shared" si="543"/>
        <v>고수</v>
      </c>
      <c r="AL630" s="66" t="str">
        <f t="shared" si="544"/>
        <v>3 : 3</v>
      </c>
      <c r="AM630" s="27">
        <f t="shared" si="545"/>
        <v>3</v>
      </c>
      <c r="AN630" s="27">
        <f t="shared" si="546"/>
        <v>3</v>
      </c>
      <c r="AO630" s="27">
        <f t="shared" si="547"/>
        <v>24</v>
      </c>
      <c r="AP630" s="66" t="str">
        <f t="shared" si="548"/>
        <v>O</v>
      </c>
      <c r="AQ630" s="66" t="str">
        <f t="shared" si="549"/>
        <v>X</v>
      </c>
      <c r="AR630" s="66" t="str">
        <f t="shared" si="550"/>
        <v>X</v>
      </c>
      <c r="AS630" s="66" t="str">
        <f t="shared" si="551"/>
        <v>X</v>
      </c>
      <c r="AT630" s="66" t="str">
        <f t="shared" si="552"/>
        <v>X</v>
      </c>
      <c r="AU630" s="66" t="str">
        <f t="shared" si="553"/>
        <v>X</v>
      </c>
      <c r="AV630" s="66" t="str">
        <f t="shared" si="554"/>
        <v>X</v>
      </c>
      <c r="AW630" s="66" t="str">
        <f t="shared" si="555"/>
        <v>X</v>
      </c>
      <c r="AX630" s="66" t="str">
        <f t="shared" si="556"/>
        <v>X</v>
      </c>
      <c r="AY630" s="66" t="str">
        <f t="shared" si="557"/>
        <v>X</v>
      </c>
      <c r="AZ630" s="66" t="str">
        <f t="shared" si="558"/>
        <v>O</v>
      </c>
      <c r="BA630" s="27" t="str">
        <f t="shared" si="559"/>
        <v>X</v>
      </c>
      <c r="BB630" s="27">
        <f t="shared" si="560"/>
        <v>2</v>
      </c>
      <c r="BC630" s="369" t="str">
        <f t="shared" ref="BC630" si="613">VLOOKUP(N630,삼그룹,6,FALSE)</f>
        <v>1G</v>
      </c>
      <c r="BD630" s="369" t="str">
        <f t="shared" ref="BD630" si="614">VLOOKUP(O630,삼그룹,6,FALSE)</f>
        <v>1G</v>
      </c>
      <c r="BE630" s="369" t="str">
        <f t="shared" ref="BE630" si="615">VLOOKUP(P630,삼그룹,6,FALSE)</f>
        <v>2G</v>
      </c>
      <c r="BF630" s="369" t="str">
        <f t="shared" ref="BF630" si="616">VLOOKUP(Q630,삼그룹,6,FALSE)</f>
        <v>2G</v>
      </c>
      <c r="BG630" s="369" t="str">
        <f t="shared" ref="BG630" si="617">VLOOKUP(R630,삼그룹,6,FALSE)</f>
        <v>3G</v>
      </c>
      <c r="BH630" s="369" t="str">
        <f t="shared" ref="BH630" si="618">VLOOKUP(S630,삼그룹,6,FALSE)</f>
        <v>3G</v>
      </c>
      <c r="BI630" s="369">
        <f t="shared" si="568"/>
        <v>2</v>
      </c>
      <c r="BJ630" s="369">
        <f t="shared" si="569"/>
        <v>2</v>
      </c>
      <c r="BK630" s="369">
        <f t="shared" si="570"/>
        <v>2</v>
      </c>
      <c r="BL630" s="369" t="str">
        <f t="shared" ref="BL630" si="619">BI630&amp;BJ630&amp;BK630</f>
        <v>222</v>
      </c>
      <c r="BS630"/>
    </row>
    <row r="631" spans="2:71" ht="16.5" hidden="1">
      <c r="B631" s="18">
        <v>628</v>
      </c>
      <c r="C631" s="363" t="s">
        <v>993</v>
      </c>
      <c r="N631" s="28">
        <v>1</v>
      </c>
      <c r="O631" s="28">
        <v>7</v>
      </c>
      <c r="P631" s="28">
        <v>12</v>
      </c>
      <c r="Q631" s="28">
        <v>15</v>
      </c>
      <c r="R631" s="28">
        <v>23</v>
      </c>
      <c r="S631" s="28">
        <v>42</v>
      </c>
      <c r="T631" s="28">
        <v>11</v>
      </c>
      <c r="U631" s="28">
        <f t="shared" si="528"/>
        <v>100</v>
      </c>
      <c r="W631" s="27" t="str">
        <f t="shared" si="529"/>
        <v>홀수</v>
      </c>
      <c r="X631" s="27" t="str">
        <f t="shared" si="530"/>
        <v>홀수</v>
      </c>
      <c r="Y631" s="27" t="str">
        <f t="shared" si="531"/>
        <v>짝수</v>
      </c>
      <c r="Z631" s="27" t="str">
        <f t="shared" si="532"/>
        <v>홀수</v>
      </c>
      <c r="AA631" s="28" t="str">
        <f t="shared" si="533"/>
        <v>홀수</v>
      </c>
      <c r="AB631" s="28" t="str">
        <f t="shared" si="534"/>
        <v>짝수</v>
      </c>
      <c r="AC631" s="27" t="str">
        <f t="shared" si="535"/>
        <v>4 : 2</v>
      </c>
      <c r="AD631" s="32">
        <f t="shared" si="536"/>
        <v>4</v>
      </c>
      <c r="AE631" s="32">
        <f t="shared" si="537"/>
        <v>2</v>
      </c>
      <c r="AF631" s="66" t="str">
        <f t="shared" si="538"/>
        <v>저수</v>
      </c>
      <c r="AG631" s="66" t="str">
        <f t="shared" si="539"/>
        <v>저수</v>
      </c>
      <c r="AH631" s="66" t="str">
        <f t="shared" si="540"/>
        <v>저수</v>
      </c>
      <c r="AI631" s="66" t="str">
        <f t="shared" si="541"/>
        <v>저수</v>
      </c>
      <c r="AJ631" s="66" t="str">
        <f t="shared" si="542"/>
        <v>고수</v>
      </c>
      <c r="AK631" s="66" t="str">
        <f t="shared" si="543"/>
        <v>고수</v>
      </c>
      <c r="AL631" s="66" t="str">
        <f t="shared" si="544"/>
        <v>4 : 2</v>
      </c>
      <c r="AM631" s="27">
        <f t="shared" si="545"/>
        <v>4</v>
      </c>
      <c r="AN631" s="27">
        <f t="shared" si="546"/>
        <v>2</v>
      </c>
      <c r="AO631" s="27">
        <f t="shared" si="547"/>
        <v>20</v>
      </c>
      <c r="AP631" s="66" t="str">
        <f t="shared" si="548"/>
        <v>X</v>
      </c>
      <c r="AQ631" s="66" t="str">
        <f t="shared" si="549"/>
        <v>O</v>
      </c>
      <c r="AR631" s="66" t="str">
        <f t="shared" si="550"/>
        <v>X</v>
      </c>
      <c r="AS631" s="66" t="str">
        <f t="shared" si="551"/>
        <v>X</v>
      </c>
      <c r="AT631" s="66" t="str">
        <f t="shared" si="552"/>
        <v>X</v>
      </c>
      <c r="AU631" s="66" t="str">
        <f t="shared" si="553"/>
        <v>X</v>
      </c>
      <c r="AV631" s="66" t="str">
        <f t="shared" si="554"/>
        <v>X</v>
      </c>
      <c r="AW631" s="66" t="str">
        <f t="shared" si="555"/>
        <v>X</v>
      </c>
      <c r="AX631" s="66" t="str">
        <f t="shared" si="556"/>
        <v>X</v>
      </c>
      <c r="AY631" s="66" t="str">
        <f t="shared" si="557"/>
        <v>X</v>
      </c>
      <c r="AZ631" s="66" t="str">
        <f t="shared" si="558"/>
        <v>O</v>
      </c>
      <c r="BA631" s="27" t="str">
        <f t="shared" si="559"/>
        <v>X</v>
      </c>
      <c r="BB631" s="27">
        <f t="shared" si="560"/>
        <v>2</v>
      </c>
      <c r="BC631" s="370" t="str">
        <f t="shared" ref="BC631" si="620">VLOOKUP(N631,삼그룹,6,FALSE)</f>
        <v>1G</v>
      </c>
      <c r="BD631" s="370" t="str">
        <f t="shared" ref="BD631" si="621">VLOOKUP(O631,삼그룹,6,FALSE)</f>
        <v>1G</v>
      </c>
      <c r="BE631" s="370" t="str">
        <f t="shared" ref="BE631" si="622">VLOOKUP(P631,삼그룹,6,FALSE)</f>
        <v>1G</v>
      </c>
      <c r="BF631" s="370" t="str">
        <f t="shared" ref="BF631" si="623">VLOOKUP(Q631,삼그룹,6,FALSE)</f>
        <v>1G</v>
      </c>
      <c r="BG631" s="370" t="str">
        <f t="shared" ref="BG631" si="624">VLOOKUP(R631,삼그룹,6,FALSE)</f>
        <v>2G</v>
      </c>
      <c r="BH631" s="370" t="str">
        <f t="shared" ref="BH631" si="625">VLOOKUP(S631,삼그룹,6,FALSE)</f>
        <v>3G</v>
      </c>
      <c r="BI631" s="370">
        <f t="shared" si="568"/>
        <v>4</v>
      </c>
      <c r="BJ631" s="370">
        <f t="shared" si="569"/>
        <v>1</v>
      </c>
      <c r="BK631" s="370">
        <f t="shared" si="570"/>
        <v>1</v>
      </c>
      <c r="BL631" s="370" t="str">
        <f t="shared" ref="BL631" si="626">BI631&amp;BJ631&amp;BK631</f>
        <v>411</v>
      </c>
      <c r="BS631"/>
    </row>
    <row r="632" spans="2:71" ht="16.5" hidden="1">
      <c r="B632" s="18">
        <v>629</v>
      </c>
      <c r="C632" s="363" t="s">
        <v>994</v>
      </c>
      <c r="N632" s="28">
        <v>19</v>
      </c>
      <c r="O632" s="28">
        <v>28</v>
      </c>
      <c r="P632" s="28">
        <v>31</v>
      </c>
      <c r="Q632" s="28">
        <v>38</v>
      </c>
      <c r="R632" s="28">
        <v>43</v>
      </c>
      <c r="S632" s="28">
        <v>44</v>
      </c>
      <c r="T632" s="28">
        <v>1</v>
      </c>
      <c r="U632" s="28">
        <f t="shared" si="528"/>
        <v>203</v>
      </c>
      <c r="W632" s="27" t="str">
        <f t="shared" si="529"/>
        <v>홀수</v>
      </c>
      <c r="X632" s="27" t="str">
        <f t="shared" si="530"/>
        <v>짝수</v>
      </c>
      <c r="Y632" s="27" t="str">
        <f t="shared" si="531"/>
        <v>홀수</v>
      </c>
      <c r="Z632" s="27" t="str">
        <f t="shared" si="532"/>
        <v>짝수</v>
      </c>
      <c r="AA632" s="28" t="str">
        <f t="shared" si="533"/>
        <v>홀수</v>
      </c>
      <c r="AB632" s="28" t="str">
        <f t="shared" si="534"/>
        <v>짝수</v>
      </c>
      <c r="AC632" s="27" t="str">
        <f t="shared" si="535"/>
        <v>3 : 3</v>
      </c>
      <c r="AD632" s="32">
        <f t="shared" si="536"/>
        <v>3</v>
      </c>
      <c r="AE632" s="32">
        <f t="shared" si="537"/>
        <v>3</v>
      </c>
      <c r="AF632" s="66" t="str">
        <f t="shared" si="538"/>
        <v>저수</v>
      </c>
      <c r="AG632" s="66" t="str">
        <f t="shared" si="539"/>
        <v>고수</v>
      </c>
      <c r="AH632" s="66" t="str">
        <f t="shared" si="540"/>
        <v>고수</v>
      </c>
      <c r="AI632" s="66" t="str">
        <f t="shared" si="541"/>
        <v>고수</v>
      </c>
      <c r="AJ632" s="66" t="str">
        <f t="shared" si="542"/>
        <v>고수</v>
      </c>
      <c r="AK632" s="66" t="str">
        <f t="shared" si="543"/>
        <v>고수</v>
      </c>
      <c r="AL632" s="66" t="str">
        <f t="shared" si="544"/>
        <v>1 : 5</v>
      </c>
      <c r="AM632" s="27">
        <f t="shared" si="545"/>
        <v>1</v>
      </c>
      <c r="AN632" s="27">
        <f t="shared" si="546"/>
        <v>5</v>
      </c>
      <c r="AO632" s="27">
        <f t="shared" si="547"/>
        <v>33</v>
      </c>
      <c r="AP632" s="66" t="str">
        <f t="shared" si="548"/>
        <v>O</v>
      </c>
      <c r="AQ632" s="66" t="str">
        <f t="shared" si="549"/>
        <v>X</v>
      </c>
      <c r="AR632" s="66" t="str">
        <f t="shared" si="550"/>
        <v>X</v>
      </c>
      <c r="AS632" s="66" t="str">
        <f t="shared" si="551"/>
        <v>X</v>
      </c>
      <c r="AT632" s="66" t="str">
        <f t="shared" si="552"/>
        <v>X</v>
      </c>
      <c r="AU632" s="66" t="str">
        <f t="shared" si="553"/>
        <v>X</v>
      </c>
      <c r="AV632" s="66" t="str">
        <f t="shared" si="554"/>
        <v>X</v>
      </c>
      <c r="AW632" s="66" t="str">
        <f t="shared" si="555"/>
        <v>X</v>
      </c>
      <c r="AX632" s="66" t="str">
        <f t="shared" si="556"/>
        <v>O</v>
      </c>
      <c r="AY632" s="66" t="str">
        <f t="shared" si="557"/>
        <v>X</v>
      </c>
      <c r="AZ632" s="66" t="str">
        <f t="shared" si="558"/>
        <v>O</v>
      </c>
      <c r="BA632" s="27" t="str">
        <f t="shared" si="559"/>
        <v>X</v>
      </c>
      <c r="BB632" s="27">
        <f t="shared" si="560"/>
        <v>3</v>
      </c>
      <c r="BC632" s="371" t="str">
        <f t="shared" ref="BC632" si="627">VLOOKUP(N632,삼그룹,6,FALSE)</f>
        <v>2G</v>
      </c>
      <c r="BD632" s="371" t="str">
        <f t="shared" ref="BD632" si="628">VLOOKUP(O632,삼그룹,6,FALSE)</f>
        <v>2G</v>
      </c>
      <c r="BE632" s="371" t="str">
        <f t="shared" ref="BE632" si="629">VLOOKUP(P632,삼그룹,6,FALSE)</f>
        <v>3G</v>
      </c>
      <c r="BF632" s="371" t="str">
        <f t="shared" ref="BF632" si="630">VLOOKUP(Q632,삼그룹,6,FALSE)</f>
        <v>3G</v>
      </c>
      <c r="BG632" s="371" t="str">
        <f t="shared" ref="BG632" si="631">VLOOKUP(R632,삼그룹,6,FALSE)</f>
        <v>3G</v>
      </c>
      <c r="BH632" s="371" t="str">
        <f t="shared" ref="BH632" si="632">VLOOKUP(S632,삼그룹,6,FALSE)</f>
        <v>3G</v>
      </c>
      <c r="BI632" s="371">
        <f t="shared" si="568"/>
        <v>0</v>
      </c>
      <c r="BJ632" s="371">
        <f t="shared" si="569"/>
        <v>2</v>
      </c>
      <c r="BK632" s="371">
        <f t="shared" si="570"/>
        <v>4</v>
      </c>
      <c r="BL632" s="371" t="str">
        <f t="shared" ref="BL632" si="633">BI632&amp;BJ632&amp;BK632</f>
        <v>024</v>
      </c>
      <c r="BS632"/>
    </row>
    <row r="633" spans="2:71" ht="16.5" hidden="1">
      <c r="B633" s="18">
        <v>630</v>
      </c>
      <c r="C633" s="363" t="s">
        <v>995</v>
      </c>
      <c r="N633" s="28">
        <v>8</v>
      </c>
      <c r="O633" s="28">
        <v>17</v>
      </c>
      <c r="P633" s="28">
        <v>21</v>
      </c>
      <c r="Q633" s="28">
        <v>24</v>
      </c>
      <c r="R633" s="28">
        <v>27</v>
      </c>
      <c r="S633" s="28">
        <v>31</v>
      </c>
      <c r="T633" s="28">
        <v>15</v>
      </c>
      <c r="U633" s="28">
        <f t="shared" si="528"/>
        <v>128</v>
      </c>
      <c r="W633" s="27" t="str">
        <f t="shared" si="529"/>
        <v>짝수</v>
      </c>
      <c r="X633" s="27" t="str">
        <f t="shared" si="530"/>
        <v>홀수</v>
      </c>
      <c r="Y633" s="27" t="str">
        <f t="shared" si="531"/>
        <v>홀수</v>
      </c>
      <c r="Z633" s="27" t="str">
        <f t="shared" si="532"/>
        <v>짝수</v>
      </c>
      <c r="AA633" s="28" t="str">
        <f t="shared" si="533"/>
        <v>홀수</v>
      </c>
      <c r="AB633" s="28" t="str">
        <f t="shared" si="534"/>
        <v>홀수</v>
      </c>
      <c r="AC633" s="27" t="str">
        <f t="shared" si="535"/>
        <v>4 : 2</v>
      </c>
      <c r="AD633" s="32">
        <f t="shared" si="536"/>
        <v>4</v>
      </c>
      <c r="AE633" s="32">
        <f t="shared" si="537"/>
        <v>2</v>
      </c>
      <c r="AF633" s="66" t="str">
        <f t="shared" si="538"/>
        <v>저수</v>
      </c>
      <c r="AG633" s="66" t="str">
        <f t="shared" si="539"/>
        <v>저수</v>
      </c>
      <c r="AH633" s="66" t="str">
        <f t="shared" si="540"/>
        <v>저수</v>
      </c>
      <c r="AI633" s="66" t="str">
        <f t="shared" si="541"/>
        <v>고수</v>
      </c>
      <c r="AJ633" s="66" t="str">
        <f t="shared" si="542"/>
        <v>고수</v>
      </c>
      <c r="AK633" s="66" t="str">
        <f t="shared" si="543"/>
        <v>고수</v>
      </c>
      <c r="AL633" s="66" t="str">
        <f t="shared" si="544"/>
        <v>3 : 3</v>
      </c>
      <c r="AM633" s="27">
        <f t="shared" si="545"/>
        <v>3</v>
      </c>
      <c r="AN633" s="27">
        <f t="shared" si="546"/>
        <v>3</v>
      </c>
      <c r="AO633" s="27">
        <f t="shared" si="547"/>
        <v>28</v>
      </c>
      <c r="AP633" s="66" t="str">
        <f t="shared" si="548"/>
        <v>X</v>
      </c>
      <c r="AQ633" s="66" t="str">
        <f t="shared" si="549"/>
        <v>O</v>
      </c>
      <c r="AR633" s="66" t="str">
        <f t="shared" si="550"/>
        <v>X</v>
      </c>
      <c r="AS633" s="66" t="str">
        <f t="shared" si="551"/>
        <v>X</v>
      </c>
      <c r="AT633" s="66" t="str">
        <f t="shared" si="552"/>
        <v>X</v>
      </c>
      <c r="AU633" s="66" t="str">
        <f t="shared" si="553"/>
        <v>X</v>
      </c>
      <c r="AV633" s="66" t="str">
        <f t="shared" si="554"/>
        <v>X</v>
      </c>
      <c r="AW633" s="66" t="str">
        <f t="shared" si="555"/>
        <v>X</v>
      </c>
      <c r="AX633" s="66" t="str">
        <f t="shared" si="556"/>
        <v>X</v>
      </c>
      <c r="AY633" s="66" t="str">
        <f t="shared" si="557"/>
        <v>X</v>
      </c>
      <c r="AZ633" s="66" t="str">
        <f t="shared" si="558"/>
        <v>X</v>
      </c>
      <c r="BA633" s="27" t="str">
        <f t="shared" si="559"/>
        <v>O</v>
      </c>
      <c r="BB633" s="27">
        <f t="shared" si="560"/>
        <v>2</v>
      </c>
      <c r="BC633" s="372" t="str">
        <f t="shared" ref="BC633" si="634">VLOOKUP(N633,삼그룹,6,FALSE)</f>
        <v>1G</v>
      </c>
      <c r="BD633" s="372" t="str">
        <f t="shared" ref="BD633" si="635">VLOOKUP(O633,삼그룹,6,FALSE)</f>
        <v>2G</v>
      </c>
      <c r="BE633" s="372" t="str">
        <f t="shared" ref="BE633" si="636">VLOOKUP(P633,삼그룹,6,FALSE)</f>
        <v>2G</v>
      </c>
      <c r="BF633" s="372" t="str">
        <f t="shared" ref="BF633" si="637">VLOOKUP(Q633,삼그룹,6,FALSE)</f>
        <v>2G</v>
      </c>
      <c r="BG633" s="372" t="str">
        <f t="shared" ref="BG633" si="638">VLOOKUP(R633,삼그룹,6,FALSE)</f>
        <v>2G</v>
      </c>
      <c r="BH633" s="372" t="str">
        <f t="shared" ref="BH633" si="639">VLOOKUP(S633,삼그룹,6,FALSE)</f>
        <v>3G</v>
      </c>
      <c r="BI633" s="372">
        <f t="shared" si="568"/>
        <v>1</v>
      </c>
      <c r="BJ633" s="372">
        <f t="shared" si="569"/>
        <v>4</v>
      </c>
      <c r="BK633" s="372">
        <f t="shared" si="570"/>
        <v>1</v>
      </c>
      <c r="BL633" s="372" t="str">
        <f t="shared" ref="BL633" si="640">BI633&amp;BJ633&amp;BK633</f>
        <v>141</v>
      </c>
      <c r="BS633"/>
    </row>
    <row r="634" spans="2:71" ht="16.5" hidden="1">
      <c r="B634" s="18">
        <v>631</v>
      </c>
      <c r="C634" s="363" t="s">
        <v>996</v>
      </c>
      <c r="N634" s="28">
        <v>1</v>
      </c>
      <c r="O634" s="28">
        <v>2</v>
      </c>
      <c r="P634" s="28">
        <v>4</v>
      </c>
      <c r="Q634" s="28">
        <v>23</v>
      </c>
      <c r="R634" s="28">
        <v>31</v>
      </c>
      <c r="S634" s="28">
        <v>34</v>
      </c>
      <c r="T634" s="28">
        <v>8</v>
      </c>
      <c r="U634" s="28">
        <f t="shared" si="528"/>
        <v>95</v>
      </c>
      <c r="W634" s="27" t="str">
        <f t="shared" si="529"/>
        <v>홀수</v>
      </c>
      <c r="X634" s="27" t="str">
        <f t="shared" si="530"/>
        <v>짝수</v>
      </c>
      <c r="Y634" s="27" t="str">
        <f t="shared" si="531"/>
        <v>짝수</v>
      </c>
      <c r="Z634" s="27" t="str">
        <f t="shared" si="532"/>
        <v>홀수</v>
      </c>
      <c r="AA634" s="28" t="str">
        <f t="shared" si="533"/>
        <v>홀수</v>
      </c>
      <c r="AB634" s="28" t="str">
        <f t="shared" si="534"/>
        <v>짝수</v>
      </c>
      <c r="AC634" s="27" t="str">
        <f t="shared" si="535"/>
        <v>3 : 3</v>
      </c>
      <c r="AD634" s="32">
        <f t="shared" si="536"/>
        <v>3</v>
      </c>
      <c r="AE634" s="32">
        <f t="shared" si="537"/>
        <v>3</v>
      </c>
      <c r="AF634" s="66" t="str">
        <f t="shared" si="538"/>
        <v>저수</v>
      </c>
      <c r="AG634" s="66" t="str">
        <f t="shared" si="539"/>
        <v>저수</v>
      </c>
      <c r="AH634" s="66" t="str">
        <f t="shared" si="540"/>
        <v>저수</v>
      </c>
      <c r="AI634" s="66" t="str">
        <f t="shared" si="541"/>
        <v>고수</v>
      </c>
      <c r="AJ634" s="66" t="str">
        <f t="shared" si="542"/>
        <v>고수</v>
      </c>
      <c r="AK634" s="66" t="str">
        <f t="shared" si="543"/>
        <v>고수</v>
      </c>
      <c r="AL634" s="66" t="str">
        <f t="shared" si="544"/>
        <v>3 : 3</v>
      </c>
      <c r="AM634" s="27">
        <f t="shared" si="545"/>
        <v>3</v>
      </c>
      <c r="AN634" s="27">
        <f t="shared" si="546"/>
        <v>3</v>
      </c>
      <c r="AO634" s="27">
        <f t="shared" si="547"/>
        <v>15</v>
      </c>
      <c r="AP634" s="66" t="str">
        <f t="shared" si="548"/>
        <v>X</v>
      </c>
      <c r="AQ634" s="66" t="str">
        <f t="shared" si="549"/>
        <v>O</v>
      </c>
      <c r="AR634" s="66" t="str">
        <f t="shared" si="550"/>
        <v>X</v>
      </c>
      <c r="AS634" s="66" t="str">
        <f t="shared" si="551"/>
        <v>X</v>
      </c>
      <c r="AT634" s="66" t="str">
        <f t="shared" si="552"/>
        <v>X</v>
      </c>
      <c r="AU634" s="66" t="str">
        <f t="shared" si="553"/>
        <v>X</v>
      </c>
      <c r="AV634" s="66" t="str">
        <f t="shared" si="554"/>
        <v>X</v>
      </c>
      <c r="AW634" s="66" t="str">
        <f t="shared" si="555"/>
        <v>X</v>
      </c>
      <c r="AX634" s="66" t="str">
        <f t="shared" si="556"/>
        <v>X</v>
      </c>
      <c r="AY634" s="66" t="str">
        <f t="shared" si="557"/>
        <v>O</v>
      </c>
      <c r="AZ634" s="66" t="str">
        <f t="shared" si="558"/>
        <v>O</v>
      </c>
      <c r="BA634" s="27" t="str">
        <f t="shared" si="559"/>
        <v>X</v>
      </c>
      <c r="BB634" s="27">
        <f t="shared" si="560"/>
        <v>3</v>
      </c>
      <c r="BC634" s="374" t="str">
        <f t="shared" ref="BC634" si="641">VLOOKUP(N634,삼그룹,6,FALSE)</f>
        <v>1G</v>
      </c>
      <c r="BD634" s="374" t="str">
        <f t="shared" ref="BD634" si="642">VLOOKUP(O634,삼그룹,6,FALSE)</f>
        <v>1G</v>
      </c>
      <c r="BE634" s="374" t="str">
        <f t="shared" ref="BE634" si="643">VLOOKUP(P634,삼그룹,6,FALSE)</f>
        <v>1G</v>
      </c>
      <c r="BF634" s="374" t="str">
        <f t="shared" ref="BF634" si="644">VLOOKUP(Q634,삼그룹,6,FALSE)</f>
        <v>2G</v>
      </c>
      <c r="BG634" s="374" t="str">
        <f t="shared" ref="BG634" si="645">VLOOKUP(R634,삼그룹,6,FALSE)</f>
        <v>3G</v>
      </c>
      <c r="BH634" s="374" t="str">
        <f t="shared" ref="BH634" si="646">VLOOKUP(S634,삼그룹,6,FALSE)</f>
        <v>3G</v>
      </c>
      <c r="BI634" s="374">
        <f t="shared" si="568"/>
        <v>3</v>
      </c>
      <c r="BJ634" s="374">
        <f t="shared" si="569"/>
        <v>1</v>
      </c>
      <c r="BK634" s="374">
        <f t="shared" si="570"/>
        <v>2</v>
      </c>
      <c r="BL634" s="374" t="str">
        <f t="shared" ref="BL634" si="647">BI634&amp;BJ634&amp;BK634</f>
        <v>312</v>
      </c>
      <c r="BS634"/>
    </row>
    <row r="635" spans="2:71" ht="16.5" hidden="1">
      <c r="B635" s="18">
        <v>632</v>
      </c>
      <c r="C635" s="363" t="s">
        <v>997</v>
      </c>
      <c r="N635" s="28">
        <v>15</v>
      </c>
      <c r="O635" s="28">
        <v>18</v>
      </c>
      <c r="P635" s="28">
        <v>21</v>
      </c>
      <c r="Q635" s="28">
        <v>32</v>
      </c>
      <c r="R635" s="28">
        <v>35</v>
      </c>
      <c r="S635" s="28">
        <v>44</v>
      </c>
      <c r="T635" s="28">
        <v>6</v>
      </c>
      <c r="U635" s="28">
        <f t="shared" si="528"/>
        <v>165</v>
      </c>
      <c r="W635" s="27" t="str">
        <f t="shared" si="529"/>
        <v>홀수</v>
      </c>
      <c r="X635" s="27" t="str">
        <f t="shared" si="530"/>
        <v>짝수</v>
      </c>
      <c r="Y635" s="27" t="str">
        <f t="shared" si="531"/>
        <v>홀수</v>
      </c>
      <c r="Z635" s="27" t="str">
        <f t="shared" si="532"/>
        <v>짝수</v>
      </c>
      <c r="AA635" s="28" t="str">
        <f t="shared" si="533"/>
        <v>홀수</v>
      </c>
      <c r="AB635" s="28" t="str">
        <f t="shared" si="534"/>
        <v>짝수</v>
      </c>
      <c r="AC635" s="27" t="str">
        <f t="shared" si="535"/>
        <v>3 : 3</v>
      </c>
      <c r="AD635" s="32">
        <f t="shared" si="536"/>
        <v>3</v>
      </c>
      <c r="AE635" s="32">
        <f t="shared" si="537"/>
        <v>3</v>
      </c>
      <c r="AF635" s="66" t="str">
        <f t="shared" si="538"/>
        <v>저수</v>
      </c>
      <c r="AG635" s="66" t="str">
        <f t="shared" si="539"/>
        <v>저수</v>
      </c>
      <c r="AH635" s="66" t="str">
        <f t="shared" si="540"/>
        <v>저수</v>
      </c>
      <c r="AI635" s="66" t="str">
        <f t="shared" si="541"/>
        <v>고수</v>
      </c>
      <c r="AJ635" s="66" t="str">
        <f t="shared" si="542"/>
        <v>고수</v>
      </c>
      <c r="AK635" s="66" t="str">
        <f t="shared" si="543"/>
        <v>고수</v>
      </c>
      <c r="AL635" s="66" t="str">
        <f t="shared" si="544"/>
        <v>3 : 3</v>
      </c>
      <c r="AM635" s="27">
        <f t="shared" si="545"/>
        <v>3</v>
      </c>
      <c r="AN635" s="27">
        <f t="shared" si="546"/>
        <v>3</v>
      </c>
      <c r="AO635" s="27">
        <f t="shared" si="547"/>
        <v>25</v>
      </c>
      <c r="AP635" s="66" t="str">
        <f t="shared" si="548"/>
        <v>X</v>
      </c>
      <c r="AQ635" s="66" t="str">
        <f t="shared" si="549"/>
        <v>X</v>
      </c>
      <c r="AR635" s="66" t="str">
        <f t="shared" si="550"/>
        <v>X</v>
      </c>
      <c r="AS635" s="66" t="str">
        <f t="shared" si="551"/>
        <v>X</v>
      </c>
      <c r="AT635" s="66" t="str">
        <f t="shared" si="552"/>
        <v>X</v>
      </c>
      <c r="AU635" s="66" t="str">
        <f t="shared" si="553"/>
        <v>X</v>
      </c>
      <c r="AV635" s="66" t="str">
        <f t="shared" si="554"/>
        <v>X</v>
      </c>
      <c r="AW635" s="66" t="str">
        <f t="shared" si="555"/>
        <v>X</v>
      </c>
      <c r="AX635" s="66" t="str">
        <f t="shared" si="556"/>
        <v>X</v>
      </c>
      <c r="AY635" s="66" t="str">
        <f t="shared" si="557"/>
        <v>X</v>
      </c>
      <c r="AZ635" s="66" t="str">
        <f t="shared" si="558"/>
        <v>X</v>
      </c>
      <c r="BA635" s="27" t="str">
        <f t="shared" si="559"/>
        <v>X</v>
      </c>
      <c r="BB635" s="27">
        <f t="shared" si="560"/>
        <v>0</v>
      </c>
      <c r="BC635" s="376" t="str">
        <f t="shared" ref="BC635" si="648">VLOOKUP(N635,삼그룹,6,FALSE)</f>
        <v>1G</v>
      </c>
      <c r="BD635" s="376" t="str">
        <f t="shared" ref="BD635" si="649">VLOOKUP(O635,삼그룹,6,FALSE)</f>
        <v>2G</v>
      </c>
      <c r="BE635" s="376" t="str">
        <f t="shared" ref="BE635" si="650">VLOOKUP(P635,삼그룹,6,FALSE)</f>
        <v>2G</v>
      </c>
      <c r="BF635" s="376" t="str">
        <f t="shared" ref="BF635" si="651">VLOOKUP(Q635,삼그룹,6,FALSE)</f>
        <v>3G</v>
      </c>
      <c r="BG635" s="376" t="str">
        <f t="shared" ref="BG635" si="652">VLOOKUP(R635,삼그룹,6,FALSE)</f>
        <v>3G</v>
      </c>
      <c r="BH635" s="376" t="str">
        <f t="shared" ref="BH635" si="653">VLOOKUP(S635,삼그룹,6,FALSE)</f>
        <v>3G</v>
      </c>
      <c r="BI635" s="376">
        <f t="shared" si="568"/>
        <v>1</v>
      </c>
      <c r="BJ635" s="376">
        <f t="shared" si="569"/>
        <v>2</v>
      </c>
      <c r="BK635" s="376">
        <f t="shared" si="570"/>
        <v>3</v>
      </c>
      <c r="BL635" s="376" t="str">
        <f t="shared" ref="BL635" si="654">BI635&amp;BJ635&amp;BK635</f>
        <v>123</v>
      </c>
      <c r="BS635"/>
    </row>
    <row r="636" spans="2:71" ht="16.5" hidden="1">
      <c r="B636" s="18">
        <v>633</v>
      </c>
      <c r="C636" s="363" t="s">
        <v>998</v>
      </c>
      <c r="N636" s="28">
        <v>9</v>
      </c>
      <c r="O636" s="28">
        <v>12</v>
      </c>
      <c r="P636" s="28">
        <v>19</v>
      </c>
      <c r="Q636" s="28">
        <v>20</v>
      </c>
      <c r="R636" s="28">
        <v>39</v>
      </c>
      <c r="S636" s="28">
        <v>41</v>
      </c>
      <c r="T636" s="28">
        <v>13</v>
      </c>
      <c r="U636" s="28">
        <f t="shared" si="528"/>
        <v>140</v>
      </c>
      <c r="W636" s="27" t="str">
        <f t="shared" si="529"/>
        <v>홀수</v>
      </c>
      <c r="X636" s="27" t="str">
        <f t="shared" si="530"/>
        <v>짝수</v>
      </c>
      <c r="Y636" s="27" t="str">
        <f t="shared" si="531"/>
        <v>홀수</v>
      </c>
      <c r="Z636" s="27" t="str">
        <f t="shared" si="532"/>
        <v>짝수</v>
      </c>
      <c r="AA636" s="28" t="str">
        <f t="shared" si="533"/>
        <v>홀수</v>
      </c>
      <c r="AB636" s="28" t="str">
        <f t="shared" si="534"/>
        <v>홀수</v>
      </c>
      <c r="AC636" s="27" t="str">
        <f t="shared" si="535"/>
        <v>4 : 2</v>
      </c>
      <c r="AD636" s="32">
        <f t="shared" si="536"/>
        <v>4</v>
      </c>
      <c r="AE636" s="32">
        <f t="shared" si="537"/>
        <v>2</v>
      </c>
      <c r="AF636" s="66" t="str">
        <f t="shared" si="538"/>
        <v>저수</v>
      </c>
      <c r="AG636" s="66" t="str">
        <f t="shared" si="539"/>
        <v>저수</v>
      </c>
      <c r="AH636" s="66" t="str">
        <f t="shared" si="540"/>
        <v>저수</v>
      </c>
      <c r="AI636" s="66" t="str">
        <f t="shared" si="541"/>
        <v>저수</v>
      </c>
      <c r="AJ636" s="66" t="str">
        <f t="shared" si="542"/>
        <v>고수</v>
      </c>
      <c r="AK636" s="66" t="str">
        <f t="shared" si="543"/>
        <v>고수</v>
      </c>
      <c r="AL636" s="66" t="str">
        <f t="shared" si="544"/>
        <v>4 : 2</v>
      </c>
      <c r="AM636" s="27">
        <f t="shared" si="545"/>
        <v>4</v>
      </c>
      <c r="AN636" s="27">
        <f t="shared" si="546"/>
        <v>2</v>
      </c>
      <c r="AO636" s="27">
        <f t="shared" si="547"/>
        <v>30</v>
      </c>
      <c r="AP636" s="66" t="str">
        <f t="shared" si="548"/>
        <v>X</v>
      </c>
      <c r="AQ636" s="66" t="str">
        <f t="shared" si="549"/>
        <v>X</v>
      </c>
      <c r="AR636" s="66" t="str">
        <f t="shared" si="550"/>
        <v>O</v>
      </c>
      <c r="AS636" s="66" t="str">
        <f t="shared" si="551"/>
        <v>X</v>
      </c>
      <c r="AT636" s="66" t="str">
        <f t="shared" si="552"/>
        <v>X</v>
      </c>
      <c r="AU636" s="66" t="str">
        <f t="shared" si="553"/>
        <v>X</v>
      </c>
      <c r="AV636" s="66" t="str">
        <f t="shared" si="554"/>
        <v>X</v>
      </c>
      <c r="AW636" s="66" t="str">
        <f t="shared" si="555"/>
        <v>X</v>
      </c>
      <c r="AX636" s="66" t="str">
        <f t="shared" si="556"/>
        <v>X</v>
      </c>
      <c r="AY636" s="66" t="str">
        <f t="shared" si="557"/>
        <v>X</v>
      </c>
      <c r="AZ636" s="66" t="str">
        <f t="shared" si="558"/>
        <v>X</v>
      </c>
      <c r="BA636" s="27" t="str">
        <f t="shared" si="559"/>
        <v>O</v>
      </c>
      <c r="BB636" s="27">
        <f t="shared" si="560"/>
        <v>2</v>
      </c>
      <c r="BC636" s="377" t="str">
        <f t="shared" ref="BC636" si="655">VLOOKUP(N636,삼그룹,6,FALSE)</f>
        <v>1G</v>
      </c>
      <c r="BD636" s="377" t="str">
        <f t="shared" ref="BD636" si="656">VLOOKUP(O636,삼그룹,6,FALSE)</f>
        <v>1G</v>
      </c>
      <c r="BE636" s="377" t="str">
        <f t="shared" ref="BE636" si="657">VLOOKUP(P636,삼그룹,6,FALSE)</f>
        <v>2G</v>
      </c>
      <c r="BF636" s="377" t="str">
        <f t="shared" ref="BF636" si="658">VLOOKUP(Q636,삼그룹,6,FALSE)</f>
        <v>2G</v>
      </c>
      <c r="BG636" s="377" t="str">
        <f t="shared" ref="BG636" si="659">VLOOKUP(R636,삼그룹,6,FALSE)</f>
        <v>3G</v>
      </c>
      <c r="BH636" s="377" t="str">
        <f t="shared" ref="BH636" si="660">VLOOKUP(S636,삼그룹,6,FALSE)</f>
        <v>3G</v>
      </c>
      <c r="BI636" s="377">
        <f t="shared" si="568"/>
        <v>2</v>
      </c>
      <c r="BJ636" s="377">
        <f t="shared" si="569"/>
        <v>2</v>
      </c>
      <c r="BK636" s="377">
        <f t="shared" si="570"/>
        <v>2</v>
      </c>
      <c r="BL636" s="377" t="str">
        <f t="shared" ref="BL636" si="661">BI636&amp;BJ636&amp;BK636</f>
        <v>222</v>
      </c>
      <c r="BS636"/>
    </row>
    <row r="637" spans="2:71" ht="16.5" hidden="1">
      <c r="B637" s="18">
        <v>634</v>
      </c>
      <c r="C637" s="363" t="s">
        <v>999</v>
      </c>
      <c r="N637" s="28">
        <v>4</v>
      </c>
      <c r="O637" s="28">
        <v>10</v>
      </c>
      <c r="P637" s="28">
        <v>11</v>
      </c>
      <c r="Q637" s="28">
        <v>12</v>
      </c>
      <c r="R637" s="28">
        <v>20</v>
      </c>
      <c r="S637" s="28">
        <v>27</v>
      </c>
      <c r="T637" s="28">
        <v>38</v>
      </c>
      <c r="U637" s="28">
        <f t="shared" si="528"/>
        <v>84</v>
      </c>
      <c r="W637" s="27" t="str">
        <f t="shared" si="529"/>
        <v>짝수</v>
      </c>
      <c r="X637" s="27" t="str">
        <f t="shared" si="530"/>
        <v>짝수</v>
      </c>
      <c r="Y637" s="27" t="str">
        <f t="shared" si="531"/>
        <v>홀수</v>
      </c>
      <c r="Z637" s="27" t="str">
        <f t="shared" si="532"/>
        <v>짝수</v>
      </c>
      <c r="AA637" s="28" t="str">
        <f t="shared" si="533"/>
        <v>짝수</v>
      </c>
      <c r="AB637" s="28" t="str">
        <f t="shared" si="534"/>
        <v>홀수</v>
      </c>
      <c r="AC637" s="27" t="str">
        <f t="shared" si="535"/>
        <v>2 : 4</v>
      </c>
      <c r="AD637" s="32">
        <f t="shared" si="536"/>
        <v>2</v>
      </c>
      <c r="AE637" s="32">
        <f t="shared" si="537"/>
        <v>4</v>
      </c>
      <c r="AF637" s="66" t="str">
        <f t="shared" si="538"/>
        <v>저수</v>
      </c>
      <c r="AG637" s="66" t="str">
        <f t="shared" si="539"/>
        <v>저수</v>
      </c>
      <c r="AH637" s="66" t="str">
        <f t="shared" si="540"/>
        <v>저수</v>
      </c>
      <c r="AI637" s="66" t="str">
        <f t="shared" si="541"/>
        <v>저수</v>
      </c>
      <c r="AJ637" s="66" t="str">
        <f t="shared" si="542"/>
        <v>저수</v>
      </c>
      <c r="AK637" s="66" t="str">
        <f t="shared" si="543"/>
        <v>고수</v>
      </c>
      <c r="AL637" s="66" t="str">
        <f t="shared" si="544"/>
        <v>5 : 1</v>
      </c>
      <c r="AM637" s="27">
        <f t="shared" si="545"/>
        <v>5</v>
      </c>
      <c r="AN637" s="27">
        <f t="shared" si="546"/>
        <v>1</v>
      </c>
      <c r="AO637" s="27">
        <f t="shared" si="547"/>
        <v>14</v>
      </c>
      <c r="AP637" s="66" t="str">
        <f t="shared" si="548"/>
        <v>X</v>
      </c>
      <c r="AQ637" s="66" t="str">
        <f t="shared" si="549"/>
        <v>X</v>
      </c>
      <c r="AR637" s="66" t="str">
        <f t="shared" si="550"/>
        <v>O</v>
      </c>
      <c r="AS637" s="66" t="str">
        <f t="shared" si="551"/>
        <v>X</v>
      </c>
      <c r="AT637" s="66" t="str">
        <f t="shared" si="552"/>
        <v>X</v>
      </c>
      <c r="AU637" s="66" t="str">
        <f t="shared" si="553"/>
        <v>X</v>
      </c>
      <c r="AV637" s="66" t="str">
        <f t="shared" si="554"/>
        <v>X</v>
      </c>
      <c r="AW637" s="66" t="str">
        <f t="shared" si="555"/>
        <v>X</v>
      </c>
      <c r="AX637" s="66" t="str">
        <f t="shared" si="556"/>
        <v>X</v>
      </c>
      <c r="AY637" s="66" t="str">
        <f t="shared" si="557"/>
        <v>X</v>
      </c>
      <c r="AZ637" s="66" t="str">
        <f t="shared" si="558"/>
        <v>X</v>
      </c>
      <c r="BA637" s="27" t="str">
        <f t="shared" si="559"/>
        <v>X</v>
      </c>
      <c r="BB637" s="27">
        <f t="shared" si="560"/>
        <v>1</v>
      </c>
      <c r="BC637" s="378" t="str">
        <f t="shared" ref="BC637" si="662">VLOOKUP(N637,삼그룹,6,FALSE)</f>
        <v>1G</v>
      </c>
      <c r="BD637" s="378" t="str">
        <f t="shared" ref="BD637" si="663">VLOOKUP(O637,삼그룹,6,FALSE)</f>
        <v>1G</v>
      </c>
      <c r="BE637" s="378" t="str">
        <f t="shared" ref="BE637" si="664">VLOOKUP(P637,삼그룹,6,FALSE)</f>
        <v>1G</v>
      </c>
      <c r="BF637" s="378" t="str">
        <f t="shared" ref="BF637" si="665">VLOOKUP(Q637,삼그룹,6,FALSE)</f>
        <v>1G</v>
      </c>
      <c r="BG637" s="378" t="str">
        <f t="shared" ref="BG637" si="666">VLOOKUP(R637,삼그룹,6,FALSE)</f>
        <v>2G</v>
      </c>
      <c r="BH637" s="378" t="str">
        <f t="shared" ref="BH637" si="667">VLOOKUP(S637,삼그룹,6,FALSE)</f>
        <v>2G</v>
      </c>
      <c r="BI637" s="378">
        <f t="shared" si="568"/>
        <v>4</v>
      </c>
      <c r="BJ637" s="378">
        <f t="shared" si="569"/>
        <v>2</v>
      </c>
      <c r="BK637" s="378">
        <f t="shared" si="570"/>
        <v>0</v>
      </c>
      <c r="BL637" s="378" t="str">
        <f t="shared" ref="BL637" si="668">BI637&amp;BJ637&amp;BK637</f>
        <v>420</v>
      </c>
      <c r="BS637"/>
    </row>
    <row r="638" spans="2:71" ht="16.5" hidden="1">
      <c r="B638" s="18">
        <v>635</v>
      </c>
      <c r="C638" s="363" t="s">
        <v>1000</v>
      </c>
      <c r="N638" s="28">
        <v>11</v>
      </c>
      <c r="O638" s="28">
        <v>13</v>
      </c>
      <c r="P638" s="28">
        <v>25</v>
      </c>
      <c r="Q638" s="28">
        <v>26</v>
      </c>
      <c r="R638" s="28">
        <v>29</v>
      </c>
      <c r="S638" s="28">
        <v>33</v>
      </c>
      <c r="T638" s="28">
        <v>32</v>
      </c>
      <c r="U638" s="28">
        <f t="shared" si="528"/>
        <v>137</v>
      </c>
      <c r="W638" s="27" t="str">
        <f t="shared" si="529"/>
        <v>홀수</v>
      </c>
      <c r="X638" s="27" t="str">
        <f t="shared" si="530"/>
        <v>홀수</v>
      </c>
      <c r="Y638" s="27" t="str">
        <f t="shared" si="531"/>
        <v>홀수</v>
      </c>
      <c r="Z638" s="27" t="str">
        <f t="shared" si="532"/>
        <v>짝수</v>
      </c>
      <c r="AA638" s="28" t="str">
        <f t="shared" si="533"/>
        <v>홀수</v>
      </c>
      <c r="AB638" s="28" t="str">
        <f t="shared" si="534"/>
        <v>홀수</v>
      </c>
      <c r="AC638" s="27" t="str">
        <f t="shared" si="535"/>
        <v>5 : 1</v>
      </c>
      <c r="AD638" s="32">
        <f t="shared" si="536"/>
        <v>5</v>
      </c>
      <c r="AE638" s="32">
        <f t="shared" si="537"/>
        <v>1</v>
      </c>
      <c r="AF638" s="66" t="str">
        <f t="shared" si="538"/>
        <v>저수</v>
      </c>
      <c r="AG638" s="66" t="str">
        <f t="shared" si="539"/>
        <v>저수</v>
      </c>
      <c r="AH638" s="66" t="str">
        <f t="shared" si="540"/>
        <v>고수</v>
      </c>
      <c r="AI638" s="66" t="str">
        <f t="shared" si="541"/>
        <v>고수</v>
      </c>
      <c r="AJ638" s="66" t="str">
        <f t="shared" si="542"/>
        <v>고수</v>
      </c>
      <c r="AK638" s="66" t="str">
        <f t="shared" si="543"/>
        <v>고수</v>
      </c>
      <c r="AL638" s="66" t="str">
        <f t="shared" si="544"/>
        <v>2 : 4</v>
      </c>
      <c r="AM638" s="27">
        <f t="shared" si="545"/>
        <v>2</v>
      </c>
      <c r="AN638" s="27">
        <f t="shared" si="546"/>
        <v>4</v>
      </c>
      <c r="AO638" s="27">
        <f t="shared" si="547"/>
        <v>27</v>
      </c>
      <c r="AP638" s="66" t="str">
        <f t="shared" si="548"/>
        <v>O</v>
      </c>
      <c r="AQ638" s="66" t="str">
        <f t="shared" si="549"/>
        <v>O</v>
      </c>
      <c r="AR638" s="66" t="str">
        <f t="shared" si="550"/>
        <v>X</v>
      </c>
      <c r="AS638" s="66" t="str">
        <f t="shared" si="551"/>
        <v>X</v>
      </c>
      <c r="AT638" s="66" t="str">
        <f t="shared" si="552"/>
        <v>X</v>
      </c>
      <c r="AU638" s="66" t="str">
        <f t="shared" si="553"/>
        <v>X</v>
      </c>
      <c r="AV638" s="66" t="str">
        <f t="shared" si="554"/>
        <v>X</v>
      </c>
      <c r="AW638" s="66" t="str">
        <f t="shared" si="555"/>
        <v>X</v>
      </c>
      <c r="AX638" s="66" t="str">
        <f t="shared" si="556"/>
        <v>X</v>
      </c>
      <c r="AY638" s="66" t="str">
        <f t="shared" si="557"/>
        <v>X</v>
      </c>
      <c r="AZ638" s="66" t="str">
        <f t="shared" si="558"/>
        <v>O</v>
      </c>
      <c r="BA638" s="27" t="str">
        <f t="shared" si="559"/>
        <v>X</v>
      </c>
      <c r="BB638" s="27">
        <f t="shared" si="560"/>
        <v>3</v>
      </c>
      <c r="BC638" s="379" t="str">
        <f t="shared" ref="BC638" si="669">VLOOKUP(N638,삼그룹,6,FALSE)</f>
        <v>1G</v>
      </c>
      <c r="BD638" s="379" t="str">
        <f t="shared" ref="BD638" si="670">VLOOKUP(O638,삼그룹,6,FALSE)</f>
        <v>1G</v>
      </c>
      <c r="BE638" s="379" t="str">
        <f t="shared" ref="BE638" si="671">VLOOKUP(P638,삼그룹,6,FALSE)</f>
        <v>2G</v>
      </c>
      <c r="BF638" s="379" t="str">
        <f t="shared" ref="BF638" si="672">VLOOKUP(Q638,삼그룹,6,FALSE)</f>
        <v>2G</v>
      </c>
      <c r="BG638" s="379" t="str">
        <f t="shared" ref="BG638" si="673">VLOOKUP(R638,삼그룹,6,FALSE)</f>
        <v>2G</v>
      </c>
      <c r="BH638" s="379" t="str">
        <f t="shared" ref="BH638" si="674">VLOOKUP(S638,삼그룹,6,FALSE)</f>
        <v>3G</v>
      </c>
      <c r="BI638" s="379">
        <f t="shared" si="568"/>
        <v>2</v>
      </c>
      <c r="BJ638" s="379">
        <f t="shared" si="569"/>
        <v>3</v>
      </c>
      <c r="BK638" s="379">
        <f t="shared" si="570"/>
        <v>1</v>
      </c>
      <c r="BL638" s="379" t="str">
        <f t="shared" ref="BL638" si="675">BI638&amp;BJ638&amp;BK638</f>
        <v>231</v>
      </c>
      <c r="BS638"/>
    </row>
    <row r="639" spans="2:71" ht="16.5" hidden="1">
      <c r="B639" s="18">
        <v>636</v>
      </c>
      <c r="C639" s="363" t="s">
        <v>1001</v>
      </c>
      <c r="N639" s="28">
        <v>6</v>
      </c>
      <c r="O639" s="28">
        <v>7</v>
      </c>
      <c r="P639" s="28">
        <v>15</v>
      </c>
      <c r="Q639" s="28">
        <v>16</v>
      </c>
      <c r="R639" s="28">
        <v>20</v>
      </c>
      <c r="S639" s="28">
        <v>31</v>
      </c>
      <c r="T639" s="28">
        <v>26</v>
      </c>
      <c r="U639" s="28">
        <f t="shared" si="528"/>
        <v>95</v>
      </c>
      <c r="W639" s="27" t="str">
        <f t="shared" si="529"/>
        <v>짝수</v>
      </c>
      <c r="X639" s="27" t="str">
        <f t="shared" si="530"/>
        <v>홀수</v>
      </c>
      <c r="Y639" s="27" t="str">
        <f t="shared" si="531"/>
        <v>홀수</v>
      </c>
      <c r="Z639" s="27" t="str">
        <f t="shared" si="532"/>
        <v>짝수</v>
      </c>
      <c r="AA639" s="28" t="str">
        <f t="shared" si="533"/>
        <v>짝수</v>
      </c>
      <c r="AB639" s="28" t="str">
        <f t="shared" si="534"/>
        <v>홀수</v>
      </c>
      <c r="AC639" s="27" t="str">
        <f t="shared" si="535"/>
        <v>3 : 3</v>
      </c>
      <c r="AD639" s="32">
        <f t="shared" si="536"/>
        <v>3</v>
      </c>
      <c r="AE639" s="32">
        <f t="shared" si="537"/>
        <v>3</v>
      </c>
      <c r="AF639" s="66" t="str">
        <f t="shared" si="538"/>
        <v>저수</v>
      </c>
      <c r="AG639" s="66" t="str">
        <f t="shared" si="539"/>
        <v>저수</v>
      </c>
      <c r="AH639" s="66" t="str">
        <f t="shared" si="540"/>
        <v>저수</v>
      </c>
      <c r="AI639" s="66" t="str">
        <f t="shared" si="541"/>
        <v>저수</v>
      </c>
      <c r="AJ639" s="66" t="str">
        <f t="shared" si="542"/>
        <v>저수</v>
      </c>
      <c r="AK639" s="66" t="str">
        <f t="shared" si="543"/>
        <v>고수</v>
      </c>
      <c r="AL639" s="66" t="str">
        <f t="shared" si="544"/>
        <v>5 : 1</v>
      </c>
      <c r="AM639" s="27">
        <f t="shared" si="545"/>
        <v>5</v>
      </c>
      <c r="AN639" s="27">
        <f t="shared" si="546"/>
        <v>1</v>
      </c>
      <c r="AO639" s="27">
        <f t="shared" si="547"/>
        <v>25</v>
      </c>
      <c r="AP639" s="66" t="str">
        <f t="shared" si="548"/>
        <v>X</v>
      </c>
      <c r="AQ639" s="66" t="str">
        <f t="shared" si="549"/>
        <v>O</v>
      </c>
      <c r="AR639" s="66" t="str">
        <f t="shared" si="550"/>
        <v>X</v>
      </c>
      <c r="AS639" s="66" t="str">
        <f t="shared" si="551"/>
        <v>X</v>
      </c>
      <c r="AT639" s="66" t="str">
        <f t="shared" si="552"/>
        <v>X</v>
      </c>
      <c r="AU639" s="66" t="str">
        <f t="shared" si="553"/>
        <v>X</v>
      </c>
      <c r="AV639" s="66" t="str">
        <f t="shared" si="554"/>
        <v>X</v>
      </c>
      <c r="AW639" s="66" t="str">
        <f t="shared" si="555"/>
        <v>X</v>
      </c>
      <c r="AX639" s="66" t="str">
        <f t="shared" si="556"/>
        <v>X</v>
      </c>
      <c r="AY639" s="66" t="str">
        <f t="shared" si="557"/>
        <v>X</v>
      </c>
      <c r="AZ639" s="66" t="str">
        <f t="shared" si="558"/>
        <v>X</v>
      </c>
      <c r="BA639" s="27" t="str">
        <f t="shared" si="559"/>
        <v>O</v>
      </c>
      <c r="BB639" s="27">
        <f t="shared" si="560"/>
        <v>2</v>
      </c>
      <c r="BC639" s="380" t="str">
        <f t="shared" ref="BC639" si="676">VLOOKUP(N639,삼그룹,6,FALSE)</f>
        <v>1G</v>
      </c>
      <c r="BD639" s="380" t="str">
        <f t="shared" ref="BD639" si="677">VLOOKUP(O639,삼그룹,6,FALSE)</f>
        <v>1G</v>
      </c>
      <c r="BE639" s="380" t="str">
        <f t="shared" ref="BE639" si="678">VLOOKUP(P639,삼그룹,6,FALSE)</f>
        <v>1G</v>
      </c>
      <c r="BF639" s="380" t="str">
        <f t="shared" ref="BF639" si="679">VLOOKUP(Q639,삼그룹,6,FALSE)</f>
        <v>2G</v>
      </c>
      <c r="BG639" s="380" t="str">
        <f t="shared" ref="BG639" si="680">VLOOKUP(R639,삼그룹,6,FALSE)</f>
        <v>2G</v>
      </c>
      <c r="BH639" s="380" t="str">
        <f t="shared" ref="BH639" si="681">VLOOKUP(S639,삼그룹,6,FALSE)</f>
        <v>3G</v>
      </c>
      <c r="BI639" s="380">
        <f t="shared" si="568"/>
        <v>3</v>
      </c>
      <c r="BJ639" s="380">
        <f t="shared" si="569"/>
        <v>2</v>
      </c>
      <c r="BK639" s="380">
        <f t="shared" si="570"/>
        <v>1</v>
      </c>
      <c r="BL639" s="380" t="str">
        <f t="shared" ref="BL639" si="682">BI639&amp;BJ639&amp;BK639</f>
        <v>321</v>
      </c>
      <c r="BS639"/>
    </row>
    <row r="640" spans="2:71" ht="16.5" hidden="1">
      <c r="B640" s="18">
        <v>637</v>
      </c>
      <c r="C640" s="363" t="s">
        <v>1002</v>
      </c>
      <c r="N640" s="28">
        <v>3</v>
      </c>
      <c r="O640" s="28">
        <v>16</v>
      </c>
      <c r="P640" s="28">
        <v>22</v>
      </c>
      <c r="Q640" s="28">
        <v>37</v>
      </c>
      <c r="R640" s="28">
        <v>38</v>
      </c>
      <c r="S640" s="28">
        <v>44</v>
      </c>
      <c r="T640" s="28">
        <v>23</v>
      </c>
      <c r="U640" s="28">
        <f t="shared" si="528"/>
        <v>160</v>
      </c>
      <c r="W640" s="27" t="str">
        <f t="shared" si="529"/>
        <v>홀수</v>
      </c>
      <c r="X640" s="27" t="str">
        <f t="shared" si="530"/>
        <v>짝수</v>
      </c>
      <c r="Y640" s="27" t="str">
        <f t="shared" si="531"/>
        <v>짝수</v>
      </c>
      <c r="Z640" s="27" t="str">
        <f t="shared" si="532"/>
        <v>홀수</v>
      </c>
      <c r="AA640" s="28" t="str">
        <f t="shared" si="533"/>
        <v>짝수</v>
      </c>
      <c r="AB640" s="28" t="str">
        <f t="shared" si="534"/>
        <v>짝수</v>
      </c>
      <c r="AC640" s="27" t="str">
        <f t="shared" si="535"/>
        <v>2 : 4</v>
      </c>
      <c r="AD640" s="32">
        <f t="shared" si="536"/>
        <v>2</v>
      </c>
      <c r="AE640" s="32">
        <f t="shared" si="537"/>
        <v>4</v>
      </c>
      <c r="AF640" s="66" t="str">
        <f t="shared" si="538"/>
        <v>저수</v>
      </c>
      <c r="AG640" s="66" t="str">
        <f t="shared" si="539"/>
        <v>저수</v>
      </c>
      <c r="AH640" s="66" t="str">
        <f t="shared" si="540"/>
        <v>저수</v>
      </c>
      <c r="AI640" s="66" t="str">
        <f t="shared" si="541"/>
        <v>고수</v>
      </c>
      <c r="AJ640" s="66" t="str">
        <f t="shared" si="542"/>
        <v>고수</v>
      </c>
      <c r="AK640" s="66" t="str">
        <f t="shared" si="543"/>
        <v>고수</v>
      </c>
      <c r="AL640" s="66" t="str">
        <f t="shared" si="544"/>
        <v>3 : 3</v>
      </c>
      <c r="AM640" s="27">
        <f t="shared" si="545"/>
        <v>3</v>
      </c>
      <c r="AN640" s="27">
        <f t="shared" si="546"/>
        <v>3</v>
      </c>
      <c r="AO640" s="27">
        <f t="shared" si="547"/>
        <v>30</v>
      </c>
      <c r="AP640" s="66" t="str">
        <f t="shared" si="548"/>
        <v>O</v>
      </c>
      <c r="AQ640" s="66" t="str">
        <f t="shared" si="549"/>
        <v>X</v>
      </c>
      <c r="AR640" s="66" t="str">
        <f t="shared" si="550"/>
        <v>X</v>
      </c>
      <c r="AS640" s="66" t="str">
        <f t="shared" si="551"/>
        <v>X</v>
      </c>
      <c r="AT640" s="66" t="str">
        <f t="shared" si="552"/>
        <v>X</v>
      </c>
      <c r="AU640" s="66" t="str">
        <f t="shared" si="553"/>
        <v>X</v>
      </c>
      <c r="AV640" s="66" t="str">
        <f t="shared" si="554"/>
        <v>X</v>
      </c>
      <c r="AW640" s="66" t="str">
        <f t="shared" si="555"/>
        <v>X</v>
      </c>
      <c r="AX640" s="66" t="str">
        <f t="shared" si="556"/>
        <v>X</v>
      </c>
      <c r="AY640" s="66" t="str">
        <f t="shared" si="557"/>
        <v>O</v>
      </c>
      <c r="AZ640" s="66" t="str">
        <f t="shared" si="558"/>
        <v>X</v>
      </c>
      <c r="BA640" s="27" t="str">
        <f t="shared" si="559"/>
        <v>X</v>
      </c>
      <c r="BB640" s="27">
        <f t="shared" si="560"/>
        <v>2</v>
      </c>
      <c r="BC640" s="382" t="str">
        <f t="shared" ref="BC640" si="683">VLOOKUP(N640,삼그룹,6,FALSE)</f>
        <v>1G</v>
      </c>
      <c r="BD640" s="382" t="str">
        <f t="shared" ref="BD640" si="684">VLOOKUP(O640,삼그룹,6,FALSE)</f>
        <v>2G</v>
      </c>
      <c r="BE640" s="382" t="str">
        <f t="shared" ref="BE640" si="685">VLOOKUP(P640,삼그룹,6,FALSE)</f>
        <v>2G</v>
      </c>
      <c r="BF640" s="382" t="str">
        <f t="shared" ref="BF640" si="686">VLOOKUP(Q640,삼그룹,6,FALSE)</f>
        <v>3G</v>
      </c>
      <c r="BG640" s="382" t="str">
        <f t="shared" ref="BG640" si="687">VLOOKUP(R640,삼그룹,6,FALSE)</f>
        <v>3G</v>
      </c>
      <c r="BH640" s="382" t="str">
        <f t="shared" ref="BH640" si="688">VLOOKUP(S640,삼그룹,6,FALSE)</f>
        <v>3G</v>
      </c>
      <c r="BI640" s="382">
        <f t="shared" si="568"/>
        <v>1</v>
      </c>
      <c r="BJ640" s="382">
        <f t="shared" si="569"/>
        <v>2</v>
      </c>
      <c r="BK640" s="382">
        <f t="shared" si="570"/>
        <v>3</v>
      </c>
      <c r="BL640" s="382" t="str">
        <f t="shared" ref="BL640" si="689">BI640&amp;BJ640&amp;BK640</f>
        <v>123</v>
      </c>
      <c r="BS640"/>
    </row>
    <row r="641" spans="2:71" ht="16.5" hidden="1">
      <c r="B641" s="18">
        <v>638</v>
      </c>
      <c r="C641" s="363" t="s">
        <v>1003</v>
      </c>
      <c r="N641" s="28">
        <v>7</v>
      </c>
      <c r="O641" s="28">
        <v>18</v>
      </c>
      <c r="P641" s="28">
        <v>22</v>
      </c>
      <c r="Q641" s="28">
        <v>24</v>
      </c>
      <c r="R641" s="28">
        <v>31</v>
      </c>
      <c r="S641" s="28">
        <v>34</v>
      </c>
      <c r="T641" s="28">
        <v>6</v>
      </c>
      <c r="U641" s="28">
        <f t="shared" si="528"/>
        <v>136</v>
      </c>
      <c r="W641" s="27" t="str">
        <f t="shared" si="529"/>
        <v>홀수</v>
      </c>
      <c r="X641" s="27" t="str">
        <f t="shared" si="530"/>
        <v>짝수</v>
      </c>
      <c r="Y641" s="27" t="str">
        <f t="shared" si="531"/>
        <v>짝수</v>
      </c>
      <c r="Z641" s="27" t="str">
        <f t="shared" si="532"/>
        <v>짝수</v>
      </c>
      <c r="AA641" s="28" t="str">
        <f t="shared" si="533"/>
        <v>홀수</v>
      </c>
      <c r="AB641" s="28" t="str">
        <f t="shared" si="534"/>
        <v>짝수</v>
      </c>
      <c r="AC641" s="27" t="str">
        <f t="shared" si="535"/>
        <v>2 : 4</v>
      </c>
      <c r="AD641" s="32">
        <f t="shared" si="536"/>
        <v>2</v>
      </c>
      <c r="AE641" s="32">
        <f t="shared" si="537"/>
        <v>4</v>
      </c>
      <c r="AF641" s="66" t="str">
        <f t="shared" si="538"/>
        <v>저수</v>
      </c>
      <c r="AG641" s="66" t="str">
        <f t="shared" si="539"/>
        <v>저수</v>
      </c>
      <c r="AH641" s="66" t="str">
        <f t="shared" si="540"/>
        <v>저수</v>
      </c>
      <c r="AI641" s="66" t="str">
        <f t="shared" si="541"/>
        <v>고수</v>
      </c>
      <c r="AJ641" s="66" t="str">
        <f t="shared" si="542"/>
        <v>고수</v>
      </c>
      <c r="AK641" s="66" t="str">
        <f t="shared" si="543"/>
        <v>고수</v>
      </c>
      <c r="AL641" s="66" t="str">
        <f t="shared" si="544"/>
        <v>3 : 3</v>
      </c>
      <c r="AM641" s="27">
        <f t="shared" si="545"/>
        <v>3</v>
      </c>
      <c r="AN641" s="27">
        <f t="shared" si="546"/>
        <v>3</v>
      </c>
      <c r="AO641" s="27">
        <f t="shared" si="547"/>
        <v>26</v>
      </c>
      <c r="AP641" s="66" t="str">
        <f t="shared" si="548"/>
        <v>O</v>
      </c>
      <c r="AQ641" s="66" t="str">
        <f t="shared" si="549"/>
        <v>X</v>
      </c>
      <c r="AR641" s="66" t="str">
        <f t="shared" si="550"/>
        <v>X</v>
      </c>
      <c r="AS641" s="66" t="str">
        <f t="shared" si="551"/>
        <v>X</v>
      </c>
      <c r="AT641" s="66" t="str">
        <f t="shared" si="552"/>
        <v>X</v>
      </c>
      <c r="AU641" s="66" t="str">
        <f t="shared" si="553"/>
        <v>X</v>
      </c>
      <c r="AV641" s="66" t="str">
        <f t="shared" si="554"/>
        <v>X</v>
      </c>
      <c r="AW641" s="66" t="str">
        <f t="shared" si="555"/>
        <v>X</v>
      </c>
      <c r="AX641" s="66" t="str">
        <f t="shared" si="556"/>
        <v>X</v>
      </c>
      <c r="AY641" s="66" t="str">
        <f t="shared" si="557"/>
        <v>X</v>
      </c>
      <c r="AZ641" s="66" t="str">
        <f t="shared" si="558"/>
        <v>O</v>
      </c>
      <c r="BA641" s="27" t="str">
        <f t="shared" si="559"/>
        <v>X</v>
      </c>
      <c r="BB641" s="27">
        <f t="shared" si="560"/>
        <v>2</v>
      </c>
      <c r="BC641" s="383" t="str">
        <f t="shared" ref="BC641" si="690">VLOOKUP(N641,삼그룹,6,FALSE)</f>
        <v>1G</v>
      </c>
      <c r="BD641" s="383" t="str">
        <f t="shared" ref="BD641" si="691">VLOOKUP(O641,삼그룹,6,FALSE)</f>
        <v>2G</v>
      </c>
      <c r="BE641" s="383" t="str">
        <f t="shared" ref="BE641" si="692">VLOOKUP(P641,삼그룹,6,FALSE)</f>
        <v>2G</v>
      </c>
      <c r="BF641" s="383" t="str">
        <f t="shared" ref="BF641" si="693">VLOOKUP(Q641,삼그룹,6,FALSE)</f>
        <v>2G</v>
      </c>
      <c r="BG641" s="383" t="str">
        <f t="shared" ref="BG641" si="694">VLOOKUP(R641,삼그룹,6,FALSE)</f>
        <v>3G</v>
      </c>
      <c r="BH641" s="383" t="str">
        <f t="shared" ref="BH641" si="695">VLOOKUP(S641,삼그룹,6,FALSE)</f>
        <v>3G</v>
      </c>
      <c r="BI641" s="383">
        <f t="shared" si="568"/>
        <v>1</v>
      </c>
      <c r="BJ641" s="383">
        <f t="shared" si="569"/>
        <v>3</v>
      </c>
      <c r="BK641" s="383">
        <f t="shared" si="570"/>
        <v>2</v>
      </c>
      <c r="BL641" s="383" t="str">
        <f t="shared" ref="BL641" si="696">BI641&amp;BJ641&amp;BK641</f>
        <v>132</v>
      </c>
      <c r="BS641"/>
    </row>
    <row r="642" spans="2:71" ht="16.5" hidden="1">
      <c r="B642" s="18">
        <v>639</v>
      </c>
      <c r="C642" s="363" t="s">
        <v>1004</v>
      </c>
      <c r="N642" s="28">
        <v>6</v>
      </c>
      <c r="O642" s="28">
        <v>15</v>
      </c>
      <c r="P642" s="28">
        <v>22</v>
      </c>
      <c r="Q642" s="28">
        <v>23</v>
      </c>
      <c r="R642" s="28">
        <v>25</v>
      </c>
      <c r="S642" s="28">
        <v>32</v>
      </c>
      <c r="T642" s="28">
        <v>40</v>
      </c>
      <c r="U642" s="28">
        <f t="shared" si="528"/>
        <v>123</v>
      </c>
      <c r="W642" s="27" t="str">
        <f t="shared" si="529"/>
        <v>짝수</v>
      </c>
      <c r="X642" s="27" t="str">
        <f t="shared" si="530"/>
        <v>홀수</v>
      </c>
      <c r="Y642" s="27" t="str">
        <f t="shared" si="531"/>
        <v>짝수</v>
      </c>
      <c r="Z642" s="27" t="str">
        <f t="shared" si="532"/>
        <v>홀수</v>
      </c>
      <c r="AA642" s="28" t="str">
        <f t="shared" si="533"/>
        <v>홀수</v>
      </c>
      <c r="AB642" s="28" t="str">
        <f t="shared" si="534"/>
        <v>짝수</v>
      </c>
      <c r="AC642" s="27" t="str">
        <f t="shared" si="535"/>
        <v>3 : 3</v>
      </c>
      <c r="AD642" s="32">
        <f t="shared" si="536"/>
        <v>3</v>
      </c>
      <c r="AE642" s="32">
        <f t="shared" si="537"/>
        <v>3</v>
      </c>
      <c r="AF642" s="66" t="str">
        <f t="shared" si="538"/>
        <v>저수</v>
      </c>
      <c r="AG642" s="66" t="str">
        <f t="shared" si="539"/>
        <v>저수</v>
      </c>
      <c r="AH642" s="66" t="str">
        <f t="shared" si="540"/>
        <v>저수</v>
      </c>
      <c r="AI642" s="66" t="str">
        <f t="shared" si="541"/>
        <v>고수</v>
      </c>
      <c r="AJ642" s="66" t="str">
        <f t="shared" si="542"/>
        <v>고수</v>
      </c>
      <c r="AK642" s="66" t="str">
        <f t="shared" si="543"/>
        <v>고수</v>
      </c>
      <c r="AL642" s="66" t="str">
        <f t="shared" si="544"/>
        <v>3 : 3</v>
      </c>
      <c r="AM642" s="27">
        <f t="shared" si="545"/>
        <v>3</v>
      </c>
      <c r="AN642" s="27">
        <f t="shared" si="546"/>
        <v>3</v>
      </c>
      <c r="AO642" s="27">
        <f t="shared" si="547"/>
        <v>23</v>
      </c>
      <c r="AP642" s="66" t="str">
        <f t="shared" si="548"/>
        <v>X</v>
      </c>
      <c r="AQ642" s="66" t="str">
        <f t="shared" si="549"/>
        <v>X</v>
      </c>
      <c r="AR642" s="66" t="str">
        <f t="shared" si="550"/>
        <v>X</v>
      </c>
      <c r="AS642" s="66" t="str">
        <f t="shared" si="551"/>
        <v>X</v>
      </c>
      <c r="AT642" s="66" t="str">
        <f t="shared" si="552"/>
        <v>X</v>
      </c>
      <c r="AU642" s="66" t="str">
        <f t="shared" si="553"/>
        <v>X</v>
      </c>
      <c r="AV642" s="66" t="str">
        <f t="shared" si="554"/>
        <v>X</v>
      </c>
      <c r="AW642" s="66" t="str">
        <f t="shared" si="555"/>
        <v>X</v>
      </c>
      <c r="AX642" s="66" t="str">
        <f t="shared" si="556"/>
        <v>X</v>
      </c>
      <c r="AY642" s="66" t="str">
        <f t="shared" si="557"/>
        <v>O</v>
      </c>
      <c r="AZ642" s="66" t="str">
        <f t="shared" si="558"/>
        <v>X</v>
      </c>
      <c r="BA642" s="27" t="str">
        <f t="shared" si="559"/>
        <v>X</v>
      </c>
      <c r="BB642" s="27">
        <f t="shared" si="560"/>
        <v>1</v>
      </c>
      <c r="BC642" s="384" t="str">
        <f t="shared" ref="BC642" si="697">VLOOKUP(N642,삼그룹,6,FALSE)</f>
        <v>1G</v>
      </c>
      <c r="BD642" s="384" t="str">
        <f t="shared" ref="BD642" si="698">VLOOKUP(O642,삼그룹,6,FALSE)</f>
        <v>1G</v>
      </c>
      <c r="BE642" s="384" t="str">
        <f t="shared" ref="BE642" si="699">VLOOKUP(P642,삼그룹,6,FALSE)</f>
        <v>2G</v>
      </c>
      <c r="BF642" s="384" t="str">
        <f t="shared" ref="BF642" si="700">VLOOKUP(Q642,삼그룹,6,FALSE)</f>
        <v>2G</v>
      </c>
      <c r="BG642" s="384" t="str">
        <f t="shared" ref="BG642" si="701">VLOOKUP(R642,삼그룹,6,FALSE)</f>
        <v>2G</v>
      </c>
      <c r="BH642" s="384" t="str">
        <f t="shared" ref="BH642" si="702">VLOOKUP(S642,삼그룹,6,FALSE)</f>
        <v>3G</v>
      </c>
      <c r="BI642" s="384">
        <f t="shared" si="568"/>
        <v>2</v>
      </c>
      <c r="BJ642" s="384">
        <f t="shared" si="569"/>
        <v>3</v>
      </c>
      <c r="BK642" s="384">
        <f t="shared" si="570"/>
        <v>1</v>
      </c>
      <c r="BL642" s="384" t="str">
        <f t="shared" ref="BL642" si="703">BI642&amp;BJ642&amp;BK642</f>
        <v>231</v>
      </c>
      <c r="BS642"/>
    </row>
    <row r="643" spans="2:71" ht="16.5" hidden="1">
      <c r="B643" s="18">
        <v>640</v>
      </c>
      <c r="C643" s="363" t="s">
        <v>1005</v>
      </c>
      <c r="N643" s="28">
        <v>14</v>
      </c>
      <c r="O643" s="28">
        <v>15</v>
      </c>
      <c r="P643" s="28">
        <v>18</v>
      </c>
      <c r="Q643" s="28">
        <v>21</v>
      </c>
      <c r="R643" s="28">
        <v>26</v>
      </c>
      <c r="S643" s="28">
        <v>35</v>
      </c>
      <c r="T643" s="28">
        <v>23</v>
      </c>
      <c r="U643" s="28">
        <f t="shared" si="528"/>
        <v>129</v>
      </c>
      <c r="W643" s="27" t="str">
        <f t="shared" si="529"/>
        <v>짝수</v>
      </c>
      <c r="X643" s="27" t="str">
        <f t="shared" si="530"/>
        <v>홀수</v>
      </c>
      <c r="Y643" s="27" t="str">
        <f t="shared" si="531"/>
        <v>짝수</v>
      </c>
      <c r="Z643" s="27" t="str">
        <f t="shared" si="532"/>
        <v>홀수</v>
      </c>
      <c r="AA643" s="28" t="str">
        <f t="shared" si="533"/>
        <v>짝수</v>
      </c>
      <c r="AB643" s="28" t="str">
        <f t="shared" si="534"/>
        <v>홀수</v>
      </c>
      <c r="AC643" s="27" t="str">
        <f t="shared" si="535"/>
        <v>3 : 3</v>
      </c>
      <c r="AD643" s="32">
        <f t="shared" si="536"/>
        <v>3</v>
      </c>
      <c r="AE643" s="32">
        <f t="shared" si="537"/>
        <v>3</v>
      </c>
      <c r="AF643" s="66" t="str">
        <f t="shared" si="538"/>
        <v>저수</v>
      </c>
      <c r="AG643" s="66" t="str">
        <f t="shared" si="539"/>
        <v>저수</v>
      </c>
      <c r="AH643" s="66" t="str">
        <f t="shared" si="540"/>
        <v>저수</v>
      </c>
      <c r="AI643" s="66" t="str">
        <f t="shared" si="541"/>
        <v>저수</v>
      </c>
      <c r="AJ643" s="66" t="str">
        <f t="shared" si="542"/>
        <v>고수</v>
      </c>
      <c r="AK643" s="66" t="str">
        <f t="shared" si="543"/>
        <v>고수</v>
      </c>
      <c r="AL643" s="66" t="str">
        <f t="shared" si="544"/>
        <v>4 : 2</v>
      </c>
      <c r="AM643" s="27">
        <f t="shared" si="545"/>
        <v>4</v>
      </c>
      <c r="AN643" s="27">
        <f t="shared" si="546"/>
        <v>2</v>
      </c>
      <c r="AO643" s="27">
        <f t="shared" si="547"/>
        <v>29</v>
      </c>
      <c r="AP643" s="66" t="str">
        <f t="shared" si="548"/>
        <v>X</v>
      </c>
      <c r="AQ643" s="66" t="str">
        <f t="shared" si="549"/>
        <v>X</v>
      </c>
      <c r="AR643" s="66" t="str">
        <f t="shared" si="550"/>
        <v>X</v>
      </c>
      <c r="AS643" s="66" t="str">
        <f t="shared" si="551"/>
        <v>X</v>
      </c>
      <c r="AT643" s="66" t="str">
        <f t="shared" si="552"/>
        <v>X</v>
      </c>
      <c r="AU643" s="66" t="str">
        <f t="shared" si="553"/>
        <v>X</v>
      </c>
      <c r="AV643" s="66" t="str">
        <f t="shared" si="554"/>
        <v>X</v>
      </c>
      <c r="AW643" s="66" t="str">
        <f t="shared" si="555"/>
        <v>X</v>
      </c>
      <c r="AX643" s="66" t="str">
        <f t="shared" si="556"/>
        <v>X</v>
      </c>
      <c r="AY643" s="66" t="str">
        <f t="shared" si="557"/>
        <v>X</v>
      </c>
      <c r="AZ643" s="66" t="str">
        <f t="shared" si="558"/>
        <v>X</v>
      </c>
      <c r="BA643" s="27" t="str">
        <f t="shared" si="559"/>
        <v>X</v>
      </c>
      <c r="BB643" s="27">
        <f t="shared" si="560"/>
        <v>0</v>
      </c>
      <c r="BC643" s="385" t="str">
        <f t="shared" ref="BC643" si="704">VLOOKUP(N643,삼그룹,6,FALSE)</f>
        <v>1G</v>
      </c>
      <c r="BD643" s="385" t="str">
        <f t="shared" ref="BD643" si="705">VLOOKUP(O643,삼그룹,6,FALSE)</f>
        <v>1G</v>
      </c>
      <c r="BE643" s="385" t="str">
        <f t="shared" ref="BE643" si="706">VLOOKUP(P643,삼그룹,6,FALSE)</f>
        <v>2G</v>
      </c>
      <c r="BF643" s="385" t="str">
        <f t="shared" ref="BF643" si="707">VLOOKUP(Q643,삼그룹,6,FALSE)</f>
        <v>2G</v>
      </c>
      <c r="BG643" s="385" t="str">
        <f t="shared" ref="BG643" si="708">VLOOKUP(R643,삼그룹,6,FALSE)</f>
        <v>2G</v>
      </c>
      <c r="BH643" s="385" t="str">
        <f t="shared" ref="BH643" si="709">VLOOKUP(S643,삼그룹,6,FALSE)</f>
        <v>3G</v>
      </c>
      <c r="BI643" s="385">
        <f t="shared" si="568"/>
        <v>2</v>
      </c>
      <c r="BJ643" s="385">
        <f t="shared" si="569"/>
        <v>3</v>
      </c>
      <c r="BK643" s="385">
        <f t="shared" si="570"/>
        <v>1</v>
      </c>
      <c r="BL643" s="385" t="str">
        <f t="shared" ref="BL643" si="710">BI643&amp;BJ643&amp;BK643</f>
        <v>231</v>
      </c>
      <c r="BS643"/>
    </row>
    <row r="644" spans="2:71" ht="16.5" hidden="1">
      <c r="B644" s="18">
        <v>641</v>
      </c>
      <c r="C644" s="363" t="s">
        <v>1006</v>
      </c>
      <c r="N644" s="28">
        <v>11</v>
      </c>
      <c r="O644" s="28">
        <v>18</v>
      </c>
      <c r="P644" s="28">
        <v>21</v>
      </c>
      <c r="Q644" s="28">
        <v>36</v>
      </c>
      <c r="R644" s="28">
        <v>37</v>
      </c>
      <c r="S644" s="28">
        <v>43</v>
      </c>
      <c r="T644" s="28">
        <v>12</v>
      </c>
      <c r="U644" s="28">
        <f t="shared" si="528"/>
        <v>166</v>
      </c>
      <c r="W644" s="27" t="str">
        <f t="shared" si="529"/>
        <v>홀수</v>
      </c>
      <c r="X644" s="27" t="str">
        <f t="shared" si="530"/>
        <v>짝수</v>
      </c>
      <c r="Y644" s="27" t="str">
        <f t="shared" si="531"/>
        <v>홀수</v>
      </c>
      <c r="Z644" s="27" t="str">
        <f t="shared" si="532"/>
        <v>짝수</v>
      </c>
      <c r="AA644" s="28" t="str">
        <f t="shared" si="533"/>
        <v>홀수</v>
      </c>
      <c r="AB644" s="28" t="str">
        <f t="shared" si="534"/>
        <v>홀수</v>
      </c>
      <c r="AC644" s="27" t="str">
        <f t="shared" si="535"/>
        <v>4 : 2</v>
      </c>
      <c r="AD644" s="32">
        <f t="shared" si="536"/>
        <v>4</v>
      </c>
      <c r="AE644" s="32">
        <f t="shared" si="537"/>
        <v>2</v>
      </c>
      <c r="AF644" s="66" t="str">
        <f t="shared" si="538"/>
        <v>저수</v>
      </c>
      <c r="AG644" s="66" t="str">
        <f t="shared" si="539"/>
        <v>저수</v>
      </c>
      <c r="AH644" s="66" t="str">
        <f t="shared" si="540"/>
        <v>저수</v>
      </c>
      <c r="AI644" s="66" t="str">
        <f t="shared" si="541"/>
        <v>고수</v>
      </c>
      <c r="AJ644" s="66" t="str">
        <f t="shared" si="542"/>
        <v>고수</v>
      </c>
      <c r="AK644" s="66" t="str">
        <f t="shared" si="543"/>
        <v>고수</v>
      </c>
      <c r="AL644" s="66" t="str">
        <f t="shared" si="544"/>
        <v>3 : 3</v>
      </c>
      <c r="AM644" s="27">
        <f t="shared" si="545"/>
        <v>3</v>
      </c>
      <c r="AN644" s="27">
        <f t="shared" si="546"/>
        <v>3</v>
      </c>
      <c r="AO644" s="27">
        <f t="shared" si="547"/>
        <v>26</v>
      </c>
      <c r="AP644" s="66" t="str">
        <f t="shared" si="548"/>
        <v>O</v>
      </c>
      <c r="AQ644" s="66" t="str">
        <f t="shared" si="549"/>
        <v>X</v>
      </c>
      <c r="AR644" s="66" t="str">
        <f t="shared" si="550"/>
        <v>X</v>
      </c>
      <c r="AS644" s="66" t="str">
        <f t="shared" si="551"/>
        <v>X</v>
      </c>
      <c r="AT644" s="66" t="str">
        <f t="shared" si="552"/>
        <v>X</v>
      </c>
      <c r="AU644" s="66" t="str">
        <f t="shared" si="553"/>
        <v>X</v>
      </c>
      <c r="AV644" s="66" t="str">
        <f t="shared" si="554"/>
        <v>X</v>
      </c>
      <c r="AW644" s="66" t="str">
        <f t="shared" si="555"/>
        <v>X</v>
      </c>
      <c r="AX644" s="66" t="str">
        <f t="shared" si="556"/>
        <v>X</v>
      </c>
      <c r="AY644" s="66" t="str">
        <f t="shared" si="557"/>
        <v>X</v>
      </c>
      <c r="AZ644" s="66" t="str">
        <f t="shared" si="558"/>
        <v>O</v>
      </c>
      <c r="BA644" s="27" t="str">
        <f t="shared" si="559"/>
        <v>O</v>
      </c>
      <c r="BB644" s="27">
        <f t="shared" si="560"/>
        <v>3</v>
      </c>
      <c r="BC644" s="386" t="str">
        <f t="shared" ref="BC644" si="711">VLOOKUP(N644,삼그룹,6,FALSE)</f>
        <v>1G</v>
      </c>
      <c r="BD644" s="386" t="str">
        <f t="shared" ref="BD644" si="712">VLOOKUP(O644,삼그룹,6,FALSE)</f>
        <v>2G</v>
      </c>
      <c r="BE644" s="386" t="str">
        <f t="shared" ref="BE644" si="713">VLOOKUP(P644,삼그룹,6,FALSE)</f>
        <v>2G</v>
      </c>
      <c r="BF644" s="386" t="str">
        <f t="shared" ref="BF644" si="714">VLOOKUP(Q644,삼그룹,6,FALSE)</f>
        <v>3G</v>
      </c>
      <c r="BG644" s="386" t="str">
        <f t="shared" ref="BG644" si="715">VLOOKUP(R644,삼그룹,6,FALSE)</f>
        <v>3G</v>
      </c>
      <c r="BH644" s="386" t="str">
        <f t="shared" ref="BH644" si="716">VLOOKUP(S644,삼그룹,6,FALSE)</f>
        <v>3G</v>
      </c>
      <c r="BI644" s="386">
        <f t="shared" si="568"/>
        <v>1</v>
      </c>
      <c r="BJ644" s="386">
        <f t="shared" si="569"/>
        <v>2</v>
      </c>
      <c r="BK644" s="386">
        <f t="shared" si="570"/>
        <v>3</v>
      </c>
      <c r="BL644" s="386" t="str">
        <f t="shared" ref="BL644" si="717">BI644&amp;BJ644&amp;BK644</f>
        <v>123</v>
      </c>
      <c r="BS644"/>
    </row>
    <row r="645" spans="2:71" ht="16.5" hidden="1">
      <c r="B645" s="18">
        <v>642</v>
      </c>
      <c r="C645" s="363" t="s">
        <v>1007</v>
      </c>
      <c r="N645" s="28">
        <v>8</v>
      </c>
      <c r="O645" s="28">
        <v>17</v>
      </c>
      <c r="P645" s="28">
        <v>18</v>
      </c>
      <c r="Q645" s="28">
        <v>24</v>
      </c>
      <c r="R645" s="28">
        <v>39</v>
      </c>
      <c r="S645" s="28">
        <v>45</v>
      </c>
      <c r="T645" s="28">
        <v>32</v>
      </c>
      <c r="U645" s="28">
        <f t="shared" si="528"/>
        <v>151</v>
      </c>
      <c r="W645" s="27" t="str">
        <f t="shared" si="529"/>
        <v>짝수</v>
      </c>
      <c r="X645" s="27" t="str">
        <f t="shared" si="530"/>
        <v>홀수</v>
      </c>
      <c r="Y645" s="27" t="str">
        <f t="shared" si="531"/>
        <v>짝수</v>
      </c>
      <c r="Z645" s="27" t="str">
        <f t="shared" si="532"/>
        <v>짝수</v>
      </c>
      <c r="AA645" s="28" t="str">
        <f t="shared" si="533"/>
        <v>홀수</v>
      </c>
      <c r="AB645" s="28" t="str">
        <f t="shared" si="534"/>
        <v>홀수</v>
      </c>
      <c r="AC645" s="27" t="str">
        <f t="shared" si="535"/>
        <v>3 : 3</v>
      </c>
      <c r="AD645" s="32">
        <f t="shared" si="536"/>
        <v>3</v>
      </c>
      <c r="AE645" s="32">
        <f t="shared" si="537"/>
        <v>3</v>
      </c>
      <c r="AF645" s="66" t="str">
        <f t="shared" si="538"/>
        <v>저수</v>
      </c>
      <c r="AG645" s="66" t="str">
        <f t="shared" si="539"/>
        <v>저수</v>
      </c>
      <c r="AH645" s="66" t="str">
        <f t="shared" si="540"/>
        <v>저수</v>
      </c>
      <c r="AI645" s="66" t="str">
        <f t="shared" si="541"/>
        <v>고수</v>
      </c>
      <c r="AJ645" s="66" t="str">
        <f t="shared" si="542"/>
        <v>고수</v>
      </c>
      <c r="AK645" s="66" t="str">
        <f t="shared" si="543"/>
        <v>고수</v>
      </c>
      <c r="AL645" s="66" t="str">
        <f t="shared" si="544"/>
        <v>3 : 3</v>
      </c>
      <c r="AM645" s="27">
        <f t="shared" si="545"/>
        <v>3</v>
      </c>
      <c r="AN645" s="27">
        <f t="shared" si="546"/>
        <v>3</v>
      </c>
      <c r="AO645" s="27">
        <f t="shared" si="547"/>
        <v>41</v>
      </c>
      <c r="AP645" s="66" t="str">
        <f t="shared" si="548"/>
        <v>X</v>
      </c>
      <c r="AQ645" s="66" t="str">
        <f t="shared" si="549"/>
        <v>O</v>
      </c>
      <c r="AR645" s="66" t="str">
        <f t="shared" si="550"/>
        <v>X</v>
      </c>
      <c r="AS645" s="66" t="str">
        <f t="shared" si="551"/>
        <v>X</v>
      </c>
      <c r="AT645" s="66" t="str">
        <f t="shared" si="552"/>
        <v>X</v>
      </c>
      <c r="AU645" s="66" t="str">
        <f t="shared" si="553"/>
        <v>X</v>
      </c>
      <c r="AV645" s="66" t="str">
        <f t="shared" si="554"/>
        <v>X</v>
      </c>
      <c r="AW645" s="66" t="str">
        <f t="shared" si="555"/>
        <v>X</v>
      </c>
      <c r="AX645" s="66" t="str">
        <f t="shared" si="556"/>
        <v>X</v>
      </c>
      <c r="AY645" s="66" t="str">
        <f t="shared" si="557"/>
        <v>X</v>
      </c>
      <c r="AZ645" s="66" t="str">
        <f t="shared" si="558"/>
        <v>X</v>
      </c>
      <c r="BA645" s="27" t="str">
        <f t="shared" si="559"/>
        <v>X</v>
      </c>
      <c r="BB645" s="27">
        <f t="shared" si="560"/>
        <v>1</v>
      </c>
      <c r="BC645" s="387" t="str">
        <f t="shared" ref="BC645" si="718">VLOOKUP(N645,삼그룹,6,FALSE)</f>
        <v>1G</v>
      </c>
      <c r="BD645" s="387" t="str">
        <f t="shared" ref="BD645" si="719">VLOOKUP(O645,삼그룹,6,FALSE)</f>
        <v>2G</v>
      </c>
      <c r="BE645" s="387" t="str">
        <f t="shared" ref="BE645" si="720">VLOOKUP(P645,삼그룹,6,FALSE)</f>
        <v>2G</v>
      </c>
      <c r="BF645" s="387" t="str">
        <f t="shared" ref="BF645" si="721">VLOOKUP(Q645,삼그룹,6,FALSE)</f>
        <v>2G</v>
      </c>
      <c r="BG645" s="387" t="str">
        <f t="shared" ref="BG645" si="722">VLOOKUP(R645,삼그룹,6,FALSE)</f>
        <v>3G</v>
      </c>
      <c r="BH645" s="387" t="str">
        <f t="shared" ref="BH645" si="723">VLOOKUP(S645,삼그룹,6,FALSE)</f>
        <v>3G</v>
      </c>
      <c r="BI645" s="387">
        <f t="shared" si="568"/>
        <v>1</v>
      </c>
      <c r="BJ645" s="387">
        <f t="shared" si="569"/>
        <v>3</v>
      </c>
      <c r="BK645" s="387">
        <f t="shared" si="570"/>
        <v>2</v>
      </c>
      <c r="BL645" s="387" t="str">
        <f t="shared" ref="BL645" si="724">BI645&amp;BJ645&amp;BK645</f>
        <v>132</v>
      </c>
      <c r="BS645"/>
    </row>
    <row r="646" spans="2:71" ht="16.5" hidden="1">
      <c r="B646" s="18">
        <v>643</v>
      </c>
      <c r="C646" s="363" t="s">
        <v>1008</v>
      </c>
      <c r="N646" s="28">
        <v>15</v>
      </c>
      <c r="O646" s="28">
        <v>24</v>
      </c>
      <c r="P646" s="28">
        <v>31</v>
      </c>
      <c r="Q646" s="28">
        <v>32</v>
      </c>
      <c r="R646" s="28">
        <v>33</v>
      </c>
      <c r="S646" s="28">
        <v>40</v>
      </c>
      <c r="T646" s="28">
        <v>13</v>
      </c>
      <c r="U646" s="28">
        <f t="shared" si="528"/>
        <v>175</v>
      </c>
      <c r="W646" s="27" t="str">
        <f t="shared" si="529"/>
        <v>홀수</v>
      </c>
      <c r="X646" s="27" t="str">
        <f t="shared" si="530"/>
        <v>짝수</v>
      </c>
      <c r="Y646" s="27" t="str">
        <f t="shared" si="531"/>
        <v>홀수</v>
      </c>
      <c r="Z646" s="27" t="str">
        <f t="shared" si="532"/>
        <v>짝수</v>
      </c>
      <c r="AA646" s="28" t="str">
        <f t="shared" si="533"/>
        <v>홀수</v>
      </c>
      <c r="AB646" s="28" t="str">
        <f t="shared" si="534"/>
        <v>짝수</v>
      </c>
      <c r="AC646" s="27" t="str">
        <f t="shared" si="535"/>
        <v>3 : 3</v>
      </c>
      <c r="AD646" s="32">
        <f t="shared" si="536"/>
        <v>3</v>
      </c>
      <c r="AE646" s="32">
        <f t="shared" si="537"/>
        <v>3</v>
      </c>
      <c r="AF646" s="66" t="str">
        <f t="shared" si="538"/>
        <v>저수</v>
      </c>
      <c r="AG646" s="66" t="str">
        <f t="shared" si="539"/>
        <v>고수</v>
      </c>
      <c r="AH646" s="66" t="str">
        <f t="shared" si="540"/>
        <v>고수</v>
      </c>
      <c r="AI646" s="66" t="str">
        <f t="shared" si="541"/>
        <v>고수</v>
      </c>
      <c r="AJ646" s="66" t="str">
        <f t="shared" si="542"/>
        <v>고수</v>
      </c>
      <c r="AK646" s="66" t="str">
        <f t="shared" si="543"/>
        <v>고수</v>
      </c>
      <c r="AL646" s="66" t="str">
        <f t="shared" si="544"/>
        <v>1 : 5</v>
      </c>
      <c r="AM646" s="27">
        <f t="shared" si="545"/>
        <v>1</v>
      </c>
      <c r="AN646" s="27">
        <f t="shared" si="546"/>
        <v>5</v>
      </c>
      <c r="AO646" s="27">
        <f t="shared" si="547"/>
        <v>15</v>
      </c>
      <c r="AP646" s="66" t="str">
        <f t="shared" si="548"/>
        <v>X</v>
      </c>
      <c r="AQ646" s="66" t="str">
        <f t="shared" si="549"/>
        <v>X</v>
      </c>
      <c r="AR646" s="66" t="str">
        <f t="shared" si="550"/>
        <v>X</v>
      </c>
      <c r="AS646" s="66" t="str">
        <f t="shared" si="551"/>
        <v>X</v>
      </c>
      <c r="AT646" s="66" t="str">
        <f t="shared" si="552"/>
        <v>X</v>
      </c>
      <c r="AU646" s="66" t="str">
        <f t="shared" si="553"/>
        <v>X</v>
      </c>
      <c r="AV646" s="66" t="str">
        <f t="shared" si="554"/>
        <v>X</v>
      </c>
      <c r="AW646" s="66" t="str">
        <f t="shared" si="555"/>
        <v>X</v>
      </c>
      <c r="AX646" s="66" t="str">
        <f t="shared" si="556"/>
        <v>O</v>
      </c>
      <c r="AY646" s="66" t="str">
        <f t="shared" si="557"/>
        <v>X</v>
      </c>
      <c r="AZ646" s="66" t="str">
        <f t="shared" si="558"/>
        <v>X</v>
      </c>
      <c r="BA646" s="27" t="str">
        <f t="shared" si="559"/>
        <v>X</v>
      </c>
      <c r="BB646" s="27">
        <f t="shared" si="560"/>
        <v>1</v>
      </c>
      <c r="BC646" s="388" t="str">
        <f t="shared" ref="BC646" si="725">VLOOKUP(N646,삼그룹,6,FALSE)</f>
        <v>1G</v>
      </c>
      <c r="BD646" s="388" t="str">
        <f t="shared" ref="BD646" si="726">VLOOKUP(O646,삼그룹,6,FALSE)</f>
        <v>2G</v>
      </c>
      <c r="BE646" s="388" t="str">
        <f t="shared" ref="BE646" si="727">VLOOKUP(P646,삼그룹,6,FALSE)</f>
        <v>3G</v>
      </c>
      <c r="BF646" s="388" t="str">
        <f t="shared" ref="BF646" si="728">VLOOKUP(Q646,삼그룹,6,FALSE)</f>
        <v>3G</v>
      </c>
      <c r="BG646" s="388" t="str">
        <f t="shared" ref="BG646" si="729">VLOOKUP(R646,삼그룹,6,FALSE)</f>
        <v>3G</v>
      </c>
      <c r="BH646" s="388" t="str">
        <f t="shared" ref="BH646" si="730">VLOOKUP(S646,삼그룹,6,FALSE)</f>
        <v>3G</v>
      </c>
      <c r="BI646" s="388">
        <f t="shared" si="568"/>
        <v>1</v>
      </c>
      <c r="BJ646" s="388">
        <f t="shared" si="569"/>
        <v>1</v>
      </c>
      <c r="BK646" s="388">
        <f t="shared" si="570"/>
        <v>4</v>
      </c>
      <c r="BL646" s="388" t="str">
        <f t="shared" ref="BL646" si="731">BI646&amp;BJ646&amp;BK646</f>
        <v>114</v>
      </c>
      <c r="BS646"/>
    </row>
    <row r="647" spans="2:71" ht="16.5" hidden="1">
      <c r="B647" s="18">
        <v>644</v>
      </c>
      <c r="C647" s="363" t="s">
        <v>1009</v>
      </c>
      <c r="N647" s="28">
        <v>5</v>
      </c>
      <c r="O647" s="28">
        <v>13</v>
      </c>
      <c r="P647" s="28">
        <v>17</v>
      </c>
      <c r="Q647" s="28">
        <v>23</v>
      </c>
      <c r="R647" s="28">
        <v>28</v>
      </c>
      <c r="S647" s="28">
        <v>36</v>
      </c>
      <c r="T647" s="28">
        <v>8</v>
      </c>
      <c r="U647" s="28">
        <f t="shared" si="528"/>
        <v>122</v>
      </c>
      <c r="W647" s="27" t="str">
        <f t="shared" si="529"/>
        <v>홀수</v>
      </c>
      <c r="X647" s="27" t="str">
        <f t="shared" si="530"/>
        <v>홀수</v>
      </c>
      <c r="Y647" s="27" t="str">
        <f t="shared" si="531"/>
        <v>홀수</v>
      </c>
      <c r="Z647" s="27" t="str">
        <f t="shared" si="532"/>
        <v>홀수</v>
      </c>
      <c r="AA647" s="28" t="str">
        <f t="shared" si="533"/>
        <v>짝수</v>
      </c>
      <c r="AB647" s="28" t="str">
        <f t="shared" si="534"/>
        <v>짝수</v>
      </c>
      <c r="AC647" s="27" t="str">
        <f t="shared" si="535"/>
        <v>4 : 2</v>
      </c>
      <c r="AD647" s="32">
        <f t="shared" si="536"/>
        <v>4</v>
      </c>
      <c r="AE647" s="32">
        <f t="shared" si="537"/>
        <v>2</v>
      </c>
      <c r="AF647" s="66" t="str">
        <f t="shared" si="538"/>
        <v>저수</v>
      </c>
      <c r="AG647" s="66" t="str">
        <f t="shared" si="539"/>
        <v>저수</v>
      </c>
      <c r="AH647" s="66" t="str">
        <f t="shared" si="540"/>
        <v>저수</v>
      </c>
      <c r="AI647" s="66" t="str">
        <f t="shared" si="541"/>
        <v>고수</v>
      </c>
      <c r="AJ647" s="66" t="str">
        <f t="shared" si="542"/>
        <v>고수</v>
      </c>
      <c r="AK647" s="66" t="str">
        <f t="shared" si="543"/>
        <v>고수</v>
      </c>
      <c r="AL647" s="66" t="str">
        <f t="shared" si="544"/>
        <v>3 : 3</v>
      </c>
      <c r="AM647" s="27">
        <f t="shared" si="545"/>
        <v>3</v>
      </c>
      <c r="AN647" s="27">
        <f t="shared" si="546"/>
        <v>3</v>
      </c>
      <c r="AO647" s="27">
        <f t="shared" si="547"/>
        <v>32</v>
      </c>
      <c r="AP647" s="66" t="str">
        <f t="shared" si="548"/>
        <v>O</v>
      </c>
      <c r="AQ647" s="66" t="str">
        <f t="shared" si="549"/>
        <v>O</v>
      </c>
      <c r="AR647" s="66" t="str">
        <f t="shared" si="550"/>
        <v>O</v>
      </c>
      <c r="AS647" s="66" t="str">
        <f t="shared" si="551"/>
        <v>X</v>
      </c>
      <c r="AT647" s="66" t="str">
        <f t="shared" si="552"/>
        <v>X</v>
      </c>
      <c r="AU647" s="66" t="str">
        <f t="shared" si="553"/>
        <v>X</v>
      </c>
      <c r="AV647" s="66" t="str">
        <f t="shared" si="554"/>
        <v>X</v>
      </c>
      <c r="AW647" s="66" t="str">
        <f t="shared" si="555"/>
        <v>X</v>
      </c>
      <c r="AX647" s="66" t="str">
        <f t="shared" si="556"/>
        <v>X</v>
      </c>
      <c r="AY647" s="66" t="str">
        <f t="shared" si="557"/>
        <v>O</v>
      </c>
      <c r="AZ647" s="66" t="str">
        <f t="shared" si="558"/>
        <v>X</v>
      </c>
      <c r="BA647" s="27" t="str">
        <f t="shared" si="559"/>
        <v>X</v>
      </c>
      <c r="BB647" s="27">
        <f t="shared" si="560"/>
        <v>4</v>
      </c>
      <c r="BC647" s="389" t="str">
        <f t="shared" ref="BC647" si="732">VLOOKUP(N647,삼그룹,6,FALSE)</f>
        <v>1G</v>
      </c>
      <c r="BD647" s="389" t="str">
        <f t="shared" ref="BD647" si="733">VLOOKUP(O647,삼그룹,6,FALSE)</f>
        <v>1G</v>
      </c>
      <c r="BE647" s="389" t="str">
        <f t="shared" ref="BE647" si="734">VLOOKUP(P647,삼그룹,6,FALSE)</f>
        <v>2G</v>
      </c>
      <c r="BF647" s="389" t="str">
        <f t="shared" ref="BF647" si="735">VLOOKUP(Q647,삼그룹,6,FALSE)</f>
        <v>2G</v>
      </c>
      <c r="BG647" s="389" t="str">
        <f t="shared" ref="BG647" si="736">VLOOKUP(R647,삼그룹,6,FALSE)</f>
        <v>2G</v>
      </c>
      <c r="BH647" s="389" t="str">
        <f t="shared" ref="BH647" si="737">VLOOKUP(S647,삼그룹,6,FALSE)</f>
        <v>3G</v>
      </c>
      <c r="BI647" s="389">
        <f t="shared" si="568"/>
        <v>2</v>
      </c>
      <c r="BJ647" s="389">
        <f t="shared" si="569"/>
        <v>3</v>
      </c>
      <c r="BK647" s="389">
        <f t="shared" si="570"/>
        <v>1</v>
      </c>
      <c r="BL647" s="389" t="str">
        <f t="shared" ref="BL647" si="738">BI647&amp;BJ647&amp;BK647</f>
        <v>231</v>
      </c>
      <c r="BS647"/>
    </row>
    <row r="648" spans="2:71" ht="16.5" hidden="1">
      <c r="B648" s="18">
        <v>645</v>
      </c>
      <c r="C648" s="363" t="s">
        <v>1010</v>
      </c>
      <c r="N648" s="28">
        <v>1</v>
      </c>
      <c r="O648" s="28">
        <v>4</v>
      </c>
      <c r="P648" s="28">
        <v>16</v>
      </c>
      <c r="Q648" s="28">
        <v>26</v>
      </c>
      <c r="R648" s="28">
        <v>40</v>
      </c>
      <c r="S648" s="28">
        <v>41</v>
      </c>
      <c r="T648" s="28">
        <v>31</v>
      </c>
      <c r="U648" s="28">
        <f t="shared" si="528"/>
        <v>128</v>
      </c>
      <c r="W648" s="27" t="str">
        <f t="shared" si="529"/>
        <v>홀수</v>
      </c>
      <c r="X648" s="27" t="str">
        <f t="shared" si="530"/>
        <v>짝수</v>
      </c>
      <c r="Y648" s="27" t="str">
        <f t="shared" si="531"/>
        <v>짝수</v>
      </c>
      <c r="Z648" s="27" t="str">
        <f t="shared" si="532"/>
        <v>짝수</v>
      </c>
      <c r="AA648" s="28" t="str">
        <f t="shared" si="533"/>
        <v>짝수</v>
      </c>
      <c r="AB648" s="28" t="str">
        <f t="shared" si="534"/>
        <v>홀수</v>
      </c>
      <c r="AC648" s="27" t="str">
        <f t="shared" si="535"/>
        <v>2 : 4</v>
      </c>
      <c r="AD648" s="32">
        <f t="shared" si="536"/>
        <v>2</v>
      </c>
      <c r="AE648" s="32">
        <f t="shared" si="537"/>
        <v>4</v>
      </c>
      <c r="AF648" s="66" t="str">
        <f t="shared" si="538"/>
        <v>저수</v>
      </c>
      <c r="AG648" s="66" t="str">
        <f t="shared" si="539"/>
        <v>저수</v>
      </c>
      <c r="AH648" s="66" t="str">
        <f t="shared" si="540"/>
        <v>저수</v>
      </c>
      <c r="AI648" s="66" t="str">
        <f t="shared" si="541"/>
        <v>고수</v>
      </c>
      <c r="AJ648" s="66" t="str">
        <f t="shared" si="542"/>
        <v>고수</v>
      </c>
      <c r="AK648" s="66" t="str">
        <f t="shared" si="543"/>
        <v>고수</v>
      </c>
      <c r="AL648" s="66" t="str">
        <f t="shared" si="544"/>
        <v>3 : 3</v>
      </c>
      <c r="AM648" s="27">
        <f t="shared" si="545"/>
        <v>3</v>
      </c>
      <c r="AN648" s="27">
        <f t="shared" si="546"/>
        <v>3</v>
      </c>
      <c r="AO648" s="27">
        <f t="shared" si="547"/>
        <v>18</v>
      </c>
      <c r="AP648" s="66" t="str">
        <f t="shared" si="548"/>
        <v>X</v>
      </c>
      <c r="AQ648" s="66" t="str">
        <f t="shared" si="549"/>
        <v>X</v>
      </c>
      <c r="AR648" s="66" t="str">
        <f t="shared" si="550"/>
        <v>X</v>
      </c>
      <c r="AS648" s="66" t="str">
        <f t="shared" si="551"/>
        <v>X</v>
      </c>
      <c r="AT648" s="66" t="str">
        <f t="shared" si="552"/>
        <v>X</v>
      </c>
      <c r="AU648" s="66" t="str">
        <f t="shared" si="553"/>
        <v>X</v>
      </c>
      <c r="AV648" s="66" t="str">
        <f t="shared" si="554"/>
        <v>X</v>
      </c>
      <c r="AW648" s="66" t="str">
        <f t="shared" si="555"/>
        <v>X</v>
      </c>
      <c r="AX648" s="66" t="str">
        <f t="shared" si="556"/>
        <v>X</v>
      </c>
      <c r="AY648" s="66" t="str">
        <f t="shared" si="557"/>
        <v>X</v>
      </c>
      <c r="AZ648" s="66" t="str">
        <f t="shared" si="558"/>
        <v>X</v>
      </c>
      <c r="BA648" s="27" t="str">
        <f t="shared" si="559"/>
        <v>O</v>
      </c>
      <c r="BB648" s="27">
        <f t="shared" si="560"/>
        <v>1</v>
      </c>
      <c r="BC648" s="390" t="str">
        <f t="shared" ref="BC648" si="739">VLOOKUP(N648,삼그룹,6,FALSE)</f>
        <v>1G</v>
      </c>
      <c r="BD648" s="390" t="str">
        <f t="shared" ref="BD648" si="740">VLOOKUP(O648,삼그룹,6,FALSE)</f>
        <v>1G</v>
      </c>
      <c r="BE648" s="390" t="str">
        <f t="shared" ref="BE648" si="741">VLOOKUP(P648,삼그룹,6,FALSE)</f>
        <v>2G</v>
      </c>
      <c r="BF648" s="390" t="str">
        <f t="shared" ref="BF648" si="742">VLOOKUP(Q648,삼그룹,6,FALSE)</f>
        <v>2G</v>
      </c>
      <c r="BG648" s="390" t="str">
        <f t="shared" ref="BG648" si="743">VLOOKUP(R648,삼그룹,6,FALSE)</f>
        <v>3G</v>
      </c>
      <c r="BH648" s="390" t="str">
        <f t="shared" ref="BH648" si="744">VLOOKUP(S648,삼그룹,6,FALSE)</f>
        <v>3G</v>
      </c>
      <c r="BI648" s="390">
        <f t="shared" si="568"/>
        <v>2</v>
      </c>
      <c r="BJ648" s="390">
        <f t="shared" si="569"/>
        <v>2</v>
      </c>
      <c r="BK648" s="390">
        <f t="shared" si="570"/>
        <v>2</v>
      </c>
      <c r="BL648" s="390" t="str">
        <f t="shared" ref="BL648" si="745">BI648&amp;BJ648&amp;BK648</f>
        <v>222</v>
      </c>
      <c r="BS648"/>
    </row>
    <row r="649" spans="2:71" ht="16.5" hidden="1">
      <c r="B649" s="18">
        <v>646</v>
      </c>
      <c r="C649" s="363" t="s">
        <v>1011</v>
      </c>
      <c r="N649" s="28">
        <v>2</v>
      </c>
      <c r="O649" s="28">
        <v>9</v>
      </c>
      <c r="P649" s="28">
        <v>24</v>
      </c>
      <c r="Q649" s="28">
        <v>41</v>
      </c>
      <c r="R649" s="28">
        <v>43</v>
      </c>
      <c r="S649" s="28">
        <v>45</v>
      </c>
      <c r="T649" s="28">
        <v>30</v>
      </c>
      <c r="U649" s="28">
        <f t="shared" si="528"/>
        <v>164</v>
      </c>
      <c r="W649" s="27" t="str">
        <f t="shared" si="529"/>
        <v>짝수</v>
      </c>
      <c r="X649" s="27" t="str">
        <f t="shared" si="530"/>
        <v>홀수</v>
      </c>
      <c r="Y649" s="27" t="str">
        <f t="shared" si="531"/>
        <v>짝수</v>
      </c>
      <c r="Z649" s="27" t="str">
        <f t="shared" si="532"/>
        <v>홀수</v>
      </c>
      <c r="AA649" s="28" t="str">
        <f t="shared" si="533"/>
        <v>홀수</v>
      </c>
      <c r="AB649" s="28" t="str">
        <f t="shared" si="534"/>
        <v>홀수</v>
      </c>
      <c r="AC649" s="27" t="str">
        <f t="shared" si="535"/>
        <v>4 : 2</v>
      </c>
      <c r="AD649" s="32">
        <f t="shared" si="536"/>
        <v>4</v>
      </c>
      <c r="AE649" s="32">
        <f t="shared" si="537"/>
        <v>2</v>
      </c>
      <c r="AF649" s="66" t="str">
        <f t="shared" si="538"/>
        <v>저수</v>
      </c>
      <c r="AG649" s="66" t="str">
        <f t="shared" si="539"/>
        <v>저수</v>
      </c>
      <c r="AH649" s="66" t="str">
        <f t="shared" si="540"/>
        <v>고수</v>
      </c>
      <c r="AI649" s="66" t="str">
        <f t="shared" si="541"/>
        <v>고수</v>
      </c>
      <c r="AJ649" s="66" t="str">
        <f t="shared" si="542"/>
        <v>고수</v>
      </c>
      <c r="AK649" s="66" t="str">
        <f t="shared" si="543"/>
        <v>고수</v>
      </c>
      <c r="AL649" s="66" t="str">
        <f t="shared" si="544"/>
        <v>2 : 4</v>
      </c>
      <c r="AM649" s="27">
        <f t="shared" si="545"/>
        <v>2</v>
      </c>
      <c r="AN649" s="27">
        <f t="shared" si="546"/>
        <v>4</v>
      </c>
      <c r="AO649" s="27">
        <f t="shared" si="547"/>
        <v>24</v>
      </c>
      <c r="AP649" s="66" t="str">
        <f t="shared" si="548"/>
        <v>O</v>
      </c>
      <c r="AQ649" s="66" t="str">
        <f t="shared" si="549"/>
        <v>X</v>
      </c>
      <c r="AR649" s="66" t="str">
        <f t="shared" si="550"/>
        <v>X</v>
      </c>
      <c r="AS649" s="66" t="str">
        <f t="shared" si="551"/>
        <v>X</v>
      </c>
      <c r="AT649" s="66" t="str">
        <f t="shared" si="552"/>
        <v>X</v>
      </c>
      <c r="AU649" s="66" t="str">
        <f t="shared" si="553"/>
        <v>X</v>
      </c>
      <c r="AV649" s="66" t="str">
        <f t="shared" si="554"/>
        <v>X</v>
      </c>
      <c r="AW649" s="66" t="str">
        <f t="shared" si="555"/>
        <v>X</v>
      </c>
      <c r="AX649" s="66" t="str">
        <f t="shared" si="556"/>
        <v>X</v>
      </c>
      <c r="AY649" s="66" t="str">
        <f t="shared" si="557"/>
        <v>O</v>
      </c>
      <c r="AZ649" s="66" t="str">
        <f t="shared" si="558"/>
        <v>O</v>
      </c>
      <c r="BA649" s="27" t="str">
        <f t="shared" si="559"/>
        <v>X</v>
      </c>
      <c r="BB649" s="27">
        <f t="shared" si="560"/>
        <v>3</v>
      </c>
      <c r="BC649" s="391" t="str">
        <f t="shared" ref="BC649" si="746">VLOOKUP(N649,삼그룹,6,FALSE)</f>
        <v>1G</v>
      </c>
      <c r="BD649" s="391" t="str">
        <f t="shared" ref="BD649" si="747">VLOOKUP(O649,삼그룹,6,FALSE)</f>
        <v>1G</v>
      </c>
      <c r="BE649" s="391" t="str">
        <f t="shared" ref="BE649" si="748">VLOOKUP(P649,삼그룹,6,FALSE)</f>
        <v>2G</v>
      </c>
      <c r="BF649" s="391" t="str">
        <f t="shared" ref="BF649" si="749">VLOOKUP(Q649,삼그룹,6,FALSE)</f>
        <v>3G</v>
      </c>
      <c r="BG649" s="391" t="str">
        <f t="shared" ref="BG649" si="750">VLOOKUP(R649,삼그룹,6,FALSE)</f>
        <v>3G</v>
      </c>
      <c r="BH649" s="391" t="str">
        <f t="shared" ref="BH649" si="751">VLOOKUP(S649,삼그룹,6,FALSE)</f>
        <v>3G</v>
      </c>
      <c r="BI649" s="391">
        <f t="shared" si="568"/>
        <v>2</v>
      </c>
      <c r="BJ649" s="391">
        <f t="shared" si="569"/>
        <v>1</v>
      </c>
      <c r="BK649" s="391">
        <f t="shared" si="570"/>
        <v>3</v>
      </c>
      <c r="BL649" s="391" t="str">
        <f t="shared" ref="BL649" si="752">BI649&amp;BJ649&amp;BK649</f>
        <v>213</v>
      </c>
      <c r="BS649"/>
    </row>
    <row r="650" spans="2:71" ht="16.5" hidden="1">
      <c r="B650" s="18">
        <v>647</v>
      </c>
      <c r="C650" s="363" t="s">
        <v>1012</v>
      </c>
      <c r="N650" s="28">
        <v>5</v>
      </c>
      <c r="O650" s="28">
        <v>16</v>
      </c>
      <c r="P650" s="28">
        <v>21</v>
      </c>
      <c r="Q650" s="28">
        <v>23</v>
      </c>
      <c r="R650" s="28">
        <v>24</v>
      </c>
      <c r="S650" s="28">
        <v>30</v>
      </c>
      <c r="T650" s="28">
        <v>29</v>
      </c>
      <c r="U650" s="28">
        <f t="shared" si="528"/>
        <v>119</v>
      </c>
      <c r="W650" s="27" t="str">
        <f t="shared" si="529"/>
        <v>홀수</v>
      </c>
      <c r="X650" s="27" t="str">
        <f t="shared" si="530"/>
        <v>짝수</v>
      </c>
      <c r="Y650" s="27" t="str">
        <f t="shared" si="531"/>
        <v>홀수</v>
      </c>
      <c r="Z650" s="27" t="str">
        <f t="shared" si="532"/>
        <v>홀수</v>
      </c>
      <c r="AA650" s="28" t="str">
        <f t="shared" si="533"/>
        <v>짝수</v>
      </c>
      <c r="AB650" s="28" t="str">
        <f t="shared" si="534"/>
        <v>짝수</v>
      </c>
      <c r="AC650" s="27" t="str">
        <f t="shared" si="535"/>
        <v>3 : 3</v>
      </c>
      <c r="AD650" s="32">
        <f t="shared" si="536"/>
        <v>3</v>
      </c>
      <c r="AE650" s="32">
        <f t="shared" si="537"/>
        <v>3</v>
      </c>
      <c r="AF650" s="66" t="str">
        <f t="shared" si="538"/>
        <v>저수</v>
      </c>
      <c r="AG650" s="66" t="str">
        <f t="shared" si="539"/>
        <v>저수</v>
      </c>
      <c r="AH650" s="66" t="str">
        <f t="shared" si="540"/>
        <v>저수</v>
      </c>
      <c r="AI650" s="66" t="str">
        <f t="shared" si="541"/>
        <v>고수</v>
      </c>
      <c r="AJ650" s="66" t="str">
        <f t="shared" si="542"/>
        <v>고수</v>
      </c>
      <c r="AK650" s="66" t="str">
        <f t="shared" si="543"/>
        <v>고수</v>
      </c>
      <c r="AL650" s="66" t="str">
        <f t="shared" si="544"/>
        <v>3 : 3</v>
      </c>
      <c r="AM650" s="27">
        <f t="shared" si="545"/>
        <v>3</v>
      </c>
      <c r="AN650" s="27">
        <f t="shared" si="546"/>
        <v>3</v>
      </c>
      <c r="AO650" s="27">
        <f t="shared" si="547"/>
        <v>19</v>
      </c>
      <c r="AP650" s="66" t="str">
        <f t="shared" si="548"/>
        <v>O</v>
      </c>
      <c r="AQ650" s="66" t="str">
        <f t="shared" si="549"/>
        <v>X</v>
      </c>
      <c r="AR650" s="66" t="str">
        <f t="shared" si="550"/>
        <v>X</v>
      </c>
      <c r="AS650" s="66" t="str">
        <f t="shared" si="551"/>
        <v>X</v>
      </c>
      <c r="AT650" s="66" t="str">
        <f t="shared" si="552"/>
        <v>X</v>
      </c>
      <c r="AU650" s="66" t="str">
        <f t="shared" si="553"/>
        <v>X</v>
      </c>
      <c r="AV650" s="66" t="str">
        <f t="shared" si="554"/>
        <v>X</v>
      </c>
      <c r="AW650" s="66" t="str">
        <f t="shared" si="555"/>
        <v>X</v>
      </c>
      <c r="AX650" s="66" t="str">
        <f t="shared" si="556"/>
        <v>X</v>
      </c>
      <c r="AY650" s="66" t="str">
        <f t="shared" si="557"/>
        <v>O</v>
      </c>
      <c r="AZ650" s="66" t="str">
        <f t="shared" si="558"/>
        <v>X</v>
      </c>
      <c r="BA650" s="27" t="str">
        <f t="shared" si="559"/>
        <v>X</v>
      </c>
      <c r="BB650" s="27">
        <f t="shared" si="560"/>
        <v>2</v>
      </c>
      <c r="BC650" s="392" t="str">
        <f t="shared" ref="BC650" si="753">VLOOKUP(N650,삼그룹,6,FALSE)</f>
        <v>1G</v>
      </c>
      <c r="BD650" s="392" t="str">
        <f t="shared" ref="BD650" si="754">VLOOKUP(O650,삼그룹,6,FALSE)</f>
        <v>2G</v>
      </c>
      <c r="BE650" s="392" t="str">
        <f t="shared" ref="BE650" si="755">VLOOKUP(P650,삼그룹,6,FALSE)</f>
        <v>2G</v>
      </c>
      <c r="BF650" s="392" t="str">
        <f t="shared" ref="BF650" si="756">VLOOKUP(Q650,삼그룹,6,FALSE)</f>
        <v>2G</v>
      </c>
      <c r="BG650" s="392" t="str">
        <f t="shared" ref="BG650" si="757">VLOOKUP(R650,삼그룹,6,FALSE)</f>
        <v>2G</v>
      </c>
      <c r="BH650" s="392" t="str">
        <f t="shared" ref="BH650" si="758">VLOOKUP(S650,삼그룹,6,FALSE)</f>
        <v>2G</v>
      </c>
      <c r="BI650" s="392">
        <f t="shared" si="568"/>
        <v>1</v>
      </c>
      <c r="BJ650" s="392">
        <f t="shared" si="569"/>
        <v>5</v>
      </c>
      <c r="BK650" s="392">
        <f t="shared" si="570"/>
        <v>0</v>
      </c>
      <c r="BL650" s="392" t="str">
        <f t="shared" ref="BL650" si="759">BI650&amp;BJ650&amp;BK650</f>
        <v>150</v>
      </c>
      <c r="BS650"/>
    </row>
    <row r="651" spans="2:71" ht="16.5" hidden="1">
      <c r="B651" s="18">
        <v>648</v>
      </c>
      <c r="C651" s="363" t="s">
        <v>1013</v>
      </c>
      <c r="N651" s="28">
        <v>13</v>
      </c>
      <c r="O651" s="28">
        <v>19</v>
      </c>
      <c r="P651" s="28">
        <v>28</v>
      </c>
      <c r="Q651" s="28">
        <v>37</v>
      </c>
      <c r="R651" s="28">
        <v>38</v>
      </c>
      <c r="S651" s="28">
        <v>43</v>
      </c>
      <c r="T651" s="28">
        <v>4</v>
      </c>
      <c r="U651" s="28">
        <f t="shared" si="528"/>
        <v>178</v>
      </c>
      <c r="W651" s="27" t="str">
        <f t="shared" si="529"/>
        <v>홀수</v>
      </c>
      <c r="X651" s="27" t="str">
        <f t="shared" si="530"/>
        <v>홀수</v>
      </c>
      <c r="Y651" s="27" t="str">
        <f t="shared" si="531"/>
        <v>짝수</v>
      </c>
      <c r="Z651" s="27" t="str">
        <f t="shared" si="532"/>
        <v>홀수</v>
      </c>
      <c r="AA651" s="28" t="str">
        <f t="shared" si="533"/>
        <v>짝수</v>
      </c>
      <c r="AB651" s="28" t="str">
        <f t="shared" si="534"/>
        <v>홀수</v>
      </c>
      <c r="AC651" s="27" t="str">
        <f t="shared" si="535"/>
        <v>4 : 2</v>
      </c>
      <c r="AD651" s="32">
        <f t="shared" si="536"/>
        <v>4</v>
      </c>
      <c r="AE651" s="32">
        <f t="shared" si="537"/>
        <v>2</v>
      </c>
      <c r="AF651" s="66" t="str">
        <f t="shared" si="538"/>
        <v>저수</v>
      </c>
      <c r="AG651" s="66" t="str">
        <f t="shared" si="539"/>
        <v>저수</v>
      </c>
      <c r="AH651" s="66" t="str">
        <f t="shared" si="540"/>
        <v>고수</v>
      </c>
      <c r="AI651" s="66" t="str">
        <f t="shared" si="541"/>
        <v>고수</v>
      </c>
      <c r="AJ651" s="66" t="str">
        <f t="shared" si="542"/>
        <v>고수</v>
      </c>
      <c r="AK651" s="66" t="str">
        <f t="shared" si="543"/>
        <v>고수</v>
      </c>
      <c r="AL651" s="66" t="str">
        <f t="shared" si="544"/>
        <v>2 : 4</v>
      </c>
      <c r="AM651" s="27">
        <f t="shared" si="545"/>
        <v>2</v>
      </c>
      <c r="AN651" s="27">
        <f t="shared" si="546"/>
        <v>4</v>
      </c>
      <c r="AO651" s="27">
        <f t="shared" si="547"/>
        <v>38</v>
      </c>
      <c r="AP651" s="66" t="str">
        <f t="shared" si="548"/>
        <v>O</v>
      </c>
      <c r="AQ651" s="66" t="str">
        <f t="shared" si="549"/>
        <v>O</v>
      </c>
      <c r="AR651" s="66" t="str">
        <f t="shared" si="550"/>
        <v>X</v>
      </c>
      <c r="AS651" s="66" t="str">
        <f t="shared" si="551"/>
        <v>X</v>
      </c>
      <c r="AT651" s="66" t="str">
        <f t="shared" si="552"/>
        <v>X</v>
      </c>
      <c r="AU651" s="66" t="str">
        <f t="shared" si="553"/>
        <v>X</v>
      </c>
      <c r="AV651" s="66" t="str">
        <f t="shared" si="554"/>
        <v>X</v>
      </c>
      <c r="AW651" s="66" t="str">
        <f t="shared" si="555"/>
        <v>X</v>
      </c>
      <c r="AX651" s="66" t="str">
        <f t="shared" si="556"/>
        <v>X</v>
      </c>
      <c r="AY651" s="66" t="str">
        <f t="shared" si="557"/>
        <v>O</v>
      </c>
      <c r="AZ651" s="66" t="str">
        <f t="shared" si="558"/>
        <v>X</v>
      </c>
      <c r="BA651" s="27" t="str">
        <f t="shared" si="559"/>
        <v>O</v>
      </c>
      <c r="BB651" s="27">
        <f t="shared" si="560"/>
        <v>4</v>
      </c>
      <c r="BC651" s="393" t="str">
        <f t="shared" ref="BC651" si="760">VLOOKUP(N651,삼그룹,6,FALSE)</f>
        <v>1G</v>
      </c>
      <c r="BD651" s="393" t="str">
        <f t="shared" ref="BD651" si="761">VLOOKUP(O651,삼그룹,6,FALSE)</f>
        <v>2G</v>
      </c>
      <c r="BE651" s="393" t="str">
        <f t="shared" ref="BE651" si="762">VLOOKUP(P651,삼그룹,6,FALSE)</f>
        <v>2G</v>
      </c>
      <c r="BF651" s="393" t="str">
        <f t="shared" ref="BF651" si="763">VLOOKUP(Q651,삼그룹,6,FALSE)</f>
        <v>3G</v>
      </c>
      <c r="BG651" s="393" t="str">
        <f t="shared" ref="BG651" si="764">VLOOKUP(R651,삼그룹,6,FALSE)</f>
        <v>3G</v>
      </c>
      <c r="BH651" s="393" t="str">
        <f t="shared" ref="BH651" si="765">VLOOKUP(S651,삼그룹,6,FALSE)</f>
        <v>3G</v>
      </c>
      <c r="BI651" s="393">
        <f t="shared" si="568"/>
        <v>1</v>
      </c>
      <c r="BJ651" s="393">
        <f t="shared" si="569"/>
        <v>2</v>
      </c>
      <c r="BK651" s="393">
        <f t="shared" si="570"/>
        <v>3</v>
      </c>
      <c r="BL651" s="393" t="str">
        <f t="shared" ref="BL651" si="766">BI651&amp;BJ651&amp;BK651</f>
        <v>123</v>
      </c>
      <c r="BS651"/>
    </row>
    <row r="652" spans="2:71" ht="16.5" hidden="1">
      <c r="B652" s="360">
        <v>649</v>
      </c>
      <c r="C652" s="363" t="s">
        <v>1014</v>
      </c>
      <c r="N652" s="28">
        <v>3</v>
      </c>
      <c r="O652" s="28">
        <v>21</v>
      </c>
      <c r="P652" s="28">
        <v>22</v>
      </c>
      <c r="Q652" s="28">
        <v>33</v>
      </c>
      <c r="R652" s="28">
        <v>41</v>
      </c>
      <c r="S652" s="28">
        <v>42</v>
      </c>
      <c r="T652" s="28">
        <v>20</v>
      </c>
      <c r="U652" s="28">
        <f t="shared" si="528"/>
        <v>162</v>
      </c>
      <c r="W652" s="27" t="str">
        <f t="shared" si="529"/>
        <v>홀수</v>
      </c>
      <c r="X652" s="27" t="str">
        <f t="shared" si="530"/>
        <v>홀수</v>
      </c>
      <c r="Y652" s="27" t="str">
        <f t="shared" si="531"/>
        <v>짝수</v>
      </c>
      <c r="Z652" s="27" t="str">
        <f t="shared" si="532"/>
        <v>홀수</v>
      </c>
      <c r="AA652" s="28" t="str">
        <f t="shared" si="533"/>
        <v>홀수</v>
      </c>
      <c r="AB652" s="28" t="str">
        <f t="shared" si="534"/>
        <v>짝수</v>
      </c>
      <c r="AC652" s="27" t="str">
        <f t="shared" si="535"/>
        <v>4 : 2</v>
      </c>
      <c r="AD652" s="32">
        <f t="shared" si="536"/>
        <v>4</v>
      </c>
      <c r="AE652" s="32">
        <f t="shared" si="537"/>
        <v>2</v>
      </c>
      <c r="AF652" s="66" t="str">
        <f t="shared" si="538"/>
        <v>저수</v>
      </c>
      <c r="AG652" s="66" t="str">
        <f t="shared" si="539"/>
        <v>저수</v>
      </c>
      <c r="AH652" s="66" t="str">
        <f t="shared" si="540"/>
        <v>저수</v>
      </c>
      <c r="AI652" s="66" t="str">
        <f t="shared" si="541"/>
        <v>고수</v>
      </c>
      <c r="AJ652" s="66" t="str">
        <f t="shared" si="542"/>
        <v>고수</v>
      </c>
      <c r="AK652" s="66" t="str">
        <f t="shared" si="543"/>
        <v>고수</v>
      </c>
      <c r="AL652" s="66" t="str">
        <f t="shared" si="544"/>
        <v>3 : 3</v>
      </c>
      <c r="AM652" s="27">
        <f t="shared" si="545"/>
        <v>3</v>
      </c>
      <c r="AN652" s="27">
        <f t="shared" si="546"/>
        <v>3</v>
      </c>
      <c r="AO652" s="27">
        <f t="shared" si="547"/>
        <v>12</v>
      </c>
      <c r="AP652" s="66" t="str">
        <f t="shared" si="548"/>
        <v>O</v>
      </c>
      <c r="AQ652" s="66" t="str">
        <f t="shared" si="549"/>
        <v>X</v>
      </c>
      <c r="AR652" s="66" t="str">
        <f t="shared" si="550"/>
        <v>X</v>
      </c>
      <c r="AS652" s="66" t="str">
        <f t="shared" si="551"/>
        <v>X</v>
      </c>
      <c r="AT652" s="66" t="str">
        <f t="shared" si="552"/>
        <v>X</v>
      </c>
      <c r="AU652" s="66" t="str">
        <f t="shared" si="553"/>
        <v>X</v>
      </c>
      <c r="AV652" s="66" t="str">
        <f t="shared" si="554"/>
        <v>X</v>
      </c>
      <c r="AW652" s="66" t="str">
        <f t="shared" si="555"/>
        <v>X</v>
      </c>
      <c r="AX652" s="66" t="str">
        <f t="shared" si="556"/>
        <v>X</v>
      </c>
      <c r="AY652" s="66" t="str">
        <f t="shared" si="557"/>
        <v>X</v>
      </c>
      <c r="AZ652" s="66" t="str">
        <f t="shared" si="558"/>
        <v>O</v>
      </c>
      <c r="BA652" s="27" t="str">
        <f t="shared" si="559"/>
        <v>X</v>
      </c>
      <c r="BB652" s="27">
        <f t="shared" si="560"/>
        <v>2</v>
      </c>
      <c r="BC652" s="394" t="str">
        <f t="shared" ref="BC652" si="767">VLOOKUP(N652,삼그룹,6,FALSE)</f>
        <v>1G</v>
      </c>
      <c r="BD652" s="394" t="str">
        <f t="shared" ref="BD652" si="768">VLOOKUP(O652,삼그룹,6,FALSE)</f>
        <v>2G</v>
      </c>
      <c r="BE652" s="394" t="str">
        <f t="shared" ref="BE652" si="769">VLOOKUP(P652,삼그룹,6,FALSE)</f>
        <v>2G</v>
      </c>
      <c r="BF652" s="394" t="str">
        <f t="shared" ref="BF652" si="770">VLOOKUP(Q652,삼그룹,6,FALSE)</f>
        <v>3G</v>
      </c>
      <c r="BG652" s="394" t="str">
        <f t="shared" ref="BG652" si="771">VLOOKUP(R652,삼그룹,6,FALSE)</f>
        <v>3G</v>
      </c>
      <c r="BH652" s="394" t="str">
        <f t="shared" ref="BH652" si="772">VLOOKUP(S652,삼그룹,6,FALSE)</f>
        <v>3G</v>
      </c>
      <c r="BI652" s="394">
        <f t="shared" si="568"/>
        <v>1</v>
      </c>
      <c r="BJ652" s="394">
        <f t="shared" si="569"/>
        <v>2</v>
      </c>
      <c r="BK652" s="394">
        <f t="shared" si="570"/>
        <v>3</v>
      </c>
      <c r="BL652" s="394" t="str">
        <f t="shared" ref="BL652" si="773">BI652&amp;BJ652&amp;BK652</f>
        <v>123</v>
      </c>
      <c r="BS652"/>
    </row>
    <row r="653" spans="2:71" ht="16.5">
      <c r="B653" s="360">
        <v>650</v>
      </c>
      <c r="C653" s="363" t="s">
        <v>1015</v>
      </c>
      <c r="N653" s="28">
        <v>3</v>
      </c>
      <c r="O653" s="28">
        <v>4</v>
      </c>
      <c r="P653" s="28">
        <v>7</v>
      </c>
      <c r="Q653" s="28">
        <v>11</v>
      </c>
      <c r="R653" s="28">
        <v>31</v>
      </c>
      <c r="S653" s="28">
        <v>41</v>
      </c>
      <c r="T653" s="28">
        <v>35</v>
      </c>
      <c r="U653" s="28">
        <f t="shared" si="528"/>
        <v>97</v>
      </c>
      <c r="W653" s="27" t="str">
        <f t="shared" si="529"/>
        <v>홀수</v>
      </c>
      <c r="X653" s="27" t="str">
        <f t="shared" si="530"/>
        <v>짝수</v>
      </c>
      <c r="Y653" s="27" t="str">
        <f t="shared" si="531"/>
        <v>홀수</v>
      </c>
      <c r="Z653" s="27" t="str">
        <f t="shared" si="532"/>
        <v>홀수</v>
      </c>
      <c r="AA653" s="28" t="str">
        <f t="shared" si="533"/>
        <v>홀수</v>
      </c>
      <c r="AB653" s="28" t="str">
        <f t="shared" si="534"/>
        <v>홀수</v>
      </c>
      <c r="AC653" s="27" t="str">
        <f t="shared" si="535"/>
        <v>5 : 1</v>
      </c>
      <c r="AD653" s="32">
        <f t="shared" si="536"/>
        <v>5</v>
      </c>
      <c r="AE653" s="32">
        <f t="shared" si="537"/>
        <v>1</v>
      </c>
      <c r="AF653" s="66" t="str">
        <f t="shared" si="538"/>
        <v>저수</v>
      </c>
      <c r="AG653" s="66" t="str">
        <f t="shared" si="539"/>
        <v>저수</v>
      </c>
      <c r="AH653" s="66" t="str">
        <f t="shared" si="540"/>
        <v>저수</v>
      </c>
      <c r="AI653" s="66" t="str">
        <f t="shared" si="541"/>
        <v>저수</v>
      </c>
      <c r="AJ653" s="66" t="str">
        <f t="shared" si="542"/>
        <v>고수</v>
      </c>
      <c r="AK653" s="66" t="str">
        <f t="shared" si="543"/>
        <v>고수</v>
      </c>
      <c r="AL653" s="66" t="str">
        <f t="shared" si="544"/>
        <v>4 : 2</v>
      </c>
      <c r="AM653" s="27">
        <f t="shared" si="545"/>
        <v>4</v>
      </c>
      <c r="AN653" s="27">
        <f t="shared" si="546"/>
        <v>2</v>
      </c>
      <c r="AO653" s="27">
        <f t="shared" si="547"/>
        <v>17</v>
      </c>
      <c r="AP653" s="66" t="str">
        <f t="shared" si="548"/>
        <v>O</v>
      </c>
      <c r="AQ653" s="66" t="str">
        <f t="shared" si="549"/>
        <v>X</v>
      </c>
      <c r="AR653" s="66" t="str">
        <f t="shared" si="550"/>
        <v>O</v>
      </c>
      <c r="AS653" s="66" t="str">
        <f t="shared" si="551"/>
        <v>O</v>
      </c>
      <c r="AT653" s="66" t="str">
        <f t="shared" si="552"/>
        <v>X</v>
      </c>
      <c r="AU653" s="66" t="str">
        <f t="shared" si="553"/>
        <v>X</v>
      </c>
      <c r="AV653" s="66" t="str">
        <f t="shared" si="554"/>
        <v>X</v>
      </c>
      <c r="AW653" s="66" t="str">
        <f t="shared" si="555"/>
        <v>X</v>
      </c>
      <c r="AX653" s="66" t="str">
        <f t="shared" si="556"/>
        <v>X</v>
      </c>
      <c r="AY653" s="66" t="str">
        <f t="shared" si="557"/>
        <v>X</v>
      </c>
      <c r="AZ653" s="66" t="str">
        <f t="shared" si="558"/>
        <v>O</v>
      </c>
      <c r="BA653" s="27" t="str">
        <f t="shared" si="559"/>
        <v>O</v>
      </c>
      <c r="BB653" s="27">
        <f t="shared" si="560"/>
        <v>5</v>
      </c>
      <c r="BC653" s="395" t="str">
        <f t="shared" ref="BC653" si="774">VLOOKUP(N653,삼그룹,6,FALSE)</f>
        <v>1G</v>
      </c>
      <c r="BD653" s="395" t="str">
        <f t="shared" ref="BD653" si="775">VLOOKUP(O653,삼그룹,6,FALSE)</f>
        <v>1G</v>
      </c>
      <c r="BE653" s="395" t="str">
        <f t="shared" ref="BE653" si="776">VLOOKUP(P653,삼그룹,6,FALSE)</f>
        <v>1G</v>
      </c>
      <c r="BF653" s="395" t="str">
        <f t="shared" ref="BF653" si="777">VLOOKUP(Q653,삼그룹,6,FALSE)</f>
        <v>1G</v>
      </c>
      <c r="BG653" s="395" t="str">
        <f t="shared" ref="BG653" si="778">VLOOKUP(R653,삼그룹,6,FALSE)</f>
        <v>3G</v>
      </c>
      <c r="BH653" s="395" t="str">
        <f t="shared" ref="BH653" si="779">VLOOKUP(S653,삼그룹,6,FALSE)</f>
        <v>3G</v>
      </c>
      <c r="BI653" s="395">
        <f t="shared" si="568"/>
        <v>4</v>
      </c>
      <c r="BJ653" s="395">
        <f t="shared" si="569"/>
        <v>0</v>
      </c>
      <c r="BK653" s="395">
        <f t="shared" si="570"/>
        <v>2</v>
      </c>
      <c r="BL653" s="395" t="str">
        <f t="shared" ref="BL653" si="780">BI653&amp;BJ653&amp;BK653</f>
        <v>402</v>
      </c>
      <c r="BS653"/>
    </row>
    <row r="654" spans="2:71" ht="16.5">
      <c r="B654" s="360">
        <v>651</v>
      </c>
      <c r="C654" s="363" t="s">
        <v>1016</v>
      </c>
      <c r="N654" s="28">
        <v>11</v>
      </c>
      <c r="O654" s="28">
        <v>12</v>
      </c>
      <c r="P654" s="28">
        <v>16</v>
      </c>
      <c r="Q654" s="28">
        <v>26</v>
      </c>
      <c r="R654" s="28">
        <v>29</v>
      </c>
      <c r="S654" s="28">
        <v>44</v>
      </c>
      <c r="T654" s="28">
        <v>18</v>
      </c>
      <c r="U654" s="28">
        <f t="shared" si="528"/>
        <v>138</v>
      </c>
      <c r="W654" s="27" t="str">
        <f t="shared" si="529"/>
        <v>홀수</v>
      </c>
      <c r="X654" s="27" t="str">
        <f t="shared" si="530"/>
        <v>짝수</v>
      </c>
      <c r="Y654" s="27" t="str">
        <f t="shared" si="531"/>
        <v>짝수</v>
      </c>
      <c r="Z654" s="27" t="str">
        <f t="shared" si="532"/>
        <v>짝수</v>
      </c>
      <c r="AA654" s="28" t="str">
        <f t="shared" si="533"/>
        <v>홀수</v>
      </c>
      <c r="AB654" s="28" t="str">
        <f t="shared" si="534"/>
        <v>짝수</v>
      </c>
      <c r="AC654" s="27" t="str">
        <f t="shared" si="535"/>
        <v>2 : 4</v>
      </c>
      <c r="AD654" s="32">
        <f t="shared" si="536"/>
        <v>2</v>
      </c>
      <c r="AE654" s="32">
        <f t="shared" si="537"/>
        <v>4</v>
      </c>
      <c r="AF654" s="66" t="str">
        <f t="shared" si="538"/>
        <v>저수</v>
      </c>
      <c r="AG654" s="66" t="str">
        <f t="shared" si="539"/>
        <v>저수</v>
      </c>
      <c r="AH654" s="66" t="str">
        <f t="shared" si="540"/>
        <v>저수</v>
      </c>
      <c r="AI654" s="66" t="str">
        <f t="shared" si="541"/>
        <v>고수</v>
      </c>
      <c r="AJ654" s="66" t="str">
        <f t="shared" si="542"/>
        <v>고수</v>
      </c>
      <c r="AK654" s="66" t="str">
        <f t="shared" si="543"/>
        <v>고수</v>
      </c>
      <c r="AL654" s="66" t="str">
        <f t="shared" si="544"/>
        <v>3 : 3</v>
      </c>
      <c r="AM654" s="27">
        <f t="shared" si="545"/>
        <v>3</v>
      </c>
      <c r="AN654" s="27">
        <f t="shared" si="546"/>
        <v>3</v>
      </c>
      <c r="AO654" s="27">
        <f t="shared" si="547"/>
        <v>28</v>
      </c>
      <c r="AP654" s="66" t="str">
        <f t="shared" si="548"/>
        <v>O</v>
      </c>
      <c r="AQ654" s="66" t="str">
        <f t="shared" si="549"/>
        <v>X</v>
      </c>
      <c r="AR654" s="66" t="str">
        <f t="shared" si="550"/>
        <v>X</v>
      </c>
      <c r="AS654" s="66" t="str">
        <f t="shared" si="551"/>
        <v>X</v>
      </c>
      <c r="AT654" s="66" t="str">
        <f t="shared" si="552"/>
        <v>X</v>
      </c>
      <c r="AU654" s="66" t="str">
        <f t="shared" si="553"/>
        <v>X</v>
      </c>
      <c r="AV654" s="66" t="str">
        <f t="shared" si="554"/>
        <v>X</v>
      </c>
      <c r="AW654" s="66" t="str">
        <f t="shared" si="555"/>
        <v>X</v>
      </c>
      <c r="AX654" s="66" t="str">
        <f t="shared" si="556"/>
        <v>X</v>
      </c>
      <c r="AY654" s="66" t="str">
        <f t="shared" si="557"/>
        <v>X</v>
      </c>
      <c r="AZ654" s="66" t="str">
        <f t="shared" si="558"/>
        <v>O</v>
      </c>
      <c r="BA654" s="27" t="str">
        <f t="shared" si="559"/>
        <v>X</v>
      </c>
      <c r="BB654" s="27">
        <f t="shared" si="560"/>
        <v>2</v>
      </c>
      <c r="BC654" s="396" t="str">
        <f t="shared" ref="BC654" si="781">VLOOKUP(N654,삼그룹,6,FALSE)</f>
        <v>1G</v>
      </c>
      <c r="BD654" s="396" t="str">
        <f t="shared" ref="BD654" si="782">VLOOKUP(O654,삼그룹,6,FALSE)</f>
        <v>1G</v>
      </c>
      <c r="BE654" s="396" t="str">
        <f t="shared" ref="BE654" si="783">VLOOKUP(P654,삼그룹,6,FALSE)</f>
        <v>2G</v>
      </c>
      <c r="BF654" s="396" t="str">
        <f t="shared" ref="BF654" si="784">VLOOKUP(Q654,삼그룹,6,FALSE)</f>
        <v>2G</v>
      </c>
      <c r="BG654" s="396" t="str">
        <f t="shared" ref="BG654" si="785">VLOOKUP(R654,삼그룹,6,FALSE)</f>
        <v>2G</v>
      </c>
      <c r="BH654" s="396" t="str">
        <f t="shared" ref="BH654" si="786">VLOOKUP(S654,삼그룹,6,FALSE)</f>
        <v>3G</v>
      </c>
      <c r="BI654" s="396">
        <f t="shared" si="568"/>
        <v>2</v>
      </c>
      <c r="BJ654" s="396">
        <f t="shared" si="569"/>
        <v>3</v>
      </c>
      <c r="BK654" s="396">
        <f t="shared" si="570"/>
        <v>1</v>
      </c>
      <c r="BL654" s="396" t="str">
        <f t="shared" ref="BL654" si="787">BI654&amp;BJ654&amp;BK654</f>
        <v>231</v>
      </c>
      <c r="BS654"/>
    </row>
    <row r="655" spans="2:71" ht="16.5">
      <c r="B655" s="360">
        <v>652</v>
      </c>
      <c r="C655" s="363" t="s">
        <v>1017</v>
      </c>
      <c r="N655" s="28">
        <v>3</v>
      </c>
      <c r="O655" s="28">
        <v>13</v>
      </c>
      <c r="P655" s="28">
        <v>15</v>
      </c>
      <c r="Q655" s="28">
        <v>40</v>
      </c>
      <c r="R655" s="28">
        <v>41</v>
      </c>
      <c r="S655" s="28">
        <v>44</v>
      </c>
      <c r="T655" s="28">
        <v>20</v>
      </c>
      <c r="U655" s="28">
        <f t="shared" si="528"/>
        <v>156</v>
      </c>
      <c r="W655" s="27" t="str">
        <f t="shared" si="529"/>
        <v>홀수</v>
      </c>
      <c r="X655" s="27" t="str">
        <f t="shared" si="530"/>
        <v>홀수</v>
      </c>
      <c r="Y655" s="27" t="str">
        <f t="shared" si="531"/>
        <v>홀수</v>
      </c>
      <c r="Z655" s="27" t="str">
        <f t="shared" si="532"/>
        <v>짝수</v>
      </c>
      <c r="AA655" s="28" t="str">
        <f t="shared" si="533"/>
        <v>홀수</v>
      </c>
      <c r="AB655" s="28" t="str">
        <f t="shared" si="534"/>
        <v>짝수</v>
      </c>
      <c r="AC655" s="27" t="str">
        <f t="shared" si="535"/>
        <v>4 : 2</v>
      </c>
      <c r="AD655" s="32">
        <f t="shared" si="536"/>
        <v>4</v>
      </c>
      <c r="AE655" s="32">
        <f t="shared" si="537"/>
        <v>2</v>
      </c>
      <c r="AF655" s="66" t="str">
        <f t="shared" si="538"/>
        <v>저수</v>
      </c>
      <c r="AG655" s="66" t="str">
        <f t="shared" si="539"/>
        <v>저수</v>
      </c>
      <c r="AH655" s="66" t="str">
        <f t="shared" si="540"/>
        <v>저수</v>
      </c>
      <c r="AI655" s="66" t="str">
        <f t="shared" si="541"/>
        <v>고수</v>
      </c>
      <c r="AJ655" s="66" t="str">
        <f t="shared" si="542"/>
        <v>고수</v>
      </c>
      <c r="AK655" s="66" t="str">
        <f t="shared" si="543"/>
        <v>고수</v>
      </c>
      <c r="AL655" s="66" t="str">
        <f t="shared" si="544"/>
        <v>3 : 3</v>
      </c>
      <c r="AM655" s="27">
        <f t="shared" si="545"/>
        <v>3</v>
      </c>
      <c r="AN655" s="27">
        <f t="shared" si="546"/>
        <v>3</v>
      </c>
      <c r="AO655" s="27">
        <f t="shared" si="547"/>
        <v>16</v>
      </c>
      <c r="AP655" s="66" t="str">
        <f t="shared" si="548"/>
        <v>O</v>
      </c>
      <c r="AQ655" s="66" t="str">
        <f t="shared" si="549"/>
        <v>O</v>
      </c>
      <c r="AR655" s="66" t="str">
        <f t="shared" si="550"/>
        <v>X</v>
      </c>
      <c r="AS655" s="66" t="str">
        <f t="shared" si="551"/>
        <v>X</v>
      </c>
      <c r="AT655" s="66" t="str">
        <f t="shared" si="552"/>
        <v>X</v>
      </c>
      <c r="AU655" s="66" t="str">
        <f t="shared" si="553"/>
        <v>X</v>
      </c>
      <c r="AV655" s="66" t="str">
        <f t="shared" si="554"/>
        <v>X</v>
      </c>
      <c r="AW655" s="66" t="str">
        <f t="shared" si="555"/>
        <v>X</v>
      </c>
      <c r="AX655" s="66" t="str">
        <f t="shared" si="556"/>
        <v>X</v>
      </c>
      <c r="AY655" s="66" t="str">
        <f t="shared" si="557"/>
        <v>X</v>
      </c>
      <c r="AZ655" s="66" t="str">
        <f t="shared" si="558"/>
        <v>O</v>
      </c>
      <c r="BA655" s="27" t="str">
        <f t="shared" si="559"/>
        <v>X</v>
      </c>
      <c r="BB655" s="27">
        <f t="shared" si="560"/>
        <v>3</v>
      </c>
      <c r="BC655" s="397" t="str">
        <f t="shared" ref="BC655" si="788">VLOOKUP(N655,삼그룹,6,FALSE)</f>
        <v>1G</v>
      </c>
      <c r="BD655" s="397" t="str">
        <f t="shared" ref="BD655" si="789">VLOOKUP(O655,삼그룹,6,FALSE)</f>
        <v>1G</v>
      </c>
      <c r="BE655" s="397" t="str">
        <f t="shared" ref="BE655" si="790">VLOOKUP(P655,삼그룹,6,FALSE)</f>
        <v>1G</v>
      </c>
      <c r="BF655" s="397" t="str">
        <f t="shared" ref="BF655" si="791">VLOOKUP(Q655,삼그룹,6,FALSE)</f>
        <v>3G</v>
      </c>
      <c r="BG655" s="397" t="str">
        <f t="shared" ref="BG655" si="792">VLOOKUP(R655,삼그룹,6,FALSE)</f>
        <v>3G</v>
      </c>
      <c r="BH655" s="397" t="str">
        <f t="shared" ref="BH655" si="793">VLOOKUP(S655,삼그룹,6,FALSE)</f>
        <v>3G</v>
      </c>
      <c r="BI655" s="397">
        <f t="shared" si="568"/>
        <v>3</v>
      </c>
      <c r="BJ655" s="397">
        <f t="shared" si="569"/>
        <v>0</v>
      </c>
      <c r="BK655" s="397">
        <f t="shared" si="570"/>
        <v>3</v>
      </c>
      <c r="BL655" s="397" t="str">
        <f t="shared" ref="BL655" si="794">BI655&amp;BJ655&amp;BK655</f>
        <v>303</v>
      </c>
      <c r="BS655"/>
    </row>
    <row r="656" spans="2:71" ht="16.5">
      <c r="B656" s="360">
        <v>653</v>
      </c>
      <c r="C656" s="363" t="s">
        <v>1018</v>
      </c>
      <c r="N656" s="28">
        <v>5</v>
      </c>
      <c r="O656" s="28">
        <v>6</v>
      </c>
      <c r="P656" s="28">
        <v>26</v>
      </c>
      <c r="Q656" s="28">
        <v>27</v>
      </c>
      <c r="R656" s="28">
        <v>38</v>
      </c>
      <c r="S656" s="28">
        <v>39</v>
      </c>
      <c r="T656" s="28">
        <v>1</v>
      </c>
      <c r="U656" s="28">
        <f t="shared" si="528"/>
        <v>141</v>
      </c>
      <c r="W656" s="27" t="str">
        <f t="shared" si="529"/>
        <v>홀수</v>
      </c>
      <c r="X656" s="27" t="str">
        <f t="shared" si="530"/>
        <v>짝수</v>
      </c>
      <c r="Y656" s="27" t="str">
        <f t="shared" si="531"/>
        <v>짝수</v>
      </c>
      <c r="Z656" s="27" t="str">
        <f t="shared" si="532"/>
        <v>홀수</v>
      </c>
      <c r="AA656" s="28" t="str">
        <f t="shared" si="533"/>
        <v>짝수</v>
      </c>
      <c r="AB656" s="28" t="str">
        <f t="shared" si="534"/>
        <v>홀수</v>
      </c>
      <c r="AC656" s="27" t="str">
        <f t="shared" si="535"/>
        <v>3 : 3</v>
      </c>
      <c r="AD656" s="32">
        <f t="shared" si="536"/>
        <v>3</v>
      </c>
      <c r="AE656" s="32">
        <f t="shared" si="537"/>
        <v>3</v>
      </c>
      <c r="AF656" s="66" t="str">
        <f t="shared" si="538"/>
        <v>저수</v>
      </c>
      <c r="AG656" s="66" t="str">
        <f t="shared" si="539"/>
        <v>저수</v>
      </c>
      <c r="AH656" s="66" t="str">
        <f t="shared" si="540"/>
        <v>고수</v>
      </c>
      <c r="AI656" s="66" t="str">
        <f t="shared" si="541"/>
        <v>고수</v>
      </c>
      <c r="AJ656" s="66" t="str">
        <f t="shared" si="542"/>
        <v>고수</v>
      </c>
      <c r="AK656" s="66" t="str">
        <f t="shared" si="543"/>
        <v>고수</v>
      </c>
      <c r="AL656" s="66" t="str">
        <f t="shared" si="544"/>
        <v>2 : 4</v>
      </c>
      <c r="AM656" s="27">
        <f t="shared" si="545"/>
        <v>2</v>
      </c>
      <c r="AN656" s="27">
        <f t="shared" si="546"/>
        <v>4</v>
      </c>
      <c r="AO656" s="27">
        <f t="shared" si="547"/>
        <v>41</v>
      </c>
      <c r="AP656" s="66" t="str">
        <f t="shared" si="548"/>
        <v>O</v>
      </c>
      <c r="AQ656" s="66" t="str">
        <f t="shared" si="549"/>
        <v>X</v>
      </c>
      <c r="AR656" s="66" t="str">
        <f t="shared" si="550"/>
        <v>X</v>
      </c>
      <c r="AS656" s="66" t="str">
        <f t="shared" si="551"/>
        <v>X</v>
      </c>
      <c r="AT656" s="66" t="str">
        <f t="shared" si="552"/>
        <v>X</v>
      </c>
      <c r="AU656" s="66" t="str">
        <f t="shared" si="553"/>
        <v>X</v>
      </c>
      <c r="AV656" s="66" t="str">
        <f t="shared" si="554"/>
        <v>X</v>
      </c>
      <c r="AW656" s="66" t="str">
        <f t="shared" si="555"/>
        <v>X</v>
      </c>
      <c r="AX656" s="66" t="str">
        <f t="shared" si="556"/>
        <v>X</v>
      </c>
      <c r="AY656" s="66" t="str">
        <f t="shared" si="557"/>
        <v>X</v>
      </c>
      <c r="AZ656" s="66" t="str">
        <f t="shared" si="558"/>
        <v>X</v>
      </c>
      <c r="BA656" s="27" t="str">
        <f t="shared" si="559"/>
        <v>X</v>
      </c>
      <c r="BB656" s="27">
        <f t="shared" si="560"/>
        <v>1</v>
      </c>
      <c r="BC656" s="398" t="str">
        <f t="shared" ref="BC656" si="795">VLOOKUP(N656,삼그룹,6,FALSE)</f>
        <v>1G</v>
      </c>
      <c r="BD656" s="398" t="str">
        <f t="shared" ref="BD656" si="796">VLOOKUP(O656,삼그룹,6,FALSE)</f>
        <v>1G</v>
      </c>
      <c r="BE656" s="398" t="str">
        <f t="shared" ref="BE656" si="797">VLOOKUP(P656,삼그룹,6,FALSE)</f>
        <v>2G</v>
      </c>
      <c r="BF656" s="398" t="str">
        <f t="shared" ref="BF656" si="798">VLOOKUP(Q656,삼그룹,6,FALSE)</f>
        <v>2G</v>
      </c>
      <c r="BG656" s="398" t="str">
        <f t="shared" ref="BG656" si="799">VLOOKUP(R656,삼그룹,6,FALSE)</f>
        <v>3G</v>
      </c>
      <c r="BH656" s="398" t="str">
        <f t="shared" ref="BH656" si="800">VLOOKUP(S656,삼그룹,6,FALSE)</f>
        <v>3G</v>
      </c>
      <c r="BI656" s="398">
        <f t="shared" si="568"/>
        <v>2</v>
      </c>
      <c r="BJ656" s="398">
        <f t="shared" si="569"/>
        <v>2</v>
      </c>
      <c r="BK656" s="398">
        <f t="shared" si="570"/>
        <v>2</v>
      </c>
      <c r="BL656" s="398" t="str">
        <f t="shared" ref="BL656" si="801">BI656&amp;BJ656&amp;BK656</f>
        <v>222</v>
      </c>
      <c r="BS656"/>
    </row>
    <row r="657" spans="2:71" ht="16.5">
      <c r="B657" s="18">
        <v>654</v>
      </c>
      <c r="C657" s="363" t="s">
        <v>1019</v>
      </c>
      <c r="N657" s="28">
        <v>16</v>
      </c>
      <c r="O657" s="28">
        <v>21</v>
      </c>
      <c r="P657" s="28">
        <v>26</v>
      </c>
      <c r="Q657" s="28">
        <v>31</v>
      </c>
      <c r="R657" s="28">
        <v>36</v>
      </c>
      <c r="S657" s="28">
        <v>43</v>
      </c>
      <c r="T657" s="28">
        <v>6</v>
      </c>
      <c r="U657" s="28">
        <f t="shared" si="528"/>
        <v>173</v>
      </c>
      <c r="W657" s="27" t="str">
        <f t="shared" si="529"/>
        <v>짝수</v>
      </c>
      <c r="X657" s="27" t="str">
        <f t="shared" si="530"/>
        <v>홀수</v>
      </c>
      <c r="Y657" s="27" t="str">
        <f t="shared" si="531"/>
        <v>짝수</v>
      </c>
      <c r="Z657" s="27" t="str">
        <f t="shared" si="532"/>
        <v>홀수</v>
      </c>
      <c r="AA657" s="28" t="str">
        <f t="shared" si="533"/>
        <v>짝수</v>
      </c>
      <c r="AB657" s="28" t="str">
        <f t="shared" si="534"/>
        <v>홀수</v>
      </c>
      <c r="AC657" s="27" t="str">
        <f t="shared" si="535"/>
        <v>3 : 3</v>
      </c>
      <c r="AD657" s="32">
        <f t="shared" si="536"/>
        <v>3</v>
      </c>
      <c r="AE657" s="32">
        <f t="shared" si="537"/>
        <v>3</v>
      </c>
      <c r="AF657" s="66" t="str">
        <f t="shared" si="538"/>
        <v>저수</v>
      </c>
      <c r="AG657" s="66" t="str">
        <f t="shared" si="539"/>
        <v>저수</v>
      </c>
      <c r="AH657" s="66" t="str">
        <f t="shared" si="540"/>
        <v>고수</v>
      </c>
      <c r="AI657" s="66" t="str">
        <f t="shared" si="541"/>
        <v>고수</v>
      </c>
      <c r="AJ657" s="66" t="str">
        <f t="shared" si="542"/>
        <v>고수</v>
      </c>
      <c r="AK657" s="66" t="str">
        <f t="shared" si="543"/>
        <v>고수</v>
      </c>
      <c r="AL657" s="66" t="str">
        <f t="shared" si="544"/>
        <v>2 : 4</v>
      </c>
      <c r="AM657" s="27">
        <f t="shared" si="545"/>
        <v>2</v>
      </c>
      <c r="AN657" s="27">
        <f t="shared" si="546"/>
        <v>4</v>
      </c>
      <c r="AO657" s="27">
        <f t="shared" si="547"/>
        <v>23</v>
      </c>
      <c r="AP657" s="66" t="str">
        <f t="shared" si="548"/>
        <v>X</v>
      </c>
      <c r="AQ657" s="66" t="str">
        <f t="shared" si="549"/>
        <v>X</v>
      </c>
      <c r="AR657" s="66" t="str">
        <f t="shared" si="550"/>
        <v>X</v>
      </c>
      <c r="AS657" s="66" t="str">
        <f t="shared" si="551"/>
        <v>X</v>
      </c>
      <c r="AT657" s="66" t="str">
        <f t="shared" si="552"/>
        <v>X</v>
      </c>
      <c r="AU657" s="66" t="str">
        <f t="shared" si="553"/>
        <v>X</v>
      </c>
      <c r="AV657" s="66" t="str">
        <f t="shared" si="554"/>
        <v>X</v>
      </c>
      <c r="AW657" s="66" t="str">
        <f t="shared" si="555"/>
        <v>X</v>
      </c>
      <c r="AX657" s="66" t="str">
        <f t="shared" si="556"/>
        <v>X</v>
      </c>
      <c r="AY657" s="66" t="str">
        <f t="shared" si="557"/>
        <v>O</v>
      </c>
      <c r="AZ657" s="66" t="str">
        <f t="shared" si="558"/>
        <v>X</v>
      </c>
      <c r="BA657" s="27" t="str">
        <f t="shared" si="559"/>
        <v>O</v>
      </c>
      <c r="BB657" s="27">
        <f t="shared" si="560"/>
        <v>2</v>
      </c>
      <c r="BC657" s="399" t="str">
        <f t="shared" ref="BC657" si="802">VLOOKUP(N657,삼그룹,6,FALSE)</f>
        <v>2G</v>
      </c>
      <c r="BD657" s="399" t="str">
        <f t="shared" ref="BD657" si="803">VLOOKUP(O657,삼그룹,6,FALSE)</f>
        <v>2G</v>
      </c>
      <c r="BE657" s="399" t="str">
        <f t="shared" ref="BE657" si="804">VLOOKUP(P657,삼그룹,6,FALSE)</f>
        <v>2G</v>
      </c>
      <c r="BF657" s="399" t="str">
        <f t="shared" ref="BF657" si="805">VLOOKUP(Q657,삼그룹,6,FALSE)</f>
        <v>3G</v>
      </c>
      <c r="BG657" s="399" t="str">
        <f t="shared" ref="BG657" si="806">VLOOKUP(R657,삼그룹,6,FALSE)</f>
        <v>3G</v>
      </c>
      <c r="BH657" s="399" t="str">
        <f t="shared" ref="BH657" si="807">VLOOKUP(S657,삼그룹,6,FALSE)</f>
        <v>3G</v>
      </c>
      <c r="BI657" s="399">
        <f t="shared" si="568"/>
        <v>0</v>
      </c>
      <c r="BJ657" s="399">
        <f t="shared" si="569"/>
        <v>3</v>
      </c>
      <c r="BK657" s="399">
        <f t="shared" si="570"/>
        <v>3</v>
      </c>
      <c r="BL657" s="399" t="str">
        <f t="shared" ref="BL657" si="808">BI657&amp;BJ657&amp;BK657</f>
        <v>033</v>
      </c>
      <c r="BS657"/>
    </row>
    <row r="658" spans="2:71" ht="16.5">
      <c r="B658" s="360">
        <v>655</v>
      </c>
      <c r="C658" s="363" t="s">
        <v>1020</v>
      </c>
      <c r="N658" s="28">
        <v>7</v>
      </c>
      <c r="O658" s="28">
        <v>37</v>
      </c>
      <c r="P658" s="28">
        <v>38</v>
      </c>
      <c r="Q658" s="28">
        <v>39</v>
      </c>
      <c r="R658" s="28">
        <v>40</v>
      </c>
      <c r="S658" s="28">
        <v>44</v>
      </c>
      <c r="T658" s="28">
        <v>18</v>
      </c>
      <c r="U658" s="28">
        <f t="shared" si="528"/>
        <v>205</v>
      </c>
      <c r="W658" s="27" t="str">
        <f t="shared" si="529"/>
        <v>홀수</v>
      </c>
      <c r="X658" s="27" t="str">
        <f t="shared" si="530"/>
        <v>홀수</v>
      </c>
      <c r="Y658" s="27" t="str">
        <f t="shared" si="531"/>
        <v>짝수</v>
      </c>
      <c r="Z658" s="27" t="str">
        <f t="shared" si="532"/>
        <v>홀수</v>
      </c>
      <c r="AA658" s="28" t="str">
        <f t="shared" si="533"/>
        <v>짝수</v>
      </c>
      <c r="AB658" s="28" t="str">
        <f t="shared" si="534"/>
        <v>짝수</v>
      </c>
      <c r="AC658" s="27" t="str">
        <f t="shared" si="535"/>
        <v>3 : 3</v>
      </c>
      <c r="AD658" s="32">
        <f t="shared" si="536"/>
        <v>3</v>
      </c>
      <c r="AE658" s="32">
        <f t="shared" si="537"/>
        <v>3</v>
      </c>
      <c r="AF658" s="66" t="str">
        <f t="shared" si="538"/>
        <v>저수</v>
      </c>
      <c r="AG658" s="66" t="str">
        <f t="shared" si="539"/>
        <v>고수</v>
      </c>
      <c r="AH658" s="66" t="str">
        <f t="shared" si="540"/>
        <v>고수</v>
      </c>
      <c r="AI658" s="66" t="str">
        <f t="shared" si="541"/>
        <v>고수</v>
      </c>
      <c r="AJ658" s="66" t="str">
        <f t="shared" si="542"/>
        <v>고수</v>
      </c>
      <c r="AK658" s="66" t="str">
        <f t="shared" si="543"/>
        <v>고수</v>
      </c>
      <c r="AL658" s="66" t="str">
        <f t="shared" si="544"/>
        <v>1 : 5</v>
      </c>
      <c r="AM658" s="27">
        <f t="shared" si="545"/>
        <v>1</v>
      </c>
      <c r="AN658" s="27">
        <f t="shared" si="546"/>
        <v>5</v>
      </c>
      <c r="AO658" s="27">
        <f t="shared" si="547"/>
        <v>35</v>
      </c>
      <c r="AP658" s="66" t="str">
        <f t="shared" si="548"/>
        <v>O</v>
      </c>
      <c r="AQ658" s="66" t="str">
        <f t="shared" si="549"/>
        <v>X</v>
      </c>
      <c r="AR658" s="66" t="str">
        <f t="shared" si="550"/>
        <v>X</v>
      </c>
      <c r="AS658" s="66" t="str">
        <f t="shared" si="551"/>
        <v>X</v>
      </c>
      <c r="AT658" s="66" t="str">
        <f t="shared" si="552"/>
        <v>X</v>
      </c>
      <c r="AU658" s="66" t="str">
        <f t="shared" si="553"/>
        <v>X</v>
      </c>
      <c r="AV658" s="66" t="str">
        <f t="shared" si="554"/>
        <v>X</v>
      </c>
      <c r="AW658" s="66" t="str">
        <f t="shared" si="555"/>
        <v>O</v>
      </c>
      <c r="AX658" s="66" t="str">
        <f t="shared" si="556"/>
        <v>X</v>
      </c>
      <c r="AY658" s="66" t="str">
        <f t="shared" si="557"/>
        <v>X</v>
      </c>
      <c r="AZ658" s="66" t="str">
        <f t="shared" si="558"/>
        <v>X</v>
      </c>
      <c r="BA658" s="27" t="str">
        <f t="shared" si="559"/>
        <v>X</v>
      </c>
      <c r="BB658" s="27">
        <f t="shared" si="560"/>
        <v>2</v>
      </c>
      <c r="BC658" s="400" t="str">
        <f t="shared" ref="BC658" si="809">VLOOKUP(N658,삼그룹,6,FALSE)</f>
        <v>1G</v>
      </c>
      <c r="BD658" s="400" t="str">
        <f t="shared" ref="BD658" si="810">VLOOKUP(O658,삼그룹,6,FALSE)</f>
        <v>3G</v>
      </c>
      <c r="BE658" s="400" t="str">
        <f t="shared" ref="BE658" si="811">VLOOKUP(P658,삼그룹,6,FALSE)</f>
        <v>3G</v>
      </c>
      <c r="BF658" s="400" t="str">
        <f t="shared" ref="BF658" si="812">VLOOKUP(Q658,삼그룹,6,FALSE)</f>
        <v>3G</v>
      </c>
      <c r="BG658" s="400" t="str">
        <f t="shared" ref="BG658" si="813">VLOOKUP(R658,삼그룹,6,FALSE)</f>
        <v>3G</v>
      </c>
      <c r="BH658" s="400" t="str">
        <f t="shared" ref="BH658" si="814">VLOOKUP(S658,삼그룹,6,FALSE)</f>
        <v>3G</v>
      </c>
      <c r="BI658" s="400">
        <f t="shared" si="568"/>
        <v>1</v>
      </c>
      <c r="BJ658" s="400">
        <f t="shared" si="569"/>
        <v>0</v>
      </c>
      <c r="BK658" s="400">
        <f t="shared" si="570"/>
        <v>5</v>
      </c>
      <c r="BL658" s="400" t="str">
        <f t="shared" ref="BL658" si="815">BI658&amp;BJ658&amp;BK658</f>
        <v>105</v>
      </c>
      <c r="BS658"/>
    </row>
    <row r="659" spans="2:71" ht="16.5">
      <c r="B659" s="360">
        <v>656</v>
      </c>
      <c r="C659" s="363" t="s">
        <v>1021</v>
      </c>
      <c r="N659" s="28">
        <v>3</v>
      </c>
      <c r="O659" s="28">
        <v>7</v>
      </c>
      <c r="P659" s="28">
        <v>14</v>
      </c>
      <c r="Q659" s="28">
        <v>16</v>
      </c>
      <c r="R659" s="28">
        <v>31</v>
      </c>
      <c r="S659" s="28">
        <v>40</v>
      </c>
      <c r="T659" s="28">
        <v>39</v>
      </c>
      <c r="U659" s="28">
        <f t="shared" si="528"/>
        <v>111</v>
      </c>
      <c r="W659" s="27" t="str">
        <f t="shared" si="529"/>
        <v>홀수</v>
      </c>
      <c r="X659" s="27" t="str">
        <f t="shared" si="530"/>
        <v>홀수</v>
      </c>
      <c r="Y659" s="27" t="str">
        <f t="shared" si="531"/>
        <v>짝수</v>
      </c>
      <c r="Z659" s="27" t="str">
        <f t="shared" si="532"/>
        <v>짝수</v>
      </c>
      <c r="AA659" s="28" t="str">
        <f t="shared" si="533"/>
        <v>홀수</v>
      </c>
      <c r="AB659" s="28" t="str">
        <f t="shared" si="534"/>
        <v>짝수</v>
      </c>
      <c r="AC659" s="27" t="str">
        <f t="shared" si="535"/>
        <v>3 : 3</v>
      </c>
      <c r="AD659" s="32">
        <f t="shared" si="536"/>
        <v>3</v>
      </c>
      <c r="AE659" s="32">
        <f t="shared" si="537"/>
        <v>3</v>
      </c>
      <c r="AF659" s="66" t="str">
        <f t="shared" si="538"/>
        <v>저수</v>
      </c>
      <c r="AG659" s="66" t="str">
        <f t="shared" si="539"/>
        <v>저수</v>
      </c>
      <c r="AH659" s="66" t="str">
        <f t="shared" si="540"/>
        <v>저수</v>
      </c>
      <c r="AI659" s="66" t="str">
        <f t="shared" si="541"/>
        <v>저수</v>
      </c>
      <c r="AJ659" s="66" t="str">
        <f t="shared" si="542"/>
        <v>고수</v>
      </c>
      <c r="AK659" s="66" t="str">
        <f t="shared" si="543"/>
        <v>고수</v>
      </c>
      <c r="AL659" s="66" t="str">
        <f t="shared" si="544"/>
        <v>4 : 2</v>
      </c>
      <c r="AM659" s="27">
        <f t="shared" si="545"/>
        <v>4</v>
      </c>
      <c r="AN659" s="27">
        <f t="shared" si="546"/>
        <v>2</v>
      </c>
      <c r="AO659" s="27">
        <f t="shared" si="547"/>
        <v>21</v>
      </c>
      <c r="AP659" s="66" t="str">
        <f t="shared" si="548"/>
        <v>O</v>
      </c>
      <c r="AQ659" s="66" t="str">
        <f t="shared" si="549"/>
        <v>O</v>
      </c>
      <c r="AR659" s="66" t="str">
        <f t="shared" si="550"/>
        <v>X</v>
      </c>
      <c r="AS659" s="66" t="str">
        <f t="shared" si="551"/>
        <v>X</v>
      </c>
      <c r="AT659" s="66" t="str">
        <f t="shared" si="552"/>
        <v>X</v>
      </c>
      <c r="AU659" s="66" t="str">
        <f t="shared" si="553"/>
        <v>X</v>
      </c>
      <c r="AV659" s="66" t="str">
        <f t="shared" si="554"/>
        <v>X</v>
      </c>
      <c r="AW659" s="66" t="str">
        <f t="shared" si="555"/>
        <v>X</v>
      </c>
      <c r="AX659" s="66" t="str">
        <f t="shared" si="556"/>
        <v>X</v>
      </c>
      <c r="AY659" s="66" t="str">
        <f t="shared" si="557"/>
        <v>X</v>
      </c>
      <c r="AZ659" s="66" t="str">
        <f t="shared" si="558"/>
        <v>O</v>
      </c>
      <c r="BA659" s="27" t="str">
        <f t="shared" si="559"/>
        <v>X</v>
      </c>
      <c r="BB659" s="27">
        <f t="shared" si="560"/>
        <v>3</v>
      </c>
      <c r="BC659" s="401" t="str">
        <f t="shared" ref="BC659" si="816">VLOOKUP(N659,삼그룹,6,FALSE)</f>
        <v>1G</v>
      </c>
      <c r="BD659" s="401" t="str">
        <f t="shared" ref="BD659" si="817">VLOOKUP(O659,삼그룹,6,FALSE)</f>
        <v>1G</v>
      </c>
      <c r="BE659" s="401" t="str">
        <f t="shared" ref="BE659" si="818">VLOOKUP(P659,삼그룹,6,FALSE)</f>
        <v>1G</v>
      </c>
      <c r="BF659" s="401" t="str">
        <f t="shared" ref="BF659" si="819">VLOOKUP(Q659,삼그룹,6,FALSE)</f>
        <v>2G</v>
      </c>
      <c r="BG659" s="401" t="str">
        <f t="shared" ref="BG659" si="820">VLOOKUP(R659,삼그룹,6,FALSE)</f>
        <v>3G</v>
      </c>
      <c r="BH659" s="401" t="str">
        <f t="shared" ref="BH659" si="821">VLOOKUP(S659,삼그룹,6,FALSE)</f>
        <v>3G</v>
      </c>
      <c r="BI659" s="401">
        <f t="shared" si="568"/>
        <v>3</v>
      </c>
      <c r="BJ659" s="401">
        <f t="shared" si="569"/>
        <v>1</v>
      </c>
      <c r="BK659" s="401">
        <f t="shared" si="570"/>
        <v>2</v>
      </c>
      <c r="BL659" s="401" t="str">
        <f t="shared" ref="BL659" si="822">BI659&amp;BJ659&amp;BK659</f>
        <v>312</v>
      </c>
      <c r="BS659"/>
    </row>
    <row r="660" spans="2:71" ht="16.5">
      <c r="B660" s="360">
        <v>657</v>
      </c>
      <c r="C660" s="363" t="s">
        <v>1022</v>
      </c>
      <c r="N660" s="28">
        <v>10</v>
      </c>
      <c r="O660" s="28">
        <v>14</v>
      </c>
      <c r="P660" s="28">
        <v>19</v>
      </c>
      <c r="Q660" s="28">
        <v>39</v>
      </c>
      <c r="R660" s="28">
        <v>40</v>
      </c>
      <c r="S660" s="28">
        <v>43</v>
      </c>
      <c r="T660" s="28">
        <v>23</v>
      </c>
      <c r="U660" s="28">
        <f t="shared" si="528"/>
        <v>165</v>
      </c>
      <c r="W660" s="27" t="str">
        <f t="shared" si="529"/>
        <v>짝수</v>
      </c>
      <c r="X660" s="27" t="str">
        <f t="shared" si="530"/>
        <v>짝수</v>
      </c>
      <c r="Y660" s="27" t="str">
        <f t="shared" si="531"/>
        <v>홀수</v>
      </c>
      <c r="Z660" s="27" t="str">
        <f t="shared" si="532"/>
        <v>홀수</v>
      </c>
      <c r="AA660" s="28" t="str">
        <f t="shared" si="533"/>
        <v>짝수</v>
      </c>
      <c r="AB660" s="28" t="str">
        <f t="shared" si="534"/>
        <v>홀수</v>
      </c>
      <c r="AC660" s="27" t="str">
        <f t="shared" si="535"/>
        <v>3 : 3</v>
      </c>
      <c r="AD660" s="32">
        <f t="shared" si="536"/>
        <v>3</v>
      </c>
      <c r="AE660" s="32">
        <f t="shared" si="537"/>
        <v>3</v>
      </c>
      <c r="AF660" s="66" t="str">
        <f t="shared" si="538"/>
        <v>저수</v>
      </c>
      <c r="AG660" s="66" t="str">
        <f t="shared" si="539"/>
        <v>저수</v>
      </c>
      <c r="AH660" s="66" t="str">
        <f t="shared" si="540"/>
        <v>저수</v>
      </c>
      <c r="AI660" s="66" t="str">
        <f t="shared" si="541"/>
        <v>고수</v>
      </c>
      <c r="AJ660" s="66" t="str">
        <f t="shared" si="542"/>
        <v>고수</v>
      </c>
      <c r="AK660" s="66" t="str">
        <f t="shared" si="543"/>
        <v>고수</v>
      </c>
      <c r="AL660" s="66" t="str">
        <f t="shared" si="544"/>
        <v>3 : 3</v>
      </c>
      <c r="AM660" s="27">
        <f t="shared" si="545"/>
        <v>3</v>
      </c>
      <c r="AN660" s="27">
        <f t="shared" si="546"/>
        <v>3</v>
      </c>
      <c r="AO660" s="27">
        <f t="shared" si="547"/>
        <v>25</v>
      </c>
      <c r="AP660" s="66" t="str">
        <f t="shared" si="548"/>
        <v>X</v>
      </c>
      <c r="AQ660" s="66" t="str">
        <f t="shared" si="549"/>
        <v>X</v>
      </c>
      <c r="AR660" s="66" t="str">
        <f t="shared" si="550"/>
        <v>O</v>
      </c>
      <c r="AS660" s="66" t="str">
        <f t="shared" si="551"/>
        <v>X</v>
      </c>
      <c r="AT660" s="66" t="str">
        <f t="shared" si="552"/>
        <v>X</v>
      </c>
      <c r="AU660" s="66" t="str">
        <f t="shared" si="553"/>
        <v>X</v>
      </c>
      <c r="AV660" s="66" t="str">
        <f t="shared" si="554"/>
        <v>X</v>
      </c>
      <c r="AW660" s="66" t="str">
        <f t="shared" si="555"/>
        <v>X</v>
      </c>
      <c r="AX660" s="66" t="str">
        <f t="shared" si="556"/>
        <v>X</v>
      </c>
      <c r="AY660" s="66" t="str">
        <f t="shared" si="557"/>
        <v>X</v>
      </c>
      <c r="AZ660" s="66" t="str">
        <f t="shared" si="558"/>
        <v>X</v>
      </c>
      <c r="BA660" s="27" t="str">
        <f t="shared" si="559"/>
        <v>O</v>
      </c>
      <c r="BB660" s="27">
        <f t="shared" si="560"/>
        <v>2</v>
      </c>
      <c r="BC660" s="402" t="str">
        <f t="shared" ref="BC660" si="823">VLOOKUP(N660,삼그룹,6,FALSE)</f>
        <v>1G</v>
      </c>
      <c r="BD660" s="402" t="str">
        <f t="shared" ref="BD660" si="824">VLOOKUP(O660,삼그룹,6,FALSE)</f>
        <v>1G</v>
      </c>
      <c r="BE660" s="402" t="str">
        <f t="shared" ref="BE660" si="825">VLOOKUP(P660,삼그룹,6,FALSE)</f>
        <v>2G</v>
      </c>
      <c r="BF660" s="402" t="str">
        <f t="shared" ref="BF660" si="826">VLOOKUP(Q660,삼그룹,6,FALSE)</f>
        <v>3G</v>
      </c>
      <c r="BG660" s="402" t="str">
        <f t="shared" ref="BG660" si="827">VLOOKUP(R660,삼그룹,6,FALSE)</f>
        <v>3G</v>
      </c>
      <c r="BH660" s="402" t="str">
        <f t="shared" ref="BH660" si="828">VLOOKUP(S660,삼그룹,6,FALSE)</f>
        <v>3G</v>
      </c>
      <c r="BI660" s="402">
        <f t="shared" si="568"/>
        <v>2</v>
      </c>
      <c r="BJ660" s="402">
        <f t="shared" si="569"/>
        <v>1</v>
      </c>
      <c r="BK660" s="402">
        <f t="shared" si="570"/>
        <v>3</v>
      </c>
      <c r="BL660" s="402" t="str">
        <f t="shared" ref="BL660" si="829">BI660&amp;BJ660&amp;BK660</f>
        <v>213</v>
      </c>
      <c r="BS660"/>
    </row>
    <row r="661" spans="2:71" ht="16.5">
      <c r="B661" s="360">
        <v>658</v>
      </c>
      <c r="C661" s="363" t="s">
        <v>1023</v>
      </c>
      <c r="N661" s="28">
        <v>8</v>
      </c>
      <c r="O661" s="28">
        <v>19</v>
      </c>
      <c r="P661" s="28">
        <v>25</v>
      </c>
      <c r="Q661" s="28">
        <v>28</v>
      </c>
      <c r="R661" s="28">
        <v>32</v>
      </c>
      <c r="S661" s="28">
        <v>36</v>
      </c>
      <c r="T661" s="28">
        <v>37</v>
      </c>
      <c r="U661" s="28">
        <f t="shared" si="528"/>
        <v>148</v>
      </c>
      <c r="W661" s="27" t="str">
        <f t="shared" si="529"/>
        <v>짝수</v>
      </c>
      <c r="X661" s="27" t="str">
        <f t="shared" si="530"/>
        <v>홀수</v>
      </c>
      <c r="Y661" s="27" t="str">
        <f t="shared" si="531"/>
        <v>홀수</v>
      </c>
      <c r="Z661" s="27" t="str">
        <f t="shared" si="532"/>
        <v>짝수</v>
      </c>
      <c r="AA661" s="28" t="str">
        <f t="shared" si="533"/>
        <v>짝수</v>
      </c>
      <c r="AB661" s="28" t="str">
        <f t="shared" si="534"/>
        <v>짝수</v>
      </c>
      <c r="AC661" s="27" t="str">
        <f t="shared" si="535"/>
        <v>2 : 4</v>
      </c>
      <c r="AD661" s="32">
        <f t="shared" si="536"/>
        <v>2</v>
      </c>
      <c r="AE661" s="32">
        <f t="shared" si="537"/>
        <v>4</v>
      </c>
      <c r="AF661" s="66" t="str">
        <f t="shared" si="538"/>
        <v>저수</v>
      </c>
      <c r="AG661" s="66" t="str">
        <f t="shared" si="539"/>
        <v>저수</v>
      </c>
      <c r="AH661" s="66" t="str">
        <f t="shared" si="540"/>
        <v>고수</v>
      </c>
      <c r="AI661" s="66" t="str">
        <f t="shared" si="541"/>
        <v>고수</v>
      </c>
      <c r="AJ661" s="66" t="str">
        <f t="shared" si="542"/>
        <v>고수</v>
      </c>
      <c r="AK661" s="66" t="str">
        <f t="shared" si="543"/>
        <v>고수</v>
      </c>
      <c r="AL661" s="66" t="str">
        <f t="shared" si="544"/>
        <v>2 : 4</v>
      </c>
      <c r="AM661" s="27">
        <f t="shared" si="545"/>
        <v>2</v>
      </c>
      <c r="AN661" s="27">
        <f t="shared" si="546"/>
        <v>4</v>
      </c>
      <c r="AO661" s="27">
        <f t="shared" si="547"/>
        <v>38</v>
      </c>
      <c r="AP661" s="66" t="str">
        <f t="shared" si="548"/>
        <v>X</v>
      </c>
      <c r="AQ661" s="66" t="str">
        <f t="shared" si="549"/>
        <v>O</v>
      </c>
      <c r="AR661" s="66" t="str">
        <f t="shared" si="550"/>
        <v>X</v>
      </c>
      <c r="AS661" s="66" t="str">
        <f t="shared" si="551"/>
        <v>X</v>
      </c>
      <c r="AT661" s="66" t="str">
        <f t="shared" si="552"/>
        <v>X</v>
      </c>
      <c r="AU661" s="66" t="str">
        <f t="shared" si="553"/>
        <v>X</v>
      </c>
      <c r="AV661" s="66" t="str">
        <f t="shared" si="554"/>
        <v>X</v>
      </c>
      <c r="AW661" s="66" t="str">
        <f t="shared" si="555"/>
        <v>X</v>
      </c>
      <c r="AX661" s="66" t="str">
        <f t="shared" si="556"/>
        <v>X</v>
      </c>
      <c r="AY661" s="66" t="str">
        <f t="shared" si="557"/>
        <v>X</v>
      </c>
      <c r="AZ661" s="66" t="str">
        <f t="shared" si="558"/>
        <v>X</v>
      </c>
      <c r="BA661" s="27" t="str">
        <f t="shared" si="559"/>
        <v>X</v>
      </c>
      <c r="BB661" s="27">
        <f t="shared" si="560"/>
        <v>1</v>
      </c>
      <c r="BC661" s="403" t="str">
        <f t="shared" ref="BC661" si="830">VLOOKUP(N661,삼그룹,6,FALSE)</f>
        <v>1G</v>
      </c>
      <c r="BD661" s="403" t="str">
        <f t="shared" ref="BD661" si="831">VLOOKUP(O661,삼그룹,6,FALSE)</f>
        <v>2G</v>
      </c>
      <c r="BE661" s="403" t="str">
        <f t="shared" ref="BE661" si="832">VLOOKUP(P661,삼그룹,6,FALSE)</f>
        <v>2G</v>
      </c>
      <c r="BF661" s="403" t="str">
        <f t="shared" ref="BF661" si="833">VLOOKUP(Q661,삼그룹,6,FALSE)</f>
        <v>2G</v>
      </c>
      <c r="BG661" s="403" t="str">
        <f t="shared" ref="BG661" si="834">VLOOKUP(R661,삼그룹,6,FALSE)</f>
        <v>3G</v>
      </c>
      <c r="BH661" s="403" t="str">
        <f t="shared" ref="BH661" si="835">VLOOKUP(S661,삼그룹,6,FALSE)</f>
        <v>3G</v>
      </c>
      <c r="BI661" s="403">
        <f t="shared" si="568"/>
        <v>1</v>
      </c>
      <c r="BJ661" s="403">
        <f t="shared" si="569"/>
        <v>3</v>
      </c>
      <c r="BK661" s="403">
        <f t="shared" si="570"/>
        <v>2</v>
      </c>
      <c r="BL661" s="403" t="str">
        <f t="shared" ref="BL661" si="836">BI661&amp;BJ661&amp;BK661</f>
        <v>132</v>
      </c>
      <c r="BS661"/>
    </row>
    <row r="662" spans="2:71" ht="16.5">
      <c r="B662" s="360">
        <v>659</v>
      </c>
      <c r="C662" s="363" t="s">
        <v>1024</v>
      </c>
      <c r="N662" s="28">
        <v>7</v>
      </c>
      <c r="O662" s="28">
        <v>18</v>
      </c>
      <c r="P662" s="28">
        <v>19</v>
      </c>
      <c r="Q662" s="28">
        <v>27</v>
      </c>
      <c r="R662" s="28">
        <v>29</v>
      </c>
      <c r="S662" s="28">
        <v>42</v>
      </c>
      <c r="T662" s="28">
        <v>45</v>
      </c>
      <c r="U662" s="28">
        <f t="shared" si="528"/>
        <v>142</v>
      </c>
      <c r="W662" s="27" t="str">
        <f t="shared" si="529"/>
        <v>홀수</v>
      </c>
      <c r="X662" s="27" t="str">
        <f t="shared" si="530"/>
        <v>짝수</v>
      </c>
      <c r="Y662" s="27" t="str">
        <f t="shared" si="531"/>
        <v>홀수</v>
      </c>
      <c r="Z662" s="27" t="str">
        <f t="shared" si="532"/>
        <v>홀수</v>
      </c>
      <c r="AA662" s="28" t="str">
        <f t="shared" si="533"/>
        <v>홀수</v>
      </c>
      <c r="AB662" s="28" t="str">
        <f t="shared" si="534"/>
        <v>짝수</v>
      </c>
      <c r="AC662" s="27" t="str">
        <f t="shared" si="535"/>
        <v>4 : 2</v>
      </c>
      <c r="AD662" s="32">
        <f t="shared" si="536"/>
        <v>4</v>
      </c>
      <c r="AE662" s="32">
        <f t="shared" si="537"/>
        <v>2</v>
      </c>
      <c r="AF662" s="66" t="str">
        <f t="shared" si="538"/>
        <v>저수</v>
      </c>
      <c r="AG662" s="66" t="str">
        <f t="shared" si="539"/>
        <v>저수</v>
      </c>
      <c r="AH662" s="66" t="str">
        <f t="shared" si="540"/>
        <v>저수</v>
      </c>
      <c r="AI662" s="66" t="str">
        <f t="shared" si="541"/>
        <v>고수</v>
      </c>
      <c r="AJ662" s="66" t="str">
        <f t="shared" si="542"/>
        <v>고수</v>
      </c>
      <c r="AK662" s="66" t="str">
        <f t="shared" si="543"/>
        <v>고수</v>
      </c>
      <c r="AL662" s="66" t="str">
        <f t="shared" si="544"/>
        <v>3 : 3</v>
      </c>
      <c r="AM662" s="27">
        <f t="shared" si="545"/>
        <v>3</v>
      </c>
      <c r="AN662" s="27">
        <f t="shared" si="546"/>
        <v>3</v>
      </c>
      <c r="AO662" s="27">
        <f t="shared" si="547"/>
        <v>42</v>
      </c>
      <c r="AP662" s="66" t="str">
        <f t="shared" si="548"/>
        <v>O</v>
      </c>
      <c r="AQ662" s="66" t="str">
        <f t="shared" si="549"/>
        <v>X</v>
      </c>
      <c r="AR662" s="66" t="str">
        <f t="shared" si="550"/>
        <v>O</v>
      </c>
      <c r="AS662" s="66" t="str">
        <f t="shared" si="551"/>
        <v>X</v>
      </c>
      <c r="AT662" s="66" t="str">
        <f t="shared" si="552"/>
        <v>X</v>
      </c>
      <c r="AU662" s="66" t="str">
        <f t="shared" si="553"/>
        <v>X</v>
      </c>
      <c r="AV662" s="66" t="str">
        <f t="shared" si="554"/>
        <v>X</v>
      </c>
      <c r="AW662" s="66" t="str">
        <f t="shared" si="555"/>
        <v>X</v>
      </c>
      <c r="AX662" s="66" t="str">
        <f t="shared" si="556"/>
        <v>X</v>
      </c>
      <c r="AY662" s="66" t="str">
        <f t="shared" si="557"/>
        <v>X</v>
      </c>
      <c r="AZ662" s="66" t="str">
        <f t="shared" si="558"/>
        <v>O</v>
      </c>
      <c r="BA662" s="27" t="str">
        <f t="shared" si="559"/>
        <v>X</v>
      </c>
      <c r="BB662" s="27">
        <f t="shared" si="560"/>
        <v>3</v>
      </c>
      <c r="BC662" s="404" t="str">
        <f t="shared" ref="BC662" si="837">VLOOKUP(N662,삼그룹,6,FALSE)</f>
        <v>1G</v>
      </c>
      <c r="BD662" s="404" t="str">
        <f t="shared" ref="BD662" si="838">VLOOKUP(O662,삼그룹,6,FALSE)</f>
        <v>2G</v>
      </c>
      <c r="BE662" s="404" t="str">
        <f t="shared" ref="BE662" si="839">VLOOKUP(P662,삼그룹,6,FALSE)</f>
        <v>2G</v>
      </c>
      <c r="BF662" s="404" t="str">
        <f t="shared" ref="BF662" si="840">VLOOKUP(Q662,삼그룹,6,FALSE)</f>
        <v>2G</v>
      </c>
      <c r="BG662" s="404" t="str">
        <f t="shared" ref="BG662" si="841">VLOOKUP(R662,삼그룹,6,FALSE)</f>
        <v>2G</v>
      </c>
      <c r="BH662" s="404" t="str">
        <f t="shared" ref="BH662" si="842">VLOOKUP(S662,삼그룹,6,FALSE)</f>
        <v>3G</v>
      </c>
      <c r="BI662" s="404">
        <f t="shared" si="568"/>
        <v>1</v>
      </c>
      <c r="BJ662" s="404">
        <f t="shared" si="569"/>
        <v>4</v>
      </c>
      <c r="BK662" s="404">
        <f t="shared" si="570"/>
        <v>1</v>
      </c>
      <c r="BL662" s="404" t="str">
        <f t="shared" ref="BL662" si="843">BI662&amp;BJ662&amp;BK662</f>
        <v>141</v>
      </c>
      <c r="BS662"/>
    </row>
    <row r="663" spans="2:71" ht="16.5">
      <c r="B663" s="360">
        <v>660</v>
      </c>
      <c r="C663" s="363" t="s">
        <v>1026</v>
      </c>
      <c r="N663" s="28">
        <v>4</v>
      </c>
      <c r="O663" s="28">
        <v>9</v>
      </c>
      <c r="P663" s="28">
        <v>23</v>
      </c>
      <c r="Q663" s="28">
        <v>33</v>
      </c>
      <c r="R663" s="28">
        <v>39</v>
      </c>
      <c r="S663" s="28">
        <v>44</v>
      </c>
      <c r="T663" s="28">
        <v>14</v>
      </c>
      <c r="U663" s="28">
        <f t="shared" si="528"/>
        <v>152</v>
      </c>
      <c r="W663" s="27" t="str">
        <f t="shared" si="529"/>
        <v>짝수</v>
      </c>
      <c r="X663" s="27" t="str">
        <f t="shared" si="530"/>
        <v>홀수</v>
      </c>
      <c r="Y663" s="27" t="str">
        <f t="shared" si="531"/>
        <v>홀수</v>
      </c>
      <c r="Z663" s="27" t="str">
        <f t="shared" si="532"/>
        <v>홀수</v>
      </c>
      <c r="AA663" s="28" t="str">
        <f t="shared" si="533"/>
        <v>홀수</v>
      </c>
      <c r="AB663" s="28" t="str">
        <f t="shared" si="534"/>
        <v>짝수</v>
      </c>
      <c r="AC663" s="27" t="str">
        <f t="shared" si="535"/>
        <v>4 : 2</v>
      </c>
      <c r="AD663" s="32">
        <f t="shared" si="536"/>
        <v>4</v>
      </c>
      <c r="AE663" s="32">
        <f t="shared" si="537"/>
        <v>2</v>
      </c>
      <c r="AF663" s="66" t="str">
        <f t="shared" si="538"/>
        <v>저수</v>
      </c>
      <c r="AG663" s="66" t="str">
        <f t="shared" si="539"/>
        <v>저수</v>
      </c>
      <c r="AH663" s="66" t="str">
        <f t="shared" si="540"/>
        <v>고수</v>
      </c>
      <c r="AI663" s="66" t="str">
        <f t="shared" si="541"/>
        <v>고수</v>
      </c>
      <c r="AJ663" s="66" t="str">
        <f t="shared" si="542"/>
        <v>고수</v>
      </c>
      <c r="AK663" s="66" t="str">
        <f t="shared" si="543"/>
        <v>고수</v>
      </c>
      <c r="AL663" s="66" t="str">
        <f t="shared" si="544"/>
        <v>2 : 4</v>
      </c>
      <c r="AM663" s="27">
        <f t="shared" si="545"/>
        <v>2</v>
      </c>
      <c r="AN663" s="27">
        <f t="shared" si="546"/>
        <v>4</v>
      </c>
      <c r="AO663" s="27">
        <f t="shared" si="547"/>
        <v>32</v>
      </c>
      <c r="AP663" s="66" t="str">
        <f t="shared" si="548"/>
        <v>X</v>
      </c>
      <c r="AQ663" s="66" t="str">
        <f t="shared" si="549"/>
        <v>X</v>
      </c>
      <c r="AR663" s="66" t="str">
        <f t="shared" si="550"/>
        <v>X</v>
      </c>
      <c r="AS663" s="66" t="str">
        <f t="shared" si="551"/>
        <v>X</v>
      </c>
      <c r="AT663" s="66" t="str">
        <f t="shared" si="552"/>
        <v>X</v>
      </c>
      <c r="AU663" s="66" t="str">
        <f t="shared" si="553"/>
        <v>X</v>
      </c>
      <c r="AV663" s="66" t="str">
        <f t="shared" si="554"/>
        <v>X</v>
      </c>
      <c r="AW663" s="66" t="str">
        <f t="shared" si="555"/>
        <v>X</v>
      </c>
      <c r="AX663" s="66" t="str">
        <f t="shared" si="556"/>
        <v>O</v>
      </c>
      <c r="AY663" s="66" t="str">
        <f t="shared" si="557"/>
        <v>X</v>
      </c>
      <c r="AZ663" s="66" t="str">
        <f t="shared" si="558"/>
        <v>X</v>
      </c>
      <c r="BA663" s="27" t="str">
        <f t="shared" si="559"/>
        <v>X</v>
      </c>
      <c r="BB663" s="27">
        <f t="shared" si="560"/>
        <v>1</v>
      </c>
      <c r="BC663" s="423" t="str">
        <f t="shared" ref="BC663" si="844">VLOOKUP(N663,삼그룹,6,FALSE)</f>
        <v>1G</v>
      </c>
      <c r="BD663" s="423" t="str">
        <f t="shared" ref="BD663" si="845">VLOOKUP(O663,삼그룹,6,FALSE)</f>
        <v>1G</v>
      </c>
      <c r="BE663" s="423" t="str">
        <f t="shared" ref="BE663" si="846">VLOOKUP(P663,삼그룹,6,FALSE)</f>
        <v>2G</v>
      </c>
      <c r="BF663" s="423" t="str">
        <f t="shared" ref="BF663" si="847">VLOOKUP(Q663,삼그룹,6,FALSE)</f>
        <v>3G</v>
      </c>
      <c r="BG663" s="423" t="str">
        <f t="shared" ref="BG663" si="848">VLOOKUP(R663,삼그룹,6,FALSE)</f>
        <v>3G</v>
      </c>
      <c r="BH663" s="423" t="str">
        <f t="shared" ref="BH663" si="849">VLOOKUP(S663,삼그룹,6,FALSE)</f>
        <v>3G</v>
      </c>
      <c r="BI663" s="423">
        <f t="shared" si="568"/>
        <v>2</v>
      </c>
      <c r="BJ663" s="423">
        <f t="shared" si="569"/>
        <v>1</v>
      </c>
      <c r="BK663" s="423">
        <f t="shared" si="570"/>
        <v>3</v>
      </c>
      <c r="BL663" s="423" t="str">
        <f t="shared" ref="BL663" si="850">BI663&amp;BJ663&amp;BK663</f>
        <v>213</v>
      </c>
      <c r="BS663"/>
    </row>
    <row r="664" spans="2:71" ht="16.5">
      <c r="B664" s="360">
        <v>661</v>
      </c>
      <c r="C664" s="363" t="s">
        <v>1027</v>
      </c>
      <c r="N664" s="28">
        <v>2</v>
      </c>
      <c r="O664" s="28">
        <v>3</v>
      </c>
      <c r="P664" s="28">
        <v>12</v>
      </c>
      <c r="Q664" s="28">
        <v>20</v>
      </c>
      <c r="R664" s="28">
        <v>27</v>
      </c>
      <c r="S664" s="28">
        <v>38</v>
      </c>
      <c r="T664" s="28">
        <v>40</v>
      </c>
      <c r="U664" s="363">
        <f t="shared" si="528"/>
        <v>102</v>
      </c>
      <c r="W664" s="423" t="str">
        <f t="shared" ref="W664:W670" si="851">IF(RIGHT(N664,1)="1","홀수",IF(RIGHT(N664,1)="3","홀수",IF(RIGHT(N664,1)="5","홀수",IF(RIGHT(N664,1)="7","홀수",IF(RIGHT(N664,1)="9","홀수","짝수")))))</f>
        <v>짝수</v>
      </c>
      <c r="X664" s="423" t="str">
        <f t="shared" ref="X664:X670" si="852">IF(RIGHT(O664,1)="1","홀수",IF(RIGHT(O664,1)="3","홀수",IF(RIGHT(O664,1)="5","홀수",IF(RIGHT(O664,1)="7","홀수",IF(RIGHT(O664,1)="9","홀수","짝수")))))</f>
        <v>홀수</v>
      </c>
      <c r="Y664" s="423" t="str">
        <f t="shared" ref="Y664:Y670" si="853">IF(RIGHT(P664,1)="1","홀수",IF(RIGHT(P664,1)="3","홀수",IF(RIGHT(P664,1)="5","홀수",IF(RIGHT(P664,1)="7","홀수",IF(RIGHT(P664,1)="9","홀수","짝수")))))</f>
        <v>짝수</v>
      </c>
      <c r="Z664" s="423" t="str">
        <f t="shared" ref="Z664:Z670" si="854">IF(RIGHT(Q664,1)="1","홀수",IF(RIGHT(Q664,1)="3","홀수",IF(RIGHT(Q664,1)="5","홀수",IF(RIGHT(Q664,1)="7","홀수",IF(RIGHT(Q664,1)="9","홀수","짝수")))))</f>
        <v>짝수</v>
      </c>
      <c r="AA664" s="363" t="str">
        <f t="shared" ref="AA664:AA670" si="855">IF(RIGHT(R664,1)="1","홀수",IF(RIGHT(R664,1)="3","홀수",IF(RIGHT(R664,1)="5","홀수",IF(RIGHT(R664,1)="7","홀수",IF(RIGHT(R664,1)="9","홀수","짝수")))))</f>
        <v>홀수</v>
      </c>
      <c r="AB664" s="363" t="str">
        <f t="shared" ref="AB664:AB670" si="856">IF(RIGHT(S664,1)="1","홀수",IF(RIGHT(S664,1)="3","홀수",IF(RIGHT(S664,1)="5","홀수",IF(RIGHT(S664,1)="7","홀수",IF(RIGHT(S664,1)="9","홀수","짝수")))))</f>
        <v>짝수</v>
      </c>
      <c r="AC664" s="423" t="str">
        <f t="shared" ref="AC664:AC670" si="857">AD664&amp;" : "&amp;AE664</f>
        <v>2 : 4</v>
      </c>
      <c r="AD664" s="423">
        <f t="shared" ref="AD664:AD670" si="858">COUNTIF(W664:AB664,"홀수")</f>
        <v>2</v>
      </c>
      <c r="AE664" s="423">
        <f t="shared" ref="AE664:AE670" si="859">COUNTIF(W664:AB664,"짝수")</f>
        <v>4</v>
      </c>
      <c r="AF664" s="423" t="str">
        <f t="shared" ref="AF664:AF670" si="860">IF(N664&lt;23,"저수","고수")</f>
        <v>저수</v>
      </c>
      <c r="AG664" s="423" t="str">
        <f t="shared" ref="AG664:AG670" si="861">IF(O664&lt;23,"저수","고수")</f>
        <v>저수</v>
      </c>
      <c r="AH664" s="423" t="str">
        <f t="shared" ref="AH664:AH670" si="862">IF(P664&lt;23,"저수","고수")</f>
        <v>저수</v>
      </c>
      <c r="AI664" s="423" t="str">
        <f t="shared" ref="AI664:AI670" si="863">IF(Q664&lt;23,"저수","고수")</f>
        <v>저수</v>
      </c>
      <c r="AJ664" s="423" t="str">
        <f t="shared" ref="AJ664:AJ670" si="864">IF(R664&lt;23,"저수","고수")</f>
        <v>고수</v>
      </c>
      <c r="AK664" s="423" t="str">
        <f t="shared" ref="AK664:AK670" si="865">IF(S664&lt;23,"저수","고수")</f>
        <v>고수</v>
      </c>
      <c r="AL664" s="423" t="str">
        <f t="shared" ref="AL664:AL670" si="866">AM664&amp;" : "&amp;AN664</f>
        <v>4 : 2</v>
      </c>
      <c r="AM664" s="423">
        <f t="shared" ref="AM664:AM670" si="867">COUNTIF(AF664:AK664,"저수")</f>
        <v>4</v>
      </c>
      <c r="AN664" s="423">
        <f t="shared" ref="AN664:AN670" si="868">COUNTIF(AF664:AK664,"고수")</f>
        <v>2</v>
      </c>
      <c r="AO664" s="423">
        <f t="shared" ref="AO664:AO670" si="869">RIGHT(N664,1)+RIGHT(O664,1)+RIGHT(P664,1)+RIGHT(Q664,1)+RIGHT(R664,1)+RIGHT(S664,1)</f>
        <v>22</v>
      </c>
      <c r="AP664" s="423" t="str">
        <f t="shared" ref="AP664:AP670" si="870">IF(N664=2,"O",IF(N664=3,"O",IF(N664=5,"O",IF(N664=7,"O",IF(N664=11,"O",IF(N664=13,"O",IF(N664=17,"O",IF(N664=19,"O","X"))))))))</f>
        <v>O</v>
      </c>
      <c r="AQ664" s="423" t="str">
        <f t="shared" ref="AQ664:AQ670" si="871">IF(O664=2,"O",IF(O664=3,"O",IF(O664=5,"O",IF(O664=7,"O",IF(O664=11,"O",IF(O664=13,"O",IF(O664=17,"O",IF(O664=19,"O","X"))))))))</f>
        <v>O</v>
      </c>
      <c r="AR664" s="423" t="str">
        <f t="shared" ref="AR664:AR670" si="872">IF(P664=2,"O",IF(P664=3,"O",IF(P664=5,"O",IF(P664=7,"O",IF(P664=11,"O",IF(P664=13,"O",IF(P664=17,"O",IF(P664=19,"O","X"))))))))</f>
        <v>X</v>
      </c>
      <c r="AS664" s="423" t="str">
        <f t="shared" ref="AS664:AS670" si="873">IF(Q664=2,"O",IF(Q664=3,"O",IF(Q664=5,"O",IF(Q664=7,"O",IF(Q664=11,"O",IF(Q664=13,"O",IF(Q664=17,"O",IF(Q664=19,"O","X"))))))))</f>
        <v>X</v>
      </c>
      <c r="AT664" s="423" t="str">
        <f t="shared" ref="AT664:AT670" si="874">IF(R664=2,"O",IF(R664=3,"O",IF(R664=5,"O",IF(R664=7,"O",IF(R664=11,"O",IF(R664=13,"O",IF(R664=17,"O",IF(R664=19,"O","X"))))))))</f>
        <v>X</v>
      </c>
      <c r="AU664" s="423" t="str">
        <f t="shared" ref="AU664:AU670" si="875">IF(S664=2,"O",IF(S664=3,"O",IF(S664=5,"O",IF(S664=7,"O",IF(S664=11,"O",IF(S664=13,"O",IF(S664=17,"O",IF(S664=19,"O","X"))))))))</f>
        <v>X</v>
      </c>
      <c r="AV664" s="423" t="str">
        <f t="shared" ref="AV664:AV670" si="876">IF(N664=23,"O",IF(N664=29,"O",IF(N664=31,"O",IF(N664=37,"O",IF(N664=41,"O",IF(N664=43,"O","X"))))))</f>
        <v>X</v>
      </c>
      <c r="AW664" s="423" t="str">
        <f t="shared" ref="AW664:AW670" si="877">IF(O664=23,"O",IF(O664=29,"O",IF(O664=31,"O",IF(O664=37,"O",IF(O664=41,"O",IF(O664=43,"O","X"))))))</f>
        <v>X</v>
      </c>
      <c r="AX664" s="423" t="str">
        <f t="shared" ref="AX664:AX670" si="878">IF(P664=23,"O",IF(P664=29,"O",IF(P664=31,"O",IF(P664=37,"O",IF(P664=41,"O",IF(P664=43,"O","X"))))))</f>
        <v>X</v>
      </c>
      <c r="AY664" s="423" t="str">
        <f t="shared" ref="AY664:AY670" si="879">IF(Q664=23,"O",IF(Q664=29,"O",IF(Q664=31,"O",IF(Q664=37,"O",IF(Q664=41,"O",IF(Q664=43,"O","X"))))))</f>
        <v>X</v>
      </c>
      <c r="AZ664" s="423" t="str">
        <f t="shared" ref="AZ664:AZ670" si="880">IF(R664=23,"O",IF(R664=29,"O",IF(R664=31,"O",IF(R664=37,"O",IF(R664=41,"O",IF(R664=43,"O","X"))))))</f>
        <v>X</v>
      </c>
      <c r="BA664" s="423" t="str">
        <f t="shared" ref="BA664:BA670" si="881">IF(S664=23,"O",IF(S664=29,"O",IF(S664=31,"O",IF(S664=37,"O",IF(S664=41,"O",IF(S664=43,"O","X"))))))</f>
        <v>X</v>
      </c>
      <c r="BB664" s="423">
        <f t="shared" ref="BB664:BB670" si="882">COUNTIF(AP664:BA664,"O")</f>
        <v>2</v>
      </c>
      <c r="BC664" s="423" t="str">
        <f t="shared" ref="BC664" si="883">VLOOKUP(N664,삼그룹,6,FALSE)</f>
        <v>1G</v>
      </c>
      <c r="BD664" s="423" t="str">
        <f t="shared" ref="BD664" si="884">VLOOKUP(O664,삼그룹,6,FALSE)</f>
        <v>1G</v>
      </c>
      <c r="BE664" s="423" t="str">
        <f t="shared" ref="BE664" si="885">VLOOKUP(P664,삼그룹,6,FALSE)</f>
        <v>1G</v>
      </c>
      <c r="BF664" s="423" t="str">
        <f t="shared" ref="BF664" si="886">VLOOKUP(Q664,삼그룹,6,FALSE)</f>
        <v>2G</v>
      </c>
      <c r="BG664" s="423" t="str">
        <f t="shared" ref="BG664" si="887">VLOOKUP(R664,삼그룹,6,FALSE)</f>
        <v>2G</v>
      </c>
      <c r="BH664" s="423" t="str">
        <f t="shared" ref="BH664" si="888">VLOOKUP(S664,삼그룹,6,FALSE)</f>
        <v>3G</v>
      </c>
      <c r="BI664" s="423">
        <f t="shared" si="568"/>
        <v>3</v>
      </c>
      <c r="BJ664" s="423">
        <f t="shared" si="569"/>
        <v>2</v>
      </c>
      <c r="BK664" s="423">
        <f t="shared" si="570"/>
        <v>1</v>
      </c>
      <c r="BL664" s="423" t="str">
        <f t="shared" ref="BL664" si="889">BI664&amp;BJ664&amp;BK664</f>
        <v>321</v>
      </c>
      <c r="BS664"/>
    </row>
    <row r="665" spans="2:71" ht="16.5">
      <c r="B665" s="18">
        <v>662</v>
      </c>
      <c r="C665" s="363" t="s">
        <v>1028</v>
      </c>
      <c r="N665" s="28">
        <v>5</v>
      </c>
      <c r="O665" s="28">
        <v>6</v>
      </c>
      <c r="P665" s="28">
        <v>9</v>
      </c>
      <c r="Q665" s="28">
        <v>11</v>
      </c>
      <c r="R665" s="28">
        <v>15</v>
      </c>
      <c r="S665" s="28">
        <v>37</v>
      </c>
      <c r="T665" s="28">
        <v>26</v>
      </c>
      <c r="U665" s="28">
        <f t="shared" si="528"/>
        <v>83</v>
      </c>
      <c r="W665" s="27" t="str">
        <f t="shared" si="851"/>
        <v>홀수</v>
      </c>
      <c r="X665" s="27" t="str">
        <f t="shared" si="852"/>
        <v>짝수</v>
      </c>
      <c r="Y665" s="27" t="str">
        <f t="shared" si="853"/>
        <v>홀수</v>
      </c>
      <c r="Z665" s="27" t="str">
        <f t="shared" si="854"/>
        <v>홀수</v>
      </c>
      <c r="AA665" s="28" t="str">
        <f t="shared" si="855"/>
        <v>홀수</v>
      </c>
      <c r="AB665" s="28" t="str">
        <f t="shared" si="856"/>
        <v>홀수</v>
      </c>
      <c r="AC665" s="27" t="str">
        <f t="shared" si="857"/>
        <v>5 : 1</v>
      </c>
      <c r="AD665" s="32">
        <f t="shared" si="858"/>
        <v>5</v>
      </c>
      <c r="AE665" s="32">
        <f t="shared" si="859"/>
        <v>1</v>
      </c>
      <c r="AF665" s="66" t="str">
        <f t="shared" si="860"/>
        <v>저수</v>
      </c>
      <c r="AG665" s="66" t="str">
        <f t="shared" si="861"/>
        <v>저수</v>
      </c>
      <c r="AH665" s="66" t="str">
        <f t="shared" si="862"/>
        <v>저수</v>
      </c>
      <c r="AI665" s="66" t="str">
        <f t="shared" si="863"/>
        <v>저수</v>
      </c>
      <c r="AJ665" s="66" t="str">
        <f t="shared" si="864"/>
        <v>저수</v>
      </c>
      <c r="AK665" s="66" t="str">
        <f t="shared" si="865"/>
        <v>고수</v>
      </c>
      <c r="AL665" s="66" t="str">
        <f t="shared" si="866"/>
        <v>5 : 1</v>
      </c>
      <c r="AM665" s="27">
        <f t="shared" si="867"/>
        <v>5</v>
      </c>
      <c r="AN665" s="27">
        <f t="shared" si="868"/>
        <v>1</v>
      </c>
      <c r="AO665" s="27">
        <f t="shared" si="869"/>
        <v>33</v>
      </c>
      <c r="AP665" s="66" t="str">
        <f t="shared" si="870"/>
        <v>O</v>
      </c>
      <c r="AQ665" s="66" t="str">
        <f t="shared" si="871"/>
        <v>X</v>
      </c>
      <c r="AR665" s="66" t="str">
        <f t="shared" si="872"/>
        <v>X</v>
      </c>
      <c r="AS665" s="66" t="str">
        <f t="shared" si="873"/>
        <v>O</v>
      </c>
      <c r="AT665" s="66" t="str">
        <f t="shared" si="874"/>
        <v>X</v>
      </c>
      <c r="AU665" s="66" t="str">
        <f t="shared" si="875"/>
        <v>X</v>
      </c>
      <c r="AV665" s="66" t="str">
        <f t="shared" si="876"/>
        <v>X</v>
      </c>
      <c r="AW665" s="66" t="str">
        <f t="shared" si="877"/>
        <v>X</v>
      </c>
      <c r="AX665" s="66" t="str">
        <f t="shared" si="878"/>
        <v>X</v>
      </c>
      <c r="AY665" s="66" t="str">
        <f t="shared" si="879"/>
        <v>X</v>
      </c>
      <c r="AZ665" s="66" t="str">
        <f t="shared" si="880"/>
        <v>X</v>
      </c>
      <c r="BA665" s="27" t="str">
        <f t="shared" si="881"/>
        <v>O</v>
      </c>
      <c r="BB665" s="27">
        <f t="shared" si="882"/>
        <v>3</v>
      </c>
      <c r="BC665" s="424" t="str">
        <f t="shared" ref="BC665" si="890">VLOOKUP(N665,삼그룹,6,FALSE)</f>
        <v>1G</v>
      </c>
      <c r="BD665" s="424" t="str">
        <f t="shared" ref="BD665" si="891">VLOOKUP(O665,삼그룹,6,FALSE)</f>
        <v>1G</v>
      </c>
      <c r="BE665" s="424" t="str">
        <f t="shared" ref="BE665" si="892">VLOOKUP(P665,삼그룹,6,FALSE)</f>
        <v>1G</v>
      </c>
      <c r="BF665" s="424" t="str">
        <f t="shared" ref="BF665" si="893">VLOOKUP(Q665,삼그룹,6,FALSE)</f>
        <v>1G</v>
      </c>
      <c r="BG665" s="424" t="str">
        <f t="shared" ref="BG665" si="894">VLOOKUP(R665,삼그룹,6,FALSE)</f>
        <v>1G</v>
      </c>
      <c r="BH665" s="424" t="str">
        <f t="shared" ref="BH665" si="895">VLOOKUP(S665,삼그룹,6,FALSE)</f>
        <v>3G</v>
      </c>
      <c r="BI665" s="424">
        <f t="shared" si="568"/>
        <v>5</v>
      </c>
      <c r="BJ665" s="424">
        <f t="shared" si="569"/>
        <v>0</v>
      </c>
      <c r="BK665" s="424">
        <f t="shared" si="570"/>
        <v>1</v>
      </c>
      <c r="BL665" s="424" t="str">
        <f t="shared" ref="BL665" si="896">BI665&amp;BJ665&amp;BK665</f>
        <v>501</v>
      </c>
      <c r="BS665"/>
    </row>
    <row r="666" spans="2:71" ht="16.5">
      <c r="B666" s="360">
        <v>663</v>
      </c>
      <c r="C666" s="363" t="s">
        <v>1029</v>
      </c>
      <c r="N666" s="28">
        <v>3</v>
      </c>
      <c r="O666" s="28">
        <v>5</v>
      </c>
      <c r="P666" s="28">
        <v>8</v>
      </c>
      <c r="Q666" s="28">
        <v>19</v>
      </c>
      <c r="R666" s="28">
        <v>38</v>
      </c>
      <c r="S666" s="28">
        <v>42</v>
      </c>
      <c r="T666" s="28">
        <v>20</v>
      </c>
      <c r="U666" s="28">
        <f t="shared" si="528"/>
        <v>115</v>
      </c>
      <c r="W666" s="27" t="str">
        <f t="shared" si="851"/>
        <v>홀수</v>
      </c>
      <c r="X666" s="27" t="str">
        <f t="shared" si="852"/>
        <v>홀수</v>
      </c>
      <c r="Y666" s="27" t="str">
        <f t="shared" si="853"/>
        <v>짝수</v>
      </c>
      <c r="Z666" s="27" t="str">
        <f t="shared" si="854"/>
        <v>홀수</v>
      </c>
      <c r="AA666" s="28" t="str">
        <f t="shared" si="855"/>
        <v>짝수</v>
      </c>
      <c r="AB666" s="28" t="str">
        <f t="shared" si="856"/>
        <v>짝수</v>
      </c>
      <c r="AC666" s="27" t="str">
        <f t="shared" si="857"/>
        <v>3 : 3</v>
      </c>
      <c r="AD666" s="32">
        <f t="shared" si="858"/>
        <v>3</v>
      </c>
      <c r="AE666" s="32">
        <f t="shared" si="859"/>
        <v>3</v>
      </c>
      <c r="AF666" s="66" t="str">
        <f t="shared" si="860"/>
        <v>저수</v>
      </c>
      <c r="AG666" s="66" t="str">
        <f t="shared" si="861"/>
        <v>저수</v>
      </c>
      <c r="AH666" s="66" t="str">
        <f t="shared" si="862"/>
        <v>저수</v>
      </c>
      <c r="AI666" s="66" t="str">
        <f t="shared" si="863"/>
        <v>저수</v>
      </c>
      <c r="AJ666" s="66" t="str">
        <f t="shared" si="864"/>
        <v>고수</v>
      </c>
      <c r="AK666" s="66" t="str">
        <f t="shared" si="865"/>
        <v>고수</v>
      </c>
      <c r="AL666" s="66" t="str">
        <f t="shared" si="866"/>
        <v>4 : 2</v>
      </c>
      <c r="AM666" s="27">
        <f t="shared" si="867"/>
        <v>4</v>
      </c>
      <c r="AN666" s="27">
        <f t="shared" si="868"/>
        <v>2</v>
      </c>
      <c r="AO666" s="27">
        <f t="shared" si="869"/>
        <v>35</v>
      </c>
      <c r="AP666" s="66" t="str">
        <f t="shared" si="870"/>
        <v>O</v>
      </c>
      <c r="AQ666" s="66" t="str">
        <f t="shared" si="871"/>
        <v>O</v>
      </c>
      <c r="AR666" s="66" t="str">
        <f t="shared" si="872"/>
        <v>X</v>
      </c>
      <c r="AS666" s="66" t="str">
        <f t="shared" si="873"/>
        <v>O</v>
      </c>
      <c r="AT666" s="66" t="str">
        <f t="shared" si="874"/>
        <v>X</v>
      </c>
      <c r="AU666" s="66" t="str">
        <f t="shared" si="875"/>
        <v>X</v>
      </c>
      <c r="AV666" s="66" t="str">
        <f t="shared" si="876"/>
        <v>X</v>
      </c>
      <c r="AW666" s="66" t="str">
        <f t="shared" si="877"/>
        <v>X</v>
      </c>
      <c r="AX666" s="66" t="str">
        <f t="shared" si="878"/>
        <v>X</v>
      </c>
      <c r="AY666" s="66" t="str">
        <f t="shared" si="879"/>
        <v>X</v>
      </c>
      <c r="AZ666" s="66" t="str">
        <f t="shared" si="880"/>
        <v>X</v>
      </c>
      <c r="BA666" s="27" t="str">
        <f t="shared" si="881"/>
        <v>X</v>
      </c>
      <c r="BB666" s="27">
        <f t="shared" si="882"/>
        <v>3</v>
      </c>
      <c r="BC666" s="425" t="str">
        <f t="shared" ref="BC666" si="897">VLOOKUP(N666,삼그룹,6,FALSE)</f>
        <v>1G</v>
      </c>
      <c r="BD666" s="425" t="str">
        <f t="shared" ref="BD666" si="898">VLOOKUP(O666,삼그룹,6,FALSE)</f>
        <v>1G</v>
      </c>
      <c r="BE666" s="425" t="str">
        <f t="shared" ref="BE666" si="899">VLOOKUP(P666,삼그룹,6,FALSE)</f>
        <v>1G</v>
      </c>
      <c r="BF666" s="425" t="str">
        <f t="shared" ref="BF666" si="900">VLOOKUP(Q666,삼그룹,6,FALSE)</f>
        <v>2G</v>
      </c>
      <c r="BG666" s="425" t="str">
        <f t="shared" ref="BG666" si="901">VLOOKUP(R666,삼그룹,6,FALSE)</f>
        <v>3G</v>
      </c>
      <c r="BH666" s="425" t="str">
        <f t="shared" ref="BH666" si="902">VLOOKUP(S666,삼그룹,6,FALSE)</f>
        <v>3G</v>
      </c>
      <c r="BI666" s="425">
        <f t="shared" si="568"/>
        <v>3</v>
      </c>
      <c r="BJ666" s="425">
        <f t="shared" si="569"/>
        <v>1</v>
      </c>
      <c r="BK666" s="425">
        <f t="shared" si="570"/>
        <v>2</v>
      </c>
      <c r="BL666" s="425" t="str">
        <f t="shared" ref="BL666" si="903">BI666&amp;BJ666&amp;BK666</f>
        <v>312</v>
      </c>
      <c r="BS666"/>
    </row>
    <row r="667" spans="2:71" ht="16.5">
      <c r="B667" s="360">
        <v>664</v>
      </c>
      <c r="C667" s="363" t="s">
        <v>1030</v>
      </c>
      <c r="N667" s="28">
        <v>10</v>
      </c>
      <c r="O667" s="28">
        <v>20</v>
      </c>
      <c r="P667" s="28">
        <v>33</v>
      </c>
      <c r="Q667" s="28">
        <v>36</v>
      </c>
      <c r="R667" s="28">
        <v>41</v>
      </c>
      <c r="S667" s="28">
        <v>44</v>
      </c>
      <c r="T667" s="28">
        <v>5</v>
      </c>
      <c r="U667" s="28">
        <f t="shared" si="528"/>
        <v>184</v>
      </c>
      <c r="W667" s="27" t="str">
        <f t="shared" si="851"/>
        <v>짝수</v>
      </c>
      <c r="X667" s="27" t="str">
        <f t="shared" si="852"/>
        <v>짝수</v>
      </c>
      <c r="Y667" s="27" t="str">
        <f t="shared" si="853"/>
        <v>홀수</v>
      </c>
      <c r="Z667" s="27" t="str">
        <f t="shared" si="854"/>
        <v>짝수</v>
      </c>
      <c r="AA667" s="28" t="str">
        <f t="shared" si="855"/>
        <v>홀수</v>
      </c>
      <c r="AB667" s="28" t="str">
        <f t="shared" si="856"/>
        <v>짝수</v>
      </c>
      <c r="AC667" s="27" t="str">
        <f t="shared" si="857"/>
        <v>2 : 4</v>
      </c>
      <c r="AD667" s="32">
        <f t="shared" si="858"/>
        <v>2</v>
      </c>
      <c r="AE667" s="32">
        <f t="shared" si="859"/>
        <v>4</v>
      </c>
      <c r="AF667" s="66" t="str">
        <f t="shared" si="860"/>
        <v>저수</v>
      </c>
      <c r="AG667" s="66" t="str">
        <f t="shared" si="861"/>
        <v>저수</v>
      </c>
      <c r="AH667" s="66" t="str">
        <f t="shared" si="862"/>
        <v>고수</v>
      </c>
      <c r="AI667" s="66" t="str">
        <f t="shared" si="863"/>
        <v>고수</v>
      </c>
      <c r="AJ667" s="66" t="str">
        <f t="shared" si="864"/>
        <v>고수</v>
      </c>
      <c r="AK667" s="66" t="str">
        <f t="shared" si="865"/>
        <v>고수</v>
      </c>
      <c r="AL667" s="66" t="str">
        <f t="shared" si="866"/>
        <v>2 : 4</v>
      </c>
      <c r="AM667" s="27">
        <f t="shared" si="867"/>
        <v>2</v>
      </c>
      <c r="AN667" s="27">
        <f t="shared" si="868"/>
        <v>4</v>
      </c>
      <c r="AO667" s="27">
        <f t="shared" si="869"/>
        <v>14</v>
      </c>
      <c r="AP667" s="66" t="str">
        <f t="shared" si="870"/>
        <v>X</v>
      </c>
      <c r="AQ667" s="66" t="str">
        <f t="shared" si="871"/>
        <v>X</v>
      </c>
      <c r="AR667" s="66" t="str">
        <f t="shared" si="872"/>
        <v>X</v>
      </c>
      <c r="AS667" s="66" t="str">
        <f t="shared" si="873"/>
        <v>X</v>
      </c>
      <c r="AT667" s="66" t="str">
        <f t="shared" si="874"/>
        <v>X</v>
      </c>
      <c r="AU667" s="66" t="str">
        <f t="shared" si="875"/>
        <v>X</v>
      </c>
      <c r="AV667" s="66" t="str">
        <f t="shared" si="876"/>
        <v>X</v>
      </c>
      <c r="AW667" s="66" t="str">
        <f t="shared" si="877"/>
        <v>X</v>
      </c>
      <c r="AX667" s="66" t="str">
        <f t="shared" si="878"/>
        <v>X</v>
      </c>
      <c r="AY667" s="66" t="str">
        <f t="shared" si="879"/>
        <v>X</v>
      </c>
      <c r="AZ667" s="66" t="str">
        <f t="shared" si="880"/>
        <v>O</v>
      </c>
      <c r="BA667" s="27" t="str">
        <f t="shared" si="881"/>
        <v>X</v>
      </c>
      <c r="BB667" s="27">
        <f t="shared" si="882"/>
        <v>1</v>
      </c>
      <c r="BC667" s="426" t="str">
        <f t="shared" ref="BC667" si="904">VLOOKUP(N667,삼그룹,6,FALSE)</f>
        <v>1G</v>
      </c>
      <c r="BD667" s="426" t="str">
        <f t="shared" ref="BD667" si="905">VLOOKUP(O667,삼그룹,6,FALSE)</f>
        <v>2G</v>
      </c>
      <c r="BE667" s="426" t="str">
        <f t="shared" ref="BE667" si="906">VLOOKUP(P667,삼그룹,6,FALSE)</f>
        <v>3G</v>
      </c>
      <c r="BF667" s="426" t="str">
        <f t="shared" ref="BF667" si="907">VLOOKUP(Q667,삼그룹,6,FALSE)</f>
        <v>3G</v>
      </c>
      <c r="BG667" s="426" t="str">
        <f t="shared" ref="BG667" si="908">VLOOKUP(R667,삼그룹,6,FALSE)</f>
        <v>3G</v>
      </c>
      <c r="BH667" s="426" t="str">
        <f t="shared" ref="BH667" si="909">VLOOKUP(S667,삼그룹,6,FALSE)</f>
        <v>3G</v>
      </c>
      <c r="BI667" s="426">
        <f t="shared" si="568"/>
        <v>1</v>
      </c>
      <c r="BJ667" s="426">
        <f t="shared" si="569"/>
        <v>1</v>
      </c>
      <c r="BK667" s="426">
        <f t="shared" si="570"/>
        <v>4</v>
      </c>
      <c r="BL667" s="426" t="str">
        <f t="shared" ref="BL667" si="910">BI667&amp;BJ667&amp;BK667</f>
        <v>114</v>
      </c>
      <c r="BS667"/>
    </row>
    <row r="668" spans="2:71" ht="16.5">
      <c r="B668" s="360">
        <v>665</v>
      </c>
      <c r="C668" s="363" t="s">
        <v>1031</v>
      </c>
      <c r="N668" s="28">
        <v>5</v>
      </c>
      <c r="O668" s="28">
        <v>6</v>
      </c>
      <c r="P668" s="28">
        <v>11</v>
      </c>
      <c r="Q668" s="28">
        <v>17</v>
      </c>
      <c r="R668" s="28">
        <v>38</v>
      </c>
      <c r="S668" s="28">
        <v>44</v>
      </c>
      <c r="T668" s="28">
        <v>13</v>
      </c>
      <c r="U668" s="28">
        <f t="shared" si="528"/>
        <v>121</v>
      </c>
      <c r="W668" s="27" t="str">
        <f t="shared" si="851"/>
        <v>홀수</v>
      </c>
      <c r="X668" s="27" t="str">
        <f t="shared" si="852"/>
        <v>짝수</v>
      </c>
      <c r="Y668" s="27" t="str">
        <f t="shared" si="853"/>
        <v>홀수</v>
      </c>
      <c r="Z668" s="27" t="str">
        <f t="shared" si="854"/>
        <v>홀수</v>
      </c>
      <c r="AA668" s="28" t="str">
        <f t="shared" si="855"/>
        <v>짝수</v>
      </c>
      <c r="AB668" s="28" t="str">
        <f t="shared" si="856"/>
        <v>짝수</v>
      </c>
      <c r="AC668" s="27" t="str">
        <f t="shared" si="857"/>
        <v>3 : 3</v>
      </c>
      <c r="AD668" s="32">
        <f t="shared" si="858"/>
        <v>3</v>
      </c>
      <c r="AE668" s="32">
        <f t="shared" si="859"/>
        <v>3</v>
      </c>
      <c r="AF668" s="66" t="str">
        <f t="shared" si="860"/>
        <v>저수</v>
      </c>
      <c r="AG668" s="66" t="str">
        <f t="shared" si="861"/>
        <v>저수</v>
      </c>
      <c r="AH668" s="66" t="str">
        <f t="shared" si="862"/>
        <v>저수</v>
      </c>
      <c r="AI668" s="66" t="str">
        <f t="shared" si="863"/>
        <v>저수</v>
      </c>
      <c r="AJ668" s="66" t="str">
        <f t="shared" si="864"/>
        <v>고수</v>
      </c>
      <c r="AK668" s="66" t="str">
        <f t="shared" si="865"/>
        <v>고수</v>
      </c>
      <c r="AL668" s="66" t="str">
        <f t="shared" si="866"/>
        <v>4 : 2</v>
      </c>
      <c r="AM668" s="27">
        <f t="shared" si="867"/>
        <v>4</v>
      </c>
      <c r="AN668" s="27">
        <f t="shared" si="868"/>
        <v>2</v>
      </c>
      <c r="AO668" s="27">
        <f t="shared" si="869"/>
        <v>31</v>
      </c>
      <c r="AP668" s="66" t="str">
        <f t="shared" si="870"/>
        <v>O</v>
      </c>
      <c r="AQ668" s="66" t="str">
        <f t="shared" si="871"/>
        <v>X</v>
      </c>
      <c r="AR668" s="66" t="str">
        <f t="shared" si="872"/>
        <v>O</v>
      </c>
      <c r="AS668" s="66" t="str">
        <f t="shared" si="873"/>
        <v>O</v>
      </c>
      <c r="AT668" s="66" t="str">
        <f t="shared" si="874"/>
        <v>X</v>
      </c>
      <c r="AU668" s="66" t="str">
        <f t="shared" si="875"/>
        <v>X</v>
      </c>
      <c r="AV668" s="66" t="str">
        <f t="shared" si="876"/>
        <v>X</v>
      </c>
      <c r="AW668" s="66" t="str">
        <f t="shared" si="877"/>
        <v>X</v>
      </c>
      <c r="AX668" s="66" t="str">
        <f t="shared" si="878"/>
        <v>X</v>
      </c>
      <c r="AY668" s="66" t="str">
        <f t="shared" si="879"/>
        <v>X</v>
      </c>
      <c r="AZ668" s="66" t="str">
        <f t="shared" si="880"/>
        <v>X</v>
      </c>
      <c r="BA668" s="27" t="str">
        <f t="shared" si="881"/>
        <v>X</v>
      </c>
      <c r="BB668" s="27">
        <f t="shared" si="882"/>
        <v>3</v>
      </c>
      <c r="BC668" s="427" t="str">
        <f t="shared" ref="BC668" si="911">VLOOKUP(N668,삼그룹,6,FALSE)</f>
        <v>1G</v>
      </c>
      <c r="BD668" s="427" t="str">
        <f t="shared" ref="BD668" si="912">VLOOKUP(O668,삼그룹,6,FALSE)</f>
        <v>1G</v>
      </c>
      <c r="BE668" s="427" t="str">
        <f t="shared" ref="BE668" si="913">VLOOKUP(P668,삼그룹,6,FALSE)</f>
        <v>1G</v>
      </c>
      <c r="BF668" s="427" t="str">
        <f t="shared" ref="BF668" si="914">VLOOKUP(Q668,삼그룹,6,FALSE)</f>
        <v>2G</v>
      </c>
      <c r="BG668" s="427" t="str">
        <f t="shared" ref="BG668" si="915">VLOOKUP(R668,삼그룹,6,FALSE)</f>
        <v>3G</v>
      </c>
      <c r="BH668" s="427" t="str">
        <f t="shared" ref="BH668" si="916">VLOOKUP(S668,삼그룹,6,FALSE)</f>
        <v>3G</v>
      </c>
      <c r="BI668" s="427">
        <f t="shared" si="568"/>
        <v>3</v>
      </c>
      <c r="BJ668" s="427">
        <f t="shared" si="569"/>
        <v>1</v>
      </c>
      <c r="BK668" s="427">
        <f t="shared" si="570"/>
        <v>2</v>
      </c>
      <c r="BL668" s="427" t="str">
        <f t="shared" ref="BL668" si="917">BI668&amp;BJ668&amp;BK668</f>
        <v>312</v>
      </c>
      <c r="BS668"/>
    </row>
    <row r="669" spans="2:71" ht="16.5">
      <c r="B669" s="360">
        <v>666</v>
      </c>
      <c r="C669" s="363" t="s">
        <v>1032</v>
      </c>
      <c r="N669" s="28">
        <v>2</v>
      </c>
      <c r="O669" s="28">
        <v>4</v>
      </c>
      <c r="P669" s="28">
        <v>6</v>
      </c>
      <c r="Q669" s="28">
        <v>11</v>
      </c>
      <c r="R669" s="28">
        <v>17</v>
      </c>
      <c r="S669" s="28">
        <v>28</v>
      </c>
      <c r="T669" s="28">
        <v>16</v>
      </c>
      <c r="U669" s="28">
        <f t="shared" si="528"/>
        <v>68</v>
      </c>
      <c r="W669" s="27" t="str">
        <f t="shared" si="851"/>
        <v>짝수</v>
      </c>
      <c r="X669" s="27" t="str">
        <f t="shared" si="852"/>
        <v>짝수</v>
      </c>
      <c r="Y669" s="27" t="str">
        <f t="shared" si="853"/>
        <v>짝수</v>
      </c>
      <c r="Z669" s="27" t="str">
        <f t="shared" si="854"/>
        <v>홀수</v>
      </c>
      <c r="AA669" s="28" t="str">
        <f t="shared" si="855"/>
        <v>홀수</v>
      </c>
      <c r="AB669" s="28" t="str">
        <f t="shared" si="856"/>
        <v>짝수</v>
      </c>
      <c r="AC669" s="27" t="str">
        <f t="shared" si="857"/>
        <v>2 : 4</v>
      </c>
      <c r="AD669" s="32">
        <f t="shared" si="858"/>
        <v>2</v>
      </c>
      <c r="AE669" s="32">
        <f t="shared" si="859"/>
        <v>4</v>
      </c>
      <c r="AF669" s="66" t="str">
        <f t="shared" si="860"/>
        <v>저수</v>
      </c>
      <c r="AG669" s="66" t="str">
        <f t="shared" si="861"/>
        <v>저수</v>
      </c>
      <c r="AH669" s="66" t="str">
        <f t="shared" si="862"/>
        <v>저수</v>
      </c>
      <c r="AI669" s="66" t="str">
        <f t="shared" si="863"/>
        <v>저수</v>
      </c>
      <c r="AJ669" s="66" t="str">
        <f t="shared" si="864"/>
        <v>저수</v>
      </c>
      <c r="AK669" s="66" t="str">
        <f t="shared" si="865"/>
        <v>고수</v>
      </c>
      <c r="AL669" s="66" t="str">
        <f t="shared" si="866"/>
        <v>5 : 1</v>
      </c>
      <c r="AM669" s="27">
        <f t="shared" si="867"/>
        <v>5</v>
      </c>
      <c r="AN669" s="27">
        <f t="shared" si="868"/>
        <v>1</v>
      </c>
      <c r="AO669" s="27">
        <f t="shared" si="869"/>
        <v>28</v>
      </c>
      <c r="AP669" s="66" t="str">
        <f t="shared" si="870"/>
        <v>O</v>
      </c>
      <c r="AQ669" s="66" t="str">
        <f t="shared" si="871"/>
        <v>X</v>
      </c>
      <c r="AR669" s="66" t="str">
        <f t="shared" si="872"/>
        <v>X</v>
      </c>
      <c r="AS669" s="66" t="str">
        <f t="shared" si="873"/>
        <v>O</v>
      </c>
      <c r="AT669" s="66" t="str">
        <f t="shared" si="874"/>
        <v>O</v>
      </c>
      <c r="AU669" s="66" t="str">
        <f t="shared" si="875"/>
        <v>X</v>
      </c>
      <c r="AV669" s="66" t="str">
        <f t="shared" si="876"/>
        <v>X</v>
      </c>
      <c r="AW669" s="66" t="str">
        <f t="shared" si="877"/>
        <v>X</v>
      </c>
      <c r="AX669" s="66" t="str">
        <f t="shared" si="878"/>
        <v>X</v>
      </c>
      <c r="AY669" s="66" t="str">
        <f t="shared" si="879"/>
        <v>X</v>
      </c>
      <c r="AZ669" s="66" t="str">
        <f t="shared" si="880"/>
        <v>X</v>
      </c>
      <c r="BA669" s="27" t="str">
        <f t="shared" si="881"/>
        <v>X</v>
      </c>
      <c r="BB669" s="27">
        <f t="shared" si="882"/>
        <v>3</v>
      </c>
      <c r="BC669" s="428" t="str">
        <f t="shared" ref="BC669" si="918">VLOOKUP(N669,삼그룹,6,FALSE)</f>
        <v>1G</v>
      </c>
      <c r="BD669" s="428" t="str">
        <f t="shared" ref="BD669" si="919">VLOOKUP(O669,삼그룹,6,FALSE)</f>
        <v>1G</v>
      </c>
      <c r="BE669" s="428" t="str">
        <f t="shared" ref="BE669" si="920">VLOOKUP(P669,삼그룹,6,FALSE)</f>
        <v>1G</v>
      </c>
      <c r="BF669" s="428" t="str">
        <f t="shared" ref="BF669" si="921">VLOOKUP(Q669,삼그룹,6,FALSE)</f>
        <v>1G</v>
      </c>
      <c r="BG669" s="428" t="str">
        <f t="shared" ref="BG669" si="922">VLOOKUP(R669,삼그룹,6,FALSE)</f>
        <v>2G</v>
      </c>
      <c r="BH669" s="428" t="str">
        <f t="shared" ref="BH669" si="923">VLOOKUP(S669,삼그룹,6,FALSE)</f>
        <v>2G</v>
      </c>
      <c r="BI669" s="428">
        <f t="shared" si="568"/>
        <v>4</v>
      </c>
      <c r="BJ669" s="428">
        <f t="shared" si="569"/>
        <v>2</v>
      </c>
      <c r="BK669" s="428">
        <f t="shared" si="570"/>
        <v>0</v>
      </c>
      <c r="BL669" s="428" t="str">
        <f t="shared" ref="BL669" si="924">BI669&amp;BJ669&amp;BK669</f>
        <v>420</v>
      </c>
      <c r="BS669"/>
    </row>
    <row r="670" spans="2:71" ht="16.5">
      <c r="B670" s="360">
        <v>667</v>
      </c>
      <c r="C670" s="363" t="s">
        <v>1033</v>
      </c>
      <c r="N670" s="28">
        <v>15</v>
      </c>
      <c r="O670" s="28">
        <v>17</v>
      </c>
      <c r="P670" s="28">
        <v>25</v>
      </c>
      <c r="Q670" s="28">
        <v>37</v>
      </c>
      <c r="R670" s="28">
        <v>42</v>
      </c>
      <c r="S670" s="28">
        <v>43</v>
      </c>
      <c r="T670" s="28">
        <v>13</v>
      </c>
      <c r="U670" s="28">
        <f t="shared" si="528"/>
        <v>179</v>
      </c>
      <c r="W670" s="27" t="str">
        <f t="shared" si="851"/>
        <v>홀수</v>
      </c>
      <c r="X670" s="27" t="str">
        <f t="shared" si="852"/>
        <v>홀수</v>
      </c>
      <c r="Y670" s="27" t="str">
        <f t="shared" si="853"/>
        <v>홀수</v>
      </c>
      <c r="Z670" s="27" t="str">
        <f t="shared" si="854"/>
        <v>홀수</v>
      </c>
      <c r="AA670" s="28" t="str">
        <f t="shared" si="855"/>
        <v>짝수</v>
      </c>
      <c r="AB670" s="28" t="str">
        <f t="shared" si="856"/>
        <v>홀수</v>
      </c>
      <c r="AC670" s="27" t="str">
        <f t="shared" si="857"/>
        <v>5 : 1</v>
      </c>
      <c r="AD670" s="32">
        <f t="shared" si="858"/>
        <v>5</v>
      </c>
      <c r="AE670" s="32">
        <f t="shared" si="859"/>
        <v>1</v>
      </c>
      <c r="AF670" s="66" t="str">
        <f t="shared" si="860"/>
        <v>저수</v>
      </c>
      <c r="AG670" s="66" t="str">
        <f t="shared" si="861"/>
        <v>저수</v>
      </c>
      <c r="AH670" s="66" t="str">
        <f t="shared" si="862"/>
        <v>고수</v>
      </c>
      <c r="AI670" s="66" t="str">
        <f t="shared" si="863"/>
        <v>고수</v>
      </c>
      <c r="AJ670" s="66" t="str">
        <f t="shared" si="864"/>
        <v>고수</v>
      </c>
      <c r="AK670" s="66" t="str">
        <f t="shared" si="865"/>
        <v>고수</v>
      </c>
      <c r="AL670" s="66" t="str">
        <f t="shared" si="866"/>
        <v>2 : 4</v>
      </c>
      <c r="AM670" s="27">
        <f t="shared" si="867"/>
        <v>2</v>
      </c>
      <c r="AN670" s="27">
        <f t="shared" si="868"/>
        <v>4</v>
      </c>
      <c r="AO670" s="27">
        <f t="shared" si="869"/>
        <v>29</v>
      </c>
      <c r="AP670" s="66" t="str">
        <f t="shared" si="870"/>
        <v>X</v>
      </c>
      <c r="AQ670" s="66" t="str">
        <f t="shared" si="871"/>
        <v>O</v>
      </c>
      <c r="AR670" s="66" t="str">
        <f t="shared" si="872"/>
        <v>X</v>
      </c>
      <c r="AS670" s="66" t="str">
        <f t="shared" si="873"/>
        <v>X</v>
      </c>
      <c r="AT670" s="66" t="str">
        <f t="shared" si="874"/>
        <v>X</v>
      </c>
      <c r="AU670" s="66" t="str">
        <f t="shared" si="875"/>
        <v>X</v>
      </c>
      <c r="AV670" s="66" t="str">
        <f t="shared" si="876"/>
        <v>X</v>
      </c>
      <c r="AW670" s="66" t="str">
        <f t="shared" si="877"/>
        <v>X</v>
      </c>
      <c r="AX670" s="66" t="str">
        <f t="shared" si="878"/>
        <v>X</v>
      </c>
      <c r="AY670" s="66" t="str">
        <f t="shared" si="879"/>
        <v>O</v>
      </c>
      <c r="AZ670" s="66" t="str">
        <f t="shared" si="880"/>
        <v>X</v>
      </c>
      <c r="BA670" s="27" t="str">
        <f t="shared" si="881"/>
        <v>O</v>
      </c>
      <c r="BB670" s="27">
        <f t="shared" si="882"/>
        <v>3</v>
      </c>
      <c r="BC670" s="429" t="str">
        <f t="shared" ref="BC670:BC671" si="925">VLOOKUP(N670,삼그룹,6,FALSE)</f>
        <v>1G</v>
      </c>
      <c r="BD670" s="429" t="str">
        <f t="shared" ref="BD670:BD671" si="926">VLOOKUP(O670,삼그룹,6,FALSE)</f>
        <v>2G</v>
      </c>
      <c r="BE670" s="429" t="str">
        <f t="shared" ref="BE670:BE671" si="927">VLOOKUP(P670,삼그룹,6,FALSE)</f>
        <v>2G</v>
      </c>
      <c r="BF670" s="429" t="str">
        <f t="shared" ref="BF670:BF671" si="928">VLOOKUP(Q670,삼그룹,6,FALSE)</f>
        <v>3G</v>
      </c>
      <c r="BG670" s="429" t="str">
        <f t="shared" ref="BG670:BG671" si="929">VLOOKUP(R670,삼그룹,6,FALSE)</f>
        <v>3G</v>
      </c>
      <c r="BH670" s="429" t="str">
        <f t="shared" ref="BH670:BH671" si="930">VLOOKUP(S670,삼그룹,6,FALSE)</f>
        <v>3G</v>
      </c>
      <c r="BI670" s="429">
        <f t="shared" si="568"/>
        <v>1</v>
      </c>
      <c r="BJ670" s="429">
        <f t="shared" si="569"/>
        <v>2</v>
      </c>
      <c r="BK670" s="429">
        <f t="shared" si="570"/>
        <v>3</v>
      </c>
      <c r="BL670" s="429" t="str">
        <f t="shared" ref="BL670:BL671" si="931">BI670&amp;BJ670&amp;BK670</f>
        <v>123</v>
      </c>
      <c r="BS670"/>
    </row>
    <row r="671" spans="2:71" ht="16.5">
      <c r="B671" s="360">
        <v>668</v>
      </c>
      <c r="C671" s="363" t="s">
        <v>1034</v>
      </c>
      <c r="D671" s="360"/>
      <c r="E671" s="360"/>
      <c r="F671" s="360"/>
      <c r="G671" s="360"/>
      <c r="H671" s="360"/>
      <c r="I671" s="360"/>
      <c r="J671" s="360"/>
      <c r="K671" s="360"/>
      <c r="L671" s="360"/>
      <c r="M671" s="360"/>
      <c r="N671" s="363">
        <v>12</v>
      </c>
      <c r="O671" s="363">
        <v>14</v>
      </c>
      <c r="P671" s="363">
        <v>15</v>
      </c>
      <c r="Q671" s="363">
        <v>24</v>
      </c>
      <c r="R671" s="363">
        <v>27</v>
      </c>
      <c r="S671" s="363">
        <v>32</v>
      </c>
      <c r="T671" s="363">
        <v>3</v>
      </c>
      <c r="U671" s="363">
        <f t="shared" ref="U671:U725" si="932">SUM(N671:T671)-T671</f>
        <v>124</v>
      </c>
      <c r="V671" s="363"/>
      <c r="W671" s="430" t="str">
        <f t="shared" ref="W671:W725" si="933">IF(RIGHT(N671,1)="1","홀수",IF(RIGHT(N671,1)="3","홀수",IF(RIGHT(N671,1)="5","홀수",IF(RIGHT(N671,1)="7","홀수",IF(RIGHT(N671,1)="9","홀수","짝수")))))</f>
        <v>짝수</v>
      </c>
      <c r="X671" s="430" t="str">
        <f t="shared" ref="X671:X725" si="934">IF(RIGHT(O671,1)="1","홀수",IF(RIGHT(O671,1)="3","홀수",IF(RIGHT(O671,1)="5","홀수",IF(RIGHT(O671,1)="7","홀수",IF(RIGHT(O671,1)="9","홀수","짝수")))))</f>
        <v>짝수</v>
      </c>
      <c r="Y671" s="430" t="str">
        <f t="shared" ref="Y671:Y725" si="935">IF(RIGHT(P671,1)="1","홀수",IF(RIGHT(P671,1)="3","홀수",IF(RIGHT(P671,1)="5","홀수",IF(RIGHT(P671,1)="7","홀수",IF(RIGHT(P671,1)="9","홀수","짝수")))))</f>
        <v>홀수</v>
      </c>
      <c r="Z671" s="430" t="str">
        <f t="shared" ref="Z671:Z725" si="936">IF(RIGHT(Q671,1)="1","홀수",IF(RIGHT(Q671,1)="3","홀수",IF(RIGHT(Q671,1)="5","홀수",IF(RIGHT(Q671,1)="7","홀수",IF(RIGHT(Q671,1)="9","홀수","짝수")))))</f>
        <v>짝수</v>
      </c>
      <c r="AA671" s="363" t="str">
        <f t="shared" ref="AA671:AA725" si="937">IF(RIGHT(R671,1)="1","홀수",IF(RIGHT(R671,1)="3","홀수",IF(RIGHT(R671,1)="5","홀수",IF(RIGHT(R671,1)="7","홀수",IF(RIGHT(R671,1)="9","홀수","짝수")))))</f>
        <v>홀수</v>
      </c>
      <c r="AB671" s="363" t="str">
        <f t="shared" ref="AB671:AB725" si="938">IF(RIGHT(S671,1)="1","홀수",IF(RIGHT(S671,1)="3","홀수",IF(RIGHT(S671,1)="5","홀수",IF(RIGHT(S671,1)="7","홀수",IF(RIGHT(S671,1)="9","홀수","짝수")))))</f>
        <v>짝수</v>
      </c>
      <c r="AC671" s="430" t="str">
        <f t="shared" ref="AC671:AC725" si="939">AD671&amp;" : "&amp;AE671</f>
        <v>2 : 4</v>
      </c>
      <c r="AD671" s="430">
        <f t="shared" ref="AD671:AD725" si="940">COUNTIF(W671:AB671,"홀수")</f>
        <v>2</v>
      </c>
      <c r="AE671" s="430">
        <f t="shared" ref="AE671:AE725" si="941">COUNTIF(W671:AB671,"짝수")</f>
        <v>4</v>
      </c>
      <c r="AF671" s="430" t="str">
        <f t="shared" ref="AF671:AF725" si="942">IF(N671&lt;23,"저수","고수")</f>
        <v>저수</v>
      </c>
      <c r="AG671" s="430" t="str">
        <f t="shared" ref="AG671:AG725" si="943">IF(O671&lt;23,"저수","고수")</f>
        <v>저수</v>
      </c>
      <c r="AH671" s="430" t="str">
        <f t="shared" ref="AH671:AH725" si="944">IF(P671&lt;23,"저수","고수")</f>
        <v>저수</v>
      </c>
      <c r="AI671" s="430" t="str">
        <f t="shared" ref="AI671:AI725" si="945">IF(Q671&lt;23,"저수","고수")</f>
        <v>고수</v>
      </c>
      <c r="AJ671" s="430" t="str">
        <f t="shared" ref="AJ671:AJ725" si="946">IF(R671&lt;23,"저수","고수")</f>
        <v>고수</v>
      </c>
      <c r="AK671" s="430" t="str">
        <f t="shared" ref="AK671:AK725" si="947">IF(S671&lt;23,"저수","고수")</f>
        <v>고수</v>
      </c>
      <c r="AL671" s="430" t="str">
        <f t="shared" ref="AL671:AL725" si="948">AM671&amp;" : "&amp;AN671</f>
        <v>3 : 3</v>
      </c>
      <c r="AM671" s="430">
        <f t="shared" ref="AM671:AM725" si="949">COUNTIF(AF671:AK671,"저수")</f>
        <v>3</v>
      </c>
      <c r="AN671" s="430">
        <f t="shared" ref="AN671:AN725" si="950">COUNTIF(AF671:AK671,"고수")</f>
        <v>3</v>
      </c>
      <c r="AO671" s="430">
        <f t="shared" ref="AO671:AO725" si="951">RIGHT(N671,1)+RIGHT(O671,1)+RIGHT(P671,1)+RIGHT(Q671,1)+RIGHT(R671,1)+RIGHT(S671,1)</f>
        <v>24</v>
      </c>
      <c r="AP671" s="430" t="str">
        <f t="shared" ref="AP671:AP725" si="952">IF(N671=2,"O",IF(N671=3,"O",IF(N671=5,"O",IF(N671=7,"O",IF(N671=11,"O",IF(N671=13,"O",IF(N671=17,"O",IF(N671=19,"O","X"))))))))</f>
        <v>X</v>
      </c>
      <c r="AQ671" s="430" t="str">
        <f t="shared" ref="AQ671:AQ725" si="953">IF(O671=2,"O",IF(O671=3,"O",IF(O671=5,"O",IF(O671=7,"O",IF(O671=11,"O",IF(O671=13,"O",IF(O671=17,"O",IF(O671=19,"O","X"))))))))</f>
        <v>X</v>
      </c>
      <c r="AR671" s="430" t="str">
        <f t="shared" ref="AR671:AR725" si="954">IF(P671=2,"O",IF(P671=3,"O",IF(P671=5,"O",IF(P671=7,"O",IF(P671=11,"O",IF(P671=13,"O",IF(P671=17,"O",IF(P671=19,"O","X"))))))))</f>
        <v>X</v>
      </c>
      <c r="AS671" s="430" t="str">
        <f t="shared" ref="AS671:AS725" si="955">IF(Q671=2,"O",IF(Q671=3,"O",IF(Q671=5,"O",IF(Q671=7,"O",IF(Q671=11,"O",IF(Q671=13,"O",IF(Q671=17,"O",IF(Q671=19,"O","X"))))))))</f>
        <v>X</v>
      </c>
      <c r="AT671" s="430" t="str">
        <f t="shared" ref="AT671:AT725" si="956">IF(R671=2,"O",IF(R671=3,"O",IF(R671=5,"O",IF(R671=7,"O",IF(R671=11,"O",IF(R671=13,"O",IF(R671=17,"O",IF(R671=19,"O","X"))))))))</f>
        <v>X</v>
      </c>
      <c r="AU671" s="430" t="str">
        <f t="shared" ref="AU671:AU725" si="957">IF(S671=2,"O",IF(S671=3,"O",IF(S671=5,"O",IF(S671=7,"O",IF(S671=11,"O",IF(S671=13,"O",IF(S671=17,"O",IF(S671=19,"O","X"))))))))</f>
        <v>X</v>
      </c>
      <c r="AV671" s="430" t="str">
        <f t="shared" ref="AV671:AV725" si="958">IF(N671=23,"O",IF(N671=29,"O",IF(N671=31,"O",IF(N671=37,"O",IF(N671=41,"O",IF(N671=43,"O","X"))))))</f>
        <v>X</v>
      </c>
      <c r="AW671" s="430" t="str">
        <f t="shared" ref="AW671:AW725" si="959">IF(O671=23,"O",IF(O671=29,"O",IF(O671=31,"O",IF(O671=37,"O",IF(O671=41,"O",IF(O671=43,"O","X"))))))</f>
        <v>X</v>
      </c>
      <c r="AX671" s="430" t="str">
        <f t="shared" ref="AX671:AX725" si="960">IF(P671=23,"O",IF(P671=29,"O",IF(P671=31,"O",IF(P671=37,"O",IF(P671=41,"O",IF(P671=43,"O","X"))))))</f>
        <v>X</v>
      </c>
      <c r="AY671" s="430" t="str">
        <f t="shared" ref="AY671:AY725" si="961">IF(Q671=23,"O",IF(Q671=29,"O",IF(Q671=31,"O",IF(Q671=37,"O",IF(Q671=41,"O",IF(Q671=43,"O","X"))))))</f>
        <v>X</v>
      </c>
      <c r="AZ671" s="430" t="str">
        <f t="shared" ref="AZ671:AZ725" si="962">IF(R671=23,"O",IF(R671=29,"O",IF(R671=31,"O",IF(R671=37,"O",IF(R671=41,"O",IF(R671=43,"O","X"))))))</f>
        <v>X</v>
      </c>
      <c r="BA671" s="430" t="str">
        <f t="shared" ref="BA671:BA725" si="963">IF(S671=23,"O",IF(S671=29,"O",IF(S671=31,"O",IF(S671=37,"O",IF(S671=41,"O",IF(S671=43,"O","X"))))))</f>
        <v>X</v>
      </c>
      <c r="BB671" s="430">
        <f t="shared" ref="BB671:BB725" si="964">COUNTIF(AP671:BA671,"O")</f>
        <v>0</v>
      </c>
      <c r="BC671" s="430" t="str">
        <f t="shared" si="925"/>
        <v>1G</v>
      </c>
      <c r="BD671" s="430" t="str">
        <f t="shared" si="926"/>
        <v>1G</v>
      </c>
      <c r="BE671" s="430" t="str">
        <f t="shared" si="927"/>
        <v>1G</v>
      </c>
      <c r="BF671" s="430" t="str">
        <f t="shared" si="928"/>
        <v>2G</v>
      </c>
      <c r="BG671" s="430" t="str">
        <f t="shared" si="929"/>
        <v>2G</v>
      </c>
      <c r="BH671" s="430" t="str">
        <f t="shared" si="930"/>
        <v>3G</v>
      </c>
      <c r="BI671" s="430">
        <f t="shared" si="568"/>
        <v>3</v>
      </c>
      <c r="BJ671" s="430">
        <f t="shared" si="569"/>
        <v>2</v>
      </c>
      <c r="BK671" s="430">
        <f t="shared" si="570"/>
        <v>1</v>
      </c>
      <c r="BL671" s="430" t="str">
        <f t="shared" si="931"/>
        <v>321</v>
      </c>
      <c r="BS671"/>
    </row>
    <row r="672" spans="2:71" ht="16.5">
      <c r="B672" s="360">
        <v>669</v>
      </c>
      <c r="C672" s="363" t="s">
        <v>1035</v>
      </c>
      <c r="N672" s="28">
        <v>7</v>
      </c>
      <c r="O672" s="28">
        <v>8</v>
      </c>
      <c r="P672" s="28">
        <v>20</v>
      </c>
      <c r="Q672" s="28">
        <v>29</v>
      </c>
      <c r="R672" s="28">
        <v>33</v>
      </c>
      <c r="S672" s="28">
        <v>38</v>
      </c>
      <c r="T672" s="28">
        <v>9</v>
      </c>
      <c r="U672" s="28">
        <f t="shared" si="932"/>
        <v>135</v>
      </c>
      <c r="W672" s="27" t="str">
        <f t="shared" si="933"/>
        <v>홀수</v>
      </c>
      <c r="X672" s="27" t="str">
        <f t="shared" si="934"/>
        <v>짝수</v>
      </c>
      <c r="Y672" s="27" t="str">
        <f t="shared" si="935"/>
        <v>짝수</v>
      </c>
      <c r="Z672" s="27" t="str">
        <f t="shared" si="936"/>
        <v>홀수</v>
      </c>
      <c r="AA672" s="28" t="str">
        <f t="shared" si="937"/>
        <v>홀수</v>
      </c>
      <c r="AB672" s="28" t="str">
        <f t="shared" si="938"/>
        <v>짝수</v>
      </c>
      <c r="AC672" s="27" t="str">
        <f t="shared" si="939"/>
        <v>3 : 3</v>
      </c>
      <c r="AD672" s="32">
        <f t="shared" si="940"/>
        <v>3</v>
      </c>
      <c r="AE672" s="32">
        <f t="shared" si="941"/>
        <v>3</v>
      </c>
      <c r="AF672" s="66" t="str">
        <f t="shared" si="942"/>
        <v>저수</v>
      </c>
      <c r="AG672" s="66" t="str">
        <f t="shared" si="943"/>
        <v>저수</v>
      </c>
      <c r="AH672" s="66" t="str">
        <f t="shared" si="944"/>
        <v>저수</v>
      </c>
      <c r="AI672" s="66" t="str">
        <f t="shared" si="945"/>
        <v>고수</v>
      </c>
      <c r="AJ672" s="66" t="str">
        <f t="shared" si="946"/>
        <v>고수</v>
      </c>
      <c r="AK672" s="66" t="str">
        <f t="shared" si="947"/>
        <v>고수</v>
      </c>
      <c r="AL672" s="66" t="str">
        <f t="shared" si="948"/>
        <v>3 : 3</v>
      </c>
      <c r="AM672" s="27">
        <f t="shared" si="949"/>
        <v>3</v>
      </c>
      <c r="AN672" s="27">
        <f t="shared" si="950"/>
        <v>3</v>
      </c>
      <c r="AO672" s="27">
        <f t="shared" si="951"/>
        <v>35</v>
      </c>
      <c r="AP672" s="66" t="str">
        <f t="shared" si="952"/>
        <v>O</v>
      </c>
      <c r="AQ672" s="66" t="str">
        <f t="shared" si="953"/>
        <v>X</v>
      </c>
      <c r="AR672" s="66" t="str">
        <f t="shared" si="954"/>
        <v>X</v>
      </c>
      <c r="AS672" s="66" t="str">
        <f t="shared" si="955"/>
        <v>X</v>
      </c>
      <c r="AT672" s="66" t="str">
        <f t="shared" si="956"/>
        <v>X</v>
      </c>
      <c r="AU672" s="66" t="str">
        <f t="shared" si="957"/>
        <v>X</v>
      </c>
      <c r="AV672" s="66" t="str">
        <f t="shared" si="958"/>
        <v>X</v>
      </c>
      <c r="AW672" s="66" t="str">
        <f t="shared" si="959"/>
        <v>X</v>
      </c>
      <c r="AX672" s="66" t="str">
        <f t="shared" si="960"/>
        <v>X</v>
      </c>
      <c r="AY672" s="66" t="str">
        <f t="shared" si="961"/>
        <v>O</v>
      </c>
      <c r="AZ672" s="66" t="str">
        <f t="shared" si="962"/>
        <v>X</v>
      </c>
      <c r="BA672" s="27" t="str">
        <f t="shared" si="963"/>
        <v>X</v>
      </c>
      <c r="BB672" s="27">
        <f t="shared" si="964"/>
        <v>2</v>
      </c>
      <c r="BC672" s="431" t="str">
        <f t="shared" ref="BC672" si="965">VLOOKUP(N672,삼그룹,6,FALSE)</f>
        <v>1G</v>
      </c>
      <c r="BD672" s="431" t="str">
        <f t="shared" ref="BD672" si="966">VLOOKUP(O672,삼그룹,6,FALSE)</f>
        <v>1G</v>
      </c>
      <c r="BE672" s="431" t="str">
        <f t="shared" ref="BE672" si="967">VLOOKUP(P672,삼그룹,6,FALSE)</f>
        <v>2G</v>
      </c>
      <c r="BF672" s="431" t="str">
        <f t="shared" ref="BF672" si="968">VLOOKUP(Q672,삼그룹,6,FALSE)</f>
        <v>2G</v>
      </c>
      <c r="BG672" s="431" t="str">
        <f t="shared" ref="BG672" si="969">VLOOKUP(R672,삼그룹,6,FALSE)</f>
        <v>3G</v>
      </c>
      <c r="BH672" s="431" t="str">
        <f t="shared" ref="BH672" si="970">VLOOKUP(S672,삼그룹,6,FALSE)</f>
        <v>3G</v>
      </c>
      <c r="BI672" s="431">
        <f t="shared" si="568"/>
        <v>2</v>
      </c>
      <c r="BJ672" s="431">
        <f t="shared" si="569"/>
        <v>2</v>
      </c>
      <c r="BK672" s="431">
        <f t="shared" si="570"/>
        <v>2</v>
      </c>
      <c r="BL672" s="431" t="str">
        <f t="shared" ref="BL672" si="971">BI672&amp;BJ672&amp;BK672</f>
        <v>222</v>
      </c>
      <c r="BS672"/>
    </row>
    <row r="673" spans="2:71" ht="16.5">
      <c r="B673" s="360">
        <v>670</v>
      </c>
      <c r="C673" s="363" t="s">
        <v>1036</v>
      </c>
      <c r="N673" s="28">
        <v>11</v>
      </c>
      <c r="O673" s="28">
        <v>18</v>
      </c>
      <c r="P673" s="28">
        <v>26</v>
      </c>
      <c r="Q673" s="28">
        <v>27</v>
      </c>
      <c r="R673" s="28">
        <v>40</v>
      </c>
      <c r="S673" s="28">
        <v>41</v>
      </c>
      <c r="T673" s="28">
        <v>25</v>
      </c>
      <c r="U673" s="28">
        <f t="shared" si="932"/>
        <v>163</v>
      </c>
      <c r="W673" s="27" t="str">
        <f t="shared" si="933"/>
        <v>홀수</v>
      </c>
      <c r="X673" s="27" t="str">
        <f t="shared" si="934"/>
        <v>짝수</v>
      </c>
      <c r="Y673" s="27" t="str">
        <f t="shared" si="935"/>
        <v>짝수</v>
      </c>
      <c r="Z673" s="27" t="str">
        <f t="shared" si="936"/>
        <v>홀수</v>
      </c>
      <c r="AA673" s="28" t="str">
        <f t="shared" si="937"/>
        <v>짝수</v>
      </c>
      <c r="AB673" s="28" t="str">
        <f t="shared" si="938"/>
        <v>홀수</v>
      </c>
      <c r="AC673" s="27" t="str">
        <f t="shared" si="939"/>
        <v>3 : 3</v>
      </c>
      <c r="AD673" s="32">
        <f t="shared" si="940"/>
        <v>3</v>
      </c>
      <c r="AE673" s="32">
        <f t="shared" si="941"/>
        <v>3</v>
      </c>
      <c r="AF673" s="66" t="str">
        <f t="shared" si="942"/>
        <v>저수</v>
      </c>
      <c r="AG673" s="66" t="str">
        <f t="shared" si="943"/>
        <v>저수</v>
      </c>
      <c r="AH673" s="66" t="str">
        <f t="shared" si="944"/>
        <v>고수</v>
      </c>
      <c r="AI673" s="66" t="str">
        <f t="shared" si="945"/>
        <v>고수</v>
      </c>
      <c r="AJ673" s="66" t="str">
        <f t="shared" si="946"/>
        <v>고수</v>
      </c>
      <c r="AK673" s="66" t="str">
        <f t="shared" si="947"/>
        <v>고수</v>
      </c>
      <c r="AL673" s="66" t="str">
        <f t="shared" si="948"/>
        <v>2 : 4</v>
      </c>
      <c r="AM673" s="27">
        <f t="shared" si="949"/>
        <v>2</v>
      </c>
      <c r="AN673" s="27">
        <f t="shared" si="950"/>
        <v>4</v>
      </c>
      <c r="AO673" s="27">
        <f t="shared" si="951"/>
        <v>23</v>
      </c>
      <c r="AP673" s="66" t="str">
        <f t="shared" si="952"/>
        <v>O</v>
      </c>
      <c r="AQ673" s="66" t="str">
        <f t="shared" si="953"/>
        <v>X</v>
      </c>
      <c r="AR673" s="66" t="str">
        <f t="shared" si="954"/>
        <v>X</v>
      </c>
      <c r="AS673" s="66" t="str">
        <f t="shared" si="955"/>
        <v>X</v>
      </c>
      <c r="AT673" s="66" t="str">
        <f t="shared" si="956"/>
        <v>X</v>
      </c>
      <c r="AU673" s="66" t="str">
        <f t="shared" si="957"/>
        <v>X</v>
      </c>
      <c r="AV673" s="66" t="str">
        <f t="shared" si="958"/>
        <v>X</v>
      </c>
      <c r="AW673" s="66" t="str">
        <f t="shared" si="959"/>
        <v>X</v>
      </c>
      <c r="AX673" s="66" t="str">
        <f t="shared" si="960"/>
        <v>X</v>
      </c>
      <c r="AY673" s="66" t="str">
        <f t="shared" si="961"/>
        <v>X</v>
      </c>
      <c r="AZ673" s="66" t="str">
        <f t="shared" si="962"/>
        <v>X</v>
      </c>
      <c r="BA673" s="27" t="str">
        <f t="shared" si="963"/>
        <v>O</v>
      </c>
      <c r="BB673" s="27">
        <f t="shared" si="964"/>
        <v>2</v>
      </c>
      <c r="BC673" s="432" t="str">
        <f t="shared" ref="BC673:BC674" si="972">VLOOKUP(N673,삼그룹,6,FALSE)</f>
        <v>1G</v>
      </c>
      <c r="BD673" s="432" t="str">
        <f t="shared" ref="BD673:BD674" si="973">VLOOKUP(O673,삼그룹,6,FALSE)</f>
        <v>2G</v>
      </c>
      <c r="BE673" s="432" t="str">
        <f t="shared" ref="BE673:BE674" si="974">VLOOKUP(P673,삼그룹,6,FALSE)</f>
        <v>2G</v>
      </c>
      <c r="BF673" s="432" t="str">
        <f t="shared" ref="BF673:BF674" si="975">VLOOKUP(Q673,삼그룹,6,FALSE)</f>
        <v>2G</v>
      </c>
      <c r="BG673" s="432" t="str">
        <f t="shared" ref="BG673:BG674" si="976">VLOOKUP(R673,삼그룹,6,FALSE)</f>
        <v>3G</v>
      </c>
      <c r="BH673" s="432" t="str">
        <f t="shared" ref="BH673:BH674" si="977">VLOOKUP(S673,삼그룹,6,FALSE)</f>
        <v>3G</v>
      </c>
      <c r="BI673" s="432">
        <f t="shared" si="568"/>
        <v>1</v>
      </c>
      <c r="BJ673" s="432">
        <f t="shared" si="569"/>
        <v>3</v>
      </c>
      <c r="BK673" s="432">
        <f t="shared" si="570"/>
        <v>2</v>
      </c>
      <c r="BL673" s="432" t="str">
        <f t="shared" ref="BL673:BL674" si="978">BI673&amp;BJ673&amp;BK673</f>
        <v>132</v>
      </c>
      <c r="BS673"/>
    </row>
    <row r="674" spans="2:71" ht="16.5">
      <c r="B674" s="18">
        <v>671</v>
      </c>
      <c r="C674" s="363" t="s">
        <v>1037</v>
      </c>
      <c r="N674" s="28">
        <v>7</v>
      </c>
      <c r="O674" s="28">
        <v>9</v>
      </c>
      <c r="P674" s="28">
        <v>10</v>
      </c>
      <c r="Q674" s="28">
        <v>13</v>
      </c>
      <c r="R674" s="28">
        <v>31</v>
      </c>
      <c r="S674" s="28">
        <v>35</v>
      </c>
      <c r="T674" s="28">
        <v>24</v>
      </c>
      <c r="U674" s="28">
        <f t="shared" si="932"/>
        <v>105</v>
      </c>
      <c r="W674" s="27" t="str">
        <f t="shared" si="933"/>
        <v>홀수</v>
      </c>
      <c r="X674" s="27" t="str">
        <f t="shared" si="934"/>
        <v>홀수</v>
      </c>
      <c r="Y674" s="27" t="str">
        <f t="shared" si="935"/>
        <v>짝수</v>
      </c>
      <c r="Z674" s="27" t="str">
        <f t="shared" si="936"/>
        <v>홀수</v>
      </c>
      <c r="AA674" s="28" t="str">
        <f t="shared" si="937"/>
        <v>홀수</v>
      </c>
      <c r="AB674" s="28" t="str">
        <f t="shared" si="938"/>
        <v>홀수</v>
      </c>
      <c r="AC674" s="27" t="str">
        <f t="shared" si="939"/>
        <v>5 : 1</v>
      </c>
      <c r="AD674" s="32">
        <f t="shared" si="940"/>
        <v>5</v>
      </c>
      <c r="AE674" s="32">
        <f t="shared" si="941"/>
        <v>1</v>
      </c>
      <c r="AF674" s="66" t="str">
        <f t="shared" si="942"/>
        <v>저수</v>
      </c>
      <c r="AG674" s="66" t="str">
        <f t="shared" si="943"/>
        <v>저수</v>
      </c>
      <c r="AH674" s="66" t="str">
        <f t="shared" si="944"/>
        <v>저수</v>
      </c>
      <c r="AI674" s="66" t="str">
        <f t="shared" si="945"/>
        <v>저수</v>
      </c>
      <c r="AJ674" s="66" t="str">
        <f t="shared" si="946"/>
        <v>고수</v>
      </c>
      <c r="AK674" s="66" t="str">
        <f t="shared" si="947"/>
        <v>고수</v>
      </c>
      <c r="AL674" s="66" t="str">
        <f t="shared" si="948"/>
        <v>4 : 2</v>
      </c>
      <c r="AM674" s="27">
        <f t="shared" si="949"/>
        <v>4</v>
      </c>
      <c r="AN674" s="27">
        <f t="shared" si="950"/>
        <v>2</v>
      </c>
      <c r="AO674" s="27">
        <f t="shared" si="951"/>
        <v>25</v>
      </c>
      <c r="AP674" s="66" t="str">
        <f t="shared" si="952"/>
        <v>O</v>
      </c>
      <c r="AQ674" s="66" t="str">
        <f t="shared" si="953"/>
        <v>X</v>
      </c>
      <c r="AR674" s="66" t="str">
        <f t="shared" si="954"/>
        <v>X</v>
      </c>
      <c r="AS674" s="66" t="str">
        <f t="shared" si="955"/>
        <v>O</v>
      </c>
      <c r="AT674" s="66" t="str">
        <f t="shared" si="956"/>
        <v>X</v>
      </c>
      <c r="AU674" s="66" t="str">
        <f t="shared" si="957"/>
        <v>X</v>
      </c>
      <c r="AV674" s="66" t="str">
        <f t="shared" si="958"/>
        <v>X</v>
      </c>
      <c r="AW674" s="66" t="str">
        <f t="shared" si="959"/>
        <v>X</v>
      </c>
      <c r="AX674" s="66" t="str">
        <f t="shared" si="960"/>
        <v>X</v>
      </c>
      <c r="AY674" s="66" t="str">
        <f t="shared" si="961"/>
        <v>X</v>
      </c>
      <c r="AZ674" s="66" t="str">
        <f t="shared" si="962"/>
        <v>O</v>
      </c>
      <c r="BA674" s="27" t="str">
        <f t="shared" si="963"/>
        <v>X</v>
      </c>
      <c r="BB674" s="27">
        <f t="shared" si="964"/>
        <v>3</v>
      </c>
      <c r="BC674" s="433" t="str">
        <f t="shared" si="972"/>
        <v>1G</v>
      </c>
      <c r="BD674" s="433" t="str">
        <f t="shared" si="973"/>
        <v>1G</v>
      </c>
      <c r="BE674" s="433" t="str">
        <f t="shared" si="974"/>
        <v>1G</v>
      </c>
      <c r="BF674" s="433" t="str">
        <f t="shared" si="975"/>
        <v>1G</v>
      </c>
      <c r="BG674" s="433" t="str">
        <f t="shared" si="976"/>
        <v>3G</v>
      </c>
      <c r="BH674" s="433" t="str">
        <f t="shared" si="977"/>
        <v>3G</v>
      </c>
      <c r="BI674" s="433">
        <f t="shared" si="568"/>
        <v>4</v>
      </c>
      <c r="BJ674" s="433">
        <f t="shared" si="569"/>
        <v>0</v>
      </c>
      <c r="BK674" s="433">
        <f t="shared" si="570"/>
        <v>2</v>
      </c>
      <c r="BL674" s="433" t="str">
        <f t="shared" si="978"/>
        <v>402</v>
      </c>
      <c r="BS674"/>
    </row>
    <row r="675" spans="2:71" ht="16.5">
      <c r="B675" s="18">
        <v>672</v>
      </c>
      <c r="C675" s="363" t="s">
        <v>1038</v>
      </c>
      <c r="N675" s="28">
        <v>8</v>
      </c>
      <c r="O675" s="28">
        <v>21</v>
      </c>
      <c r="P675" s="28">
        <v>28</v>
      </c>
      <c r="Q675" s="28">
        <v>31</v>
      </c>
      <c r="R675" s="28">
        <v>36</v>
      </c>
      <c r="S675" s="28">
        <v>45</v>
      </c>
      <c r="T675" s="28">
        <v>43</v>
      </c>
      <c r="U675" s="28">
        <f t="shared" si="932"/>
        <v>169</v>
      </c>
      <c r="W675" s="27" t="str">
        <f t="shared" si="933"/>
        <v>짝수</v>
      </c>
      <c r="X675" s="27" t="str">
        <f t="shared" si="934"/>
        <v>홀수</v>
      </c>
      <c r="Y675" s="27" t="str">
        <f t="shared" si="935"/>
        <v>짝수</v>
      </c>
      <c r="Z675" s="27" t="str">
        <f t="shared" si="936"/>
        <v>홀수</v>
      </c>
      <c r="AA675" s="28" t="str">
        <f t="shared" si="937"/>
        <v>짝수</v>
      </c>
      <c r="AB675" s="28" t="str">
        <f t="shared" si="938"/>
        <v>홀수</v>
      </c>
      <c r="AC675" s="27" t="str">
        <f t="shared" si="939"/>
        <v>3 : 3</v>
      </c>
      <c r="AD675" s="32">
        <f t="shared" si="940"/>
        <v>3</v>
      </c>
      <c r="AE675" s="32">
        <f t="shared" si="941"/>
        <v>3</v>
      </c>
      <c r="AF675" s="66" t="str">
        <f t="shared" si="942"/>
        <v>저수</v>
      </c>
      <c r="AG675" s="66" t="str">
        <f t="shared" si="943"/>
        <v>저수</v>
      </c>
      <c r="AH675" s="66" t="str">
        <f t="shared" si="944"/>
        <v>고수</v>
      </c>
      <c r="AI675" s="66" t="str">
        <f t="shared" si="945"/>
        <v>고수</v>
      </c>
      <c r="AJ675" s="66" t="str">
        <f t="shared" si="946"/>
        <v>고수</v>
      </c>
      <c r="AK675" s="66" t="str">
        <f t="shared" si="947"/>
        <v>고수</v>
      </c>
      <c r="AL675" s="66" t="str">
        <f t="shared" si="948"/>
        <v>2 : 4</v>
      </c>
      <c r="AM675" s="27">
        <f t="shared" si="949"/>
        <v>2</v>
      </c>
      <c r="AN675" s="27">
        <f t="shared" si="950"/>
        <v>4</v>
      </c>
      <c r="AO675" s="27">
        <f t="shared" si="951"/>
        <v>29</v>
      </c>
      <c r="AP675" s="66" t="str">
        <f t="shared" si="952"/>
        <v>X</v>
      </c>
      <c r="AQ675" s="66" t="str">
        <f t="shared" si="953"/>
        <v>X</v>
      </c>
      <c r="AR675" s="66" t="str">
        <f t="shared" si="954"/>
        <v>X</v>
      </c>
      <c r="AS675" s="66" t="str">
        <f t="shared" si="955"/>
        <v>X</v>
      </c>
      <c r="AT675" s="66" t="str">
        <f t="shared" si="956"/>
        <v>X</v>
      </c>
      <c r="AU675" s="66" t="str">
        <f t="shared" si="957"/>
        <v>X</v>
      </c>
      <c r="AV675" s="66" t="str">
        <f t="shared" si="958"/>
        <v>X</v>
      </c>
      <c r="AW675" s="66" t="str">
        <f t="shared" si="959"/>
        <v>X</v>
      </c>
      <c r="AX675" s="66" t="str">
        <f t="shared" si="960"/>
        <v>X</v>
      </c>
      <c r="AY675" s="66" t="str">
        <f t="shared" si="961"/>
        <v>O</v>
      </c>
      <c r="AZ675" s="66" t="str">
        <f t="shared" si="962"/>
        <v>X</v>
      </c>
      <c r="BA675" s="27" t="str">
        <f t="shared" si="963"/>
        <v>X</v>
      </c>
      <c r="BB675" s="27">
        <f t="shared" si="964"/>
        <v>1</v>
      </c>
      <c r="BC675" s="433" t="str">
        <f t="shared" ref="BC675:BC676" si="979">VLOOKUP(N675,삼그룹,6,FALSE)</f>
        <v>1G</v>
      </c>
      <c r="BD675" s="433" t="str">
        <f t="shared" ref="BD675:BD676" si="980">VLOOKUP(O675,삼그룹,6,FALSE)</f>
        <v>2G</v>
      </c>
      <c r="BE675" s="433" t="str">
        <f t="shared" ref="BE675:BE676" si="981">VLOOKUP(P675,삼그룹,6,FALSE)</f>
        <v>2G</v>
      </c>
      <c r="BF675" s="433" t="str">
        <f t="shared" ref="BF675:BF676" si="982">VLOOKUP(Q675,삼그룹,6,FALSE)</f>
        <v>3G</v>
      </c>
      <c r="BG675" s="433" t="str">
        <f t="shared" ref="BG675:BG676" si="983">VLOOKUP(R675,삼그룹,6,FALSE)</f>
        <v>3G</v>
      </c>
      <c r="BH675" s="433" t="str">
        <f t="shared" ref="BH675:BH676" si="984">VLOOKUP(S675,삼그룹,6,FALSE)</f>
        <v>3G</v>
      </c>
      <c r="BI675" s="433">
        <f t="shared" ref="BI675" si="985">COUNTIF($BC675:$BH675,"1G")</f>
        <v>1</v>
      </c>
      <c r="BJ675" s="433">
        <f t="shared" ref="BJ675" si="986">COUNTIF($BC675:$BH675,"2G")</f>
        <v>2</v>
      </c>
      <c r="BK675" s="433">
        <f t="shared" ref="BK675" si="987">COUNTIF($BC675:$BH675,"3G")</f>
        <v>3</v>
      </c>
      <c r="BL675" s="433" t="str">
        <f t="shared" ref="BL675:BL676" si="988">BI675&amp;BJ675&amp;BK675</f>
        <v>123</v>
      </c>
      <c r="BS675"/>
    </row>
    <row r="676" spans="2:71" ht="16.5">
      <c r="B676" s="360">
        <v>673</v>
      </c>
      <c r="C676" s="363" t="s">
        <v>1039</v>
      </c>
      <c r="N676" s="28">
        <v>7</v>
      </c>
      <c r="O676" s="28">
        <v>10</v>
      </c>
      <c r="P676" s="28">
        <v>17</v>
      </c>
      <c r="Q676" s="28">
        <v>29</v>
      </c>
      <c r="R676" s="28">
        <v>33</v>
      </c>
      <c r="S676" s="28">
        <v>44</v>
      </c>
      <c r="T676" s="28">
        <v>5</v>
      </c>
      <c r="U676" s="28">
        <f t="shared" si="932"/>
        <v>140</v>
      </c>
      <c r="W676" s="27" t="str">
        <f t="shared" si="933"/>
        <v>홀수</v>
      </c>
      <c r="X676" s="27" t="str">
        <f t="shared" si="934"/>
        <v>짝수</v>
      </c>
      <c r="Y676" s="27" t="str">
        <f t="shared" si="935"/>
        <v>홀수</v>
      </c>
      <c r="Z676" s="27" t="str">
        <f t="shared" si="936"/>
        <v>홀수</v>
      </c>
      <c r="AA676" s="28" t="str">
        <f t="shared" si="937"/>
        <v>홀수</v>
      </c>
      <c r="AB676" s="28" t="str">
        <f t="shared" si="938"/>
        <v>짝수</v>
      </c>
      <c r="AC676" s="27" t="str">
        <f t="shared" si="939"/>
        <v>4 : 2</v>
      </c>
      <c r="AD676" s="32">
        <f t="shared" si="940"/>
        <v>4</v>
      </c>
      <c r="AE676" s="32">
        <f t="shared" si="941"/>
        <v>2</v>
      </c>
      <c r="AF676" s="66" t="str">
        <f t="shared" si="942"/>
        <v>저수</v>
      </c>
      <c r="AG676" s="66" t="str">
        <f t="shared" si="943"/>
        <v>저수</v>
      </c>
      <c r="AH676" s="66" t="str">
        <f t="shared" si="944"/>
        <v>저수</v>
      </c>
      <c r="AI676" s="66" t="str">
        <f t="shared" si="945"/>
        <v>고수</v>
      </c>
      <c r="AJ676" s="66" t="str">
        <f t="shared" si="946"/>
        <v>고수</v>
      </c>
      <c r="AK676" s="66" t="str">
        <f t="shared" si="947"/>
        <v>고수</v>
      </c>
      <c r="AL676" s="66" t="str">
        <f t="shared" si="948"/>
        <v>3 : 3</v>
      </c>
      <c r="AM676" s="27">
        <f t="shared" si="949"/>
        <v>3</v>
      </c>
      <c r="AN676" s="27">
        <f t="shared" si="950"/>
        <v>3</v>
      </c>
      <c r="AO676" s="27">
        <f t="shared" si="951"/>
        <v>30</v>
      </c>
      <c r="AP676" s="66" t="str">
        <f t="shared" si="952"/>
        <v>O</v>
      </c>
      <c r="AQ676" s="66" t="str">
        <f t="shared" si="953"/>
        <v>X</v>
      </c>
      <c r="AR676" s="66" t="str">
        <f t="shared" si="954"/>
        <v>O</v>
      </c>
      <c r="AS676" s="66" t="str">
        <f t="shared" si="955"/>
        <v>X</v>
      </c>
      <c r="AT676" s="66" t="str">
        <f t="shared" si="956"/>
        <v>X</v>
      </c>
      <c r="AU676" s="66" t="str">
        <f t="shared" si="957"/>
        <v>X</v>
      </c>
      <c r="AV676" s="66" t="str">
        <f t="shared" si="958"/>
        <v>X</v>
      </c>
      <c r="AW676" s="66" t="str">
        <f t="shared" si="959"/>
        <v>X</v>
      </c>
      <c r="AX676" s="66" t="str">
        <f t="shared" si="960"/>
        <v>X</v>
      </c>
      <c r="AY676" s="66" t="str">
        <f t="shared" si="961"/>
        <v>O</v>
      </c>
      <c r="AZ676" s="66" t="str">
        <f t="shared" si="962"/>
        <v>X</v>
      </c>
      <c r="BA676" s="27" t="str">
        <f t="shared" si="963"/>
        <v>X</v>
      </c>
      <c r="BB676" s="27">
        <f t="shared" si="964"/>
        <v>3</v>
      </c>
      <c r="BC676" s="434" t="str">
        <f t="shared" si="979"/>
        <v>1G</v>
      </c>
      <c r="BD676" s="434" t="str">
        <f t="shared" si="980"/>
        <v>1G</v>
      </c>
      <c r="BE676" s="434" t="str">
        <f t="shared" si="981"/>
        <v>2G</v>
      </c>
      <c r="BF676" s="434" t="str">
        <f t="shared" si="982"/>
        <v>2G</v>
      </c>
      <c r="BG676" s="434" t="str">
        <f t="shared" si="983"/>
        <v>3G</v>
      </c>
      <c r="BH676" s="434" t="str">
        <f t="shared" si="984"/>
        <v>3G</v>
      </c>
      <c r="BI676" s="434">
        <f t="shared" si="568"/>
        <v>2</v>
      </c>
      <c r="BJ676" s="434">
        <f t="shared" si="569"/>
        <v>2</v>
      </c>
      <c r="BK676" s="434">
        <f t="shared" si="570"/>
        <v>2</v>
      </c>
      <c r="BL676" s="434" t="str">
        <f t="shared" si="988"/>
        <v>222</v>
      </c>
      <c r="BS676"/>
    </row>
    <row r="677" spans="2:71" ht="16.5">
      <c r="B677" s="360">
        <v>674</v>
      </c>
      <c r="C677" s="363" t="s">
        <v>1040</v>
      </c>
      <c r="N677" s="28">
        <v>9</v>
      </c>
      <c r="O677" s="28">
        <v>10</v>
      </c>
      <c r="P677" s="28">
        <v>14</v>
      </c>
      <c r="Q677" s="28">
        <v>25</v>
      </c>
      <c r="R677" s="28">
        <v>27</v>
      </c>
      <c r="S677" s="28">
        <v>31</v>
      </c>
      <c r="T677" s="28">
        <v>11</v>
      </c>
      <c r="U677" s="28">
        <f t="shared" si="932"/>
        <v>116</v>
      </c>
      <c r="W677" s="27" t="str">
        <f t="shared" si="933"/>
        <v>홀수</v>
      </c>
      <c r="X677" s="27" t="str">
        <f t="shared" si="934"/>
        <v>짝수</v>
      </c>
      <c r="Y677" s="27" t="str">
        <f t="shared" si="935"/>
        <v>짝수</v>
      </c>
      <c r="Z677" s="27" t="str">
        <f t="shared" si="936"/>
        <v>홀수</v>
      </c>
      <c r="AA677" s="28" t="str">
        <f t="shared" si="937"/>
        <v>홀수</v>
      </c>
      <c r="AB677" s="28" t="str">
        <f t="shared" si="938"/>
        <v>홀수</v>
      </c>
      <c r="AC677" s="27" t="str">
        <f t="shared" si="939"/>
        <v>4 : 2</v>
      </c>
      <c r="AD677" s="32">
        <f t="shared" si="940"/>
        <v>4</v>
      </c>
      <c r="AE677" s="32">
        <f t="shared" si="941"/>
        <v>2</v>
      </c>
      <c r="AF677" s="66" t="str">
        <f t="shared" si="942"/>
        <v>저수</v>
      </c>
      <c r="AG677" s="66" t="str">
        <f t="shared" si="943"/>
        <v>저수</v>
      </c>
      <c r="AH677" s="66" t="str">
        <f t="shared" si="944"/>
        <v>저수</v>
      </c>
      <c r="AI677" s="66" t="str">
        <f t="shared" si="945"/>
        <v>고수</v>
      </c>
      <c r="AJ677" s="66" t="str">
        <f t="shared" si="946"/>
        <v>고수</v>
      </c>
      <c r="AK677" s="66" t="str">
        <f t="shared" si="947"/>
        <v>고수</v>
      </c>
      <c r="AL677" s="66" t="str">
        <f t="shared" si="948"/>
        <v>3 : 3</v>
      </c>
      <c r="AM677" s="27">
        <f t="shared" si="949"/>
        <v>3</v>
      </c>
      <c r="AN677" s="27">
        <f t="shared" si="950"/>
        <v>3</v>
      </c>
      <c r="AO677" s="27">
        <f t="shared" si="951"/>
        <v>26</v>
      </c>
      <c r="AP677" s="66" t="str">
        <f t="shared" si="952"/>
        <v>X</v>
      </c>
      <c r="AQ677" s="66" t="str">
        <f t="shared" si="953"/>
        <v>X</v>
      </c>
      <c r="AR677" s="66" t="str">
        <f t="shared" si="954"/>
        <v>X</v>
      </c>
      <c r="AS677" s="66" t="str">
        <f t="shared" si="955"/>
        <v>X</v>
      </c>
      <c r="AT677" s="66" t="str">
        <f t="shared" si="956"/>
        <v>X</v>
      </c>
      <c r="AU677" s="66" t="str">
        <f t="shared" si="957"/>
        <v>X</v>
      </c>
      <c r="AV677" s="66" t="str">
        <f t="shared" si="958"/>
        <v>X</v>
      </c>
      <c r="AW677" s="66" t="str">
        <f t="shared" si="959"/>
        <v>X</v>
      </c>
      <c r="AX677" s="66" t="str">
        <f t="shared" si="960"/>
        <v>X</v>
      </c>
      <c r="AY677" s="66" t="str">
        <f t="shared" si="961"/>
        <v>X</v>
      </c>
      <c r="AZ677" s="66" t="str">
        <f t="shared" si="962"/>
        <v>X</v>
      </c>
      <c r="BA677" s="27" t="str">
        <f t="shared" si="963"/>
        <v>O</v>
      </c>
      <c r="BB677" s="27">
        <f t="shared" si="964"/>
        <v>1</v>
      </c>
      <c r="BC677" s="435" t="str">
        <f t="shared" ref="BC677" si="989">VLOOKUP(N677,삼그룹,6,FALSE)</f>
        <v>1G</v>
      </c>
      <c r="BD677" s="435" t="str">
        <f t="shared" ref="BD677" si="990">VLOOKUP(O677,삼그룹,6,FALSE)</f>
        <v>1G</v>
      </c>
      <c r="BE677" s="435" t="str">
        <f t="shared" ref="BE677" si="991">VLOOKUP(P677,삼그룹,6,FALSE)</f>
        <v>1G</v>
      </c>
      <c r="BF677" s="435" t="str">
        <f t="shared" ref="BF677" si="992">VLOOKUP(Q677,삼그룹,6,FALSE)</f>
        <v>2G</v>
      </c>
      <c r="BG677" s="435" t="str">
        <f t="shared" ref="BG677" si="993">VLOOKUP(R677,삼그룹,6,FALSE)</f>
        <v>2G</v>
      </c>
      <c r="BH677" s="435" t="str">
        <f t="shared" ref="BH677" si="994">VLOOKUP(S677,삼그룹,6,FALSE)</f>
        <v>3G</v>
      </c>
      <c r="BI677" s="435">
        <f t="shared" si="568"/>
        <v>3</v>
      </c>
      <c r="BJ677" s="435">
        <f t="shared" si="569"/>
        <v>2</v>
      </c>
      <c r="BK677" s="435">
        <f t="shared" si="570"/>
        <v>1</v>
      </c>
      <c r="BL677" s="435" t="str">
        <f t="shared" ref="BL677" si="995">BI677&amp;BJ677&amp;BK677</f>
        <v>321</v>
      </c>
      <c r="BS677"/>
    </row>
    <row r="678" spans="2:71" ht="16.5">
      <c r="B678" s="360">
        <v>675</v>
      </c>
      <c r="C678" s="363" t="s">
        <v>1041</v>
      </c>
      <c r="N678" s="28">
        <v>1</v>
      </c>
      <c r="O678" s="28">
        <v>8</v>
      </c>
      <c r="P678" s="28">
        <v>11</v>
      </c>
      <c r="Q678" s="28">
        <v>15</v>
      </c>
      <c r="R678" s="28">
        <v>18</v>
      </c>
      <c r="S678" s="28">
        <v>45</v>
      </c>
      <c r="T678" s="28">
        <v>7</v>
      </c>
      <c r="U678" s="28">
        <f t="shared" si="932"/>
        <v>98</v>
      </c>
      <c r="W678" s="27" t="str">
        <f t="shared" si="933"/>
        <v>홀수</v>
      </c>
      <c r="X678" s="27" t="str">
        <f t="shared" si="934"/>
        <v>짝수</v>
      </c>
      <c r="Y678" s="27" t="str">
        <f t="shared" si="935"/>
        <v>홀수</v>
      </c>
      <c r="Z678" s="27" t="str">
        <f t="shared" si="936"/>
        <v>홀수</v>
      </c>
      <c r="AA678" s="28" t="str">
        <f t="shared" si="937"/>
        <v>짝수</v>
      </c>
      <c r="AB678" s="28" t="str">
        <f t="shared" si="938"/>
        <v>홀수</v>
      </c>
      <c r="AC678" s="27" t="str">
        <f t="shared" si="939"/>
        <v>4 : 2</v>
      </c>
      <c r="AD678" s="32">
        <f t="shared" si="940"/>
        <v>4</v>
      </c>
      <c r="AE678" s="32">
        <f t="shared" si="941"/>
        <v>2</v>
      </c>
      <c r="AF678" s="66" t="str">
        <f t="shared" si="942"/>
        <v>저수</v>
      </c>
      <c r="AG678" s="66" t="str">
        <f t="shared" si="943"/>
        <v>저수</v>
      </c>
      <c r="AH678" s="66" t="str">
        <f t="shared" si="944"/>
        <v>저수</v>
      </c>
      <c r="AI678" s="66" t="str">
        <f t="shared" si="945"/>
        <v>저수</v>
      </c>
      <c r="AJ678" s="66" t="str">
        <f t="shared" si="946"/>
        <v>저수</v>
      </c>
      <c r="AK678" s="66" t="str">
        <f t="shared" si="947"/>
        <v>고수</v>
      </c>
      <c r="AL678" s="66" t="str">
        <f t="shared" si="948"/>
        <v>5 : 1</v>
      </c>
      <c r="AM678" s="27">
        <f t="shared" si="949"/>
        <v>5</v>
      </c>
      <c r="AN678" s="27">
        <f t="shared" si="950"/>
        <v>1</v>
      </c>
      <c r="AO678" s="27">
        <f t="shared" si="951"/>
        <v>28</v>
      </c>
      <c r="AP678" s="66" t="str">
        <f t="shared" si="952"/>
        <v>X</v>
      </c>
      <c r="AQ678" s="66" t="str">
        <f t="shared" si="953"/>
        <v>X</v>
      </c>
      <c r="AR678" s="66" t="str">
        <f t="shared" si="954"/>
        <v>O</v>
      </c>
      <c r="AS678" s="66" t="str">
        <f t="shared" si="955"/>
        <v>X</v>
      </c>
      <c r="AT678" s="66" t="str">
        <f t="shared" si="956"/>
        <v>X</v>
      </c>
      <c r="AU678" s="66" t="str">
        <f t="shared" si="957"/>
        <v>X</v>
      </c>
      <c r="AV678" s="66" t="str">
        <f t="shared" si="958"/>
        <v>X</v>
      </c>
      <c r="AW678" s="66" t="str">
        <f t="shared" si="959"/>
        <v>X</v>
      </c>
      <c r="AX678" s="66" t="str">
        <f t="shared" si="960"/>
        <v>X</v>
      </c>
      <c r="AY678" s="66" t="str">
        <f t="shared" si="961"/>
        <v>X</v>
      </c>
      <c r="AZ678" s="66" t="str">
        <f t="shared" si="962"/>
        <v>X</v>
      </c>
      <c r="BA678" s="27" t="str">
        <f t="shared" si="963"/>
        <v>X</v>
      </c>
      <c r="BB678" s="27">
        <f t="shared" si="964"/>
        <v>1</v>
      </c>
      <c r="BC678" s="436" t="str">
        <f t="shared" ref="BC678" si="996">VLOOKUP(N678,삼그룹,6,FALSE)</f>
        <v>1G</v>
      </c>
      <c r="BD678" s="436" t="str">
        <f t="shared" ref="BD678" si="997">VLOOKUP(O678,삼그룹,6,FALSE)</f>
        <v>1G</v>
      </c>
      <c r="BE678" s="436" t="str">
        <f t="shared" ref="BE678" si="998">VLOOKUP(P678,삼그룹,6,FALSE)</f>
        <v>1G</v>
      </c>
      <c r="BF678" s="436" t="str">
        <f t="shared" ref="BF678" si="999">VLOOKUP(Q678,삼그룹,6,FALSE)</f>
        <v>1G</v>
      </c>
      <c r="BG678" s="436" t="str">
        <f t="shared" ref="BG678" si="1000">VLOOKUP(R678,삼그룹,6,FALSE)</f>
        <v>2G</v>
      </c>
      <c r="BH678" s="436" t="str">
        <f t="shared" ref="BH678" si="1001">VLOOKUP(S678,삼그룹,6,FALSE)</f>
        <v>3G</v>
      </c>
      <c r="BI678" s="436">
        <f t="shared" si="568"/>
        <v>4</v>
      </c>
      <c r="BJ678" s="436">
        <f t="shared" si="569"/>
        <v>1</v>
      </c>
      <c r="BK678" s="436">
        <f t="shared" si="570"/>
        <v>1</v>
      </c>
      <c r="BL678" s="436" t="str">
        <f t="shared" ref="BL678" si="1002">BI678&amp;BJ678&amp;BK678</f>
        <v>411</v>
      </c>
      <c r="BS678"/>
    </row>
    <row r="679" spans="2:71" ht="16.5">
      <c r="B679" s="360">
        <v>676</v>
      </c>
      <c r="C679" s="363" t="s">
        <v>1042</v>
      </c>
      <c r="N679" s="28">
        <v>1</v>
      </c>
      <c r="O679" s="28">
        <v>8</v>
      </c>
      <c r="P679" s="28">
        <v>17</v>
      </c>
      <c r="Q679" s="28">
        <v>34</v>
      </c>
      <c r="R679" s="28">
        <v>39</v>
      </c>
      <c r="S679" s="28">
        <v>45</v>
      </c>
      <c r="T679" s="28">
        <v>27</v>
      </c>
      <c r="U679" s="28">
        <f t="shared" si="932"/>
        <v>144</v>
      </c>
      <c r="W679" s="27" t="str">
        <f t="shared" si="933"/>
        <v>홀수</v>
      </c>
      <c r="X679" s="27" t="str">
        <f t="shared" si="934"/>
        <v>짝수</v>
      </c>
      <c r="Y679" s="27" t="str">
        <f t="shared" si="935"/>
        <v>홀수</v>
      </c>
      <c r="Z679" s="27" t="str">
        <f t="shared" si="936"/>
        <v>짝수</v>
      </c>
      <c r="AA679" s="28" t="str">
        <f t="shared" si="937"/>
        <v>홀수</v>
      </c>
      <c r="AB679" s="28" t="str">
        <f t="shared" si="938"/>
        <v>홀수</v>
      </c>
      <c r="AC679" s="27" t="str">
        <f t="shared" si="939"/>
        <v>4 : 2</v>
      </c>
      <c r="AD679" s="32">
        <f t="shared" si="940"/>
        <v>4</v>
      </c>
      <c r="AE679" s="32">
        <f t="shared" si="941"/>
        <v>2</v>
      </c>
      <c r="AF679" s="66" t="str">
        <f t="shared" si="942"/>
        <v>저수</v>
      </c>
      <c r="AG679" s="66" t="str">
        <f t="shared" si="943"/>
        <v>저수</v>
      </c>
      <c r="AH679" s="66" t="str">
        <f t="shared" si="944"/>
        <v>저수</v>
      </c>
      <c r="AI679" s="66" t="str">
        <f t="shared" si="945"/>
        <v>고수</v>
      </c>
      <c r="AJ679" s="66" t="str">
        <f t="shared" si="946"/>
        <v>고수</v>
      </c>
      <c r="AK679" s="66" t="str">
        <f t="shared" si="947"/>
        <v>고수</v>
      </c>
      <c r="AL679" s="66" t="str">
        <f t="shared" si="948"/>
        <v>3 : 3</v>
      </c>
      <c r="AM679" s="27">
        <f t="shared" si="949"/>
        <v>3</v>
      </c>
      <c r="AN679" s="27">
        <f t="shared" si="950"/>
        <v>3</v>
      </c>
      <c r="AO679" s="27">
        <f t="shared" si="951"/>
        <v>34</v>
      </c>
      <c r="AP679" s="66" t="str">
        <f t="shared" si="952"/>
        <v>X</v>
      </c>
      <c r="AQ679" s="66" t="str">
        <f t="shared" si="953"/>
        <v>X</v>
      </c>
      <c r="AR679" s="66" t="str">
        <f t="shared" si="954"/>
        <v>O</v>
      </c>
      <c r="AS679" s="66" t="str">
        <f t="shared" si="955"/>
        <v>X</v>
      </c>
      <c r="AT679" s="66" t="str">
        <f t="shared" si="956"/>
        <v>X</v>
      </c>
      <c r="AU679" s="66" t="str">
        <f t="shared" si="957"/>
        <v>X</v>
      </c>
      <c r="AV679" s="66" t="str">
        <f t="shared" si="958"/>
        <v>X</v>
      </c>
      <c r="AW679" s="66" t="str">
        <f t="shared" si="959"/>
        <v>X</v>
      </c>
      <c r="AX679" s="66" t="str">
        <f t="shared" si="960"/>
        <v>X</v>
      </c>
      <c r="AY679" s="66" t="str">
        <f t="shared" si="961"/>
        <v>X</v>
      </c>
      <c r="AZ679" s="66" t="str">
        <f t="shared" si="962"/>
        <v>X</v>
      </c>
      <c r="BA679" s="27" t="str">
        <f t="shared" si="963"/>
        <v>X</v>
      </c>
      <c r="BB679" s="27">
        <f t="shared" si="964"/>
        <v>1</v>
      </c>
      <c r="BC679" s="437" t="str">
        <f t="shared" ref="BC679:BC680" si="1003">VLOOKUP(N679,삼그룹,6,FALSE)</f>
        <v>1G</v>
      </c>
      <c r="BD679" s="437" t="str">
        <f t="shared" ref="BD679:BD680" si="1004">VLOOKUP(O679,삼그룹,6,FALSE)</f>
        <v>1G</v>
      </c>
      <c r="BE679" s="437" t="str">
        <f t="shared" ref="BE679:BE680" si="1005">VLOOKUP(P679,삼그룹,6,FALSE)</f>
        <v>2G</v>
      </c>
      <c r="BF679" s="437" t="str">
        <f t="shared" ref="BF679:BF680" si="1006">VLOOKUP(Q679,삼그룹,6,FALSE)</f>
        <v>3G</v>
      </c>
      <c r="BG679" s="437" t="str">
        <f t="shared" ref="BG679:BG680" si="1007">VLOOKUP(R679,삼그룹,6,FALSE)</f>
        <v>3G</v>
      </c>
      <c r="BH679" s="437" t="str">
        <f t="shared" ref="BH679:BH680" si="1008">VLOOKUP(S679,삼그룹,6,FALSE)</f>
        <v>3G</v>
      </c>
      <c r="BI679" s="437">
        <f t="shared" si="568"/>
        <v>2</v>
      </c>
      <c r="BJ679" s="437">
        <f t="shared" si="569"/>
        <v>1</v>
      </c>
      <c r="BK679" s="437">
        <f t="shared" si="570"/>
        <v>3</v>
      </c>
      <c r="BL679" s="437" t="str">
        <f t="shared" ref="BL679:BL680" si="1009">BI679&amp;BJ679&amp;BK679</f>
        <v>213</v>
      </c>
      <c r="BS679"/>
    </row>
    <row r="680" spans="2:71" ht="16.5">
      <c r="B680" s="360">
        <v>677</v>
      </c>
      <c r="C680" s="363" t="s">
        <v>1043</v>
      </c>
      <c r="N680" s="28">
        <v>12</v>
      </c>
      <c r="O680" s="28">
        <v>15</v>
      </c>
      <c r="P680" s="28">
        <v>24</v>
      </c>
      <c r="Q680" s="28">
        <v>36</v>
      </c>
      <c r="R680" s="28">
        <v>41</v>
      </c>
      <c r="S680" s="28">
        <v>44</v>
      </c>
      <c r="T680" s="28">
        <v>42</v>
      </c>
      <c r="U680" s="28">
        <f t="shared" si="932"/>
        <v>172</v>
      </c>
      <c r="W680" s="27" t="str">
        <f t="shared" si="933"/>
        <v>짝수</v>
      </c>
      <c r="X680" s="27" t="str">
        <f t="shared" si="934"/>
        <v>홀수</v>
      </c>
      <c r="Y680" s="27" t="str">
        <f t="shared" si="935"/>
        <v>짝수</v>
      </c>
      <c r="Z680" s="27" t="str">
        <f t="shared" si="936"/>
        <v>짝수</v>
      </c>
      <c r="AA680" s="28" t="str">
        <f t="shared" si="937"/>
        <v>홀수</v>
      </c>
      <c r="AB680" s="28" t="str">
        <f t="shared" si="938"/>
        <v>짝수</v>
      </c>
      <c r="AC680" s="27" t="str">
        <f t="shared" si="939"/>
        <v>2 : 4</v>
      </c>
      <c r="AD680" s="32">
        <f t="shared" si="940"/>
        <v>2</v>
      </c>
      <c r="AE680" s="32">
        <f t="shared" si="941"/>
        <v>4</v>
      </c>
      <c r="AF680" s="66" t="str">
        <f t="shared" si="942"/>
        <v>저수</v>
      </c>
      <c r="AG680" s="66" t="str">
        <f t="shared" si="943"/>
        <v>저수</v>
      </c>
      <c r="AH680" s="66" t="str">
        <f t="shared" si="944"/>
        <v>고수</v>
      </c>
      <c r="AI680" s="66" t="str">
        <f t="shared" si="945"/>
        <v>고수</v>
      </c>
      <c r="AJ680" s="66" t="str">
        <f t="shared" si="946"/>
        <v>고수</v>
      </c>
      <c r="AK680" s="66" t="str">
        <f t="shared" si="947"/>
        <v>고수</v>
      </c>
      <c r="AL680" s="66" t="str">
        <f t="shared" si="948"/>
        <v>2 : 4</v>
      </c>
      <c r="AM680" s="27">
        <f t="shared" si="949"/>
        <v>2</v>
      </c>
      <c r="AN680" s="27">
        <f t="shared" si="950"/>
        <v>4</v>
      </c>
      <c r="AO680" s="27">
        <f t="shared" si="951"/>
        <v>22</v>
      </c>
      <c r="AP680" s="66" t="str">
        <f t="shared" si="952"/>
        <v>X</v>
      </c>
      <c r="AQ680" s="66" t="str">
        <f t="shared" si="953"/>
        <v>X</v>
      </c>
      <c r="AR680" s="66" t="str">
        <f t="shared" si="954"/>
        <v>X</v>
      </c>
      <c r="AS680" s="66" t="str">
        <f t="shared" si="955"/>
        <v>X</v>
      </c>
      <c r="AT680" s="66" t="str">
        <f t="shared" si="956"/>
        <v>X</v>
      </c>
      <c r="AU680" s="66" t="str">
        <f t="shared" si="957"/>
        <v>X</v>
      </c>
      <c r="AV680" s="66" t="str">
        <f t="shared" si="958"/>
        <v>X</v>
      </c>
      <c r="AW680" s="66" t="str">
        <f t="shared" si="959"/>
        <v>X</v>
      </c>
      <c r="AX680" s="66" t="str">
        <f t="shared" si="960"/>
        <v>X</v>
      </c>
      <c r="AY680" s="66" t="str">
        <f t="shared" si="961"/>
        <v>X</v>
      </c>
      <c r="AZ680" s="66" t="str">
        <f t="shared" si="962"/>
        <v>O</v>
      </c>
      <c r="BA680" s="27" t="str">
        <f t="shared" si="963"/>
        <v>X</v>
      </c>
      <c r="BB680" s="27">
        <f t="shared" si="964"/>
        <v>1</v>
      </c>
      <c r="BC680" s="438" t="str">
        <f t="shared" si="1003"/>
        <v>1G</v>
      </c>
      <c r="BD680" s="438" t="str">
        <f t="shared" si="1004"/>
        <v>1G</v>
      </c>
      <c r="BE680" s="438" t="str">
        <f t="shared" si="1005"/>
        <v>2G</v>
      </c>
      <c r="BF680" s="438" t="str">
        <f t="shared" si="1006"/>
        <v>3G</v>
      </c>
      <c r="BG680" s="438" t="str">
        <f t="shared" si="1007"/>
        <v>3G</v>
      </c>
      <c r="BH680" s="438" t="str">
        <f t="shared" si="1008"/>
        <v>3G</v>
      </c>
      <c r="BI680" s="438">
        <f t="shared" si="568"/>
        <v>2</v>
      </c>
      <c r="BJ680" s="438">
        <f t="shared" si="569"/>
        <v>1</v>
      </c>
      <c r="BK680" s="438">
        <f t="shared" si="570"/>
        <v>3</v>
      </c>
      <c r="BL680" s="438" t="str">
        <f t="shared" si="1009"/>
        <v>213</v>
      </c>
      <c r="BS680"/>
    </row>
    <row r="681" spans="2:71" ht="16.5">
      <c r="B681" s="360">
        <v>678</v>
      </c>
      <c r="C681" s="363" t="s">
        <v>1044</v>
      </c>
      <c r="N681" s="28">
        <v>4</v>
      </c>
      <c r="O681" s="28">
        <v>5</v>
      </c>
      <c r="P681" s="28">
        <v>6</v>
      </c>
      <c r="Q681" s="28">
        <v>12</v>
      </c>
      <c r="R681" s="28">
        <v>25</v>
      </c>
      <c r="S681" s="28">
        <v>37</v>
      </c>
      <c r="T681" s="28">
        <v>45</v>
      </c>
      <c r="U681" s="28">
        <f t="shared" si="932"/>
        <v>89</v>
      </c>
      <c r="W681" s="27" t="str">
        <f t="shared" si="933"/>
        <v>짝수</v>
      </c>
      <c r="X681" s="27" t="str">
        <f t="shared" si="934"/>
        <v>홀수</v>
      </c>
      <c r="Y681" s="27" t="str">
        <f t="shared" si="935"/>
        <v>짝수</v>
      </c>
      <c r="Z681" s="27" t="str">
        <f t="shared" si="936"/>
        <v>짝수</v>
      </c>
      <c r="AA681" s="28" t="str">
        <f t="shared" si="937"/>
        <v>홀수</v>
      </c>
      <c r="AB681" s="28" t="str">
        <f t="shared" si="938"/>
        <v>홀수</v>
      </c>
      <c r="AC681" s="27" t="str">
        <f t="shared" si="939"/>
        <v>3 : 3</v>
      </c>
      <c r="AD681" s="32">
        <f t="shared" si="940"/>
        <v>3</v>
      </c>
      <c r="AE681" s="32">
        <f t="shared" si="941"/>
        <v>3</v>
      </c>
      <c r="AF681" s="66" t="str">
        <f t="shared" si="942"/>
        <v>저수</v>
      </c>
      <c r="AG681" s="66" t="str">
        <f t="shared" si="943"/>
        <v>저수</v>
      </c>
      <c r="AH681" s="66" t="str">
        <f t="shared" si="944"/>
        <v>저수</v>
      </c>
      <c r="AI681" s="66" t="str">
        <f t="shared" si="945"/>
        <v>저수</v>
      </c>
      <c r="AJ681" s="66" t="str">
        <f t="shared" si="946"/>
        <v>고수</v>
      </c>
      <c r="AK681" s="66" t="str">
        <f t="shared" si="947"/>
        <v>고수</v>
      </c>
      <c r="AL681" s="66" t="str">
        <f t="shared" si="948"/>
        <v>4 : 2</v>
      </c>
      <c r="AM681" s="27">
        <f t="shared" si="949"/>
        <v>4</v>
      </c>
      <c r="AN681" s="27">
        <f t="shared" si="950"/>
        <v>2</v>
      </c>
      <c r="AO681" s="27">
        <f t="shared" si="951"/>
        <v>29</v>
      </c>
      <c r="AP681" s="66" t="str">
        <f t="shared" si="952"/>
        <v>X</v>
      </c>
      <c r="AQ681" s="66" t="str">
        <f t="shared" si="953"/>
        <v>O</v>
      </c>
      <c r="AR681" s="66" t="str">
        <f t="shared" si="954"/>
        <v>X</v>
      </c>
      <c r="AS681" s="66" t="str">
        <f t="shared" si="955"/>
        <v>X</v>
      </c>
      <c r="AT681" s="66" t="str">
        <f t="shared" si="956"/>
        <v>X</v>
      </c>
      <c r="AU681" s="66" t="str">
        <f t="shared" si="957"/>
        <v>X</v>
      </c>
      <c r="AV681" s="66" t="str">
        <f t="shared" si="958"/>
        <v>X</v>
      </c>
      <c r="AW681" s="66" t="str">
        <f t="shared" si="959"/>
        <v>X</v>
      </c>
      <c r="AX681" s="66" t="str">
        <f t="shared" si="960"/>
        <v>X</v>
      </c>
      <c r="AY681" s="66" t="str">
        <f t="shared" si="961"/>
        <v>X</v>
      </c>
      <c r="AZ681" s="66" t="str">
        <f t="shared" si="962"/>
        <v>X</v>
      </c>
      <c r="BA681" s="27" t="str">
        <f t="shared" si="963"/>
        <v>O</v>
      </c>
      <c r="BB681" s="27">
        <f t="shared" si="964"/>
        <v>2</v>
      </c>
      <c r="BC681" s="439" t="str">
        <f t="shared" ref="BC681:BC682" si="1010">VLOOKUP(N681,삼그룹,6,FALSE)</f>
        <v>1G</v>
      </c>
      <c r="BD681" s="439" t="str">
        <f t="shared" ref="BD681:BD682" si="1011">VLOOKUP(O681,삼그룹,6,FALSE)</f>
        <v>1G</v>
      </c>
      <c r="BE681" s="439" t="str">
        <f t="shared" ref="BE681:BE682" si="1012">VLOOKUP(P681,삼그룹,6,FALSE)</f>
        <v>1G</v>
      </c>
      <c r="BF681" s="439" t="str">
        <f t="shared" ref="BF681:BF682" si="1013">VLOOKUP(Q681,삼그룹,6,FALSE)</f>
        <v>1G</v>
      </c>
      <c r="BG681" s="439" t="str">
        <f t="shared" ref="BG681:BG682" si="1014">VLOOKUP(R681,삼그룹,6,FALSE)</f>
        <v>2G</v>
      </c>
      <c r="BH681" s="439" t="str">
        <f t="shared" ref="BH681:BH682" si="1015">VLOOKUP(S681,삼그룹,6,FALSE)</f>
        <v>3G</v>
      </c>
      <c r="BI681" s="439">
        <f t="shared" si="568"/>
        <v>4</v>
      </c>
      <c r="BJ681" s="439">
        <f t="shared" si="569"/>
        <v>1</v>
      </c>
      <c r="BK681" s="439">
        <f t="shared" si="570"/>
        <v>1</v>
      </c>
      <c r="BL681" s="439" t="str">
        <f t="shared" ref="BL681:BL682" si="1016">BI681&amp;BJ681&amp;BK681</f>
        <v>411</v>
      </c>
      <c r="BS681"/>
    </row>
    <row r="682" spans="2:71" ht="16.5">
      <c r="B682" s="360">
        <v>679</v>
      </c>
      <c r="C682" s="363" t="s">
        <v>1045</v>
      </c>
      <c r="N682" s="28">
        <v>3</v>
      </c>
      <c r="O682" s="28">
        <v>5</v>
      </c>
      <c r="P682" s="28">
        <v>7</v>
      </c>
      <c r="Q682" s="28">
        <v>14</v>
      </c>
      <c r="R682" s="28">
        <v>26</v>
      </c>
      <c r="S682" s="28">
        <v>34</v>
      </c>
      <c r="T682" s="28">
        <v>35</v>
      </c>
      <c r="U682" s="28">
        <f t="shared" si="932"/>
        <v>89</v>
      </c>
      <c r="W682" s="27" t="str">
        <f t="shared" si="933"/>
        <v>홀수</v>
      </c>
      <c r="X682" s="27" t="str">
        <f t="shared" si="934"/>
        <v>홀수</v>
      </c>
      <c r="Y682" s="27" t="str">
        <f t="shared" si="935"/>
        <v>홀수</v>
      </c>
      <c r="Z682" s="27" t="str">
        <f t="shared" si="936"/>
        <v>짝수</v>
      </c>
      <c r="AA682" s="28" t="str">
        <f t="shared" si="937"/>
        <v>짝수</v>
      </c>
      <c r="AB682" s="28" t="str">
        <f t="shared" si="938"/>
        <v>짝수</v>
      </c>
      <c r="AC682" s="27" t="str">
        <f t="shared" si="939"/>
        <v>3 : 3</v>
      </c>
      <c r="AD682" s="32">
        <f t="shared" si="940"/>
        <v>3</v>
      </c>
      <c r="AE682" s="32">
        <f t="shared" si="941"/>
        <v>3</v>
      </c>
      <c r="AF682" s="66" t="str">
        <f t="shared" si="942"/>
        <v>저수</v>
      </c>
      <c r="AG682" s="66" t="str">
        <f t="shared" si="943"/>
        <v>저수</v>
      </c>
      <c r="AH682" s="66" t="str">
        <f t="shared" si="944"/>
        <v>저수</v>
      </c>
      <c r="AI682" s="66" t="str">
        <f t="shared" si="945"/>
        <v>저수</v>
      </c>
      <c r="AJ682" s="66" t="str">
        <f t="shared" si="946"/>
        <v>고수</v>
      </c>
      <c r="AK682" s="66" t="str">
        <f t="shared" si="947"/>
        <v>고수</v>
      </c>
      <c r="AL682" s="66" t="str">
        <f t="shared" si="948"/>
        <v>4 : 2</v>
      </c>
      <c r="AM682" s="27">
        <f t="shared" si="949"/>
        <v>4</v>
      </c>
      <c r="AN682" s="27">
        <f t="shared" si="950"/>
        <v>2</v>
      </c>
      <c r="AO682" s="27">
        <f t="shared" si="951"/>
        <v>29</v>
      </c>
      <c r="AP682" s="66" t="str">
        <f t="shared" si="952"/>
        <v>O</v>
      </c>
      <c r="AQ682" s="66" t="str">
        <f t="shared" si="953"/>
        <v>O</v>
      </c>
      <c r="AR682" s="66" t="str">
        <f t="shared" si="954"/>
        <v>O</v>
      </c>
      <c r="AS682" s="66" t="str">
        <f t="shared" si="955"/>
        <v>X</v>
      </c>
      <c r="AT682" s="66" t="str">
        <f t="shared" si="956"/>
        <v>X</v>
      </c>
      <c r="AU682" s="66" t="str">
        <f t="shared" si="957"/>
        <v>X</v>
      </c>
      <c r="AV682" s="66" t="str">
        <f t="shared" si="958"/>
        <v>X</v>
      </c>
      <c r="AW682" s="66" t="str">
        <f t="shared" si="959"/>
        <v>X</v>
      </c>
      <c r="AX682" s="66" t="str">
        <f t="shared" si="960"/>
        <v>X</v>
      </c>
      <c r="AY682" s="66" t="str">
        <f t="shared" si="961"/>
        <v>X</v>
      </c>
      <c r="AZ682" s="66" t="str">
        <f t="shared" si="962"/>
        <v>X</v>
      </c>
      <c r="BA682" s="27" t="str">
        <f t="shared" si="963"/>
        <v>X</v>
      </c>
      <c r="BB682" s="27">
        <f t="shared" si="964"/>
        <v>3</v>
      </c>
      <c r="BC682" s="440" t="str">
        <f t="shared" si="1010"/>
        <v>1G</v>
      </c>
      <c r="BD682" s="440" t="str">
        <f t="shared" si="1011"/>
        <v>1G</v>
      </c>
      <c r="BE682" s="440" t="str">
        <f t="shared" si="1012"/>
        <v>1G</v>
      </c>
      <c r="BF682" s="440" t="str">
        <f t="shared" si="1013"/>
        <v>1G</v>
      </c>
      <c r="BG682" s="440" t="str">
        <f t="shared" si="1014"/>
        <v>2G</v>
      </c>
      <c r="BH682" s="440" t="str">
        <f t="shared" si="1015"/>
        <v>3G</v>
      </c>
      <c r="BI682" s="440">
        <f t="shared" si="568"/>
        <v>4</v>
      </c>
      <c r="BJ682" s="440">
        <f t="shared" si="569"/>
        <v>1</v>
      </c>
      <c r="BK682" s="440">
        <f t="shared" si="570"/>
        <v>1</v>
      </c>
      <c r="BL682" s="440" t="str">
        <f t="shared" si="1016"/>
        <v>411</v>
      </c>
      <c r="BS682"/>
    </row>
    <row r="683" spans="2:71" ht="16.5">
      <c r="B683" s="18">
        <v>680</v>
      </c>
      <c r="C683" s="363" t="s">
        <v>1046</v>
      </c>
      <c r="N683" s="28">
        <v>4</v>
      </c>
      <c r="O683" s="28">
        <v>10</v>
      </c>
      <c r="P683" s="28">
        <v>19</v>
      </c>
      <c r="Q683" s="28">
        <v>29</v>
      </c>
      <c r="R683" s="28">
        <v>32</v>
      </c>
      <c r="S683" s="28">
        <v>42</v>
      </c>
      <c r="T683" s="28">
        <v>30</v>
      </c>
      <c r="U683" s="28">
        <f t="shared" si="932"/>
        <v>136</v>
      </c>
      <c r="W683" s="27" t="str">
        <f t="shared" si="933"/>
        <v>짝수</v>
      </c>
      <c r="X683" s="27" t="str">
        <f t="shared" si="934"/>
        <v>짝수</v>
      </c>
      <c r="Y683" s="27" t="str">
        <f t="shared" si="935"/>
        <v>홀수</v>
      </c>
      <c r="Z683" s="27" t="str">
        <f t="shared" si="936"/>
        <v>홀수</v>
      </c>
      <c r="AA683" s="28" t="str">
        <f t="shared" si="937"/>
        <v>짝수</v>
      </c>
      <c r="AB683" s="28" t="str">
        <f t="shared" si="938"/>
        <v>짝수</v>
      </c>
      <c r="AC683" s="27" t="str">
        <f t="shared" si="939"/>
        <v>2 : 4</v>
      </c>
      <c r="AD683" s="32">
        <f t="shared" si="940"/>
        <v>2</v>
      </c>
      <c r="AE683" s="32">
        <f t="shared" si="941"/>
        <v>4</v>
      </c>
      <c r="AF683" s="66" t="str">
        <f t="shared" si="942"/>
        <v>저수</v>
      </c>
      <c r="AG683" s="66" t="str">
        <f t="shared" si="943"/>
        <v>저수</v>
      </c>
      <c r="AH683" s="66" t="str">
        <f t="shared" si="944"/>
        <v>저수</v>
      </c>
      <c r="AI683" s="66" t="str">
        <f t="shared" si="945"/>
        <v>고수</v>
      </c>
      <c r="AJ683" s="66" t="str">
        <f t="shared" si="946"/>
        <v>고수</v>
      </c>
      <c r="AK683" s="66" t="str">
        <f t="shared" si="947"/>
        <v>고수</v>
      </c>
      <c r="AL683" s="66" t="str">
        <f t="shared" si="948"/>
        <v>3 : 3</v>
      </c>
      <c r="AM683" s="27">
        <f t="shared" si="949"/>
        <v>3</v>
      </c>
      <c r="AN683" s="27">
        <f t="shared" si="950"/>
        <v>3</v>
      </c>
      <c r="AO683" s="27">
        <f t="shared" si="951"/>
        <v>26</v>
      </c>
      <c r="AP683" s="66" t="str">
        <f t="shared" si="952"/>
        <v>X</v>
      </c>
      <c r="AQ683" s="66" t="str">
        <f t="shared" si="953"/>
        <v>X</v>
      </c>
      <c r="AR683" s="66" t="str">
        <f t="shared" si="954"/>
        <v>O</v>
      </c>
      <c r="AS683" s="66" t="str">
        <f t="shared" si="955"/>
        <v>X</v>
      </c>
      <c r="AT683" s="66" t="str">
        <f t="shared" si="956"/>
        <v>X</v>
      </c>
      <c r="AU683" s="66" t="str">
        <f t="shared" si="957"/>
        <v>X</v>
      </c>
      <c r="AV683" s="66" t="str">
        <f t="shared" si="958"/>
        <v>X</v>
      </c>
      <c r="AW683" s="66" t="str">
        <f t="shared" si="959"/>
        <v>X</v>
      </c>
      <c r="AX683" s="66" t="str">
        <f t="shared" si="960"/>
        <v>X</v>
      </c>
      <c r="AY683" s="66" t="str">
        <f t="shared" si="961"/>
        <v>O</v>
      </c>
      <c r="AZ683" s="66" t="str">
        <f t="shared" si="962"/>
        <v>X</v>
      </c>
      <c r="BA683" s="27" t="str">
        <f t="shared" si="963"/>
        <v>X</v>
      </c>
      <c r="BB683" s="27">
        <f t="shared" si="964"/>
        <v>2</v>
      </c>
      <c r="BC683" s="441" t="str">
        <f t="shared" ref="BC683" si="1017">VLOOKUP(N683,삼그룹,6,FALSE)</f>
        <v>1G</v>
      </c>
      <c r="BD683" s="441" t="str">
        <f t="shared" ref="BD683" si="1018">VLOOKUP(O683,삼그룹,6,FALSE)</f>
        <v>1G</v>
      </c>
      <c r="BE683" s="441" t="str">
        <f t="shared" ref="BE683" si="1019">VLOOKUP(P683,삼그룹,6,FALSE)</f>
        <v>2G</v>
      </c>
      <c r="BF683" s="441" t="str">
        <f t="shared" ref="BF683" si="1020">VLOOKUP(Q683,삼그룹,6,FALSE)</f>
        <v>2G</v>
      </c>
      <c r="BG683" s="441" t="str">
        <f t="shared" ref="BG683" si="1021">VLOOKUP(R683,삼그룹,6,FALSE)</f>
        <v>3G</v>
      </c>
      <c r="BH683" s="441" t="str">
        <f t="shared" ref="BH683" si="1022">VLOOKUP(S683,삼그룹,6,FALSE)</f>
        <v>3G</v>
      </c>
      <c r="BI683" s="441">
        <f t="shared" si="568"/>
        <v>2</v>
      </c>
      <c r="BJ683" s="441">
        <f t="shared" si="569"/>
        <v>2</v>
      </c>
      <c r="BK683" s="441">
        <f t="shared" si="570"/>
        <v>2</v>
      </c>
      <c r="BL683" s="441" t="str">
        <f t="shared" ref="BL683" si="1023">BI683&amp;BJ683&amp;BK683</f>
        <v>222</v>
      </c>
      <c r="BS683"/>
    </row>
    <row r="684" spans="2:71" ht="16.5">
      <c r="B684" s="360">
        <v>681</v>
      </c>
      <c r="C684" s="363" t="s">
        <v>1047</v>
      </c>
      <c r="N684" s="28">
        <v>21</v>
      </c>
      <c r="O684" s="28">
        <v>24</v>
      </c>
      <c r="P684" s="28">
        <v>27</v>
      </c>
      <c r="Q684" s="28">
        <v>29</v>
      </c>
      <c r="R684" s="28">
        <v>43</v>
      </c>
      <c r="S684" s="28">
        <v>44</v>
      </c>
      <c r="T684" s="28">
        <v>7</v>
      </c>
      <c r="U684" s="28">
        <f t="shared" si="932"/>
        <v>188</v>
      </c>
      <c r="W684" s="27" t="str">
        <f t="shared" si="933"/>
        <v>홀수</v>
      </c>
      <c r="X684" s="27" t="str">
        <f t="shared" si="934"/>
        <v>짝수</v>
      </c>
      <c r="Y684" s="27" t="str">
        <f t="shared" si="935"/>
        <v>홀수</v>
      </c>
      <c r="Z684" s="27" t="str">
        <f t="shared" si="936"/>
        <v>홀수</v>
      </c>
      <c r="AA684" s="28" t="str">
        <f t="shared" si="937"/>
        <v>홀수</v>
      </c>
      <c r="AB684" s="28" t="str">
        <f t="shared" si="938"/>
        <v>짝수</v>
      </c>
      <c r="AC684" s="27" t="str">
        <f t="shared" si="939"/>
        <v>4 : 2</v>
      </c>
      <c r="AD684" s="32">
        <f t="shared" si="940"/>
        <v>4</v>
      </c>
      <c r="AE684" s="32">
        <f t="shared" si="941"/>
        <v>2</v>
      </c>
      <c r="AF684" s="66" t="str">
        <f t="shared" si="942"/>
        <v>저수</v>
      </c>
      <c r="AG684" s="66" t="str">
        <f t="shared" si="943"/>
        <v>고수</v>
      </c>
      <c r="AH684" s="66" t="str">
        <f t="shared" si="944"/>
        <v>고수</v>
      </c>
      <c r="AI684" s="66" t="str">
        <f t="shared" si="945"/>
        <v>고수</v>
      </c>
      <c r="AJ684" s="66" t="str">
        <f t="shared" si="946"/>
        <v>고수</v>
      </c>
      <c r="AK684" s="66" t="str">
        <f t="shared" si="947"/>
        <v>고수</v>
      </c>
      <c r="AL684" s="66" t="str">
        <f t="shared" si="948"/>
        <v>1 : 5</v>
      </c>
      <c r="AM684" s="27">
        <f t="shared" si="949"/>
        <v>1</v>
      </c>
      <c r="AN684" s="27">
        <f t="shared" si="950"/>
        <v>5</v>
      </c>
      <c r="AO684" s="27">
        <f t="shared" si="951"/>
        <v>28</v>
      </c>
      <c r="AP684" s="66" t="str">
        <f t="shared" si="952"/>
        <v>X</v>
      </c>
      <c r="AQ684" s="66" t="str">
        <f t="shared" si="953"/>
        <v>X</v>
      </c>
      <c r="AR684" s="66" t="str">
        <f t="shared" si="954"/>
        <v>X</v>
      </c>
      <c r="AS684" s="66" t="str">
        <f t="shared" si="955"/>
        <v>X</v>
      </c>
      <c r="AT684" s="66" t="str">
        <f t="shared" si="956"/>
        <v>X</v>
      </c>
      <c r="AU684" s="66" t="str">
        <f t="shared" si="957"/>
        <v>X</v>
      </c>
      <c r="AV684" s="66" t="str">
        <f t="shared" si="958"/>
        <v>X</v>
      </c>
      <c r="AW684" s="66" t="str">
        <f t="shared" si="959"/>
        <v>X</v>
      </c>
      <c r="AX684" s="66" t="str">
        <f t="shared" si="960"/>
        <v>X</v>
      </c>
      <c r="AY684" s="66" t="str">
        <f t="shared" si="961"/>
        <v>O</v>
      </c>
      <c r="AZ684" s="66" t="str">
        <f t="shared" si="962"/>
        <v>O</v>
      </c>
      <c r="BA684" s="27" t="str">
        <f t="shared" si="963"/>
        <v>X</v>
      </c>
      <c r="BB684" s="27">
        <f t="shared" si="964"/>
        <v>2</v>
      </c>
      <c r="BC684" s="442" t="str">
        <f t="shared" ref="BC684" si="1024">VLOOKUP(N684,삼그룹,6,FALSE)</f>
        <v>2G</v>
      </c>
      <c r="BD684" s="442" t="str">
        <f t="shared" ref="BD684" si="1025">VLOOKUP(O684,삼그룹,6,FALSE)</f>
        <v>2G</v>
      </c>
      <c r="BE684" s="442" t="str">
        <f t="shared" ref="BE684" si="1026">VLOOKUP(P684,삼그룹,6,FALSE)</f>
        <v>2G</v>
      </c>
      <c r="BF684" s="442" t="str">
        <f t="shared" ref="BF684" si="1027">VLOOKUP(Q684,삼그룹,6,FALSE)</f>
        <v>2G</v>
      </c>
      <c r="BG684" s="442" t="str">
        <f t="shared" ref="BG684" si="1028">VLOOKUP(R684,삼그룹,6,FALSE)</f>
        <v>3G</v>
      </c>
      <c r="BH684" s="442" t="str">
        <f t="shared" ref="BH684" si="1029">VLOOKUP(S684,삼그룹,6,FALSE)</f>
        <v>3G</v>
      </c>
      <c r="BI684" s="442">
        <f t="shared" si="568"/>
        <v>0</v>
      </c>
      <c r="BJ684" s="442">
        <f t="shared" si="569"/>
        <v>4</v>
      </c>
      <c r="BK684" s="442">
        <f t="shared" si="570"/>
        <v>2</v>
      </c>
      <c r="BL684" s="442" t="str">
        <f t="shared" ref="BL684" si="1030">BI684&amp;BJ684&amp;BK684</f>
        <v>042</v>
      </c>
      <c r="BS684"/>
    </row>
    <row r="685" spans="2:71" ht="16.5">
      <c r="B685" s="360">
        <v>682</v>
      </c>
      <c r="C685" s="363" t="s">
        <v>1048</v>
      </c>
      <c r="N685" s="28">
        <v>17</v>
      </c>
      <c r="O685" s="28">
        <v>23</v>
      </c>
      <c r="P685" s="28">
        <v>27</v>
      </c>
      <c r="Q685" s="28">
        <v>35</v>
      </c>
      <c r="R685" s="28">
        <v>38</v>
      </c>
      <c r="S685" s="28">
        <v>43</v>
      </c>
      <c r="T685" s="28">
        <v>2</v>
      </c>
      <c r="U685" s="28">
        <f t="shared" si="932"/>
        <v>183</v>
      </c>
      <c r="W685" s="27" t="str">
        <f t="shared" si="933"/>
        <v>홀수</v>
      </c>
      <c r="X685" s="27" t="str">
        <f t="shared" si="934"/>
        <v>홀수</v>
      </c>
      <c r="Y685" s="27" t="str">
        <f t="shared" si="935"/>
        <v>홀수</v>
      </c>
      <c r="Z685" s="27" t="str">
        <f t="shared" si="936"/>
        <v>홀수</v>
      </c>
      <c r="AA685" s="28" t="str">
        <f t="shared" si="937"/>
        <v>짝수</v>
      </c>
      <c r="AB685" s="28" t="str">
        <f t="shared" si="938"/>
        <v>홀수</v>
      </c>
      <c r="AC685" s="27" t="str">
        <f t="shared" si="939"/>
        <v>5 : 1</v>
      </c>
      <c r="AD685" s="32">
        <f t="shared" si="940"/>
        <v>5</v>
      </c>
      <c r="AE685" s="32">
        <f t="shared" si="941"/>
        <v>1</v>
      </c>
      <c r="AF685" s="66" t="str">
        <f t="shared" si="942"/>
        <v>저수</v>
      </c>
      <c r="AG685" s="66" t="str">
        <f t="shared" si="943"/>
        <v>고수</v>
      </c>
      <c r="AH685" s="66" t="str">
        <f t="shared" si="944"/>
        <v>고수</v>
      </c>
      <c r="AI685" s="66" t="str">
        <f t="shared" si="945"/>
        <v>고수</v>
      </c>
      <c r="AJ685" s="66" t="str">
        <f t="shared" si="946"/>
        <v>고수</v>
      </c>
      <c r="AK685" s="66" t="str">
        <f t="shared" si="947"/>
        <v>고수</v>
      </c>
      <c r="AL685" s="66" t="str">
        <f t="shared" si="948"/>
        <v>1 : 5</v>
      </c>
      <c r="AM685" s="27">
        <f t="shared" si="949"/>
        <v>1</v>
      </c>
      <c r="AN685" s="27">
        <f t="shared" si="950"/>
        <v>5</v>
      </c>
      <c r="AO685" s="27">
        <f t="shared" si="951"/>
        <v>33</v>
      </c>
      <c r="AP685" s="66" t="str">
        <f t="shared" si="952"/>
        <v>O</v>
      </c>
      <c r="AQ685" s="66" t="str">
        <f t="shared" si="953"/>
        <v>X</v>
      </c>
      <c r="AR685" s="66" t="str">
        <f t="shared" si="954"/>
        <v>X</v>
      </c>
      <c r="AS685" s="66" t="str">
        <f t="shared" si="955"/>
        <v>X</v>
      </c>
      <c r="AT685" s="66" t="str">
        <f t="shared" si="956"/>
        <v>X</v>
      </c>
      <c r="AU685" s="66" t="str">
        <f t="shared" si="957"/>
        <v>X</v>
      </c>
      <c r="AV685" s="66" t="str">
        <f t="shared" si="958"/>
        <v>X</v>
      </c>
      <c r="AW685" s="66" t="str">
        <f t="shared" si="959"/>
        <v>O</v>
      </c>
      <c r="AX685" s="66" t="str">
        <f t="shared" si="960"/>
        <v>X</v>
      </c>
      <c r="AY685" s="66" t="str">
        <f t="shared" si="961"/>
        <v>X</v>
      </c>
      <c r="AZ685" s="66" t="str">
        <f t="shared" si="962"/>
        <v>X</v>
      </c>
      <c r="BA685" s="27" t="str">
        <f t="shared" si="963"/>
        <v>O</v>
      </c>
      <c r="BB685" s="27">
        <f t="shared" si="964"/>
        <v>3</v>
      </c>
      <c r="BC685" s="444" t="str">
        <f t="shared" ref="BC685" si="1031">VLOOKUP(N685,삼그룹,6,FALSE)</f>
        <v>2G</v>
      </c>
      <c r="BD685" s="444" t="str">
        <f t="shared" ref="BD685" si="1032">VLOOKUP(O685,삼그룹,6,FALSE)</f>
        <v>2G</v>
      </c>
      <c r="BE685" s="444" t="str">
        <f t="shared" ref="BE685" si="1033">VLOOKUP(P685,삼그룹,6,FALSE)</f>
        <v>2G</v>
      </c>
      <c r="BF685" s="444" t="str">
        <f t="shared" ref="BF685" si="1034">VLOOKUP(Q685,삼그룹,6,FALSE)</f>
        <v>3G</v>
      </c>
      <c r="BG685" s="444" t="str">
        <f t="shared" ref="BG685" si="1035">VLOOKUP(R685,삼그룹,6,FALSE)</f>
        <v>3G</v>
      </c>
      <c r="BH685" s="444" t="str">
        <f t="shared" ref="BH685" si="1036">VLOOKUP(S685,삼그룹,6,FALSE)</f>
        <v>3G</v>
      </c>
      <c r="BI685" s="444">
        <f t="shared" si="568"/>
        <v>0</v>
      </c>
      <c r="BJ685" s="444">
        <f t="shared" si="569"/>
        <v>3</v>
      </c>
      <c r="BK685" s="444">
        <f t="shared" si="570"/>
        <v>3</v>
      </c>
      <c r="BL685" s="444" t="str">
        <f t="shared" ref="BL685" si="1037">BI685&amp;BJ685&amp;BK685</f>
        <v>033</v>
      </c>
      <c r="BS685"/>
    </row>
    <row r="686" spans="2:71" ht="16.5">
      <c r="B686" s="18">
        <v>683</v>
      </c>
      <c r="C686" s="363" t="s">
        <v>1049</v>
      </c>
      <c r="N686" s="28">
        <v>6</v>
      </c>
      <c r="O686" s="28">
        <v>13</v>
      </c>
      <c r="P686" s="28">
        <v>20</v>
      </c>
      <c r="Q686" s="28">
        <v>27</v>
      </c>
      <c r="R686" s="28">
        <v>28</v>
      </c>
      <c r="S686" s="28">
        <v>40</v>
      </c>
      <c r="T686" s="28">
        <v>15</v>
      </c>
      <c r="U686" s="28">
        <f t="shared" si="932"/>
        <v>134</v>
      </c>
      <c r="W686" s="27" t="str">
        <f t="shared" si="933"/>
        <v>짝수</v>
      </c>
      <c r="X686" s="27" t="str">
        <f t="shared" si="934"/>
        <v>홀수</v>
      </c>
      <c r="Y686" s="27" t="str">
        <f t="shared" si="935"/>
        <v>짝수</v>
      </c>
      <c r="Z686" s="27" t="str">
        <f t="shared" si="936"/>
        <v>홀수</v>
      </c>
      <c r="AA686" s="28" t="str">
        <f t="shared" si="937"/>
        <v>짝수</v>
      </c>
      <c r="AB686" s="28" t="str">
        <f t="shared" si="938"/>
        <v>짝수</v>
      </c>
      <c r="AC686" s="27" t="str">
        <f t="shared" si="939"/>
        <v>2 : 4</v>
      </c>
      <c r="AD686" s="32">
        <f t="shared" si="940"/>
        <v>2</v>
      </c>
      <c r="AE686" s="32">
        <f t="shared" si="941"/>
        <v>4</v>
      </c>
      <c r="AF686" s="66" t="str">
        <f t="shared" si="942"/>
        <v>저수</v>
      </c>
      <c r="AG686" s="66" t="str">
        <f t="shared" si="943"/>
        <v>저수</v>
      </c>
      <c r="AH686" s="66" t="str">
        <f t="shared" si="944"/>
        <v>저수</v>
      </c>
      <c r="AI686" s="66" t="str">
        <f t="shared" si="945"/>
        <v>고수</v>
      </c>
      <c r="AJ686" s="66" t="str">
        <f t="shared" si="946"/>
        <v>고수</v>
      </c>
      <c r="AK686" s="66" t="str">
        <f t="shared" si="947"/>
        <v>고수</v>
      </c>
      <c r="AL686" s="66" t="str">
        <f t="shared" si="948"/>
        <v>3 : 3</v>
      </c>
      <c r="AM686" s="27">
        <f t="shared" si="949"/>
        <v>3</v>
      </c>
      <c r="AN686" s="27">
        <f t="shared" si="950"/>
        <v>3</v>
      </c>
      <c r="AO686" s="27">
        <f t="shared" si="951"/>
        <v>24</v>
      </c>
      <c r="AP686" s="66" t="str">
        <f t="shared" si="952"/>
        <v>X</v>
      </c>
      <c r="AQ686" s="66" t="str">
        <f t="shared" si="953"/>
        <v>O</v>
      </c>
      <c r="AR686" s="66" t="str">
        <f t="shared" si="954"/>
        <v>X</v>
      </c>
      <c r="AS686" s="66" t="str">
        <f t="shared" si="955"/>
        <v>X</v>
      </c>
      <c r="AT686" s="66" t="str">
        <f t="shared" si="956"/>
        <v>X</v>
      </c>
      <c r="AU686" s="66" t="str">
        <f t="shared" si="957"/>
        <v>X</v>
      </c>
      <c r="AV686" s="66" t="str">
        <f t="shared" si="958"/>
        <v>X</v>
      </c>
      <c r="AW686" s="66" t="str">
        <f t="shared" si="959"/>
        <v>X</v>
      </c>
      <c r="AX686" s="66" t="str">
        <f t="shared" si="960"/>
        <v>X</v>
      </c>
      <c r="AY686" s="66" t="str">
        <f t="shared" si="961"/>
        <v>X</v>
      </c>
      <c r="AZ686" s="66" t="str">
        <f t="shared" si="962"/>
        <v>X</v>
      </c>
      <c r="BA686" s="27" t="str">
        <f t="shared" si="963"/>
        <v>X</v>
      </c>
      <c r="BB686" s="27">
        <f t="shared" si="964"/>
        <v>1</v>
      </c>
      <c r="BC686" s="445" t="str">
        <f t="shared" ref="BC686" si="1038">VLOOKUP(N686,삼그룹,6,FALSE)</f>
        <v>1G</v>
      </c>
      <c r="BD686" s="445" t="str">
        <f t="shared" ref="BD686" si="1039">VLOOKUP(O686,삼그룹,6,FALSE)</f>
        <v>1G</v>
      </c>
      <c r="BE686" s="445" t="str">
        <f t="shared" ref="BE686" si="1040">VLOOKUP(P686,삼그룹,6,FALSE)</f>
        <v>2G</v>
      </c>
      <c r="BF686" s="445" t="str">
        <f t="shared" ref="BF686" si="1041">VLOOKUP(Q686,삼그룹,6,FALSE)</f>
        <v>2G</v>
      </c>
      <c r="BG686" s="445" t="str">
        <f t="shared" ref="BG686" si="1042">VLOOKUP(R686,삼그룹,6,FALSE)</f>
        <v>2G</v>
      </c>
      <c r="BH686" s="445" t="str">
        <f t="shared" ref="BH686" si="1043">VLOOKUP(S686,삼그룹,6,FALSE)</f>
        <v>3G</v>
      </c>
      <c r="BI686" s="445">
        <f t="shared" si="568"/>
        <v>2</v>
      </c>
      <c r="BJ686" s="445">
        <f t="shared" si="569"/>
        <v>3</v>
      </c>
      <c r="BK686" s="445">
        <f t="shared" si="570"/>
        <v>1</v>
      </c>
      <c r="BL686" s="445" t="str">
        <f t="shared" ref="BL686" si="1044">BI686&amp;BJ686&amp;BK686</f>
        <v>231</v>
      </c>
      <c r="BS686"/>
    </row>
    <row r="687" spans="2:71" ht="16.5">
      <c r="B687" s="18">
        <v>684</v>
      </c>
      <c r="C687" s="363" t="s">
        <v>1050</v>
      </c>
      <c r="N687" s="28">
        <v>1</v>
      </c>
      <c r="O687" s="28">
        <v>11</v>
      </c>
      <c r="P687" s="28">
        <v>15</v>
      </c>
      <c r="Q687" s="28">
        <v>17</v>
      </c>
      <c r="R687" s="28">
        <v>25</v>
      </c>
      <c r="S687" s="28">
        <v>39</v>
      </c>
      <c r="T687" s="28">
        <v>40</v>
      </c>
      <c r="U687" s="28">
        <f t="shared" si="932"/>
        <v>108</v>
      </c>
      <c r="W687" s="27" t="str">
        <f t="shared" si="933"/>
        <v>홀수</v>
      </c>
      <c r="X687" s="27" t="str">
        <f t="shared" si="934"/>
        <v>홀수</v>
      </c>
      <c r="Y687" s="27" t="str">
        <f t="shared" si="935"/>
        <v>홀수</v>
      </c>
      <c r="Z687" s="27" t="str">
        <f t="shared" si="936"/>
        <v>홀수</v>
      </c>
      <c r="AA687" s="28" t="str">
        <f t="shared" si="937"/>
        <v>홀수</v>
      </c>
      <c r="AB687" s="28" t="str">
        <f t="shared" si="938"/>
        <v>홀수</v>
      </c>
      <c r="AC687" s="27" t="str">
        <f t="shared" si="939"/>
        <v>6 : 0</v>
      </c>
      <c r="AD687" s="32">
        <f t="shared" si="940"/>
        <v>6</v>
      </c>
      <c r="AE687" s="32">
        <f t="shared" si="941"/>
        <v>0</v>
      </c>
      <c r="AF687" s="66" t="str">
        <f t="shared" si="942"/>
        <v>저수</v>
      </c>
      <c r="AG687" s="66" t="str">
        <f t="shared" si="943"/>
        <v>저수</v>
      </c>
      <c r="AH687" s="66" t="str">
        <f t="shared" si="944"/>
        <v>저수</v>
      </c>
      <c r="AI687" s="66" t="str">
        <f t="shared" si="945"/>
        <v>저수</v>
      </c>
      <c r="AJ687" s="66" t="str">
        <f t="shared" si="946"/>
        <v>고수</v>
      </c>
      <c r="AK687" s="66" t="str">
        <f t="shared" si="947"/>
        <v>고수</v>
      </c>
      <c r="AL687" s="66" t="str">
        <f t="shared" si="948"/>
        <v>4 : 2</v>
      </c>
      <c r="AM687" s="27">
        <f t="shared" si="949"/>
        <v>4</v>
      </c>
      <c r="AN687" s="27">
        <f t="shared" si="950"/>
        <v>2</v>
      </c>
      <c r="AO687" s="27">
        <f t="shared" si="951"/>
        <v>28</v>
      </c>
      <c r="AP687" s="66" t="str">
        <f t="shared" si="952"/>
        <v>X</v>
      </c>
      <c r="AQ687" s="66" t="str">
        <f t="shared" si="953"/>
        <v>O</v>
      </c>
      <c r="AR687" s="66" t="str">
        <f t="shared" si="954"/>
        <v>X</v>
      </c>
      <c r="AS687" s="66" t="str">
        <f t="shared" si="955"/>
        <v>O</v>
      </c>
      <c r="AT687" s="66" t="str">
        <f t="shared" si="956"/>
        <v>X</v>
      </c>
      <c r="AU687" s="66" t="str">
        <f t="shared" si="957"/>
        <v>X</v>
      </c>
      <c r="AV687" s="66" t="str">
        <f t="shared" si="958"/>
        <v>X</v>
      </c>
      <c r="AW687" s="66" t="str">
        <f t="shared" si="959"/>
        <v>X</v>
      </c>
      <c r="AX687" s="66" t="str">
        <f t="shared" si="960"/>
        <v>X</v>
      </c>
      <c r="AY687" s="66" t="str">
        <f t="shared" si="961"/>
        <v>X</v>
      </c>
      <c r="AZ687" s="66" t="str">
        <f t="shared" si="962"/>
        <v>X</v>
      </c>
      <c r="BA687" s="27" t="str">
        <f t="shared" si="963"/>
        <v>X</v>
      </c>
      <c r="BB687" s="27">
        <f t="shared" si="964"/>
        <v>2</v>
      </c>
      <c r="BC687" s="446" t="str">
        <f t="shared" ref="BC687" si="1045">VLOOKUP(N687,삼그룹,6,FALSE)</f>
        <v>1G</v>
      </c>
      <c r="BD687" s="446" t="str">
        <f t="shared" ref="BD687" si="1046">VLOOKUP(O687,삼그룹,6,FALSE)</f>
        <v>1G</v>
      </c>
      <c r="BE687" s="446" t="str">
        <f t="shared" ref="BE687" si="1047">VLOOKUP(P687,삼그룹,6,FALSE)</f>
        <v>1G</v>
      </c>
      <c r="BF687" s="446" t="str">
        <f t="shared" ref="BF687" si="1048">VLOOKUP(Q687,삼그룹,6,FALSE)</f>
        <v>2G</v>
      </c>
      <c r="BG687" s="446" t="str">
        <f t="shared" ref="BG687" si="1049">VLOOKUP(R687,삼그룹,6,FALSE)</f>
        <v>2G</v>
      </c>
      <c r="BH687" s="446" t="str">
        <f t="shared" ref="BH687" si="1050">VLOOKUP(S687,삼그룹,6,FALSE)</f>
        <v>3G</v>
      </c>
      <c r="BI687" s="446">
        <f t="shared" si="568"/>
        <v>3</v>
      </c>
      <c r="BJ687" s="446">
        <f t="shared" si="569"/>
        <v>2</v>
      </c>
      <c r="BK687" s="446">
        <f t="shared" si="570"/>
        <v>1</v>
      </c>
      <c r="BL687" s="446" t="str">
        <f t="shared" ref="BL687" si="1051">BI687&amp;BJ687&amp;BK687</f>
        <v>321</v>
      </c>
      <c r="BS687"/>
    </row>
    <row r="688" spans="2:71" ht="16.5">
      <c r="B688" s="360">
        <v>685</v>
      </c>
      <c r="C688" s="363" t="s">
        <v>1051</v>
      </c>
      <c r="N688" s="28">
        <v>6</v>
      </c>
      <c r="O688" s="28">
        <v>7</v>
      </c>
      <c r="P688" s="28">
        <v>12</v>
      </c>
      <c r="Q688" s="28">
        <v>28</v>
      </c>
      <c r="R688" s="28">
        <v>38</v>
      </c>
      <c r="S688" s="28">
        <v>40</v>
      </c>
      <c r="T688" s="28">
        <v>18</v>
      </c>
      <c r="U688" s="28">
        <f t="shared" si="932"/>
        <v>131</v>
      </c>
      <c r="W688" s="27" t="str">
        <f t="shared" si="933"/>
        <v>짝수</v>
      </c>
      <c r="X688" s="27" t="str">
        <f t="shared" si="934"/>
        <v>홀수</v>
      </c>
      <c r="Y688" s="27" t="str">
        <f t="shared" si="935"/>
        <v>짝수</v>
      </c>
      <c r="Z688" s="27" t="str">
        <f t="shared" si="936"/>
        <v>짝수</v>
      </c>
      <c r="AA688" s="28" t="str">
        <f t="shared" si="937"/>
        <v>짝수</v>
      </c>
      <c r="AB688" s="28" t="str">
        <f t="shared" si="938"/>
        <v>짝수</v>
      </c>
      <c r="AC688" s="27" t="str">
        <f t="shared" si="939"/>
        <v>1 : 5</v>
      </c>
      <c r="AD688" s="32">
        <f t="shared" si="940"/>
        <v>1</v>
      </c>
      <c r="AE688" s="32">
        <f t="shared" si="941"/>
        <v>5</v>
      </c>
      <c r="AF688" s="66" t="str">
        <f t="shared" si="942"/>
        <v>저수</v>
      </c>
      <c r="AG688" s="66" t="str">
        <f t="shared" si="943"/>
        <v>저수</v>
      </c>
      <c r="AH688" s="66" t="str">
        <f t="shared" si="944"/>
        <v>저수</v>
      </c>
      <c r="AI688" s="66" t="str">
        <f t="shared" si="945"/>
        <v>고수</v>
      </c>
      <c r="AJ688" s="66" t="str">
        <f t="shared" si="946"/>
        <v>고수</v>
      </c>
      <c r="AK688" s="66" t="str">
        <f t="shared" si="947"/>
        <v>고수</v>
      </c>
      <c r="AL688" s="66" t="str">
        <f t="shared" si="948"/>
        <v>3 : 3</v>
      </c>
      <c r="AM688" s="27">
        <f t="shared" si="949"/>
        <v>3</v>
      </c>
      <c r="AN688" s="27">
        <f t="shared" si="950"/>
        <v>3</v>
      </c>
      <c r="AO688" s="27">
        <f t="shared" si="951"/>
        <v>31</v>
      </c>
      <c r="AP688" s="66" t="str">
        <f t="shared" si="952"/>
        <v>X</v>
      </c>
      <c r="AQ688" s="66" t="str">
        <f t="shared" si="953"/>
        <v>O</v>
      </c>
      <c r="AR688" s="66" t="str">
        <f t="shared" si="954"/>
        <v>X</v>
      </c>
      <c r="AS688" s="66" t="str">
        <f t="shared" si="955"/>
        <v>X</v>
      </c>
      <c r="AT688" s="66" t="str">
        <f t="shared" si="956"/>
        <v>X</v>
      </c>
      <c r="AU688" s="66" t="str">
        <f t="shared" si="957"/>
        <v>X</v>
      </c>
      <c r="AV688" s="66" t="str">
        <f t="shared" si="958"/>
        <v>X</v>
      </c>
      <c r="AW688" s="66" t="str">
        <f t="shared" si="959"/>
        <v>X</v>
      </c>
      <c r="AX688" s="66" t="str">
        <f t="shared" si="960"/>
        <v>X</v>
      </c>
      <c r="AY688" s="66" t="str">
        <f t="shared" si="961"/>
        <v>X</v>
      </c>
      <c r="AZ688" s="66" t="str">
        <f t="shared" si="962"/>
        <v>X</v>
      </c>
      <c r="BA688" s="27" t="str">
        <f t="shared" si="963"/>
        <v>X</v>
      </c>
      <c r="BB688" s="27">
        <f t="shared" si="964"/>
        <v>1</v>
      </c>
      <c r="BC688" s="447" t="str">
        <f t="shared" ref="BC688" si="1052">VLOOKUP(N688,삼그룹,6,FALSE)</f>
        <v>1G</v>
      </c>
      <c r="BD688" s="447" t="str">
        <f t="shared" ref="BD688" si="1053">VLOOKUP(O688,삼그룹,6,FALSE)</f>
        <v>1G</v>
      </c>
      <c r="BE688" s="447" t="str">
        <f t="shared" ref="BE688" si="1054">VLOOKUP(P688,삼그룹,6,FALSE)</f>
        <v>1G</v>
      </c>
      <c r="BF688" s="447" t="str">
        <f t="shared" ref="BF688" si="1055">VLOOKUP(Q688,삼그룹,6,FALSE)</f>
        <v>2G</v>
      </c>
      <c r="BG688" s="447" t="str">
        <f t="shared" ref="BG688" si="1056">VLOOKUP(R688,삼그룹,6,FALSE)</f>
        <v>3G</v>
      </c>
      <c r="BH688" s="447" t="str">
        <f t="shared" ref="BH688" si="1057">VLOOKUP(S688,삼그룹,6,FALSE)</f>
        <v>3G</v>
      </c>
      <c r="BI688" s="447">
        <f t="shared" si="568"/>
        <v>3</v>
      </c>
      <c r="BJ688" s="447">
        <f t="shared" si="569"/>
        <v>1</v>
      </c>
      <c r="BK688" s="447">
        <f t="shared" si="570"/>
        <v>2</v>
      </c>
      <c r="BL688" s="447" t="str">
        <f t="shared" ref="BL688" si="1058">BI688&amp;BJ688&amp;BK688</f>
        <v>312</v>
      </c>
      <c r="BS688"/>
    </row>
    <row r="689" spans="2:71" ht="16.5">
      <c r="B689" s="360">
        <v>686</v>
      </c>
      <c r="C689" s="363" t="s">
        <v>1052</v>
      </c>
      <c r="N689" s="28">
        <v>7</v>
      </c>
      <c r="O689" s="28">
        <v>12</v>
      </c>
      <c r="P689" s="28">
        <v>15</v>
      </c>
      <c r="Q689" s="28">
        <v>24</v>
      </c>
      <c r="R689" s="28">
        <v>25</v>
      </c>
      <c r="S689" s="28">
        <v>43</v>
      </c>
      <c r="T689" s="28">
        <v>13</v>
      </c>
      <c r="U689" s="28">
        <f t="shared" si="932"/>
        <v>126</v>
      </c>
      <c r="W689" s="27" t="str">
        <f t="shared" si="933"/>
        <v>홀수</v>
      </c>
      <c r="X689" s="27" t="str">
        <f t="shared" si="934"/>
        <v>짝수</v>
      </c>
      <c r="Y689" s="27" t="str">
        <f t="shared" si="935"/>
        <v>홀수</v>
      </c>
      <c r="Z689" s="27" t="str">
        <f t="shared" si="936"/>
        <v>짝수</v>
      </c>
      <c r="AA689" s="28" t="str">
        <f t="shared" si="937"/>
        <v>홀수</v>
      </c>
      <c r="AB689" s="28" t="str">
        <f t="shared" si="938"/>
        <v>홀수</v>
      </c>
      <c r="AC689" s="27" t="str">
        <f t="shared" si="939"/>
        <v>4 : 2</v>
      </c>
      <c r="AD689" s="32">
        <f t="shared" si="940"/>
        <v>4</v>
      </c>
      <c r="AE689" s="32">
        <f t="shared" si="941"/>
        <v>2</v>
      </c>
      <c r="AF689" s="66" t="str">
        <f t="shared" si="942"/>
        <v>저수</v>
      </c>
      <c r="AG689" s="66" t="str">
        <f t="shared" si="943"/>
        <v>저수</v>
      </c>
      <c r="AH689" s="66" t="str">
        <f t="shared" si="944"/>
        <v>저수</v>
      </c>
      <c r="AI689" s="66" t="str">
        <f t="shared" si="945"/>
        <v>고수</v>
      </c>
      <c r="AJ689" s="66" t="str">
        <f t="shared" si="946"/>
        <v>고수</v>
      </c>
      <c r="AK689" s="66" t="str">
        <f t="shared" si="947"/>
        <v>고수</v>
      </c>
      <c r="AL689" s="66" t="str">
        <f t="shared" si="948"/>
        <v>3 : 3</v>
      </c>
      <c r="AM689" s="27">
        <f t="shared" si="949"/>
        <v>3</v>
      </c>
      <c r="AN689" s="27">
        <f t="shared" si="950"/>
        <v>3</v>
      </c>
      <c r="AO689" s="27">
        <f t="shared" si="951"/>
        <v>26</v>
      </c>
      <c r="AP689" s="66" t="str">
        <f t="shared" si="952"/>
        <v>O</v>
      </c>
      <c r="AQ689" s="66" t="str">
        <f t="shared" si="953"/>
        <v>X</v>
      </c>
      <c r="AR689" s="66" t="str">
        <f t="shared" si="954"/>
        <v>X</v>
      </c>
      <c r="AS689" s="66" t="str">
        <f t="shared" si="955"/>
        <v>X</v>
      </c>
      <c r="AT689" s="66" t="str">
        <f t="shared" si="956"/>
        <v>X</v>
      </c>
      <c r="AU689" s="66" t="str">
        <f t="shared" si="957"/>
        <v>X</v>
      </c>
      <c r="AV689" s="66" t="str">
        <f t="shared" si="958"/>
        <v>X</v>
      </c>
      <c r="AW689" s="66" t="str">
        <f t="shared" si="959"/>
        <v>X</v>
      </c>
      <c r="AX689" s="66" t="str">
        <f t="shared" si="960"/>
        <v>X</v>
      </c>
      <c r="AY689" s="66" t="str">
        <f t="shared" si="961"/>
        <v>X</v>
      </c>
      <c r="AZ689" s="66" t="str">
        <f t="shared" si="962"/>
        <v>X</v>
      </c>
      <c r="BA689" s="27" t="str">
        <f t="shared" si="963"/>
        <v>O</v>
      </c>
      <c r="BB689" s="27">
        <f t="shared" si="964"/>
        <v>2</v>
      </c>
      <c r="BC689" s="448" t="str">
        <f t="shared" ref="BC689:BC690" si="1059">VLOOKUP(N689,삼그룹,6,FALSE)</f>
        <v>1G</v>
      </c>
      <c r="BD689" s="448" t="str">
        <f t="shared" ref="BD689:BD690" si="1060">VLOOKUP(O689,삼그룹,6,FALSE)</f>
        <v>1G</v>
      </c>
      <c r="BE689" s="448" t="str">
        <f t="shared" ref="BE689:BE690" si="1061">VLOOKUP(P689,삼그룹,6,FALSE)</f>
        <v>1G</v>
      </c>
      <c r="BF689" s="448" t="str">
        <f t="shared" ref="BF689:BF690" si="1062">VLOOKUP(Q689,삼그룹,6,FALSE)</f>
        <v>2G</v>
      </c>
      <c r="BG689" s="448" t="str">
        <f t="shared" ref="BG689:BG690" si="1063">VLOOKUP(R689,삼그룹,6,FALSE)</f>
        <v>2G</v>
      </c>
      <c r="BH689" s="448" t="str">
        <f t="shared" ref="BH689:BH690" si="1064">VLOOKUP(S689,삼그룹,6,FALSE)</f>
        <v>3G</v>
      </c>
      <c r="BI689" s="448">
        <f t="shared" si="568"/>
        <v>3</v>
      </c>
      <c r="BJ689" s="448">
        <f t="shared" si="569"/>
        <v>2</v>
      </c>
      <c r="BK689" s="448">
        <f t="shared" si="570"/>
        <v>1</v>
      </c>
      <c r="BL689" s="448" t="str">
        <f t="shared" ref="BL689:BL690" si="1065">BI689&amp;BJ689&amp;BK689</f>
        <v>321</v>
      </c>
      <c r="BS689"/>
    </row>
    <row r="690" spans="2:71" ht="16.5">
      <c r="B690" s="360">
        <v>687</v>
      </c>
      <c r="C690" s="363" t="s">
        <v>1053</v>
      </c>
      <c r="N690" s="28">
        <v>1</v>
      </c>
      <c r="O690" s="28">
        <v>8</v>
      </c>
      <c r="P690" s="28">
        <v>10</v>
      </c>
      <c r="Q690" s="28">
        <v>13</v>
      </c>
      <c r="R690" s="28">
        <v>28</v>
      </c>
      <c r="S690" s="28">
        <v>42</v>
      </c>
      <c r="T690" s="28">
        <v>45</v>
      </c>
      <c r="U690" s="28">
        <f t="shared" si="932"/>
        <v>102</v>
      </c>
      <c r="W690" s="27" t="str">
        <f t="shared" si="933"/>
        <v>홀수</v>
      </c>
      <c r="X690" s="27" t="str">
        <f t="shared" si="934"/>
        <v>짝수</v>
      </c>
      <c r="Y690" s="27" t="str">
        <f t="shared" si="935"/>
        <v>짝수</v>
      </c>
      <c r="Z690" s="27" t="str">
        <f t="shared" si="936"/>
        <v>홀수</v>
      </c>
      <c r="AA690" s="28" t="str">
        <f t="shared" si="937"/>
        <v>짝수</v>
      </c>
      <c r="AB690" s="28" t="str">
        <f t="shared" si="938"/>
        <v>짝수</v>
      </c>
      <c r="AC690" s="27" t="str">
        <f t="shared" si="939"/>
        <v>2 : 4</v>
      </c>
      <c r="AD690" s="32">
        <f t="shared" si="940"/>
        <v>2</v>
      </c>
      <c r="AE690" s="32">
        <f t="shared" si="941"/>
        <v>4</v>
      </c>
      <c r="AF690" s="66" t="str">
        <f t="shared" si="942"/>
        <v>저수</v>
      </c>
      <c r="AG690" s="66" t="str">
        <f t="shared" si="943"/>
        <v>저수</v>
      </c>
      <c r="AH690" s="66" t="str">
        <f t="shared" si="944"/>
        <v>저수</v>
      </c>
      <c r="AI690" s="66" t="str">
        <f t="shared" si="945"/>
        <v>저수</v>
      </c>
      <c r="AJ690" s="66" t="str">
        <f t="shared" si="946"/>
        <v>고수</v>
      </c>
      <c r="AK690" s="66" t="str">
        <f t="shared" si="947"/>
        <v>고수</v>
      </c>
      <c r="AL690" s="66" t="str">
        <f t="shared" si="948"/>
        <v>4 : 2</v>
      </c>
      <c r="AM690" s="27">
        <f t="shared" si="949"/>
        <v>4</v>
      </c>
      <c r="AN690" s="27">
        <f t="shared" si="950"/>
        <v>2</v>
      </c>
      <c r="AO690" s="27">
        <f t="shared" si="951"/>
        <v>22</v>
      </c>
      <c r="AP690" s="66" t="str">
        <f t="shared" si="952"/>
        <v>X</v>
      </c>
      <c r="AQ690" s="66" t="str">
        <f t="shared" si="953"/>
        <v>X</v>
      </c>
      <c r="AR690" s="66" t="str">
        <f t="shared" si="954"/>
        <v>X</v>
      </c>
      <c r="AS690" s="66" t="str">
        <f t="shared" si="955"/>
        <v>O</v>
      </c>
      <c r="AT690" s="66" t="str">
        <f t="shared" si="956"/>
        <v>X</v>
      </c>
      <c r="AU690" s="66" t="str">
        <f t="shared" si="957"/>
        <v>X</v>
      </c>
      <c r="AV690" s="66" t="str">
        <f t="shared" si="958"/>
        <v>X</v>
      </c>
      <c r="AW690" s="66" t="str">
        <f t="shared" si="959"/>
        <v>X</v>
      </c>
      <c r="AX690" s="66" t="str">
        <f t="shared" si="960"/>
        <v>X</v>
      </c>
      <c r="AY690" s="66" t="str">
        <f t="shared" si="961"/>
        <v>X</v>
      </c>
      <c r="AZ690" s="66" t="str">
        <f t="shared" si="962"/>
        <v>X</v>
      </c>
      <c r="BA690" s="27" t="str">
        <f t="shared" si="963"/>
        <v>X</v>
      </c>
      <c r="BB690" s="27">
        <f t="shared" si="964"/>
        <v>1</v>
      </c>
      <c r="BC690" s="449" t="str">
        <f t="shared" si="1059"/>
        <v>1G</v>
      </c>
      <c r="BD690" s="449" t="str">
        <f t="shared" si="1060"/>
        <v>1G</v>
      </c>
      <c r="BE690" s="449" t="str">
        <f t="shared" si="1061"/>
        <v>1G</v>
      </c>
      <c r="BF690" s="449" t="str">
        <f t="shared" si="1062"/>
        <v>1G</v>
      </c>
      <c r="BG690" s="449" t="str">
        <f t="shared" si="1063"/>
        <v>2G</v>
      </c>
      <c r="BH690" s="449" t="str">
        <f t="shared" si="1064"/>
        <v>3G</v>
      </c>
      <c r="BI690" s="449">
        <f t="shared" si="568"/>
        <v>4</v>
      </c>
      <c r="BJ690" s="449">
        <f t="shared" si="569"/>
        <v>1</v>
      </c>
      <c r="BK690" s="449">
        <f t="shared" si="570"/>
        <v>1</v>
      </c>
      <c r="BL690" s="449" t="str">
        <f t="shared" si="1065"/>
        <v>411</v>
      </c>
      <c r="BS690"/>
    </row>
    <row r="691" spans="2:71" ht="16.5">
      <c r="B691" s="18">
        <v>688</v>
      </c>
      <c r="C691" s="363" t="s">
        <v>1054</v>
      </c>
      <c r="N691" s="28">
        <v>5</v>
      </c>
      <c r="O691" s="28">
        <v>15</v>
      </c>
      <c r="P691" s="28">
        <v>22</v>
      </c>
      <c r="Q691" s="28">
        <v>23</v>
      </c>
      <c r="R691" s="28">
        <v>34</v>
      </c>
      <c r="S691" s="28">
        <v>35</v>
      </c>
      <c r="T691" s="28">
        <v>2</v>
      </c>
      <c r="U691" s="28">
        <f t="shared" si="932"/>
        <v>134</v>
      </c>
      <c r="W691" s="27" t="str">
        <f t="shared" si="933"/>
        <v>홀수</v>
      </c>
      <c r="X691" s="27" t="str">
        <f t="shared" si="934"/>
        <v>홀수</v>
      </c>
      <c r="Y691" s="27" t="str">
        <f t="shared" si="935"/>
        <v>짝수</v>
      </c>
      <c r="Z691" s="27" t="str">
        <f t="shared" si="936"/>
        <v>홀수</v>
      </c>
      <c r="AA691" s="28" t="str">
        <f t="shared" si="937"/>
        <v>짝수</v>
      </c>
      <c r="AB691" s="28" t="str">
        <f t="shared" si="938"/>
        <v>홀수</v>
      </c>
      <c r="AC691" s="27" t="str">
        <f t="shared" si="939"/>
        <v>4 : 2</v>
      </c>
      <c r="AD691" s="32">
        <f t="shared" si="940"/>
        <v>4</v>
      </c>
      <c r="AE691" s="32">
        <f t="shared" si="941"/>
        <v>2</v>
      </c>
      <c r="AF691" s="66" t="str">
        <f t="shared" si="942"/>
        <v>저수</v>
      </c>
      <c r="AG691" s="66" t="str">
        <f t="shared" si="943"/>
        <v>저수</v>
      </c>
      <c r="AH691" s="66" t="str">
        <f t="shared" si="944"/>
        <v>저수</v>
      </c>
      <c r="AI691" s="66" t="str">
        <f t="shared" si="945"/>
        <v>고수</v>
      </c>
      <c r="AJ691" s="66" t="str">
        <f t="shared" si="946"/>
        <v>고수</v>
      </c>
      <c r="AK691" s="66" t="str">
        <f t="shared" si="947"/>
        <v>고수</v>
      </c>
      <c r="AL691" s="66" t="str">
        <f t="shared" si="948"/>
        <v>3 : 3</v>
      </c>
      <c r="AM691" s="27">
        <f t="shared" si="949"/>
        <v>3</v>
      </c>
      <c r="AN691" s="27">
        <f t="shared" si="950"/>
        <v>3</v>
      </c>
      <c r="AO691" s="27">
        <f t="shared" si="951"/>
        <v>24</v>
      </c>
      <c r="AP691" s="66" t="str">
        <f t="shared" si="952"/>
        <v>O</v>
      </c>
      <c r="AQ691" s="66" t="str">
        <f t="shared" si="953"/>
        <v>X</v>
      </c>
      <c r="AR691" s="66" t="str">
        <f t="shared" si="954"/>
        <v>X</v>
      </c>
      <c r="AS691" s="66" t="str">
        <f t="shared" si="955"/>
        <v>X</v>
      </c>
      <c r="AT691" s="66" t="str">
        <f t="shared" si="956"/>
        <v>X</v>
      </c>
      <c r="AU691" s="66" t="str">
        <f t="shared" si="957"/>
        <v>X</v>
      </c>
      <c r="AV691" s="66" t="str">
        <f t="shared" si="958"/>
        <v>X</v>
      </c>
      <c r="AW691" s="66" t="str">
        <f t="shared" si="959"/>
        <v>X</v>
      </c>
      <c r="AX691" s="66" t="str">
        <f t="shared" si="960"/>
        <v>X</v>
      </c>
      <c r="AY691" s="66" t="str">
        <f t="shared" si="961"/>
        <v>O</v>
      </c>
      <c r="AZ691" s="66" t="str">
        <f t="shared" si="962"/>
        <v>X</v>
      </c>
      <c r="BA691" s="27" t="str">
        <f t="shared" si="963"/>
        <v>X</v>
      </c>
      <c r="BB691" s="27">
        <f t="shared" si="964"/>
        <v>2</v>
      </c>
      <c r="BC691" s="450" t="str">
        <f t="shared" ref="BC691" si="1066">VLOOKUP(N691,삼그룹,6,FALSE)</f>
        <v>1G</v>
      </c>
      <c r="BD691" s="450" t="str">
        <f t="shared" ref="BD691" si="1067">VLOOKUP(O691,삼그룹,6,FALSE)</f>
        <v>1G</v>
      </c>
      <c r="BE691" s="450" t="str">
        <f t="shared" ref="BE691" si="1068">VLOOKUP(P691,삼그룹,6,FALSE)</f>
        <v>2G</v>
      </c>
      <c r="BF691" s="450" t="str">
        <f t="shared" ref="BF691" si="1069">VLOOKUP(Q691,삼그룹,6,FALSE)</f>
        <v>2G</v>
      </c>
      <c r="BG691" s="450" t="str">
        <f t="shared" ref="BG691" si="1070">VLOOKUP(R691,삼그룹,6,FALSE)</f>
        <v>3G</v>
      </c>
      <c r="BH691" s="450" t="str">
        <f t="shared" ref="BH691" si="1071">VLOOKUP(S691,삼그룹,6,FALSE)</f>
        <v>3G</v>
      </c>
      <c r="BI691" s="450">
        <f t="shared" si="568"/>
        <v>2</v>
      </c>
      <c r="BJ691" s="450">
        <f t="shared" si="569"/>
        <v>2</v>
      </c>
      <c r="BK691" s="450">
        <f t="shared" si="570"/>
        <v>2</v>
      </c>
      <c r="BL691" s="450" t="str">
        <f t="shared" ref="BL691" si="1072">BI691&amp;BJ691&amp;BK691</f>
        <v>222</v>
      </c>
      <c r="BS691"/>
    </row>
    <row r="692" spans="2:71" ht="16.5">
      <c r="B692" s="18">
        <v>689</v>
      </c>
      <c r="C692" s="363" t="s">
        <v>1055</v>
      </c>
      <c r="N692" s="28">
        <v>7</v>
      </c>
      <c r="O692" s="28">
        <v>17</v>
      </c>
      <c r="P692" s="28">
        <v>19</v>
      </c>
      <c r="Q692" s="28">
        <v>30</v>
      </c>
      <c r="R692" s="28">
        <v>36</v>
      </c>
      <c r="S692" s="28">
        <v>38</v>
      </c>
      <c r="T692" s="28">
        <v>34</v>
      </c>
      <c r="U692" s="28">
        <f t="shared" si="932"/>
        <v>147</v>
      </c>
      <c r="W692" s="27" t="str">
        <f t="shared" si="933"/>
        <v>홀수</v>
      </c>
      <c r="X692" s="27" t="str">
        <f t="shared" si="934"/>
        <v>홀수</v>
      </c>
      <c r="Y692" s="27" t="str">
        <f t="shared" si="935"/>
        <v>홀수</v>
      </c>
      <c r="Z692" s="27" t="str">
        <f t="shared" si="936"/>
        <v>짝수</v>
      </c>
      <c r="AA692" s="28" t="str">
        <f t="shared" si="937"/>
        <v>짝수</v>
      </c>
      <c r="AB692" s="28" t="str">
        <f t="shared" si="938"/>
        <v>짝수</v>
      </c>
      <c r="AC692" s="27" t="str">
        <f t="shared" si="939"/>
        <v>3 : 3</v>
      </c>
      <c r="AD692" s="32">
        <f t="shared" si="940"/>
        <v>3</v>
      </c>
      <c r="AE692" s="32">
        <f t="shared" si="941"/>
        <v>3</v>
      </c>
      <c r="AF692" s="66" t="str">
        <f t="shared" si="942"/>
        <v>저수</v>
      </c>
      <c r="AG692" s="66" t="str">
        <f t="shared" si="943"/>
        <v>저수</v>
      </c>
      <c r="AH692" s="66" t="str">
        <f t="shared" si="944"/>
        <v>저수</v>
      </c>
      <c r="AI692" s="66" t="str">
        <f t="shared" si="945"/>
        <v>고수</v>
      </c>
      <c r="AJ692" s="66" t="str">
        <f t="shared" si="946"/>
        <v>고수</v>
      </c>
      <c r="AK692" s="66" t="str">
        <f t="shared" si="947"/>
        <v>고수</v>
      </c>
      <c r="AL692" s="66" t="str">
        <f t="shared" si="948"/>
        <v>3 : 3</v>
      </c>
      <c r="AM692" s="27">
        <f t="shared" si="949"/>
        <v>3</v>
      </c>
      <c r="AN692" s="27">
        <f t="shared" si="950"/>
        <v>3</v>
      </c>
      <c r="AO692" s="27">
        <f t="shared" si="951"/>
        <v>37</v>
      </c>
      <c r="AP692" s="66" t="str">
        <f t="shared" si="952"/>
        <v>O</v>
      </c>
      <c r="AQ692" s="66" t="str">
        <f t="shared" si="953"/>
        <v>O</v>
      </c>
      <c r="AR692" s="66" t="str">
        <f t="shared" si="954"/>
        <v>O</v>
      </c>
      <c r="AS692" s="66" t="str">
        <f t="shared" si="955"/>
        <v>X</v>
      </c>
      <c r="AT692" s="66" t="str">
        <f t="shared" si="956"/>
        <v>X</v>
      </c>
      <c r="AU692" s="66" t="str">
        <f t="shared" si="957"/>
        <v>X</v>
      </c>
      <c r="AV692" s="66" t="str">
        <f t="shared" si="958"/>
        <v>X</v>
      </c>
      <c r="AW692" s="66" t="str">
        <f t="shared" si="959"/>
        <v>X</v>
      </c>
      <c r="AX692" s="66" t="str">
        <f t="shared" si="960"/>
        <v>X</v>
      </c>
      <c r="AY692" s="66" t="str">
        <f t="shared" si="961"/>
        <v>X</v>
      </c>
      <c r="AZ692" s="66" t="str">
        <f t="shared" si="962"/>
        <v>X</v>
      </c>
      <c r="BA692" s="27" t="str">
        <f t="shared" si="963"/>
        <v>X</v>
      </c>
      <c r="BB692" s="27">
        <f t="shared" si="964"/>
        <v>3</v>
      </c>
      <c r="BC692" s="451" t="str">
        <f t="shared" ref="BC692:BC693" si="1073">VLOOKUP(N692,삼그룹,6,FALSE)</f>
        <v>1G</v>
      </c>
      <c r="BD692" s="451" t="str">
        <f t="shared" ref="BD692:BD693" si="1074">VLOOKUP(O692,삼그룹,6,FALSE)</f>
        <v>2G</v>
      </c>
      <c r="BE692" s="451" t="str">
        <f t="shared" ref="BE692:BE693" si="1075">VLOOKUP(P692,삼그룹,6,FALSE)</f>
        <v>2G</v>
      </c>
      <c r="BF692" s="451" t="str">
        <f t="shared" ref="BF692:BF693" si="1076">VLOOKUP(Q692,삼그룹,6,FALSE)</f>
        <v>2G</v>
      </c>
      <c r="BG692" s="451" t="str">
        <f t="shared" ref="BG692:BG693" si="1077">VLOOKUP(R692,삼그룹,6,FALSE)</f>
        <v>3G</v>
      </c>
      <c r="BH692" s="451" t="str">
        <f t="shared" ref="BH692:BH693" si="1078">VLOOKUP(S692,삼그룹,6,FALSE)</f>
        <v>3G</v>
      </c>
      <c r="BI692" s="451">
        <f t="shared" si="568"/>
        <v>1</v>
      </c>
      <c r="BJ692" s="451">
        <f t="shared" si="569"/>
        <v>3</v>
      </c>
      <c r="BK692" s="451">
        <f t="shared" si="570"/>
        <v>2</v>
      </c>
      <c r="BL692" s="451" t="str">
        <f t="shared" ref="BL692:BL693" si="1079">BI692&amp;BJ692&amp;BK692</f>
        <v>132</v>
      </c>
      <c r="BS692"/>
    </row>
    <row r="693" spans="2:71" ht="16.5">
      <c r="B693" s="360">
        <v>690</v>
      </c>
      <c r="C693" s="363" t="s">
        <v>1056</v>
      </c>
      <c r="N693" s="28">
        <v>24</v>
      </c>
      <c r="O693" s="28">
        <v>25</v>
      </c>
      <c r="P693" s="28">
        <v>33</v>
      </c>
      <c r="Q693" s="28">
        <v>34</v>
      </c>
      <c r="R693" s="28">
        <v>38</v>
      </c>
      <c r="S693" s="28">
        <v>39</v>
      </c>
      <c r="T693" s="28">
        <v>43</v>
      </c>
      <c r="U693" s="28">
        <f t="shared" si="932"/>
        <v>193</v>
      </c>
      <c r="W693" s="27" t="str">
        <f t="shared" si="933"/>
        <v>짝수</v>
      </c>
      <c r="X693" s="27" t="str">
        <f t="shared" si="934"/>
        <v>홀수</v>
      </c>
      <c r="Y693" s="27" t="str">
        <f t="shared" si="935"/>
        <v>홀수</v>
      </c>
      <c r="Z693" s="27" t="str">
        <f t="shared" si="936"/>
        <v>짝수</v>
      </c>
      <c r="AA693" s="28" t="str">
        <f t="shared" si="937"/>
        <v>짝수</v>
      </c>
      <c r="AB693" s="28" t="str">
        <f t="shared" si="938"/>
        <v>홀수</v>
      </c>
      <c r="AC693" s="27" t="str">
        <f t="shared" si="939"/>
        <v>3 : 3</v>
      </c>
      <c r="AD693" s="32">
        <f t="shared" si="940"/>
        <v>3</v>
      </c>
      <c r="AE693" s="32">
        <f t="shared" si="941"/>
        <v>3</v>
      </c>
      <c r="AF693" s="66" t="str">
        <f t="shared" si="942"/>
        <v>고수</v>
      </c>
      <c r="AG693" s="66" t="str">
        <f t="shared" si="943"/>
        <v>고수</v>
      </c>
      <c r="AH693" s="66" t="str">
        <f t="shared" si="944"/>
        <v>고수</v>
      </c>
      <c r="AI693" s="66" t="str">
        <f t="shared" si="945"/>
        <v>고수</v>
      </c>
      <c r="AJ693" s="66" t="str">
        <f t="shared" si="946"/>
        <v>고수</v>
      </c>
      <c r="AK693" s="66" t="str">
        <f t="shared" si="947"/>
        <v>고수</v>
      </c>
      <c r="AL693" s="66" t="str">
        <f t="shared" si="948"/>
        <v>0 : 6</v>
      </c>
      <c r="AM693" s="27">
        <f t="shared" si="949"/>
        <v>0</v>
      </c>
      <c r="AN693" s="27">
        <f t="shared" si="950"/>
        <v>6</v>
      </c>
      <c r="AO693" s="27">
        <f t="shared" si="951"/>
        <v>33</v>
      </c>
      <c r="AP693" s="66" t="str">
        <f t="shared" si="952"/>
        <v>X</v>
      </c>
      <c r="AQ693" s="66" t="str">
        <f t="shared" si="953"/>
        <v>X</v>
      </c>
      <c r="AR693" s="66" t="str">
        <f t="shared" si="954"/>
        <v>X</v>
      </c>
      <c r="AS693" s="66" t="str">
        <f t="shared" si="955"/>
        <v>X</v>
      </c>
      <c r="AT693" s="66" t="str">
        <f t="shared" si="956"/>
        <v>X</v>
      </c>
      <c r="AU693" s="66" t="str">
        <f t="shared" si="957"/>
        <v>X</v>
      </c>
      <c r="AV693" s="66" t="str">
        <f t="shared" si="958"/>
        <v>X</v>
      </c>
      <c r="AW693" s="66" t="str">
        <f t="shared" si="959"/>
        <v>X</v>
      </c>
      <c r="AX693" s="66" t="str">
        <f t="shared" si="960"/>
        <v>X</v>
      </c>
      <c r="AY693" s="66" t="str">
        <f t="shared" si="961"/>
        <v>X</v>
      </c>
      <c r="AZ693" s="66" t="str">
        <f t="shared" si="962"/>
        <v>X</v>
      </c>
      <c r="BA693" s="27" t="str">
        <f t="shared" si="963"/>
        <v>X</v>
      </c>
      <c r="BB693" s="27">
        <f t="shared" si="964"/>
        <v>0</v>
      </c>
      <c r="BC693" s="452" t="str">
        <f t="shared" si="1073"/>
        <v>2G</v>
      </c>
      <c r="BD693" s="452" t="str">
        <f t="shared" si="1074"/>
        <v>2G</v>
      </c>
      <c r="BE693" s="452" t="str">
        <f t="shared" si="1075"/>
        <v>3G</v>
      </c>
      <c r="BF693" s="452" t="str">
        <f t="shared" si="1076"/>
        <v>3G</v>
      </c>
      <c r="BG693" s="452" t="str">
        <f t="shared" si="1077"/>
        <v>3G</v>
      </c>
      <c r="BH693" s="452" t="str">
        <f t="shared" si="1078"/>
        <v>3G</v>
      </c>
      <c r="BI693" s="452">
        <f t="shared" si="568"/>
        <v>0</v>
      </c>
      <c r="BJ693" s="452">
        <f t="shared" si="569"/>
        <v>2</v>
      </c>
      <c r="BK693" s="452">
        <f t="shared" si="570"/>
        <v>4</v>
      </c>
      <c r="BL693" s="452" t="str">
        <f t="shared" si="1079"/>
        <v>024</v>
      </c>
      <c r="BS693"/>
    </row>
    <row r="694" spans="2:71" ht="16.5">
      <c r="B694" s="360">
        <v>691</v>
      </c>
      <c r="C694" s="363" t="s">
        <v>1057</v>
      </c>
      <c r="N694" s="28">
        <v>15</v>
      </c>
      <c r="O694" s="28">
        <v>27</v>
      </c>
      <c r="P694" s="28">
        <v>33</v>
      </c>
      <c r="Q694" s="28">
        <v>35</v>
      </c>
      <c r="R694" s="28">
        <v>43</v>
      </c>
      <c r="S694" s="28">
        <v>45</v>
      </c>
      <c r="T694" s="28">
        <v>16</v>
      </c>
      <c r="U694" s="28">
        <f t="shared" si="932"/>
        <v>198</v>
      </c>
      <c r="W694" s="27" t="str">
        <f t="shared" si="933"/>
        <v>홀수</v>
      </c>
      <c r="X694" s="27" t="str">
        <f t="shared" si="934"/>
        <v>홀수</v>
      </c>
      <c r="Y694" s="27" t="str">
        <f t="shared" si="935"/>
        <v>홀수</v>
      </c>
      <c r="Z694" s="27" t="str">
        <f t="shared" si="936"/>
        <v>홀수</v>
      </c>
      <c r="AA694" s="28" t="str">
        <f t="shared" si="937"/>
        <v>홀수</v>
      </c>
      <c r="AB694" s="28" t="str">
        <f t="shared" si="938"/>
        <v>홀수</v>
      </c>
      <c r="AC694" s="27" t="str">
        <f t="shared" si="939"/>
        <v>6 : 0</v>
      </c>
      <c r="AD694" s="32">
        <f t="shared" si="940"/>
        <v>6</v>
      </c>
      <c r="AE694" s="32">
        <f t="shared" si="941"/>
        <v>0</v>
      </c>
      <c r="AF694" s="66" t="str">
        <f t="shared" si="942"/>
        <v>저수</v>
      </c>
      <c r="AG694" s="66" t="str">
        <f t="shared" si="943"/>
        <v>고수</v>
      </c>
      <c r="AH694" s="66" t="str">
        <f t="shared" si="944"/>
        <v>고수</v>
      </c>
      <c r="AI694" s="66" t="str">
        <f t="shared" si="945"/>
        <v>고수</v>
      </c>
      <c r="AJ694" s="66" t="str">
        <f t="shared" si="946"/>
        <v>고수</v>
      </c>
      <c r="AK694" s="66" t="str">
        <f t="shared" si="947"/>
        <v>고수</v>
      </c>
      <c r="AL694" s="66" t="str">
        <f t="shared" si="948"/>
        <v>1 : 5</v>
      </c>
      <c r="AM694" s="27">
        <f t="shared" si="949"/>
        <v>1</v>
      </c>
      <c r="AN694" s="27">
        <f t="shared" si="950"/>
        <v>5</v>
      </c>
      <c r="AO694" s="27">
        <f t="shared" si="951"/>
        <v>28</v>
      </c>
      <c r="AP694" s="66" t="str">
        <f t="shared" si="952"/>
        <v>X</v>
      </c>
      <c r="AQ694" s="66" t="str">
        <f t="shared" si="953"/>
        <v>X</v>
      </c>
      <c r="AR694" s="66" t="str">
        <f t="shared" si="954"/>
        <v>X</v>
      </c>
      <c r="AS694" s="66" t="str">
        <f t="shared" si="955"/>
        <v>X</v>
      </c>
      <c r="AT694" s="66" t="str">
        <f t="shared" si="956"/>
        <v>X</v>
      </c>
      <c r="AU694" s="66" t="str">
        <f t="shared" si="957"/>
        <v>X</v>
      </c>
      <c r="AV694" s="66" t="str">
        <f t="shared" si="958"/>
        <v>X</v>
      </c>
      <c r="AW694" s="66" t="str">
        <f t="shared" si="959"/>
        <v>X</v>
      </c>
      <c r="AX694" s="66" t="str">
        <f t="shared" si="960"/>
        <v>X</v>
      </c>
      <c r="AY694" s="66" t="str">
        <f t="shared" si="961"/>
        <v>X</v>
      </c>
      <c r="AZ694" s="66" t="str">
        <f t="shared" si="962"/>
        <v>O</v>
      </c>
      <c r="BA694" s="27" t="str">
        <f t="shared" si="963"/>
        <v>X</v>
      </c>
      <c r="BB694" s="27">
        <f t="shared" si="964"/>
        <v>1</v>
      </c>
      <c r="BC694" s="453" t="str">
        <f t="shared" ref="BC694:BC695" si="1080">VLOOKUP(N694,삼그룹,6,FALSE)</f>
        <v>1G</v>
      </c>
      <c r="BD694" s="453" t="str">
        <f t="shared" ref="BD694:BD695" si="1081">VLOOKUP(O694,삼그룹,6,FALSE)</f>
        <v>2G</v>
      </c>
      <c r="BE694" s="453" t="str">
        <f t="shared" ref="BE694:BE695" si="1082">VLOOKUP(P694,삼그룹,6,FALSE)</f>
        <v>3G</v>
      </c>
      <c r="BF694" s="453" t="str">
        <f t="shared" ref="BF694:BF695" si="1083">VLOOKUP(Q694,삼그룹,6,FALSE)</f>
        <v>3G</v>
      </c>
      <c r="BG694" s="453" t="str">
        <f t="shared" ref="BG694:BG695" si="1084">VLOOKUP(R694,삼그룹,6,FALSE)</f>
        <v>3G</v>
      </c>
      <c r="BH694" s="453" t="str">
        <f t="shared" ref="BH694:BH695" si="1085">VLOOKUP(S694,삼그룹,6,FALSE)</f>
        <v>3G</v>
      </c>
      <c r="BI694" s="453">
        <f t="shared" si="568"/>
        <v>1</v>
      </c>
      <c r="BJ694" s="453">
        <f t="shared" si="569"/>
        <v>1</v>
      </c>
      <c r="BK694" s="453">
        <f t="shared" si="570"/>
        <v>4</v>
      </c>
      <c r="BL694" s="453" t="str">
        <f t="shared" ref="BL694:BL695" si="1086">BI694&amp;BJ694&amp;BK694</f>
        <v>114</v>
      </c>
      <c r="BS694"/>
    </row>
    <row r="695" spans="2:71" ht="16.5">
      <c r="B695" s="18">
        <v>692</v>
      </c>
      <c r="C695" s="363" t="s">
        <v>1058</v>
      </c>
      <c r="N695" s="28">
        <v>3</v>
      </c>
      <c r="O695" s="28">
        <v>11</v>
      </c>
      <c r="P695" s="28">
        <v>14</v>
      </c>
      <c r="Q695" s="28">
        <v>15</v>
      </c>
      <c r="R695" s="28">
        <v>32</v>
      </c>
      <c r="S695" s="28">
        <v>36</v>
      </c>
      <c r="T695" s="28">
        <v>44</v>
      </c>
      <c r="U695" s="28">
        <f t="shared" si="932"/>
        <v>111</v>
      </c>
      <c r="W695" s="27" t="str">
        <f t="shared" si="933"/>
        <v>홀수</v>
      </c>
      <c r="X695" s="27" t="str">
        <f t="shared" si="934"/>
        <v>홀수</v>
      </c>
      <c r="Y695" s="27" t="str">
        <f t="shared" si="935"/>
        <v>짝수</v>
      </c>
      <c r="Z695" s="27" t="str">
        <f t="shared" si="936"/>
        <v>홀수</v>
      </c>
      <c r="AA695" s="28" t="str">
        <f t="shared" si="937"/>
        <v>짝수</v>
      </c>
      <c r="AB695" s="28" t="str">
        <f t="shared" si="938"/>
        <v>짝수</v>
      </c>
      <c r="AC695" s="27" t="str">
        <f t="shared" si="939"/>
        <v>3 : 3</v>
      </c>
      <c r="AD695" s="32">
        <f t="shared" si="940"/>
        <v>3</v>
      </c>
      <c r="AE695" s="32">
        <f t="shared" si="941"/>
        <v>3</v>
      </c>
      <c r="AF695" s="66" t="str">
        <f t="shared" si="942"/>
        <v>저수</v>
      </c>
      <c r="AG695" s="66" t="str">
        <f t="shared" si="943"/>
        <v>저수</v>
      </c>
      <c r="AH695" s="66" t="str">
        <f t="shared" si="944"/>
        <v>저수</v>
      </c>
      <c r="AI695" s="66" t="str">
        <f t="shared" si="945"/>
        <v>저수</v>
      </c>
      <c r="AJ695" s="66" t="str">
        <f t="shared" si="946"/>
        <v>고수</v>
      </c>
      <c r="AK695" s="66" t="str">
        <f t="shared" si="947"/>
        <v>고수</v>
      </c>
      <c r="AL695" s="66" t="str">
        <f t="shared" si="948"/>
        <v>4 : 2</v>
      </c>
      <c r="AM695" s="27">
        <f t="shared" si="949"/>
        <v>4</v>
      </c>
      <c r="AN695" s="27">
        <f t="shared" si="950"/>
        <v>2</v>
      </c>
      <c r="AO695" s="27">
        <f t="shared" si="951"/>
        <v>21</v>
      </c>
      <c r="AP695" s="66" t="str">
        <f t="shared" si="952"/>
        <v>O</v>
      </c>
      <c r="AQ695" s="66" t="str">
        <f t="shared" si="953"/>
        <v>O</v>
      </c>
      <c r="AR695" s="66" t="str">
        <f t="shared" si="954"/>
        <v>X</v>
      </c>
      <c r="AS695" s="66" t="str">
        <f t="shared" si="955"/>
        <v>X</v>
      </c>
      <c r="AT695" s="66" t="str">
        <f t="shared" si="956"/>
        <v>X</v>
      </c>
      <c r="AU695" s="66" t="str">
        <f t="shared" si="957"/>
        <v>X</v>
      </c>
      <c r="AV695" s="66" t="str">
        <f t="shared" si="958"/>
        <v>X</v>
      </c>
      <c r="AW695" s="66" t="str">
        <f t="shared" si="959"/>
        <v>X</v>
      </c>
      <c r="AX695" s="66" t="str">
        <f t="shared" si="960"/>
        <v>X</v>
      </c>
      <c r="AY695" s="66" t="str">
        <f t="shared" si="961"/>
        <v>X</v>
      </c>
      <c r="AZ695" s="66" t="str">
        <f t="shared" si="962"/>
        <v>X</v>
      </c>
      <c r="BA695" s="27" t="str">
        <f t="shared" si="963"/>
        <v>X</v>
      </c>
      <c r="BB695" s="27">
        <f t="shared" si="964"/>
        <v>2</v>
      </c>
      <c r="BC695" s="454" t="str">
        <f t="shared" si="1080"/>
        <v>1G</v>
      </c>
      <c r="BD695" s="454" t="str">
        <f t="shared" si="1081"/>
        <v>1G</v>
      </c>
      <c r="BE695" s="454" t="str">
        <f t="shared" si="1082"/>
        <v>1G</v>
      </c>
      <c r="BF695" s="454" t="str">
        <f t="shared" si="1083"/>
        <v>1G</v>
      </c>
      <c r="BG695" s="454" t="str">
        <f t="shared" si="1084"/>
        <v>3G</v>
      </c>
      <c r="BH695" s="454" t="str">
        <f t="shared" si="1085"/>
        <v>3G</v>
      </c>
      <c r="BI695" s="454">
        <f t="shared" si="568"/>
        <v>4</v>
      </c>
      <c r="BJ695" s="454">
        <f t="shared" si="569"/>
        <v>0</v>
      </c>
      <c r="BK695" s="454">
        <f t="shared" si="570"/>
        <v>2</v>
      </c>
      <c r="BL695" s="454" t="str">
        <f t="shared" si="1086"/>
        <v>402</v>
      </c>
      <c r="BS695"/>
    </row>
    <row r="696" spans="2:71" ht="16.5">
      <c r="B696" s="360">
        <v>693</v>
      </c>
      <c r="C696" s="363" t="s">
        <v>1059</v>
      </c>
      <c r="N696" s="28">
        <v>1</v>
      </c>
      <c r="O696" s="28">
        <v>6</v>
      </c>
      <c r="P696" s="28">
        <v>11</v>
      </c>
      <c r="Q696" s="28">
        <v>28</v>
      </c>
      <c r="R696" s="28">
        <v>34</v>
      </c>
      <c r="S696" s="28">
        <v>42</v>
      </c>
      <c r="T696" s="28">
        <v>30</v>
      </c>
      <c r="U696" s="28">
        <f t="shared" si="932"/>
        <v>122</v>
      </c>
      <c r="W696" s="27" t="str">
        <f t="shared" si="933"/>
        <v>홀수</v>
      </c>
      <c r="X696" s="27" t="str">
        <f t="shared" si="934"/>
        <v>짝수</v>
      </c>
      <c r="Y696" s="27" t="str">
        <f t="shared" si="935"/>
        <v>홀수</v>
      </c>
      <c r="Z696" s="27" t="str">
        <f t="shared" si="936"/>
        <v>짝수</v>
      </c>
      <c r="AA696" s="28" t="str">
        <f t="shared" si="937"/>
        <v>짝수</v>
      </c>
      <c r="AB696" s="28" t="str">
        <f t="shared" si="938"/>
        <v>짝수</v>
      </c>
      <c r="AC696" s="27" t="str">
        <f t="shared" si="939"/>
        <v>2 : 4</v>
      </c>
      <c r="AD696" s="32">
        <f t="shared" si="940"/>
        <v>2</v>
      </c>
      <c r="AE696" s="32">
        <f t="shared" si="941"/>
        <v>4</v>
      </c>
      <c r="AF696" s="66" t="str">
        <f t="shared" si="942"/>
        <v>저수</v>
      </c>
      <c r="AG696" s="66" t="str">
        <f t="shared" si="943"/>
        <v>저수</v>
      </c>
      <c r="AH696" s="66" t="str">
        <f t="shared" si="944"/>
        <v>저수</v>
      </c>
      <c r="AI696" s="66" t="str">
        <f t="shared" si="945"/>
        <v>고수</v>
      </c>
      <c r="AJ696" s="66" t="str">
        <f t="shared" si="946"/>
        <v>고수</v>
      </c>
      <c r="AK696" s="66" t="str">
        <f t="shared" si="947"/>
        <v>고수</v>
      </c>
      <c r="AL696" s="66" t="str">
        <f t="shared" si="948"/>
        <v>3 : 3</v>
      </c>
      <c r="AM696" s="27">
        <f t="shared" si="949"/>
        <v>3</v>
      </c>
      <c r="AN696" s="27">
        <f t="shared" si="950"/>
        <v>3</v>
      </c>
      <c r="AO696" s="27">
        <f t="shared" si="951"/>
        <v>22</v>
      </c>
      <c r="AP696" s="66" t="str">
        <f t="shared" si="952"/>
        <v>X</v>
      </c>
      <c r="AQ696" s="66" t="str">
        <f t="shared" si="953"/>
        <v>X</v>
      </c>
      <c r="AR696" s="66" t="str">
        <f t="shared" si="954"/>
        <v>O</v>
      </c>
      <c r="AS696" s="66" t="str">
        <f t="shared" si="955"/>
        <v>X</v>
      </c>
      <c r="AT696" s="66" t="str">
        <f t="shared" si="956"/>
        <v>X</v>
      </c>
      <c r="AU696" s="66" t="str">
        <f t="shared" si="957"/>
        <v>X</v>
      </c>
      <c r="AV696" s="66" t="str">
        <f t="shared" si="958"/>
        <v>X</v>
      </c>
      <c r="AW696" s="66" t="str">
        <f t="shared" si="959"/>
        <v>X</v>
      </c>
      <c r="AX696" s="66" t="str">
        <f t="shared" si="960"/>
        <v>X</v>
      </c>
      <c r="AY696" s="66" t="str">
        <f t="shared" si="961"/>
        <v>X</v>
      </c>
      <c r="AZ696" s="66" t="str">
        <f t="shared" si="962"/>
        <v>X</v>
      </c>
      <c r="BA696" s="27" t="str">
        <f t="shared" si="963"/>
        <v>X</v>
      </c>
      <c r="BB696" s="27">
        <f t="shared" si="964"/>
        <v>1</v>
      </c>
      <c r="BC696" s="455" t="str">
        <f t="shared" ref="BC696:BC697" si="1087">VLOOKUP(N696,삼그룹,6,FALSE)</f>
        <v>1G</v>
      </c>
      <c r="BD696" s="455" t="str">
        <f t="shared" ref="BD696:BD697" si="1088">VLOOKUP(O696,삼그룹,6,FALSE)</f>
        <v>1G</v>
      </c>
      <c r="BE696" s="455" t="str">
        <f t="shared" ref="BE696:BE697" si="1089">VLOOKUP(P696,삼그룹,6,FALSE)</f>
        <v>1G</v>
      </c>
      <c r="BF696" s="455" t="str">
        <f t="shared" ref="BF696:BF697" si="1090">VLOOKUP(Q696,삼그룹,6,FALSE)</f>
        <v>2G</v>
      </c>
      <c r="BG696" s="455" t="str">
        <f t="shared" ref="BG696:BG697" si="1091">VLOOKUP(R696,삼그룹,6,FALSE)</f>
        <v>3G</v>
      </c>
      <c r="BH696" s="455" t="str">
        <f t="shared" ref="BH696:BH697" si="1092">VLOOKUP(S696,삼그룹,6,FALSE)</f>
        <v>3G</v>
      </c>
      <c r="BI696" s="455">
        <f t="shared" si="568"/>
        <v>3</v>
      </c>
      <c r="BJ696" s="455">
        <f t="shared" si="569"/>
        <v>1</v>
      </c>
      <c r="BK696" s="455">
        <f t="shared" si="570"/>
        <v>2</v>
      </c>
      <c r="BL696" s="455" t="str">
        <f t="shared" ref="BL696:BL697" si="1093">BI696&amp;BJ696&amp;BK696</f>
        <v>312</v>
      </c>
      <c r="BS696"/>
    </row>
    <row r="697" spans="2:71" ht="16.5">
      <c r="B697" s="360">
        <v>694</v>
      </c>
      <c r="C697" s="363" t="s">
        <v>1060</v>
      </c>
      <c r="N697" s="28">
        <v>7</v>
      </c>
      <c r="O697" s="28">
        <v>15</v>
      </c>
      <c r="P697" s="28">
        <v>20</v>
      </c>
      <c r="Q697" s="28">
        <v>25</v>
      </c>
      <c r="R697" s="28">
        <v>33</v>
      </c>
      <c r="S697" s="28">
        <v>43</v>
      </c>
      <c r="T697" s="28">
        <v>12</v>
      </c>
      <c r="U697" s="28">
        <f t="shared" si="932"/>
        <v>143</v>
      </c>
      <c r="W697" s="27" t="str">
        <f t="shared" si="933"/>
        <v>홀수</v>
      </c>
      <c r="X697" s="27" t="str">
        <f t="shared" si="934"/>
        <v>홀수</v>
      </c>
      <c r="Y697" s="27" t="str">
        <f t="shared" si="935"/>
        <v>짝수</v>
      </c>
      <c r="Z697" s="27" t="str">
        <f t="shared" si="936"/>
        <v>홀수</v>
      </c>
      <c r="AA697" s="28" t="str">
        <f t="shared" si="937"/>
        <v>홀수</v>
      </c>
      <c r="AB697" s="28" t="str">
        <f t="shared" si="938"/>
        <v>홀수</v>
      </c>
      <c r="AC697" s="27" t="str">
        <f t="shared" si="939"/>
        <v>5 : 1</v>
      </c>
      <c r="AD697" s="32">
        <f t="shared" si="940"/>
        <v>5</v>
      </c>
      <c r="AE697" s="32">
        <f t="shared" si="941"/>
        <v>1</v>
      </c>
      <c r="AF697" s="66" t="str">
        <f t="shared" si="942"/>
        <v>저수</v>
      </c>
      <c r="AG697" s="66" t="str">
        <f t="shared" si="943"/>
        <v>저수</v>
      </c>
      <c r="AH697" s="66" t="str">
        <f t="shared" si="944"/>
        <v>저수</v>
      </c>
      <c r="AI697" s="66" t="str">
        <f t="shared" si="945"/>
        <v>고수</v>
      </c>
      <c r="AJ697" s="66" t="str">
        <f t="shared" si="946"/>
        <v>고수</v>
      </c>
      <c r="AK697" s="66" t="str">
        <f t="shared" si="947"/>
        <v>고수</v>
      </c>
      <c r="AL697" s="66" t="str">
        <f t="shared" si="948"/>
        <v>3 : 3</v>
      </c>
      <c r="AM697" s="27">
        <f t="shared" si="949"/>
        <v>3</v>
      </c>
      <c r="AN697" s="27">
        <f t="shared" si="950"/>
        <v>3</v>
      </c>
      <c r="AO697" s="27">
        <f t="shared" si="951"/>
        <v>23</v>
      </c>
      <c r="AP697" s="66" t="str">
        <f t="shared" si="952"/>
        <v>O</v>
      </c>
      <c r="AQ697" s="66" t="str">
        <f t="shared" si="953"/>
        <v>X</v>
      </c>
      <c r="AR697" s="66" t="str">
        <f t="shared" si="954"/>
        <v>X</v>
      </c>
      <c r="AS697" s="66" t="str">
        <f t="shared" si="955"/>
        <v>X</v>
      </c>
      <c r="AT697" s="66" t="str">
        <f t="shared" si="956"/>
        <v>X</v>
      </c>
      <c r="AU697" s="66" t="str">
        <f t="shared" si="957"/>
        <v>X</v>
      </c>
      <c r="AV697" s="66" t="str">
        <f t="shared" si="958"/>
        <v>X</v>
      </c>
      <c r="AW697" s="66" t="str">
        <f t="shared" si="959"/>
        <v>X</v>
      </c>
      <c r="AX697" s="66" t="str">
        <f t="shared" si="960"/>
        <v>X</v>
      </c>
      <c r="AY697" s="66" t="str">
        <f t="shared" si="961"/>
        <v>X</v>
      </c>
      <c r="AZ697" s="66" t="str">
        <f t="shared" si="962"/>
        <v>X</v>
      </c>
      <c r="BA697" s="27" t="str">
        <f t="shared" si="963"/>
        <v>O</v>
      </c>
      <c r="BB697" s="27">
        <f t="shared" si="964"/>
        <v>2</v>
      </c>
      <c r="BC697" s="456" t="str">
        <f t="shared" si="1087"/>
        <v>1G</v>
      </c>
      <c r="BD697" s="456" t="str">
        <f t="shared" si="1088"/>
        <v>1G</v>
      </c>
      <c r="BE697" s="456" t="str">
        <f t="shared" si="1089"/>
        <v>2G</v>
      </c>
      <c r="BF697" s="456" t="str">
        <f t="shared" si="1090"/>
        <v>2G</v>
      </c>
      <c r="BG697" s="456" t="str">
        <f t="shared" si="1091"/>
        <v>3G</v>
      </c>
      <c r="BH697" s="456" t="str">
        <f t="shared" si="1092"/>
        <v>3G</v>
      </c>
      <c r="BI697" s="456">
        <f t="shared" si="568"/>
        <v>2</v>
      </c>
      <c r="BJ697" s="456">
        <f t="shared" si="569"/>
        <v>2</v>
      </c>
      <c r="BK697" s="456">
        <f t="shared" si="570"/>
        <v>2</v>
      </c>
      <c r="BL697" s="456" t="str">
        <f t="shared" si="1093"/>
        <v>222</v>
      </c>
      <c r="BS697"/>
    </row>
    <row r="698" spans="2:71" ht="16.5">
      <c r="B698" s="360">
        <v>695</v>
      </c>
      <c r="C698" s="363" t="s">
        <v>1061</v>
      </c>
      <c r="N698" s="28">
        <v>4</v>
      </c>
      <c r="O698" s="28">
        <v>18</v>
      </c>
      <c r="P698" s="28">
        <v>26</v>
      </c>
      <c r="Q698" s="28">
        <v>33</v>
      </c>
      <c r="R698" s="28">
        <v>34</v>
      </c>
      <c r="S698" s="28">
        <v>38</v>
      </c>
      <c r="T698" s="28">
        <v>14</v>
      </c>
      <c r="U698" s="28">
        <f t="shared" si="932"/>
        <v>153</v>
      </c>
      <c r="W698" s="27" t="str">
        <f t="shared" si="933"/>
        <v>짝수</v>
      </c>
      <c r="X698" s="27" t="str">
        <f t="shared" si="934"/>
        <v>짝수</v>
      </c>
      <c r="Y698" s="27" t="str">
        <f t="shared" si="935"/>
        <v>짝수</v>
      </c>
      <c r="Z698" s="27" t="str">
        <f t="shared" si="936"/>
        <v>홀수</v>
      </c>
      <c r="AA698" s="28" t="str">
        <f t="shared" si="937"/>
        <v>짝수</v>
      </c>
      <c r="AB698" s="28" t="str">
        <f t="shared" si="938"/>
        <v>짝수</v>
      </c>
      <c r="AC698" s="27" t="str">
        <f t="shared" si="939"/>
        <v>1 : 5</v>
      </c>
      <c r="AD698" s="32">
        <f t="shared" si="940"/>
        <v>1</v>
      </c>
      <c r="AE698" s="32">
        <f t="shared" si="941"/>
        <v>5</v>
      </c>
      <c r="AF698" s="66" t="str">
        <f t="shared" si="942"/>
        <v>저수</v>
      </c>
      <c r="AG698" s="66" t="str">
        <f t="shared" si="943"/>
        <v>저수</v>
      </c>
      <c r="AH698" s="66" t="str">
        <f t="shared" si="944"/>
        <v>고수</v>
      </c>
      <c r="AI698" s="66" t="str">
        <f t="shared" si="945"/>
        <v>고수</v>
      </c>
      <c r="AJ698" s="66" t="str">
        <f t="shared" si="946"/>
        <v>고수</v>
      </c>
      <c r="AK698" s="66" t="str">
        <f t="shared" si="947"/>
        <v>고수</v>
      </c>
      <c r="AL698" s="66" t="str">
        <f t="shared" si="948"/>
        <v>2 : 4</v>
      </c>
      <c r="AM698" s="27">
        <f t="shared" si="949"/>
        <v>2</v>
      </c>
      <c r="AN698" s="27">
        <f t="shared" si="950"/>
        <v>4</v>
      </c>
      <c r="AO698" s="27">
        <f t="shared" si="951"/>
        <v>33</v>
      </c>
      <c r="AP698" s="66" t="str">
        <f t="shared" si="952"/>
        <v>X</v>
      </c>
      <c r="AQ698" s="66" t="str">
        <f t="shared" si="953"/>
        <v>X</v>
      </c>
      <c r="AR698" s="66" t="str">
        <f t="shared" si="954"/>
        <v>X</v>
      </c>
      <c r="AS698" s="66" t="str">
        <f t="shared" si="955"/>
        <v>X</v>
      </c>
      <c r="AT698" s="66" t="str">
        <f t="shared" si="956"/>
        <v>X</v>
      </c>
      <c r="AU698" s="66" t="str">
        <f t="shared" si="957"/>
        <v>X</v>
      </c>
      <c r="AV698" s="66" t="str">
        <f t="shared" si="958"/>
        <v>X</v>
      </c>
      <c r="AW698" s="66" t="str">
        <f t="shared" si="959"/>
        <v>X</v>
      </c>
      <c r="AX698" s="66" t="str">
        <f t="shared" si="960"/>
        <v>X</v>
      </c>
      <c r="AY698" s="66" t="str">
        <f t="shared" si="961"/>
        <v>X</v>
      </c>
      <c r="AZ698" s="66" t="str">
        <f t="shared" si="962"/>
        <v>X</v>
      </c>
      <c r="BA698" s="27" t="str">
        <f t="shared" si="963"/>
        <v>X</v>
      </c>
      <c r="BB698" s="27">
        <f t="shared" si="964"/>
        <v>0</v>
      </c>
      <c r="BC698" s="457" t="str">
        <f t="shared" ref="BC698:BC699" si="1094">VLOOKUP(N698,삼그룹,6,FALSE)</f>
        <v>1G</v>
      </c>
      <c r="BD698" s="457" t="str">
        <f t="shared" ref="BD698:BD699" si="1095">VLOOKUP(O698,삼그룹,6,FALSE)</f>
        <v>2G</v>
      </c>
      <c r="BE698" s="457" t="str">
        <f t="shared" ref="BE698:BE699" si="1096">VLOOKUP(P698,삼그룹,6,FALSE)</f>
        <v>2G</v>
      </c>
      <c r="BF698" s="457" t="str">
        <f t="shared" ref="BF698:BF699" si="1097">VLOOKUP(Q698,삼그룹,6,FALSE)</f>
        <v>3G</v>
      </c>
      <c r="BG698" s="457" t="str">
        <f t="shared" ref="BG698:BG699" si="1098">VLOOKUP(R698,삼그룹,6,FALSE)</f>
        <v>3G</v>
      </c>
      <c r="BH698" s="457" t="str">
        <f t="shared" ref="BH698:BH699" si="1099">VLOOKUP(S698,삼그룹,6,FALSE)</f>
        <v>3G</v>
      </c>
      <c r="BI698" s="457">
        <f t="shared" si="568"/>
        <v>1</v>
      </c>
      <c r="BJ698" s="457">
        <f t="shared" si="569"/>
        <v>2</v>
      </c>
      <c r="BK698" s="457">
        <f t="shared" si="570"/>
        <v>3</v>
      </c>
      <c r="BL698" s="457" t="str">
        <f t="shared" ref="BL698:BL699" si="1100">BI698&amp;BJ698&amp;BK698</f>
        <v>123</v>
      </c>
      <c r="BS698"/>
    </row>
    <row r="699" spans="2:71" ht="16.5">
      <c r="B699" s="360">
        <v>696</v>
      </c>
      <c r="C699" s="363" t="s">
        <v>1062</v>
      </c>
      <c r="N699" s="28">
        <v>1</v>
      </c>
      <c r="O699" s="28">
        <v>7</v>
      </c>
      <c r="P699" s="28">
        <v>16</v>
      </c>
      <c r="Q699" s="28">
        <v>18</v>
      </c>
      <c r="R699" s="28">
        <v>34</v>
      </c>
      <c r="S699" s="28">
        <v>38</v>
      </c>
      <c r="T699" s="28">
        <v>21</v>
      </c>
      <c r="U699" s="28">
        <f t="shared" si="932"/>
        <v>114</v>
      </c>
      <c r="W699" s="27" t="str">
        <f t="shared" si="933"/>
        <v>홀수</v>
      </c>
      <c r="X699" s="27" t="str">
        <f t="shared" si="934"/>
        <v>홀수</v>
      </c>
      <c r="Y699" s="27" t="str">
        <f t="shared" si="935"/>
        <v>짝수</v>
      </c>
      <c r="Z699" s="27" t="str">
        <f t="shared" si="936"/>
        <v>짝수</v>
      </c>
      <c r="AA699" s="28" t="str">
        <f t="shared" si="937"/>
        <v>짝수</v>
      </c>
      <c r="AB699" s="28" t="str">
        <f t="shared" si="938"/>
        <v>짝수</v>
      </c>
      <c r="AC699" s="27" t="str">
        <f t="shared" si="939"/>
        <v>2 : 4</v>
      </c>
      <c r="AD699" s="32">
        <f t="shared" si="940"/>
        <v>2</v>
      </c>
      <c r="AE699" s="32">
        <f t="shared" si="941"/>
        <v>4</v>
      </c>
      <c r="AF699" s="66" t="str">
        <f t="shared" si="942"/>
        <v>저수</v>
      </c>
      <c r="AG699" s="66" t="str">
        <f t="shared" si="943"/>
        <v>저수</v>
      </c>
      <c r="AH699" s="66" t="str">
        <f t="shared" si="944"/>
        <v>저수</v>
      </c>
      <c r="AI699" s="66" t="str">
        <f t="shared" si="945"/>
        <v>저수</v>
      </c>
      <c r="AJ699" s="66" t="str">
        <f t="shared" si="946"/>
        <v>고수</v>
      </c>
      <c r="AK699" s="66" t="str">
        <f t="shared" si="947"/>
        <v>고수</v>
      </c>
      <c r="AL699" s="66" t="str">
        <f t="shared" si="948"/>
        <v>4 : 2</v>
      </c>
      <c r="AM699" s="27">
        <f t="shared" si="949"/>
        <v>4</v>
      </c>
      <c r="AN699" s="27">
        <f t="shared" si="950"/>
        <v>2</v>
      </c>
      <c r="AO699" s="27">
        <f t="shared" si="951"/>
        <v>34</v>
      </c>
      <c r="AP699" s="66" t="str">
        <f t="shared" si="952"/>
        <v>X</v>
      </c>
      <c r="AQ699" s="66" t="str">
        <f t="shared" si="953"/>
        <v>O</v>
      </c>
      <c r="AR699" s="66" t="str">
        <f t="shared" si="954"/>
        <v>X</v>
      </c>
      <c r="AS699" s="66" t="str">
        <f t="shared" si="955"/>
        <v>X</v>
      </c>
      <c r="AT699" s="66" t="str">
        <f t="shared" si="956"/>
        <v>X</v>
      </c>
      <c r="AU699" s="66" t="str">
        <f t="shared" si="957"/>
        <v>X</v>
      </c>
      <c r="AV699" s="66" t="str">
        <f t="shared" si="958"/>
        <v>X</v>
      </c>
      <c r="AW699" s="66" t="str">
        <f t="shared" si="959"/>
        <v>X</v>
      </c>
      <c r="AX699" s="66" t="str">
        <f t="shared" si="960"/>
        <v>X</v>
      </c>
      <c r="AY699" s="66" t="str">
        <f t="shared" si="961"/>
        <v>X</v>
      </c>
      <c r="AZ699" s="66" t="str">
        <f t="shared" si="962"/>
        <v>X</v>
      </c>
      <c r="BA699" s="27" t="str">
        <f t="shared" si="963"/>
        <v>X</v>
      </c>
      <c r="BB699" s="27">
        <f t="shared" si="964"/>
        <v>1</v>
      </c>
      <c r="BC699" s="457" t="str">
        <f t="shared" si="1094"/>
        <v>1G</v>
      </c>
      <c r="BD699" s="457" t="str">
        <f t="shared" si="1095"/>
        <v>1G</v>
      </c>
      <c r="BE699" s="457" t="str">
        <f t="shared" si="1096"/>
        <v>2G</v>
      </c>
      <c r="BF699" s="457" t="str">
        <f t="shared" si="1097"/>
        <v>2G</v>
      </c>
      <c r="BG699" s="457" t="str">
        <f t="shared" si="1098"/>
        <v>3G</v>
      </c>
      <c r="BH699" s="457" t="str">
        <f t="shared" si="1099"/>
        <v>3G</v>
      </c>
      <c r="BI699" s="457">
        <f t="shared" ref="BI699:BI725" si="1101">COUNTIF($BC699:$BH699,"1G")</f>
        <v>2</v>
      </c>
      <c r="BJ699" s="457">
        <f t="shared" ref="BJ699:BJ725" si="1102">COUNTIF($BC699:$BH699,"2G")</f>
        <v>2</v>
      </c>
      <c r="BK699" s="457">
        <f t="shared" ref="BK699:BK725" si="1103">COUNTIF($BC699:$BH699,"3G")</f>
        <v>2</v>
      </c>
      <c r="BL699" s="457" t="str">
        <f t="shared" si="1100"/>
        <v>222</v>
      </c>
      <c r="BS699"/>
    </row>
    <row r="700" spans="2:71" ht="16.5">
      <c r="B700" s="360">
        <v>697</v>
      </c>
      <c r="C700" s="363" t="s">
        <v>1063</v>
      </c>
      <c r="N700" s="28">
        <v>2</v>
      </c>
      <c r="O700" s="28">
        <v>5</v>
      </c>
      <c r="P700" s="28">
        <v>8</v>
      </c>
      <c r="Q700" s="28">
        <v>11</v>
      </c>
      <c r="R700" s="28">
        <v>33</v>
      </c>
      <c r="S700" s="28">
        <v>39</v>
      </c>
      <c r="T700" s="28">
        <v>31</v>
      </c>
      <c r="U700" s="28">
        <f t="shared" si="932"/>
        <v>98</v>
      </c>
      <c r="W700" s="27" t="str">
        <f t="shared" si="933"/>
        <v>짝수</v>
      </c>
      <c r="X700" s="27" t="str">
        <f t="shared" si="934"/>
        <v>홀수</v>
      </c>
      <c r="Y700" s="27" t="str">
        <f t="shared" si="935"/>
        <v>짝수</v>
      </c>
      <c r="Z700" s="27" t="str">
        <f t="shared" si="936"/>
        <v>홀수</v>
      </c>
      <c r="AA700" s="28" t="str">
        <f t="shared" si="937"/>
        <v>홀수</v>
      </c>
      <c r="AB700" s="28" t="str">
        <f t="shared" si="938"/>
        <v>홀수</v>
      </c>
      <c r="AC700" s="27" t="str">
        <f t="shared" si="939"/>
        <v>4 : 2</v>
      </c>
      <c r="AD700" s="32">
        <f t="shared" si="940"/>
        <v>4</v>
      </c>
      <c r="AE700" s="32">
        <f t="shared" si="941"/>
        <v>2</v>
      </c>
      <c r="AF700" s="66" t="str">
        <f t="shared" si="942"/>
        <v>저수</v>
      </c>
      <c r="AG700" s="66" t="str">
        <f t="shared" si="943"/>
        <v>저수</v>
      </c>
      <c r="AH700" s="66" t="str">
        <f t="shared" si="944"/>
        <v>저수</v>
      </c>
      <c r="AI700" s="66" t="str">
        <f t="shared" si="945"/>
        <v>저수</v>
      </c>
      <c r="AJ700" s="66" t="str">
        <f t="shared" si="946"/>
        <v>고수</v>
      </c>
      <c r="AK700" s="66" t="str">
        <f t="shared" si="947"/>
        <v>고수</v>
      </c>
      <c r="AL700" s="66" t="str">
        <f t="shared" si="948"/>
        <v>4 : 2</v>
      </c>
      <c r="AM700" s="27">
        <f t="shared" si="949"/>
        <v>4</v>
      </c>
      <c r="AN700" s="27">
        <f t="shared" si="950"/>
        <v>2</v>
      </c>
      <c r="AO700" s="27">
        <f t="shared" si="951"/>
        <v>28</v>
      </c>
      <c r="AP700" s="66" t="str">
        <f t="shared" si="952"/>
        <v>O</v>
      </c>
      <c r="AQ700" s="66" t="str">
        <f t="shared" si="953"/>
        <v>O</v>
      </c>
      <c r="AR700" s="66" t="str">
        <f t="shared" si="954"/>
        <v>X</v>
      </c>
      <c r="AS700" s="66" t="str">
        <f t="shared" si="955"/>
        <v>O</v>
      </c>
      <c r="AT700" s="66" t="str">
        <f t="shared" si="956"/>
        <v>X</v>
      </c>
      <c r="AU700" s="66" t="str">
        <f t="shared" si="957"/>
        <v>X</v>
      </c>
      <c r="AV700" s="66" t="str">
        <f t="shared" si="958"/>
        <v>X</v>
      </c>
      <c r="AW700" s="66" t="str">
        <f t="shared" si="959"/>
        <v>X</v>
      </c>
      <c r="AX700" s="66" t="str">
        <f t="shared" si="960"/>
        <v>X</v>
      </c>
      <c r="AY700" s="66" t="str">
        <f t="shared" si="961"/>
        <v>X</v>
      </c>
      <c r="AZ700" s="66" t="str">
        <f t="shared" si="962"/>
        <v>X</v>
      </c>
      <c r="BA700" s="27" t="str">
        <f t="shared" si="963"/>
        <v>X</v>
      </c>
      <c r="BB700" s="27">
        <f t="shared" si="964"/>
        <v>3</v>
      </c>
      <c r="BC700" s="458" t="str">
        <f t="shared" ref="BC700:BC701" si="1104">VLOOKUP(N700,삼그룹,6,FALSE)</f>
        <v>1G</v>
      </c>
      <c r="BD700" s="458" t="str">
        <f t="shared" ref="BD700:BD701" si="1105">VLOOKUP(O700,삼그룹,6,FALSE)</f>
        <v>1G</v>
      </c>
      <c r="BE700" s="458" t="str">
        <f t="shared" ref="BE700:BE701" si="1106">VLOOKUP(P700,삼그룹,6,FALSE)</f>
        <v>1G</v>
      </c>
      <c r="BF700" s="458" t="str">
        <f t="shared" ref="BF700:BF701" si="1107">VLOOKUP(Q700,삼그룹,6,FALSE)</f>
        <v>1G</v>
      </c>
      <c r="BG700" s="458" t="str">
        <f t="shared" ref="BG700:BG701" si="1108">VLOOKUP(R700,삼그룹,6,FALSE)</f>
        <v>3G</v>
      </c>
      <c r="BH700" s="458" t="str">
        <f t="shared" ref="BH700:BH701" si="1109">VLOOKUP(S700,삼그룹,6,FALSE)</f>
        <v>3G</v>
      </c>
      <c r="BI700" s="458">
        <f t="shared" si="568"/>
        <v>4</v>
      </c>
      <c r="BJ700" s="458">
        <f t="shared" si="569"/>
        <v>0</v>
      </c>
      <c r="BK700" s="458">
        <f t="shared" si="570"/>
        <v>2</v>
      </c>
      <c r="BL700" s="458" t="str">
        <f t="shared" ref="BL700:BL701" si="1110">BI700&amp;BJ700&amp;BK700</f>
        <v>402</v>
      </c>
      <c r="BS700"/>
    </row>
    <row r="701" spans="2:71" ht="16.5">
      <c r="B701" s="18">
        <v>698</v>
      </c>
      <c r="C701" s="363" t="s">
        <v>1064</v>
      </c>
      <c r="N701" s="28">
        <v>3</v>
      </c>
      <c r="O701" s="28">
        <v>11</v>
      </c>
      <c r="P701" s="28">
        <v>13</v>
      </c>
      <c r="Q701" s="28">
        <v>21</v>
      </c>
      <c r="R701" s="28">
        <v>33</v>
      </c>
      <c r="S701" s="28">
        <v>37</v>
      </c>
      <c r="T701" s="28">
        <v>18</v>
      </c>
      <c r="U701" s="28">
        <f t="shared" si="932"/>
        <v>118</v>
      </c>
      <c r="W701" s="27" t="str">
        <f t="shared" si="933"/>
        <v>홀수</v>
      </c>
      <c r="X701" s="27" t="str">
        <f t="shared" si="934"/>
        <v>홀수</v>
      </c>
      <c r="Y701" s="27" t="str">
        <f t="shared" si="935"/>
        <v>홀수</v>
      </c>
      <c r="Z701" s="27" t="str">
        <f t="shared" si="936"/>
        <v>홀수</v>
      </c>
      <c r="AA701" s="28" t="str">
        <f t="shared" si="937"/>
        <v>홀수</v>
      </c>
      <c r="AB701" s="28" t="str">
        <f t="shared" si="938"/>
        <v>홀수</v>
      </c>
      <c r="AC701" s="27" t="str">
        <f t="shared" si="939"/>
        <v>6 : 0</v>
      </c>
      <c r="AD701" s="32">
        <f t="shared" si="940"/>
        <v>6</v>
      </c>
      <c r="AE701" s="32">
        <f t="shared" si="941"/>
        <v>0</v>
      </c>
      <c r="AF701" s="66" t="str">
        <f t="shared" si="942"/>
        <v>저수</v>
      </c>
      <c r="AG701" s="66" t="str">
        <f t="shared" si="943"/>
        <v>저수</v>
      </c>
      <c r="AH701" s="66" t="str">
        <f t="shared" si="944"/>
        <v>저수</v>
      </c>
      <c r="AI701" s="66" t="str">
        <f t="shared" si="945"/>
        <v>저수</v>
      </c>
      <c r="AJ701" s="66" t="str">
        <f t="shared" si="946"/>
        <v>고수</v>
      </c>
      <c r="AK701" s="66" t="str">
        <f t="shared" si="947"/>
        <v>고수</v>
      </c>
      <c r="AL701" s="66" t="str">
        <f t="shared" si="948"/>
        <v>4 : 2</v>
      </c>
      <c r="AM701" s="27">
        <f t="shared" si="949"/>
        <v>4</v>
      </c>
      <c r="AN701" s="27">
        <f t="shared" si="950"/>
        <v>2</v>
      </c>
      <c r="AO701" s="27">
        <f t="shared" si="951"/>
        <v>18</v>
      </c>
      <c r="AP701" s="66" t="str">
        <f t="shared" si="952"/>
        <v>O</v>
      </c>
      <c r="AQ701" s="66" t="str">
        <f t="shared" si="953"/>
        <v>O</v>
      </c>
      <c r="AR701" s="66" t="str">
        <f t="shared" si="954"/>
        <v>O</v>
      </c>
      <c r="AS701" s="66" t="str">
        <f t="shared" si="955"/>
        <v>X</v>
      </c>
      <c r="AT701" s="66" t="str">
        <f t="shared" si="956"/>
        <v>X</v>
      </c>
      <c r="AU701" s="66" t="str">
        <f t="shared" si="957"/>
        <v>X</v>
      </c>
      <c r="AV701" s="66" t="str">
        <f t="shared" si="958"/>
        <v>X</v>
      </c>
      <c r="AW701" s="66" t="str">
        <f t="shared" si="959"/>
        <v>X</v>
      </c>
      <c r="AX701" s="66" t="str">
        <f t="shared" si="960"/>
        <v>X</v>
      </c>
      <c r="AY701" s="66" t="str">
        <f t="shared" si="961"/>
        <v>X</v>
      </c>
      <c r="AZ701" s="66" t="str">
        <f t="shared" si="962"/>
        <v>X</v>
      </c>
      <c r="BA701" s="27" t="str">
        <f t="shared" si="963"/>
        <v>O</v>
      </c>
      <c r="BB701" s="27">
        <f t="shared" si="964"/>
        <v>4</v>
      </c>
      <c r="BC701" s="459" t="str">
        <f t="shared" si="1104"/>
        <v>1G</v>
      </c>
      <c r="BD701" s="459" t="str">
        <f t="shared" si="1105"/>
        <v>1G</v>
      </c>
      <c r="BE701" s="459" t="str">
        <f t="shared" si="1106"/>
        <v>1G</v>
      </c>
      <c r="BF701" s="459" t="str">
        <f t="shared" si="1107"/>
        <v>2G</v>
      </c>
      <c r="BG701" s="459" t="str">
        <f t="shared" si="1108"/>
        <v>3G</v>
      </c>
      <c r="BH701" s="459" t="str">
        <f t="shared" si="1109"/>
        <v>3G</v>
      </c>
      <c r="BI701" s="459">
        <f t="shared" si="1101"/>
        <v>3</v>
      </c>
      <c r="BJ701" s="459">
        <f t="shared" si="1102"/>
        <v>1</v>
      </c>
      <c r="BK701" s="459">
        <f t="shared" si="1103"/>
        <v>2</v>
      </c>
      <c r="BL701" s="459" t="str">
        <f t="shared" si="1110"/>
        <v>312</v>
      </c>
      <c r="BS701"/>
    </row>
    <row r="702" spans="2:71" ht="16.5">
      <c r="B702" s="360">
        <v>699</v>
      </c>
      <c r="C702" s="363" t="s">
        <v>1065</v>
      </c>
      <c r="N702" s="28">
        <v>4</v>
      </c>
      <c r="O702" s="28">
        <v>5</v>
      </c>
      <c r="P702" s="28">
        <v>8</v>
      </c>
      <c r="Q702" s="28">
        <v>16</v>
      </c>
      <c r="R702" s="28">
        <v>21</v>
      </c>
      <c r="S702" s="28">
        <v>29</v>
      </c>
      <c r="T702" s="28">
        <v>3</v>
      </c>
      <c r="U702" s="28">
        <f t="shared" si="932"/>
        <v>83</v>
      </c>
      <c r="W702" s="27" t="str">
        <f t="shared" si="933"/>
        <v>짝수</v>
      </c>
      <c r="X702" s="27" t="str">
        <f t="shared" si="934"/>
        <v>홀수</v>
      </c>
      <c r="Y702" s="27" t="str">
        <f t="shared" si="935"/>
        <v>짝수</v>
      </c>
      <c r="Z702" s="27" t="str">
        <f t="shared" si="936"/>
        <v>짝수</v>
      </c>
      <c r="AA702" s="28" t="str">
        <f t="shared" si="937"/>
        <v>홀수</v>
      </c>
      <c r="AB702" s="28" t="str">
        <f t="shared" si="938"/>
        <v>홀수</v>
      </c>
      <c r="AC702" s="27" t="str">
        <f t="shared" si="939"/>
        <v>3 : 3</v>
      </c>
      <c r="AD702" s="32">
        <f t="shared" si="940"/>
        <v>3</v>
      </c>
      <c r="AE702" s="32">
        <f t="shared" si="941"/>
        <v>3</v>
      </c>
      <c r="AF702" s="66" t="str">
        <f t="shared" si="942"/>
        <v>저수</v>
      </c>
      <c r="AG702" s="66" t="str">
        <f t="shared" si="943"/>
        <v>저수</v>
      </c>
      <c r="AH702" s="66" t="str">
        <f t="shared" si="944"/>
        <v>저수</v>
      </c>
      <c r="AI702" s="66" t="str">
        <f t="shared" si="945"/>
        <v>저수</v>
      </c>
      <c r="AJ702" s="66" t="str">
        <f t="shared" si="946"/>
        <v>저수</v>
      </c>
      <c r="AK702" s="66" t="str">
        <f t="shared" si="947"/>
        <v>고수</v>
      </c>
      <c r="AL702" s="66" t="str">
        <f t="shared" si="948"/>
        <v>5 : 1</v>
      </c>
      <c r="AM702" s="27">
        <f t="shared" si="949"/>
        <v>5</v>
      </c>
      <c r="AN702" s="27">
        <f t="shared" si="950"/>
        <v>1</v>
      </c>
      <c r="AO702" s="27">
        <f t="shared" si="951"/>
        <v>33</v>
      </c>
      <c r="AP702" s="66" t="str">
        <f t="shared" si="952"/>
        <v>X</v>
      </c>
      <c r="AQ702" s="66" t="str">
        <f t="shared" si="953"/>
        <v>O</v>
      </c>
      <c r="AR702" s="66" t="str">
        <f t="shared" si="954"/>
        <v>X</v>
      </c>
      <c r="AS702" s="66" t="str">
        <f t="shared" si="955"/>
        <v>X</v>
      </c>
      <c r="AT702" s="66" t="str">
        <f t="shared" si="956"/>
        <v>X</v>
      </c>
      <c r="AU702" s="66" t="str">
        <f t="shared" si="957"/>
        <v>X</v>
      </c>
      <c r="AV702" s="66" t="str">
        <f t="shared" si="958"/>
        <v>X</v>
      </c>
      <c r="AW702" s="66" t="str">
        <f t="shared" si="959"/>
        <v>X</v>
      </c>
      <c r="AX702" s="66" t="str">
        <f t="shared" si="960"/>
        <v>X</v>
      </c>
      <c r="AY702" s="66" t="str">
        <f t="shared" si="961"/>
        <v>X</v>
      </c>
      <c r="AZ702" s="66" t="str">
        <f t="shared" si="962"/>
        <v>X</v>
      </c>
      <c r="BA702" s="27" t="str">
        <f t="shared" si="963"/>
        <v>O</v>
      </c>
      <c r="BB702" s="27">
        <f t="shared" si="964"/>
        <v>2</v>
      </c>
      <c r="BC702" s="460" t="str">
        <f t="shared" ref="BC702:BC703" si="1111">VLOOKUP(N702,삼그룹,6,FALSE)</f>
        <v>1G</v>
      </c>
      <c r="BD702" s="460" t="str">
        <f t="shared" ref="BD702:BD703" si="1112">VLOOKUP(O702,삼그룹,6,FALSE)</f>
        <v>1G</v>
      </c>
      <c r="BE702" s="460" t="str">
        <f t="shared" ref="BE702:BE703" si="1113">VLOOKUP(P702,삼그룹,6,FALSE)</f>
        <v>1G</v>
      </c>
      <c r="BF702" s="460" t="str">
        <f t="shared" ref="BF702:BF703" si="1114">VLOOKUP(Q702,삼그룹,6,FALSE)</f>
        <v>2G</v>
      </c>
      <c r="BG702" s="460" t="str">
        <f t="shared" ref="BG702:BG703" si="1115">VLOOKUP(R702,삼그룹,6,FALSE)</f>
        <v>2G</v>
      </c>
      <c r="BH702" s="460" t="str">
        <f t="shared" ref="BH702:BH703" si="1116">VLOOKUP(S702,삼그룹,6,FALSE)</f>
        <v>2G</v>
      </c>
      <c r="BI702" s="460">
        <f t="shared" si="568"/>
        <v>3</v>
      </c>
      <c r="BJ702" s="460">
        <f t="shared" si="569"/>
        <v>3</v>
      </c>
      <c r="BK702" s="460">
        <f t="shared" si="570"/>
        <v>0</v>
      </c>
      <c r="BL702" s="460" t="str">
        <f t="shared" ref="BL702:BL703" si="1117">BI702&amp;BJ702&amp;BK702</f>
        <v>330</v>
      </c>
      <c r="BS702"/>
    </row>
    <row r="703" spans="2:71" ht="16.5">
      <c r="B703" s="360">
        <v>700</v>
      </c>
      <c r="C703" s="363" t="s">
        <v>1066</v>
      </c>
      <c r="N703" s="28">
        <v>11</v>
      </c>
      <c r="O703" s="28">
        <v>23</v>
      </c>
      <c r="P703" s="28">
        <v>28</v>
      </c>
      <c r="Q703" s="28">
        <v>29</v>
      </c>
      <c r="R703" s="28">
        <v>30</v>
      </c>
      <c r="S703" s="28">
        <v>44</v>
      </c>
      <c r="T703" s="28">
        <v>13</v>
      </c>
      <c r="U703" s="28">
        <f t="shared" si="932"/>
        <v>165</v>
      </c>
      <c r="W703" s="27" t="str">
        <f t="shared" si="933"/>
        <v>홀수</v>
      </c>
      <c r="X703" s="27" t="str">
        <f t="shared" si="934"/>
        <v>홀수</v>
      </c>
      <c r="Y703" s="27" t="str">
        <f t="shared" si="935"/>
        <v>짝수</v>
      </c>
      <c r="Z703" s="27" t="str">
        <f t="shared" si="936"/>
        <v>홀수</v>
      </c>
      <c r="AA703" s="28" t="str">
        <f t="shared" si="937"/>
        <v>짝수</v>
      </c>
      <c r="AB703" s="28" t="str">
        <f t="shared" si="938"/>
        <v>짝수</v>
      </c>
      <c r="AC703" s="27" t="str">
        <f t="shared" si="939"/>
        <v>3 : 3</v>
      </c>
      <c r="AD703" s="32">
        <f t="shared" si="940"/>
        <v>3</v>
      </c>
      <c r="AE703" s="32">
        <f t="shared" si="941"/>
        <v>3</v>
      </c>
      <c r="AF703" s="66" t="str">
        <f t="shared" si="942"/>
        <v>저수</v>
      </c>
      <c r="AG703" s="66" t="str">
        <f t="shared" si="943"/>
        <v>고수</v>
      </c>
      <c r="AH703" s="66" t="str">
        <f t="shared" si="944"/>
        <v>고수</v>
      </c>
      <c r="AI703" s="66" t="str">
        <f t="shared" si="945"/>
        <v>고수</v>
      </c>
      <c r="AJ703" s="66" t="str">
        <f t="shared" si="946"/>
        <v>고수</v>
      </c>
      <c r="AK703" s="66" t="str">
        <f t="shared" si="947"/>
        <v>고수</v>
      </c>
      <c r="AL703" s="66" t="str">
        <f t="shared" si="948"/>
        <v>1 : 5</v>
      </c>
      <c r="AM703" s="27">
        <f t="shared" si="949"/>
        <v>1</v>
      </c>
      <c r="AN703" s="27">
        <f t="shared" si="950"/>
        <v>5</v>
      </c>
      <c r="AO703" s="27">
        <f t="shared" si="951"/>
        <v>25</v>
      </c>
      <c r="AP703" s="66" t="str">
        <f t="shared" si="952"/>
        <v>O</v>
      </c>
      <c r="AQ703" s="66" t="str">
        <f t="shared" si="953"/>
        <v>X</v>
      </c>
      <c r="AR703" s="66" t="str">
        <f t="shared" si="954"/>
        <v>X</v>
      </c>
      <c r="AS703" s="66" t="str">
        <f t="shared" si="955"/>
        <v>X</v>
      </c>
      <c r="AT703" s="66" t="str">
        <f t="shared" si="956"/>
        <v>X</v>
      </c>
      <c r="AU703" s="66" t="str">
        <f t="shared" si="957"/>
        <v>X</v>
      </c>
      <c r="AV703" s="66" t="str">
        <f t="shared" si="958"/>
        <v>X</v>
      </c>
      <c r="AW703" s="66" t="str">
        <f t="shared" si="959"/>
        <v>O</v>
      </c>
      <c r="AX703" s="66" t="str">
        <f t="shared" si="960"/>
        <v>X</v>
      </c>
      <c r="AY703" s="66" t="str">
        <f t="shared" si="961"/>
        <v>O</v>
      </c>
      <c r="AZ703" s="66" t="str">
        <f t="shared" si="962"/>
        <v>X</v>
      </c>
      <c r="BA703" s="27" t="str">
        <f t="shared" si="963"/>
        <v>X</v>
      </c>
      <c r="BB703" s="27">
        <f t="shared" si="964"/>
        <v>3</v>
      </c>
      <c r="BC703" s="461" t="str">
        <f t="shared" si="1111"/>
        <v>1G</v>
      </c>
      <c r="BD703" s="461" t="str">
        <f t="shared" si="1112"/>
        <v>2G</v>
      </c>
      <c r="BE703" s="461" t="str">
        <f t="shared" si="1113"/>
        <v>2G</v>
      </c>
      <c r="BF703" s="461" t="str">
        <f t="shared" si="1114"/>
        <v>2G</v>
      </c>
      <c r="BG703" s="461" t="str">
        <f t="shared" si="1115"/>
        <v>2G</v>
      </c>
      <c r="BH703" s="461" t="str">
        <f t="shared" si="1116"/>
        <v>3G</v>
      </c>
      <c r="BI703" s="461">
        <f t="shared" si="1101"/>
        <v>1</v>
      </c>
      <c r="BJ703" s="461">
        <f t="shared" si="1102"/>
        <v>4</v>
      </c>
      <c r="BK703" s="461">
        <f t="shared" si="1103"/>
        <v>1</v>
      </c>
      <c r="BL703" s="461" t="str">
        <f t="shared" si="1117"/>
        <v>141</v>
      </c>
      <c r="BS703"/>
    </row>
    <row r="704" spans="2:71" ht="16.5">
      <c r="B704" s="360">
        <v>701</v>
      </c>
      <c r="C704" s="363" t="s">
        <v>1067</v>
      </c>
      <c r="N704" s="28">
        <v>3</v>
      </c>
      <c r="O704" s="28">
        <v>10</v>
      </c>
      <c r="P704" s="28">
        <v>14</v>
      </c>
      <c r="Q704" s="28">
        <v>16</v>
      </c>
      <c r="R704" s="28">
        <v>36</v>
      </c>
      <c r="S704" s="28">
        <v>38</v>
      </c>
      <c r="T704" s="28">
        <v>35</v>
      </c>
      <c r="U704" s="28">
        <f t="shared" si="932"/>
        <v>117</v>
      </c>
      <c r="W704" s="27" t="str">
        <f t="shared" si="933"/>
        <v>홀수</v>
      </c>
      <c r="X704" s="27" t="str">
        <f t="shared" si="934"/>
        <v>짝수</v>
      </c>
      <c r="Y704" s="27" t="str">
        <f t="shared" si="935"/>
        <v>짝수</v>
      </c>
      <c r="Z704" s="27" t="str">
        <f t="shared" si="936"/>
        <v>짝수</v>
      </c>
      <c r="AA704" s="28" t="str">
        <f t="shared" si="937"/>
        <v>짝수</v>
      </c>
      <c r="AB704" s="28" t="str">
        <f t="shared" si="938"/>
        <v>짝수</v>
      </c>
      <c r="AC704" s="27" t="str">
        <f t="shared" si="939"/>
        <v>1 : 5</v>
      </c>
      <c r="AD704" s="32">
        <f t="shared" si="940"/>
        <v>1</v>
      </c>
      <c r="AE704" s="32">
        <f t="shared" si="941"/>
        <v>5</v>
      </c>
      <c r="AF704" s="66" t="str">
        <f t="shared" si="942"/>
        <v>저수</v>
      </c>
      <c r="AG704" s="66" t="str">
        <f t="shared" si="943"/>
        <v>저수</v>
      </c>
      <c r="AH704" s="66" t="str">
        <f t="shared" si="944"/>
        <v>저수</v>
      </c>
      <c r="AI704" s="66" t="str">
        <f t="shared" si="945"/>
        <v>저수</v>
      </c>
      <c r="AJ704" s="66" t="str">
        <f t="shared" si="946"/>
        <v>고수</v>
      </c>
      <c r="AK704" s="66" t="str">
        <f t="shared" si="947"/>
        <v>고수</v>
      </c>
      <c r="AL704" s="66" t="str">
        <f t="shared" si="948"/>
        <v>4 : 2</v>
      </c>
      <c r="AM704" s="27">
        <f t="shared" si="949"/>
        <v>4</v>
      </c>
      <c r="AN704" s="27">
        <f t="shared" si="950"/>
        <v>2</v>
      </c>
      <c r="AO704" s="27">
        <f t="shared" si="951"/>
        <v>27</v>
      </c>
      <c r="AP704" s="66" t="str">
        <f t="shared" si="952"/>
        <v>O</v>
      </c>
      <c r="AQ704" s="66" t="str">
        <f t="shared" si="953"/>
        <v>X</v>
      </c>
      <c r="AR704" s="66" t="str">
        <f t="shared" si="954"/>
        <v>X</v>
      </c>
      <c r="AS704" s="66" t="str">
        <f t="shared" si="955"/>
        <v>X</v>
      </c>
      <c r="AT704" s="66" t="str">
        <f t="shared" si="956"/>
        <v>X</v>
      </c>
      <c r="AU704" s="66" t="str">
        <f t="shared" si="957"/>
        <v>X</v>
      </c>
      <c r="AV704" s="66" t="str">
        <f t="shared" si="958"/>
        <v>X</v>
      </c>
      <c r="AW704" s="66" t="str">
        <f t="shared" si="959"/>
        <v>X</v>
      </c>
      <c r="AX704" s="66" t="str">
        <f t="shared" si="960"/>
        <v>X</v>
      </c>
      <c r="AY704" s="66" t="str">
        <f t="shared" si="961"/>
        <v>X</v>
      </c>
      <c r="AZ704" s="66" t="str">
        <f t="shared" si="962"/>
        <v>X</v>
      </c>
      <c r="BA704" s="27" t="str">
        <f t="shared" si="963"/>
        <v>X</v>
      </c>
      <c r="BB704" s="27">
        <f t="shared" si="964"/>
        <v>1</v>
      </c>
      <c r="BC704" s="462" t="str">
        <f t="shared" ref="BC704:BC705" si="1118">VLOOKUP(N704,삼그룹,6,FALSE)</f>
        <v>1G</v>
      </c>
      <c r="BD704" s="462" t="str">
        <f t="shared" ref="BD704:BD705" si="1119">VLOOKUP(O704,삼그룹,6,FALSE)</f>
        <v>1G</v>
      </c>
      <c r="BE704" s="462" t="str">
        <f t="shared" ref="BE704:BE705" si="1120">VLOOKUP(P704,삼그룹,6,FALSE)</f>
        <v>1G</v>
      </c>
      <c r="BF704" s="462" t="str">
        <f t="shared" ref="BF704:BF705" si="1121">VLOOKUP(Q704,삼그룹,6,FALSE)</f>
        <v>2G</v>
      </c>
      <c r="BG704" s="462" t="str">
        <f t="shared" ref="BG704:BG705" si="1122">VLOOKUP(R704,삼그룹,6,FALSE)</f>
        <v>3G</v>
      </c>
      <c r="BH704" s="462" t="str">
        <f t="shared" ref="BH704:BH705" si="1123">VLOOKUP(S704,삼그룹,6,FALSE)</f>
        <v>3G</v>
      </c>
      <c r="BI704" s="462">
        <f t="shared" si="1101"/>
        <v>3</v>
      </c>
      <c r="BJ704" s="462">
        <f t="shared" si="1102"/>
        <v>1</v>
      </c>
      <c r="BK704" s="462">
        <f t="shared" si="1103"/>
        <v>2</v>
      </c>
      <c r="BL704" s="462" t="str">
        <f t="shared" ref="BL704:BL705" si="1124">BI704&amp;BJ704&amp;BK704</f>
        <v>312</v>
      </c>
      <c r="BS704"/>
    </row>
    <row r="705" spans="2:71" ht="16.5">
      <c r="B705" s="360">
        <v>702</v>
      </c>
      <c r="C705" s="363" t="s">
        <v>1068</v>
      </c>
      <c r="N705" s="28">
        <v>3</v>
      </c>
      <c r="O705" s="28">
        <v>13</v>
      </c>
      <c r="P705" s="28">
        <v>16</v>
      </c>
      <c r="Q705" s="28">
        <v>24</v>
      </c>
      <c r="R705" s="28">
        <v>26</v>
      </c>
      <c r="S705" s="28">
        <v>29</v>
      </c>
      <c r="T705" s="28">
        <v>9</v>
      </c>
      <c r="U705" s="28">
        <f t="shared" si="932"/>
        <v>111</v>
      </c>
      <c r="W705" s="27" t="str">
        <f t="shared" si="933"/>
        <v>홀수</v>
      </c>
      <c r="X705" s="27" t="str">
        <f t="shared" si="934"/>
        <v>홀수</v>
      </c>
      <c r="Y705" s="27" t="str">
        <f t="shared" si="935"/>
        <v>짝수</v>
      </c>
      <c r="Z705" s="27" t="str">
        <f t="shared" si="936"/>
        <v>짝수</v>
      </c>
      <c r="AA705" s="28" t="str">
        <f t="shared" si="937"/>
        <v>짝수</v>
      </c>
      <c r="AB705" s="28" t="str">
        <f t="shared" si="938"/>
        <v>홀수</v>
      </c>
      <c r="AC705" s="27" t="str">
        <f t="shared" si="939"/>
        <v>3 : 3</v>
      </c>
      <c r="AD705" s="32">
        <f t="shared" si="940"/>
        <v>3</v>
      </c>
      <c r="AE705" s="32">
        <f t="shared" si="941"/>
        <v>3</v>
      </c>
      <c r="AF705" s="66" t="str">
        <f t="shared" si="942"/>
        <v>저수</v>
      </c>
      <c r="AG705" s="66" t="str">
        <f t="shared" si="943"/>
        <v>저수</v>
      </c>
      <c r="AH705" s="66" t="str">
        <f t="shared" si="944"/>
        <v>저수</v>
      </c>
      <c r="AI705" s="66" t="str">
        <f t="shared" si="945"/>
        <v>고수</v>
      </c>
      <c r="AJ705" s="66" t="str">
        <f t="shared" si="946"/>
        <v>고수</v>
      </c>
      <c r="AK705" s="66" t="str">
        <f t="shared" si="947"/>
        <v>고수</v>
      </c>
      <c r="AL705" s="66" t="str">
        <f t="shared" si="948"/>
        <v>3 : 3</v>
      </c>
      <c r="AM705" s="27">
        <f t="shared" si="949"/>
        <v>3</v>
      </c>
      <c r="AN705" s="27">
        <f t="shared" si="950"/>
        <v>3</v>
      </c>
      <c r="AO705" s="27">
        <f t="shared" si="951"/>
        <v>31</v>
      </c>
      <c r="AP705" s="66" t="str">
        <f t="shared" si="952"/>
        <v>O</v>
      </c>
      <c r="AQ705" s="66" t="str">
        <f t="shared" si="953"/>
        <v>O</v>
      </c>
      <c r="AR705" s="66" t="str">
        <f t="shared" si="954"/>
        <v>X</v>
      </c>
      <c r="AS705" s="66" t="str">
        <f t="shared" si="955"/>
        <v>X</v>
      </c>
      <c r="AT705" s="66" t="str">
        <f t="shared" si="956"/>
        <v>X</v>
      </c>
      <c r="AU705" s="66" t="str">
        <f t="shared" si="957"/>
        <v>X</v>
      </c>
      <c r="AV705" s="66" t="str">
        <f t="shared" si="958"/>
        <v>X</v>
      </c>
      <c r="AW705" s="66" t="str">
        <f t="shared" si="959"/>
        <v>X</v>
      </c>
      <c r="AX705" s="66" t="str">
        <f t="shared" si="960"/>
        <v>X</v>
      </c>
      <c r="AY705" s="66" t="str">
        <f t="shared" si="961"/>
        <v>X</v>
      </c>
      <c r="AZ705" s="66" t="str">
        <f t="shared" si="962"/>
        <v>X</v>
      </c>
      <c r="BA705" s="27" t="str">
        <f t="shared" si="963"/>
        <v>O</v>
      </c>
      <c r="BB705" s="27">
        <f t="shared" si="964"/>
        <v>3</v>
      </c>
      <c r="BC705" s="463" t="str">
        <f t="shared" si="1118"/>
        <v>1G</v>
      </c>
      <c r="BD705" s="463" t="str">
        <f t="shared" si="1119"/>
        <v>1G</v>
      </c>
      <c r="BE705" s="463" t="str">
        <f t="shared" si="1120"/>
        <v>2G</v>
      </c>
      <c r="BF705" s="463" t="str">
        <f t="shared" si="1121"/>
        <v>2G</v>
      </c>
      <c r="BG705" s="463" t="str">
        <f t="shared" si="1122"/>
        <v>2G</v>
      </c>
      <c r="BH705" s="463" t="str">
        <f t="shared" si="1123"/>
        <v>2G</v>
      </c>
      <c r="BI705" s="463">
        <f t="shared" si="1101"/>
        <v>2</v>
      </c>
      <c r="BJ705" s="463">
        <f t="shared" si="1102"/>
        <v>4</v>
      </c>
      <c r="BK705" s="463">
        <f t="shared" si="1103"/>
        <v>0</v>
      </c>
      <c r="BL705" s="463" t="str">
        <f t="shared" si="1124"/>
        <v>240</v>
      </c>
      <c r="BS705"/>
    </row>
    <row r="706" spans="2:71">
      <c r="B706" s="360">
        <v>703</v>
      </c>
      <c r="C706" s="363" t="s">
        <v>1069</v>
      </c>
      <c r="N706" s="28">
        <v>10</v>
      </c>
      <c r="O706" s="28">
        <v>28</v>
      </c>
      <c r="P706" s="28">
        <v>31</v>
      </c>
      <c r="Q706" s="28">
        <v>33</v>
      </c>
      <c r="R706" s="28">
        <v>41</v>
      </c>
      <c r="S706" s="28">
        <v>44</v>
      </c>
      <c r="T706" s="28">
        <v>21</v>
      </c>
      <c r="U706" s="28">
        <f t="shared" si="932"/>
        <v>187</v>
      </c>
      <c r="W706" s="27" t="str">
        <f t="shared" si="933"/>
        <v>짝수</v>
      </c>
      <c r="X706" s="27" t="str">
        <f t="shared" si="934"/>
        <v>짝수</v>
      </c>
      <c r="Y706" s="27" t="str">
        <f t="shared" si="935"/>
        <v>홀수</v>
      </c>
      <c r="Z706" s="27" t="str">
        <f t="shared" si="936"/>
        <v>홀수</v>
      </c>
      <c r="AA706" s="28" t="str">
        <f t="shared" si="937"/>
        <v>홀수</v>
      </c>
      <c r="AB706" s="28" t="str">
        <f t="shared" si="938"/>
        <v>짝수</v>
      </c>
      <c r="AC706" s="27" t="str">
        <f t="shared" si="939"/>
        <v>3 : 3</v>
      </c>
      <c r="AD706" s="32">
        <f t="shared" si="940"/>
        <v>3</v>
      </c>
      <c r="AE706" s="32">
        <f t="shared" si="941"/>
        <v>3</v>
      </c>
      <c r="AF706" s="66" t="str">
        <f t="shared" si="942"/>
        <v>저수</v>
      </c>
      <c r="AG706" s="66" t="str">
        <f t="shared" si="943"/>
        <v>고수</v>
      </c>
      <c r="AH706" s="66" t="str">
        <f t="shared" si="944"/>
        <v>고수</v>
      </c>
      <c r="AI706" s="66" t="str">
        <f t="shared" si="945"/>
        <v>고수</v>
      </c>
      <c r="AJ706" s="66" t="str">
        <f t="shared" si="946"/>
        <v>고수</v>
      </c>
      <c r="AK706" s="66" t="str">
        <f t="shared" si="947"/>
        <v>고수</v>
      </c>
      <c r="AL706" s="66" t="str">
        <f t="shared" si="948"/>
        <v>1 : 5</v>
      </c>
      <c r="AM706" s="27">
        <f t="shared" si="949"/>
        <v>1</v>
      </c>
      <c r="AN706" s="27">
        <f t="shared" si="950"/>
        <v>5</v>
      </c>
      <c r="AO706" s="27">
        <f t="shared" si="951"/>
        <v>17</v>
      </c>
      <c r="AP706" s="66" t="str">
        <f t="shared" si="952"/>
        <v>X</v>
      </c>
      <c r="AQ706" s="66" t="str">
        <f t="shared" si="953"/>
        <v>X</v>
      </c>
      <c r="AR706" s="66" t="str">
        <f t="shared" si="954"/>
        <v>X</v>
      </c>
      <c r="AS706" s="66" t="str">
        <f t="shared" si="955"/>
        <v>X</v>
      </c>
      <c r="AT706" s="66" t="str">
        <f t="shared" si="956"/>
        <v>X</v>
      </c>
      <c r="AU706" s="66" t="str">
        <f t="shared" si="957"/>
        <v>X</v>
      </c>
      <c r="AV706" s="66" t="str">
        <f t="shared" si="958"/>
        <v>X</v>
      </c>
      <c r="AW706" s="66" t="str">
        <f t="shared" si="959"/>
        <v>X</v>
      </c>
      <c r="AX706" s="66" t="str">
        <f t="shared" si="960"/>
        <v>O</v>
      </c>
      <c r="AY706" s="66" t="str">
        <f t="shared" si="961"/>
        <v>X</v>
      </c>
      <c r="AZ706" s="66" t="str">
        <f t="shared" si="962"/>
        <v>O</v>
      </c>
      <c r="BA706" s="27" t="str">
        <f t="shared" si="963"/>
        <v>X</v>
      </c>
      <c r="BB706" s="27">
        <f t="shared" si="964"/>
        <v>2</v>
      </c>
      <c r="BC706" s="464" t="str">
        <f t="shared" ref="BC706:BC707" si="1125">VLOOKUP(N706,삼그룹,6,FALSE)</f>
        <v>1G</v>
      </c>
      <c r="BD706" s="464" t="str">
        <f t="shared" ref="BD706:BD707" si="1126">VLOOKUP(O706,삼그룹,6,FALSE)</f>
        <v>2G</v>
      </c>
      <c r="BE706" s="464" t="str">
        <f t="shared" ref="BE706:BE707" si="1127">VLOOKUP(P706,삼그룹,6,FALSE)</f>
        <v>3G</v>
      </c>
      <c r="BF706" s="464" t="str">
        <f t="shared" ref="BF706:BF707" si="1128">VLOOKUP(Q706,삼그룹,6,FALSE)</f>
        <v>3G</v>
      </c>
      <c r="BG706" s="464" t="str">
        <f t="shared" ref="BG706:BG707" si="1129">VLOOKUP(R706,삼그룹,6,FALSE)</f>
        <v>3G</v>
      </c>
      <c r="BH706" s="464" t="str">
        <f t="shared" ref="BH706:BH707" si="1130">VLOOKUP(S706,삼그룹,6,FALSE)</f>
        <v>3G</v>
      </c>
      <c r="BI706" s="464">
        <f t="shared" si="1101"/>
        <v>1</v>
      </c>
      <c r="BJ706" s="464">
        <f t="shared" si="1102"/>
        <v>1</v>
      </c>
      <c r="BK706" s="464">
        <f t="shared" si="1103"/>
        <v>4</v>
      </c>
      <c r="BL706" s="464" t="str">
        <f t="shared" ref="BL706:BL707" si="1131">BI706&amp;BJ706&amp;BK706</f>
        <v>114</v>
      </c>
    </row>
    <row r="707" spans="2:71">
      <c r="B707" s="360">
        <v>704</v>
      </c>
      <c r="C707" s="363" t="s">
        <v>1070</v>
      </c>
      <c r="N707" s="28">
        <v>1</v>
      </c>
      <c r="O707" s="28">
        <v>4</v>
      </c>
      <c r="P707" s="28">
        <v>8</v>
      </c>
      <c r="Q707" s="28">
        <v>23</v>
      </c>
      <c r="R707" s="28">
        <v>33</v>
      </c>
      <c r="S707" s="28">
        <v>42</v>
      </c>
      <c r="T707" s="28">
        <v>45</v>
      </c>
      <c r="U707" s="28">
        <f t="shared" si="932"/>
        <v>111</v>
      </c>
      <c r="W707" s="27" t="str">
        <f t="shared" si="933"/>
        <v>홀수</v>
      </c>
      <c r="X707" s="27" t="str">
        <f t="shared" si="934"/>
        <v>짝수</v>
      </c>
      <c r="Y707" s="27" t="str">
        <f t="shared" si="935"/>
        <v>짝수</v>
      </c>
      <c r="Z707" s="27" t="str">
        <f t="shared" si="936"/>
        <v>홀수</v>
      </c>
      <c r="AA707" s="28" t="str">
        <f t="shared" si="937"/>
        <v>홀수</v>
      </c>
      <c r="AB707" s="28" t="str">
        <f t="shared" si="938"/>
        <v>짝수</v>
      </c>
      <c r="AC707" s="27" t="str">
        <f t="shared" si="939"/>
        <v>3 : 3</v>
      </c>
      <c r="AD707" s="32">
        <f t="shared" si="940"/>
        <v>3</v>
      </c>
      <c r="AE707" s="32">
        <f t="shared" si="941"/>
        <v>3</v>
      </c>
      <c r="AF707" s="66" t="str">
        <f t="shared" si="942"/>
        <v>저수</v>
      </c>
      <c r="AG707" s="66" t="str">
        <f t="shared" si="943"/>
        <v>저수</v>
      </c>
      <c r="AH707" s="66" t="str">
        <f t="shared" si="944"/>
        <v>저수</v>
      </c>
      <c r="AI707" s="66" t="str">
        <f t="shared" si="945"/>
        <v>고수</v>
      </c>
      <c r="AJ707" s="66" t="str">
        <f t="shared" si="946"/>
        <v>고수</v>
      </c>
      <c r="AK707" s="66" t="str">
        <f t="shared" si="947"/>
        <v>고수</v>
      </c>
      <c r="AL707" s="66" t="str">
        <f t="shared" si="948"/>
        <v>3 : 3</v>
      </c>
      <c r="AM707" s="27">
        <f t="shared" si="949"/>
        <v>3</v>
      </c>
      <c r="AN707" s="27">
        <f t="shared" si="950"/>
        <v>3</v>
      </c>
      <c r="AO707" s="27">
        <f t="shared" si="951"/>
        <v>21</v>
      </c>
      <c r="AP707" s="66" t="str">
        <f t="shared" si="952"/>
        <v>X</v>
      </c>
      <c r="AQ707" s="66" t="str">
        <f t="shared" si="953"/>
        <v>X</v>
      </c>
      <c r="AR707" s="66" t="str">
        <f t="shared" si="954"/>
        <v>X</v>
      </c>
      <c r="AS707" s="66" t="str">
        <f t="shared" si="955"/>
        <v>X</v>
      </c>
      <c r="AT707" s="66" t="str">
        <f t="shared" si="956"/>
        <v>X</v>
      </c>
      <c r="AU707" s="66" t="str">
        <f t="shared" si="957"/>
        <v>X</v>
      </c>
      <c r="AV707" s="66" t="str">
        <f t="shared" si="958"/>
        <v>X</v>
      </c>
      <c r="AW707" s="66" t="str">
        <f t="shared" si="959"/>
        <v>X</v>
      </c>
      <c r="AX707" s="66" t="str">
        <f t="shared" si="960"/>
        <v>X</v>
      </c>
      <c r="AY707" s="66" t="str">
        <f t="shared" si="961"/>
        <v>O</v>
      </c>
      <c r="AZ707" s="66" t="str">
        <f t="shared" si="962"/>
        <v>X</v>
      </c>
      <c r="BA707" s="27" t="str">
        <f t="shared" si="963"/>
        <v>X</v>
      </c>
      <c r="BB707" s="27">
        <f t="shared" si="964"/>
        <v>1</v>
      </c>
      <c r="BC707" s="465" t="str">
        <f t="shared" si="1125"/>
        <v>1G</v>
      </c>
      <c r="BD707" s="465" t="str">
        <f t="shared" si="1126"/>
        <v>1G</v>
      </c>
      <c r="BE707" s="465" t="str">
        <f t="shared" si="1127"/>
        <v>1G</v>
      </c>
      <c r="BF707" s="465" t="str">
        <f t="shared" si="1128"/>
        <v>2G</v>
      </c>
      <c r="BG707" s="465" t="str">
        <f t="shared" si="1129"/>
        <v>3G</v>
      </c>
      <c r="BH707" s="465" t="str">
        <f t="shared" si="1130"/>
        <v>3G</v>
      </c>
      <c r="BI707" s="465">
        <f t="shared" si="1101"/>
        <v>3</v>
      </c>
      <c r="BJ707" s="465">
        <f t="shared" si="1102"/>
        <v>1</v>
      </c>
      <c r="BK707" s="465">
        <f t="shared" si="1103"/>
        <v>2</v>
      </c>
      <c r="BL707" s="465" t="str">
        <f t="shared" si="1131"/>
        <v>312</v>
      </c>
    </row>
    <row r="708" spans="2:71">
      <c r="B708" s="18">
        <v>705</v>
      </c>
      <c r="C708" s="363" t="s">
        <v>1071</v>
      </c>
      <c r="N708" s="28">
        <v>1</v>
      </c>
      <c r="O708" s="28">
        <v>6</v>
      </c>
      <c r="P708" s="28">
        <v>17</v>
      </c>
      <c r="Q708" s="28">
        <v>22</v>
      </c>
      <c r="R708" s="28">
        <v>28</v>
      </c>
      <c r="S708" s="28">
        <v>45</v>
      </c>
      <c r="T708" s="28">
        <v>23</v>
      </c>
      <c r="U708" s="28">
        <f t="shared" si="932"/>
        <v>119</v>
      </c>
      <c r="W708" s="27" t="str">
        <f t="shared" si="933"/>
        <v>홀수</v>
      </c>
      <c r="X708" s="27" t="str">
        <f t="shared" si="934"/>
        <v>짝수</v>
      </c>
      <c r="Y708" s="27" t="str">
        <f t="shared" si="935"/>
        <v>홀수</v>
      </c>
      <c r="Z708" s="27" t="str">
        <f t="shared" si="936"/>
        <v>짝수</v>
      </c>
      <c r="AA708" s="28" t="str">
        <f t="shared" si="937"/>
        <v>짝수</v>
      </c>
      <c r="AB708" s="28" t="str">
        <f t="shared" si="938"/>
        <v>홀수</v>
      </c>
      <c r="AC708" s="27" t="str">
        <f t="shared" si="939"/>
        <v>3 : 3</v>
      </c>
      <c r="AD708" s="32">
        <f t="shared" si="940"/>
        <v>3</v>
      </c>
      <c r="AE708" s="32">
        <f t="shared" si="941"/>
        <v>3</v>
      </c>
      <c r="AF708" s="66" t="str">
        <f t="shared" si="942"/>
        <v>저수</v>
      </c>
      <c r="AG708" s="66" t="str">
        <f t="shared" si="943"/>
        <v>저수</v>
      </c>
      <c r="AH708" s="66" t="str">
        <f t="shared" si="944"/>
        <v>저수</v>
      </c>
      <c r="AI708" s="66" t="str">
        <f t="shared" si="945"/>
        <v>저수</v>
      </c>
      <c r="AJ708" s="66" t="str">
        <f t="shared" si="946"/>
        <v>고수</v>
      </c>
      <c r="AK708" s="66" t="str">
        <f t="shared" si="947"/>
        <v>고수</v>
      </c>
      <c r="AL708" s="66" t="str">
        <f t="shared" si="948"/>
        <v>4 : 2</v>
      </c>
      <c r="AM708" s="27">
        <f t="shared" si="949"/>
        <v>4</v>
      </c>
      <c r="AN708" s="27">
        <f t="shared" si="950"/>
        <v>2</v>
      </c>
      <c r="AO708" s="27">
        <f t="shared" si="951"/>
        <v>29</v>
      </c>
      <c r="AP708" s="66" t="str">
        <f t="shared" si="952"/>
        <v>X</v>
      </c>
      <c r="AQ708" s="66" t="str">
        <f t="shared" si="953"/>
        <v>X</v>
      </c>
      <c r="AR708" s="66" t="str">
        <f t="shared" si="954"/>
        <v>O</v>
      </c>
      <c r="AS708" s="66" t="str">
        <f t="shared" si="955"/>
        <v>X</v>
      </c>
      <c r="AT708" s="66" t="str">
        <f t="shared" si="956"/>
        <v>X</v>
      </c>
      <c r="AU708" s="66" t="str">
        <f t="shared" si="957"/>
        <v>X</v>
      </c>
      <c r="AV708" s="66" t="str">
        <f t="shared" si="958"/>
        <v>X</v>
      </c>
      <c r="AW708" s="66" t="str">
        <f t="shared" si="959"/>
        <v>X</v>
      </c>
      <c r="AX708" s="66" t="str">
        <f t="shared" si="960"/>
        <v>X</v>
      </c>
      <c r="AY708" s="66" t="str">
        <f t="shared" si="961"/>
        <v>X</v>
      </c>
      <c r="AZ708" s="66" t="str">
        <f t="shared" si="962"/>
        <v>X</v>
      </c>
      <c r="BA708" s="27" t="str">
        <f t="shared" si="963"/>
        <v>X</v>
      </c>
      <c r="BB708" s="27">
        <f t="shared" si="964"/>
        <v>1</v>
      </c>
      <c r="BC708" s="466" t="str">
        <f t="shared" ref="BC708:BC709" si="1132">VLOOKUP(N708,삼그룹,6,FALSE)</f>
        <v>1G</v>
      </c>
      <c r="BD708" s="466" t="str">
        <f t="shared" ref="BD708:BD709" si="1133">VLOOKUP(O708,삼그룹,6,FALSE)</f>
        <v>1G</v>
      </c>
      <c r="BE708" s="466" t="str">
        <f t="shared" ref="BE708:BE709" si="1134">VLOOKUP(P708,삼그룹,6,FALSE)</f>
        <v>2G</v>
      </c>
      <c r="BF708" s="466" t="str">
        <f t="shared" ref="BF708:BF709" si="1135">VLOOKUP(Q708,삼그룹,6,FALSE)</f>
        <v>2G</v>
      </c>
      <c r="BG708" s="466" t="str">
        <f t="shared" ref="BG708:BG709" si="1136">VLOOKUP(R708,삼그룹,6,FALSE)</f>
        <v>2G</v>
      </c>
      <c r="BH708" s="466" t="str">
        <f t="shared" ref="BH708:BH709" si="1137">VLOOKUP(S708,삼그룹,6,FALSE)</f>
        <v>3G</v>
      </c>
      <c r="BI708" s="466">
        <f t="shared" si="1101"/>
        <v>2</v>
      </c>
      <c r="BJ708" s="466">
        <f t="shared" si="1102"/>
        <v>3</v>
      </c>
      <c r="BK708" s="466">
        <f t="shared" si="1103"/>
        <v>1</v>
      </c>
      <c r="BL708" s="466" t="str">
        <f t="shared" ref="BL708:BL709" si="1138">BI708&amp;BJ708&amp;BK708</f>
        <v>231</v>
      </c>
    </row>
    <row r="709" spans="2:71">
      <c r="B709" s="360">
        <v>706</v>
      </c>
      <c r="C709" s="363" t="s">
        <v>1072</v>
      </c>
      <c r="N709" s="28">
        <v>3</v>
      </c>
      <c r="O709" s="28">
        <v>4</v>
      </c>
      <c r="P709" s="28">
        <v>6</v>
      </c>
      <c r="Q709" s="28">
        <v>10</v>
      </c>
      <c r="R709" s="28">
        <v>28</v>
      </c>
      <c r="S709" s="28">
        <v>30</v>
      </c>
      <c r="T709" s="28">
        <v>37</v>
      </c>
      <c r="U709" s="28">
        <f t="shared" si="932"/>
        <v>81</v>
      </c>
      <c r="W709" s="27" t="str">
        <f t="shared" si="933"/>
        <v>홀수</v>
      </c>
      <c r="X709" s="27" t="str">
        <f t="shared" si="934"/>
        <v>짝수</v>
      </c>
      <c r="Y709" s="27" t="str">
        <f t="shared" si="935"/>
        <v>짝수</v>
      </c>
      <c r="Z709" s="27" t="str">
        <f t="shared" si="936"/>
        <v>짝수</v>
      </c>
      <c r="AA709" s="28" t="str">
        <f t="shared" si="937"/>
        <v>짝수</v>
      </c>
      <c r="AB709" s="28" t="str">
        <f t="shared" si="938"/>
        <v>짝수</v>
      </c>
      <c r="AC709" s="27" t="str">
        <f t="shared" si="939"/>
        <v>1 : 5</v>
      </c>
      <c r="AD709" s="32">
        <f t="shared" si="940"/>
        <v>1</v>
      </c>
      <c r="AE709" s="32">
        <f t="shared" si="941"/>
        <v>5</v>
      </c>
      <c r="AF709" s="66" t="str">
        <f t="shared" si="942"/>
        <v>저수</v>
      </c>
      <c r="AG709" s="66" t="str">
        <f t="shared" si="943"/>
        <v>저수</v>
      </c>
      <c r="AH709" s="66" t="str">
        <f t="shared" si="944"/>
        <v>저수</v>
      </c>
      <c r="AI709" s="66" t="str">
        <f t="shared" si="945"/>
        <v>저수</v>
      </c>
      <c r="AJ709" s="66" t="str">
        <f t="shared" si="946"/>
        <v>고수</v>
      </c>
      <c r="AK709" s="66" t="str">
        <f t="shared" si="947"/>
        <v>고수</v>
      </c>
      <c r="AL709" s="66" t="str">
        <f t="shared" si="948"/>
        <v>4 : 2</v>
      </c>
      <c r="AM709" s="27">
        <f t="shared" si="949"/>
        <v>4</v>
      </c>
      <c r="AN709" s="27">
        <f t="shared" si="950"/>
        <v>2</v>
      </c>
      <c r="AO709" s="27">
        <f t="shared" si="951"/>
        <v>21</v>
      </c>
      <c r="AP709" s="66" t="str">
        <f t="shared" si="952"/>
        <v>O</v>
      </c>
      <c r="AQ709" s="66" t="str">
        <f t="shared" si="953"/>
        <v>X</v>
      </c>
      <c r="AR709" s="66" t="str">
        <f t="shared" si="954"/>
        <v>X</v>
      </c>
      <c r="AS709" s="66" t="str">
        <f t="shared" si="955"/>
        <v>X</v>
      </c>
      <c r="AT709" s="66" t="str">
        <f t="shared" si="956"/>
        <v>X</v>
      </c>
      <c r="AU709" s="66" t="str">
        <f t="shared" si="957"/>
        <v>X</v>
      </c>
      <c r="AV709" s="66" t="str">
        <f t="shared" si="958"/>
        <v>X</v>
      </c>
      <c r="AW709" s="66" t="str">
        <f t="shared" si="959"/>
        <v>X</v>
      </c>
      <c r="AX709" s="66" t="str">
        <f t="shared" si="960"/>
        <v>X</v>
      </c>
      <c r="AY709" s="66" t="str">
        <f t="shared" si="961"/>
        <v>X</v>
      </c>
      <c r="AZ709" s="66" t="str">
        <f t="shared" si="962"/>
        <v>X</v>
      </c>
      <c r="BA709" s="27" t="str">
        <f t="shared" si="963"/>
        <v>X</v>
      </c>
      <c r="BB709" s="27">
        <f t="shared" si="964"/>
        <v>1</v>
      </c>
      <c r="BC709" s="467" t="str">
        <f t="shared" si="1132"/>
        <v>1G</v>
      </c>
      <c r="BD709" s="467" t="str">
        <f t="shared" si="1133"/>
        <v>1G</v>
      </c>
      <c r="BE709" s="467" t="str">
        <f t="shared" si="1134"/>
        <v>1G</v>
      </c>
      <c r="BF709" s="467" t="str">
        <f t="shared" si="1135"/>
        <v>1G</v>
      </c>
      <c r="BG709" s="467" t="str">
        <f t="shared" si="1136"/>
        <v>2G</v>
      </c>
      <c r="BH709" s="467" t="str">
        <f t="shared" si="1137"/>
        <v>2G</v>
      </c>
      <c r="BI709" s="467">
        <f t="shared" si="1101"/>
        <v>4</v>
      </c>
      <c r="BJ709" s="467">
        <f t="shared" si="1102"/>
        <v>2</v>
      </c>
      <c r="BK709" s="467">
        <f t="shared" si="1103"/>
        <v>0</v>
      </c>
      <c r="BL709" s="467" t="str">
        <f t="shared" si="1138"/>
        <v>420</v>
      </c>
    </row>
    <row r="710" spans="2:71">
      <c r="B710" s="18">
        <v>707</v>
      </c>
      <c r="C710" s="363" t="s">
        <v>1073</v>
      </c>
      <c r="N710" s="28">
        <v>2</v>
      </c>
      <c r="O710" s="28">
        <v>12</v>
      </c>
      <c r="P710" s="28">
        <v>19</v>
      </c>
      <c r="Q710" s="28">
        <v>24</v>
      </c>
      <c r="R710" s="28">
        <v>39</v>
      </c>
      <c r="S710" s="28">
        <v>44</v>
      </c>
      <c r="T710" s="28">
        <v>35</v>
      </c>
      <c r="U710" s="28">
        <f t="shared" si="932"/>
        <v>140</v>
      </c>
      <c r="W710" s="27" t="str">
        <f t="shared" si="933"/>
        <v>짝수</v>
      </c>
      <c r="X710" s="27" t="str">
        <f t="shared" si="934"/>
        <v>짝수</v>
      </c>
      <c r="Y710" s="27" t="str">
        <f t="shared" si="935"/>
        <v>홀수</v>
      </c>
      <c r="Z710" s="27" t="str">
        <f t="shared" si="936"/>
        <v>짝수</v>
      </c>
      <c r="AA710" s="28" t="str">
        <f t="shared" si="937"/>
        <v>홀수</v>
      </c>
      <c r="AB710" s="28" t="str">
        <f t="shared" si="938"/>
        <v>짝수</v>
      </c>
      <c r="AC710" s="27" t="str">
        <f t="shared" si="939"/>
        <v>2 : 4</v>
      </c>
      <c r="AD710" s="32">
        <f t="shared" si="940"/>
        <v>2</v>
      </c>
      <c r="AE710" s="32">
        <f t="shared" si="941"/>
        <v>4</v>
      </c>
      <c r="AF710" s="66" t="str">
        <f t="shared" si="942"/>
        <v>저수</v>
      </c>
      <c r="AG710" s="66" t="str">
        <f t="shared" si="943"/>
        <v>저수</v>
      </c>
      <c r="AH710" s="66" t="str">
        <f t="shared" si="944"/>
        <v>저수</v>
      </c>
      <c r="AI710" s="66" t="str">
        <f t="shared" si="945"/>
        <v>고수</v>
      </c>
      <c r="AJ710" s="66" t="str">
        <f t="shared" si="946"/>
        <v>고수</v>
      </c>
      <c r="AK710" s="66" t="str">
        <f t="shared" si="947"/>
        <v>고수</v>
      </c>
      <c r="AL710" s="66" t="str">
        <f t="shared" si="948"/>
        <v>3 : 3</v>
      </c>
      <c r="AM710" s="27">
        <f t="shared" si="949"/>
        <v>3</v>
      </c>
      <c r="AN710" s="27">
        <f t="shared" si="950"/>
        <v>3</v>
      </c>
      <c r="AO710" s="27">
        <f t="shared" si="951"/>
        <v>30</v>
      </c>
      <c r="AP710" s="66" t="str">
        <f t="shared" si="952"/>
        <v>O</v>
      </c>
      <c r="AQ710" s="66" t="str">
        <f t="shared" si="953"/>
        <v>X</v>
      </c>
      <c r="AR710" s="66" t="str">
        <f t="shared" si="954"/>
        <v>O</v>
      </c>
      <c r="AS710" s="66" t="str">
        <f t="shared" si="955"/>
        <v>X</v>
      </c>
      <c r="AT710" s="66" t="str">
        <f t="shared" si="956"/>
        <v>X</v>
      </c>
      <c r="AU710" s="66" t="str">
        <f t="shared" si="957"/>
        <v>X</v>
      </c>
      <c r="AV710" s="66" t="str">
        <f t="shared" si="958"/>
        <v>X</v>
      </c>
      <c r="AW710" s="66" t="str">
        <f t="shared" si="959"/>
        <v>X</v>
      </c>
      <c r="AX710" s="66" t="str">
        <f t="shared" si="960"/>
        <v>X</v>
      </c>
      <c r="AY710" s="66" t="str">
        <f t="shared" si="961"/>
        <v>X</v>
      </c>
      <c r="AZ710" s="66" t="str">
        <f t="shared" si="962"/>
        <v>X</v>
      </c>
      <c r="BA710" s="27" t="str">
        <f t="shared" si="963"/>
        <v>X</v>
      </c>
      <c r="BB710" s="27">
        <f t="shared" si="964"/>
        <v>2</v>
      </c>
      <c r="BC710" s="468" t="str">
        <f t="shared" ref="BC710:BC712" si="1139">VLOOKUP(N710,삼그룹,6,FALSE)</f>
        <v>1G</v>
      </c>
      <c r="BD710" s="468" t="str">
        <f t="shared" ref="BD710:BD712" si="1140">VLOOKUP(O710,삼그룹,6,FALSE)</f>
        <v>1G</v>
      </c>
      <c r="BE710" s="468" t="str">
        <f t="shared" ref="BE710:BE712" si="1141">VLOOKUP(P710,삼그룹,6,FALSE)</f>
        <v>2G</v>
      </c>
      <c r="BF710" s="468" t="str">
        <f t="shared" ref="BF710:BF712" si="1142">VLOOKUP(Q710,삼그룹,6,FALSE)</f>
        <v>2G</v>
      </c>
      <c r="BG710" s="468" t="str">
        <f t="shared" ref="BG710:BG712" si="1143">VLOOKUP(R710,삼그룹,6,FALSE)</f>
        <v>3G</v>
      </c>
      <c r="BH710" s="468" t="str">
        <f t="shared" ref="BH710:BH712" si="1144">VLOOKUP(S710,삼그룹,6,FALSE)</f>
        <v>3G</v>
      </c>
      <c r="BI710" s="468">
        <f t="shared" si="1101"/>
        <v>2</v>
      </c>
      <c r="BJ710" s="468">
        <f t="shared" si="1102"/>
        <v>2</v>
      </c>
      <c r="BK710" s="468">
        <f t="shared" si="1103"/>
        <v>2</v>
      </c>
      <c r="BL710" s="468" t="str">
        <f t="shared" ref="BL710:BL712" si="1145">BI710&amp;BJ710&amp;BK710</f>
        <v>222</v>
      </c>
    </row>
    <row r="711" spans="2:71">
      <c r="B711" s="360">
        <v>708</v>
      </c>
      <c r="C711" s="363" t="s">
        <v>1074</v>
      </c>
      <c r="N711" s="28">
        <v>2</v>
      </c>
      <c r="O711" s="28">
        <v>10</v>
      </c>
      <c r="P711" s="28">
        <v>16</v>
      </c>
      <c r="Q711" s="28">
        <v>19</v>
      </c>
      <c r="R711" s="28">
        <v>34</v>
      </c>
      <c r="S711" s="28">
        <v>45</v>
      </c>
      <c r="T711" s="28">
        <v>1</v>
      </c>
      <c r="U711" s="28">
        <f t="shared" si="932"/>
        <v>126</v>
      </c>
      <c r="W711" s="27" t="str">
        <f t="shared" si="933"/>
        <v>짝수</v>
      </c>
      <c r="X711" s="27" t="str">
        <f t="shared" si="934"/>
        <v>짝수</v>
      </c>
      <c r="Y711" s="27" t="str">
        <f t="shared" si="935"/>
        <v>짝수</v>
      </c>
      <c r="Z711" s="27" t="str">
        <f t="shared" si="936"/>
        <v>홀수</v>
      </c>
      <c r="AA711" s="28" t="str">
        <f t="shared" si="937"/>
        <v>짝수</v>
      </c>
      <c r="AB711" s="28" t="str">
        <f t="shared" si="938"/>
        <v>홀수</v>
      </c>
      <c r="AC711" s="27" t="str">
        <f t="shared" si="939"/>
        <v>2 : 4</v>
      </c>
      <c r="AD711" s="32">
        <f t="shared" si="940"/>
        <v>2</v>
      </c>
      <c r="AE711" s="32">
        <f t="shared" si="941"/>
        <v>4</v>
      </c>
      <c r="AF711" s="66" t="str">
        <f t="shared" si="942"/>
        <v>저수</v>
      </c>
      <c r="AG711" s="66" t="str">
        <f t="shared" si="943"/>
        <v>저수</v>
      </c>
      <c r="AH711" s="66" t="str">
        <f t="shared" si="944"/>
        <v>저수</v>
      </c>
      <c r="AI711" s="66" t="str">
        <f t="shared" si="945"/>
        <v>저수</v>
      </c>
      <c r="AJ711" s="66" t="str">
        <f t="shared" si="946"/>
        <v>고수</v>
      </c>
      <c r="AK711" s="66" t="str">
        <f t="shared" si="947"/>
        <v>고수</v>
      </c>
      <c r="AL711" s="66" t="str">
        <f t="shared" si="948"/>
        <v>4 : 2</v>
      </c>
      <c r="AM711" s="27">
        <f t="shared" si="949"/>
        <v>4</v>
      </c>
      <c r="AN711" s="27">
        <f t="shared" si="950"/>
        <v>2</v>
      </c>
      <c r="AO711" s="27">
        <f t="shared" si="951"/>
        <v>26</v>
      </c>
      <c r="AP711" s="66" t="str">
        <f t="shared" si="952"/>
        <v>O</v>
      </c>
      <c r="AQ711" s="66" t="str">
        <f t="shared" si="953"/>
        <v>X</v>
      </c>
      <c r="AR711" s="66" t="str">
        <f t="shared" si="954"/>
        <v>X</v>
      </c>
      <c r="AS711" s="66" t="str">
        <f t="shared" si="955"/>
        <v>O</v>
      </c>
      <c r="AT711" s="66" t="str">
        <f t="shared" si="956"/>
        <v>X</v>
      </c>
      <c r="AU711" s="66" t="str">
        <f t="shared" si="957"/>
        <v>X</v>
      </c>
      <c r="AV711" s="66" t="str">
        <f t="shared" si="958"/>
        <v>X</v>
      </c>
      <c r="AW711" s="66" t="str">
        <f t="shared" si="959"/>
        <v>X</v>
      </c>
      <c r="AX711" s="66" t="str">
        <f t="shared" si="960"/>
        <v>X</v>
      </c>
      <c r="AY711" s="66" t="str">
        <f t="shared" si="961"/>
        <v>X</v>
      </c>
      <c r="AZ711" s="66" t="str">
        <f t="shared" si="962"/>
        <v>X</v>
      </c>
      <c r="BA711" s="27" t="str">
        <f t="shared" si="963"/>
        <v>X</v>
      </c>
      <c r="BB711" s="27">
        <f t="shared" si="964"/>
        <v>2</v>
      </c>
      <c r="BC711" s="469" t="str">
        <f t="shared" si="1139"/>
        <v>1G</v>
      </c>
      <c r="BD711" s="469" t="str">
        <f t="shared" si="1140"/>
        <v>1G</v>
      </c>
      <c r="BE711" s="469" t="str">
        <f t="shared" si="1141"/>
        <v>2G</v>
      </c>
      <c r="BF711" s="469" t="str">
        <f t="shared" si="1142"/>
        <v>2G</v>
      </c>
      <c r="BG711" s="469" t="str">
        <f t="shared" si="1143"/>
        <v>3G</v>
      </c>
      <c r="BH711" s="469" t="str">
        <f t="shared" si="1144"/>
        <v>3G</v>
      </c>
      <c r="BI711" s="469">
        <f t="shared" si="1101"/>
        <v>2</v>
      </c>
      <c r="BJ711" s="469">
        <f t="shared" si="1102"/>
        <v>2</v>
      </c>
      <c r="BK711" s="469">
        <f t="shared" si="1103"/>
        <v>2</v>
      </c>
      <c r="BL711" s="469" t="str">
        <f t="shared" si="1145"/>
        <v>222</v>
      </c>
    </row>
    <row r="712" spans="2:71">
      <c r="B712" s="18">
        <v>709</v>
      </c>
      <c r="C712" s="363" t="s">
        <v>1075</v>
      </c>
      <c r="N712" s="28">
        <v>10</v>
      </c>
      <c r="O712" s="28">
        <v>18</v>
      </c>
      <c r="P712" s="28">
        <v>30</v>
      </c>
      <c r="Q712" s="28">
        <v>36</v>
      </c>
      <c r="R712" s="28">
        <v>39</v>
      </c>
      <c r="S712" s="28">
        <v>44</v>
      </c>
      <c r="T712" s="28">
        <v>32</v>
      </c>
      <c r="U712" s="28">
        <f t="shared" si="932"/>
        <v>177</v>
      </c>
      <c r="W712" s="27" t="str">
        <f t="shared" si="933"/>
        <v>짝수</v>
      </c>
      <c r="X712" s="27" t="str">
        <f t="shared" si="934"/>
        <v>짝수</v>
      </c>
      <c r="Y712" s="27" t="str">
        <f t="shared" si="935"/>
        <v>짝수</v>
      </c>
      <c r="Z712" s="27" t="str">
        <f t="shared" si="936"/>
        <v>짝수</v>
      </c>
      <c r="AA712" s="28" t="str">
        <f t="shared" si="937"/>
        <v>홀수</v>
      </c>
      <c r="AB712" s="28" t="str">
        <f t="shared" si="938"/>
        <v>짝수</v>
      </c>
      <c r="AC712" s="27" t="str">
        <f t="shared" si="939"/>
        <v>1 : 5</v>
      </c>
      <c r="AD712" s="32">
        <f t="shared" si="940"/>
        <v>1</v>
      </c>
      <c r="AE712" s="32">
        <f t="shared" si="941"/>
        <v>5</v>
      </c>
      <c r="AF712" s="66" t="str">
        <f t="shared" si="942"/>
        <v>저수</v>
      </c>
      <c r="AG712" s="66" t="str">
        <f t="shared" si="943"/>
        <v>저수</v>
      </c>
      <c r="AH712" s="66" t="str">
        <f t="shared" si="944"/>
        <v>고수</v>
      </c>
      <c r="AI712" s="66" t="str">
        <f t="shared" si="945"/>
        <v>고수</v>
      </c>
      <c r="AJ712" s="66" t="str">
        <f t="shared" si="946"/>
        <v>고수</v>
      </c>
      <c r="AK712" s="66" t="str">
        <f t="shared" si="947"/>
        <v>고수</v>
      </c>
      <c r="AL712" s="66" t="str">
        <f t="shared" si="948"/>
        <v>2 : 4</v>
      </c>
      <c r="AM712" s="27">
        <f t="shared" si="949"/>
        <v>2</v>
      </c>
      <c r="AN712" s="27">
        <f t="shared" si="950"/>
        <v>4</v>
      </c>
      <c r="AO712" s="27">
        <f t="shared" si="951"/>
        <v>27</v>
      </c>
      <c r="AP712" s="66" t="str">
        <f t="shared" si="952"/>
        <v>X</v>
      </c>
      <c r="AQ712" s="66" t="str">
        <f t="shared" si="953"/>
        <v>X</v>
      </c>
      <c r="AR712" s="66" t="str">
        <f t="shared" si="954"/>
        <v>X</v>
      </c>
      <c r="AS712" s="66" t="str">
        <f t="shared" si="955"/>
        <v>X</v>
      </c>
      <c r="AT712" s="66" t="str">
        <f t="shared" si="956"/>
        <v>X</v>
      </c>
      <c r="AU712" s="66" t="str">
        <f t="shared" si="957"/>
        <v>X</v>
      </c>
      <c r="AV712" s="66" t="str">
        <f t="shared" si="958"/>
        <v>X</v>
      </c>
      <c r="AW712" s="66" t="str">
        <f t="shared" si="959"/>
        <v>X</v>
      </c>
      <c r="AX712" s="66" t="str">
        <f t="shared" si="960"/>
        <v>X</v>
      </c>
      <c r="AY712" s="66" t="str">
        <f t="shared" si="961"/>
        <v>X</v>
      </c>
      <c r="AZ712" s="66" t="str">
        <f t="shared" si="962"/>
        <v>X</v>
      </c>
      <c r="BA712" s="27" t="str">
        <f t="shared" si="963"/>
        <v>X</v>
      </c>
      <c r="BB712" s="27">
        <f t="shared" si="964"/>
        <v>0</v>
      </c>
      <c r="BC712" s="470" t="str">
        <f t="shared" si="1139"/>
        <v>1G</v>
      </c>
      <c r="BD712" s="470" t="str">
        <f t="shared" si="1140"/>
        <v>2G</v>
      </c>
      <c r="BE712" s="470" t="str">
        <f t="shared" si="1141"/>
        <v>2G</v>
      </c>
      <c r="BF712" s="470" t="str">
        <f t="shared" si="1142"/>
        <v>3G</v>
      </c>
      <c r="BG712" s="470" t="str">
        <f t="shared" si="1143"/>
        <v>3G</v>
      </c>
      <c r="BH712" s="470" t="str">
        <f t="shared" si="1144"/>
        <v>3G</v>
      </c>
      <c r="BI712" s="470">
        <f t="shared" si="1101"/>
        <v>1</v>
      </c>
      <c r="BJ712" s="470">
        <f t="shared" si="1102"/>
        <v>2</v>
      </c>
      <c r="BK712" s="470">
        <f t="shared" si="1103"/>
        <v>3</v>
      </c>
      <c r="BL712" s="470" t="str">
        <f t="shared" si="1145"/>
        <v>123</v>
      </c>
    </row>
    <row r="713" spans="2:71">
      <c r="B713" s="18">
        <v>710</v>
      </c>
      <c r="C713" s="363" t="s">
        <v>1076</v>
      </c>
      <c r="N713" s="28">
        <v>3</v>
      </c>
      <c r="O713" s="28">
        <v>4</v>
      </c>
      <c r="P713" s="28">
        <v>9</v>
      </c>
      <c r="Q713" s="28">
        <v>24</v>
      </c>
      <c r="R713" s="28">
        <v>25</v>
      </c>
      <c r="S713" s="28">
        <v>33</v>
      </c>
      <c r="T713" s="28">
        <v>10</v>
      </c>
      <c r="U713" s="28">
        <f t="shared" si="932"/>
        <v>98</v>
      </c>
      <c r="W713" s="27" t="str">
        <f t="shared" si="933"/>
        <v>홀수</v>
      </c>
      <c r="X713" s="27" t="str">
        <f t="shared" si="934"/>
        <v>짝수</v>
      </c>
      <c r="Y713" s="27" t="str">
        <f t="shared" si="935"/>
        <v>홀수</v>
      </c>
      <c r="Z713" s="27" t="str">
        <f t="shared" si="936"/>
        <v>짝수</v>
      </c>
      <c r="AA713" s="28" t="str">
        <f t="shared" si="937"/>
        <v>홀수</v>
      </c>
      <c r="AB713" s="28" t="str">
        <f t="shared" si="938"/>
        <v>홀수</v>
      </c>
      <c r="AC713" s="27" t="str">
        <f t="shared" si="939"/>
        <v>4 : 2</v>
      </c>
      <c r="AD713" s="32">
        <f t="shared" si="940"/>
        <v>4</v>
      </c>
      <c r="AE713" s="32">
        <f t="shared" si="941"/>
        <v>2</v>
      </c>
      <c r="AF713" s="66" t="str">
        <f t="shared" si="942"/>
        <v>저수</v>
      </c>
      <c r="AG713" s="66" t="str">
        <f t="shared" si="943"/>
        <v>저수</v>
      </c>
      <c r="AH713" s="66" t="str">
        <f t="shared" si="944"/>
        <v>저수</v>
      </c>
      <c r="AI713" s="66" t="str">
        <f t="shared" si="945"/>
        <v>고수</v>
      </c>
      <c r="AJ713" s="66" t="str">
        <f t="shared" si="946"/>
        <v>고수</v>
      </c>
      <c r="AK713" s="66" t="str">
        <f t="shared" si="947"/>
        <v>고수</v>
      </c>
      <c r="AL713" s="66" t="str">
        <f t="shared" si="948"/>
        <v>3 : 3</v>
      </c>
      <c r="AM713" s="27">
        <f t="shared" si="949"/>
        <v>3</v>
      </c>
      <c r="AN713" s="27">
        <f t="shared" si="950"/>
        <v>3</v>
      </c>
      <c r="AO713" s="27">
        <f t="shared" si="951"/>
        <v>28</v>
      </c>
      <c r="AP713" s="66" t="str">
        <f t="shared" si="952"/>
        <v>O</v>
      </c>
      <c r="AQ713" s="66" t="str">
        <f t="shared" si="953"/>
        <v>X</v>
      </c>
      <c r="AR713" s="66" t="str">
        <f t="shared" si="954"/>
        <v>X</v>
      </c>
      <c r="AS713" s="66" t="str">
        <f t="shared" si="955"/>
        <v>X</v>
      </c>
      <c r="AT713" s="66" t="str">
        <f t="shared" si="956"/>
        <v>X</v>
      </c>
      <c r="AU713" s="66" t="str">
        <f t="shared" si="957"/>
        <v>X</v>
      </c>
      <c r="AV713" s="66" t="str">
        <f t="shared" si="958"/>
        <v>X</v>
      </c>
      <c r="AW713" s="66" t="str">
        <f t="shared" si="959"/>
        <v>X</v>
      </c>
      <c r="AX713" s="66" t="str">
        <f t="shared" si="960"/>
        <v>X</v>
      </c>
      <c r="AY713" s="66" t="str">
        <f t="shared" si="961"/>
        <v>X</v>
      </c>
      <c r="AZ713" s="66" t="str">
        <f t="shared" si="962"/>
        <v>X</v>
      </c>
      <c r="BA713" s="27" t="str">
        <f t="shared" si="963"/>
        <v>X</v>
      </c>
      <c r="BB713" s="27">
        <f t="shared" si="964"/>
        <v>1</v>
      </c>
      <c r="BC713" s="471" t="str">
        <f t="shared" ref="BC713:BC714" si="1146">VLOOKUP(N713,삼그룹,6,FALSE)</f>
        <v>1G</v>
      </c>
      <c r="BD713" s="471" t="str">
        <f t="shared" ref="BD713:BD714" si="1147">VLOOKUP(O713,삼그룹,6,FALSE)</f>
        <v>1G</v>
      </c>
      <c r="BE713" s="471" t="str">
        <f t="shared" ref="BE713:BE714" si="1148">VLOOKUP(P713,삼그룹,6,FALSE)</f>
        <v>1G</v>
      </c>
      <c r="BF713" s="471" t="str">
        <f t="shared" ref="BF713:BF714" si="1149">VLOOKUP(Q713,삼그룹,6,FALSE)</f>
        <v>2G</v>
      </c>
      <c r="BG713" s="471" t="str">
        <f t="shared" ref="BG713:BG714" si="1150">VLOOKUP(R713,삼그룹,6,FALSE)</f>
        <v>2G</v>
      </c>
      <c r="BH713" s="471" t="str">
        <f t="shared" ref="BH713:BH714" si="1151">VLOOKUP(S713,삼그룹,6,FALSE)</f>
        <v>3G</v>
      </c>
      <c r="BI713" s="471">
        <f t="shared" si="1101"/>
        <v>3</v>
      </c>
      <c r="BJ713" s="471">
        <f t="shared" si="1102"/>
        <v>2</v>
      </c>
      <c r="BK713" s="471">
        <f t="shared" si="1103"/>
        <v>1</v>
      </c>
      <c r="BL713" s="471" t="str">
        <f t="shared" ref="BL713:BL714" si="1152">BI713&amp;BJ713&amp;BK713</f>
        <v>321</v>
      </c>
    </row>
    <row r="714" spans="2:71">
      <c r="B714" s="360">
        <v>711</v>
      </c>
      <c r="C714" s="363" t="s">
        <v>1077</v>
      </c>
      <c r="N714" s="28">
        <v>11</v>
      </c>
      <c r="O714" s="28">
        <v>15</v>
      </c>
      <c r="P714" s="28">
        <v>24</v>
      </c>
      <c r="Q714" s="28">
        <v>35</v>
      </c>
      <c r="R714" s="28">
        <v>37</v>
      </c>
      <c r="S714" s="28">
        <v>45</v>
      </c>
      <c r="T714" s="28">
        <v>42</v>
      </c>
      <c r="U714" s="28">
        <f t="shared" si="932"/>
        <v>167</v>
      </c>
      <c r="W714" s="27" t="str">
        <f t="shared" si="933"/>
        <v>홀수</v>
      </c>
      <c r="X714" s="27" t="str">
        <f t="shared" si="934"/>
        <v>홀수</v>
      </c>
      <c r="Y714" s="27" t="str">
        <f t="shared" si="935"/>
        <v>짝수</v>
      </c>
      <c r="Z714" s="27" t="str">
        <f t="shared" si="936"/>
        <v>홀수</v>
      </c>
      <c r="AA714" s="28" t="str">
        <f t="shared" si="937"/>
        <v>홀수</v>
      </c>
      <c r="AB714" s="28" t="str">
        <f t="shared" si="938"/>
        <v>홀수</v>
      </c>
      <c r="AC714" s="27" t="str">
        <f t="shared" si="939"/>
        <v>5 : 1</v>
      </c>
      <c r="AD714" s="32">
        <f t="shared" si="940"/>
        <v>5</v>
      </c>
      <c r="AE714" s="32">
        <f t="shared" si="941"/>
        <v>1</v>
      </c>
      <c r="AF714" s="66" t="str">
        <f t="shared" si="942"/>
        <v>저수</v>
      </c>
      <c r="AG714" s="66" t="str">
        <f t="shared" si="943"/>
        <v>저수</v>
      </c>
      <c r="AH714" s="66" t="str">
        <f t="shared" si="944"/>
        <v>고수</v>
      </c>
      <c r="AI714" s="66" t="str">
        <f t="shared" si="945"/>
        <v>고수</v>
      </c>
      <c r="AJ714" s="66" t="str">
        <f t="shared" si="946"/>
        <v>고수</v>
      </c>
      <c r="AK714" s="66" t="str">
        <f t="shared" si="947"/>
        <v>고수</v>
      </c>
      <c r="AL714" s="66" t="str">
        <f t="shared" si="948"/>
        <v>2 : 4</v>
      </c>
      <c r="AM714" s="27">
        <f t="shared" si="949"/>
        <v>2</v>
      </c>
      <c r="AN714" s="27">
        <f t="shared" si="950"/>
        <v>4</v>
      </c>
      <c r="AO714" s="27">
        <f t="shared" si="951"/>
        <v>27</v>
      </c>
      <c r="AP714" s="66" t="str">
        <f t="shared" si="952"/>
        <v>O</v>
      </c>
      <c r="AQ714" s="66" t="str">
        <f t="shared" si="953"/>
        <v>X</v>
      </c>
      <c r="AR714" s="66" t="str">
        <f t="shared" si="954"/>
        <v>X</v>
      </c>
      <c r="AS714" s="66" t="str">
        <f t="shared" si="955"/>
        <v>X</v>
      </c>
      <c r="AT714" s="66" t="str">
        <f t="shared" si="956"/>
        <v>X</v>
      </c>
      <c r="AU714" s="66" t="str">
        <f t="shared" si="957"/>
        <v>X</v>
      </c>
      <c r="AV714" s="66" t="str">
        <f t="shared" si="958"/>
        <v>X</v>
      </c>
      <c r="AW714" s="66" t="str">
        <f t="shared" si="959"/>
        <v>X</v>
      </c>
      <c r="AX714" s="66" t="str">
        <f t="shared" si="960"/>
        <v>X</v>
      </c>
      <c r="AY714" s="66" t="str">
        <f t="shared" si="961"/>
        <v>X</v>
      </c>
      <c r="AZ714" s="66" t="str">
        <f t="shared" si="962"/>
        <v>O</v>
      </c>
      <c r="BA714" s="27" t="str">
        <f t="shared" si="963"/>
        <v>X</v>
      </c>
      <c r="BB714" s="27">
        <f t="shared" si="964"/>
        <v>2</v>
      </c>
      <c r="BC714" s="472" t="str">
        <f t="shared" si="1146"/>
        <v>1G</v>
      </c>
      <c r="BD714" s="472" t="str">
        <f t="shared" si="1147"/>
        <v>1G</v>
      </c>
      <c r="BE714" s="472" t="str">
        <f t="shared" si="1148"/>
        <v>2G</v>
      </c>
      <c r="BF714" s="472" t="str">
        <f t="shared" si="1149"/>
        <v>3G</v>
      </c>
      <c r="BG714" s="472" t="str">
        <f t="shared" si="1150"/>
        <v>3G</v>
      </c>
      <c r="BH714" s="472" t="str">
        <f t="shared" si="1151"/>
        <v>3G</v>
      </c>
      <c r="BI714" s="472">
        <f t="shared" si="1101"/>
        <v>2</v>
      </c>
      <c r="BJ714" s="472">
        <f t="shared" si="1102"/>
        <v>1</v>
      </c>
      <c r="BK714" s="472">
        <f t="shared" si="1103"/>
        <v>3</v>
      </c>
      <c r="BL714" s="472" t="str">
        <f t="shared" si="1152"/>
        <v>213</v>
      </c>
    </row>
    <row r="715" spans="2:71">
      <c r="B715" s="360">
        <v>712</v>
      </c>
      <c r="C715" s="363" t="s">
        <v>1078</v>
      </c>
      <c r="N715" s="28">
        <v>17</v>
      </c>
      <c r="O715" s="28">
        <v>20</v>
      </c>
      <c r="P715" s="28">
        <v>30</v>
      </c>
      <c r="Q715" s="28">
        <v>31</v>
      </c>
      <c r="R715" s="28">
        <v>33</v>
      </c>
      <c r="S715" s="28">
        <v>45</v>
      </c>
      <c r="T715" s="28">
        <v>19</v>
      </c>
      <c r="U715" s="28">
        <f t="shared" si="932"/>
        <v>176</v>
      </c>
      <c r="W715" s="27" t="str">
        <f t="shared" si="933"/>
        <v>홀수</v>
      </c>
      <c r="X715" s="27" t="str">
        <f t="shared" si="934"/>
        <v>짝수</v>
      </c>
      <c r="Y715" s="27" t="str">
        <f t="shared" si="935"/>
        <v>짝수</v>
      </c>
      <c r="Z715" s="27" t="str">
        <f t="shared" si="936"/>
        <v>홀수</v>
      </c>
      <c r="AA715" s="28" t="str">
        <f t="shared" si="937"/>
        <v>홀수</v>
      </c>
      <c r="AB715" s="28" t="str">
        <f t="shared" si="938"/>
        <v>홀수</v>
      </c>
      <c r="AC715" s="27" t="str">
        <f t="shared" si="939"/>
        <v>4 : 2</v>
      </c>
      <c r="AD715" s="32">
        <f t="shared" si="940"/>
        <v>4</v>
      </c>
      <c r="AE715" s="32">
        <f t="shared" si="941"/>
        <v>2</v>
      </c>
      <c r="AF715" s="66" t="str">
        <f t="shared" si="942"/>
        <v>저수</v>
      </c>
      <c r="AG715" s="66" t="str">
        <f t="shared" si="943"/>
        <v>저수</v>
      </c>
      <c r="AH715" s="66" t="str">
        <f t="shared" si="944"/>
        <v>고수</v>
      </c>
      <c r="AI715" s="66" t="str">
        <f t="shared" si="945"/>
        <v>고수</v>
      </c>
      <c r="AJ715" s="66" t="str">
        <f t="shared" si="946"/>
        <v>고수</v>
      </c>
      <c r="AK715" s="66" t="str">
        <f t="shared" si="947"/>
        <v>고수</v>
      </c>
      <c r="AL715" s="66" t="str">
        <f t="shared" si="948"/>
        <v>2 : 4</v>
      </c>
      <c r="AM715" s="27">
        <f t="shared" si="949"/>
        <v>2</v>
      </c>
      <c r="AN715" s="27">
        <f t="shared" si="950"/>
        <v>4</v>
      </c>
      <c r="AO715" s="27">
        <f t="shared" si="951"/>
        <v>16</v>
      </c>
      <c r="AP715" s="66" t="str">
        <f t="shared" si="952"/>
        <v>O</v>
      </c>
      <c r="AQ715" s="66" t="str">
        <f t="shared" si="953"/>
        <v>X</v>
      </c>
      <c r="AR715" s="66" t="str">
        <f t="shared" si="954"/>
        <v>X</v>
      </c>
      <c r="AS715" s="66" t="str">
        <f t="shared" si="955"/>
        <v>X</v>
      </c>
      <c r="AT715" s="66" t="str">
        <f t="shared" si="956"/>
        <v>X</v>
      </c>
      <c r="AU715" s="66" t="str">
        <f t="shared" si="957"/>
        <v>X</v>
      </c>
      <c r="AV715" s="66" t="str">
        <f t="shared" si="958"/>
        <v>X</v>
      </c>
      <c r="AW715" s="66" t="str">
        <f t="shared" si="959"/>
        <v>X</v>
      </c>
      <c r="AX715" s="66" t="str">
        <f t="shared" si="960"/>
        <v>X</v>
      </c>
      <c r="AY715" s="66" t="str">
        <f t="shared" si="961"/>
        <v>O</v>
      </c>
      <c r="AZ715" s="66" t="str">
        <f t="shared" si="962"/>
        <v>X</v>
      </c>
      <c r="BA715" s="27" t="str">
        <f t="shared" si="963"/>
        <v>X</v>
      </c>
      <c r="BB715" s="27">
        <f t="shared" si="964"/>
        <v>2</v>
      </c>
      <c r="BC715" s="473" t="str">
        <f t="shared" ref="BC715:BC716" si="1153">VLOOKUP(N715,삼그룹,6,FALSE)</f>
        <v>2G</v>
      </c>
      <c r="BD715" s="473" t="str">
        <f t="shared" ref="BD715:BD716" si="1154">VLOOKUP(O715,삼그룹,6,FALSE)</f>
        <v>2G</v>
      </c>
      <c r="BE715" s="473" t="str">
        <f t="shared" ref="BE715:BE716" si="1155">VLOOKUP(P715,삼그룹,6,FALSE)</f>
        <v>2G</v>
      </c>
      <c r="BF715" s="473" t="str">
        <f t="shared" ref="BF715:BF716" si="1156">VLOOKUP(Q715,삼그룹,6,FALSE)</f>
        <v>3G</v>
      </c>
      <c r="BG715" s="473" t="str">
        <f t="shared" ref="BG715:BG716" si="1157">VLOOKUP(R715,삼그룹,6,FALSE)</f>
        <v>3G</v>
      </c>
      <c r="BH715" s="473" t="str">
        <f t="shared" ref="BH715:BH716" si="1158">VLOOKUP(S715,삼그룹,6,FALSE)</f>
        <v>3G</v>
      </c>
      <c r="BI715" s="473">
        <f t="shared" si="1101"/>
        <v>0</v>
      </c>
      <c r="BJ715" s="473">
        <f t="shared" si="1102"/>
        <v>3</v>
      </c>
      <c r="BK715" s="473">
        <f t="shared" si="1103"/>
        <v>3</v>
      </c>
      <c r="BL715" s="473" t="str">
        <f t="shared" ref="BL715:BL716" si="1159">BI715&amp;BJ715&amp;BK715</f>
        <v>033</v>
      </c>
    </row>
    <row r="716" spans="2:71">
      <c r="B716" s="360">
        <v>713</v>
      </c>
      <c r="C716" s="363" t="s">
        <v>1079</v>
      </c>
      <c r="N716" s="28">
        <v>2</v>
      </c>
      <c r="O716" s="28">
        <v>5</v>
      </c>
      <c r="P716" s="28">
        <v>15</v>
      </c>
      <c r="Q716" s="28">
        <v>18</v>
      </c>
      <c r="R716" s="28">
        <v>19</v>
      </c>
      <c r="S716" s="28">
        <v>23</v>
      </c>
      <c r="T716" s="28">
        <v>44</v>
      </c>
      <c r="U716" s="28">
        <f t="shared" si="932"/>
        <v>82</v>
      </c>
      <c r="W716" s="27" t="str">
        <f t="shared" si="933"/>
        <v>짝수</v>
      </c>
      <c r="X716" s="27" t="str">
        <f t="shared" si="934"/>
        <v>홀수</v>
      </c>
      <c r="Y716" s="27" t="str">
        <f t="shared" si="935"/>
        <v>홀수</v>
      </c>
      <c r="Z716" s="27" t="str">
        <f t="shared" si="936"/>
        <v>짝수</v>
      </c>
      <c r="AA716" s="28" t="str">
        <f t="shared" si="937"/>
        <v>홀수</v>
      </c>
      <c r="AB716" s="28" t="str">
        <f t="shared" si="938"/>
        <v>홀수</v>
      </c>
      <c r="AC716" s="27" t="str">
        <f t="shared" si="939"/>
        <v>4 : 2</v>
      </c>
      <c r="AD716" s="32">
        <f t="shared" si="940"/>
        <v>4</v>
      </c>
      <c r="AE716" s="32">
        <f t="shared" si="941"/>
        <v>2</v>
      </c>
      <c r="AF716" s="66" t="str">
        <f t="shared" si="942"/>
        <v>저수</v>
      </c>
      <c r="AG716" s="66" t="str">
        <f t="shared" si="943"/>
        <v>저수</v>
      </c>
      <c r="AH716" s="66" t="str">
        <f t="shared" si="944"/>
        <v>저수</v>
      </c>
      <c r="AI716" s="66" t="str">
        <f t="shared" si="945"/>
        <v>저수</v>
      </c>
      <c r="AJ716" s="66" t="str">
        <f t="shared" si="946"/>
        <v>저수</v>
      </c>
      <c r="AK716" s="66" t="str">
        <f t="shared" si="947"/>
        <v>고수</v>
      </c>
      <c r="AL716" s="66" t="str">
        <f t="shared" si="948"/>
        <v>5 : 1</v>
      </c>
      <c r="AM716" s="27">
        <f t="shared" si="949"/>
        <v>5</v>
      </c>
      <c r="AN716" s="27">
        <f t="shared" si="950"/>
        <v>1</v>
      </c>
      <c r="AO716" s="27">
        <f t="shared" si="951"/>
        <v>32</v>
      </c>
      <c r="AP716" s="66" t="str">
        <f t="shared" si="952"/>
        <v>O</v>
      </c>
      <c r="AQ716" s="66" t="str">
        <f t="shared" si="953"/>
        <v>O</v>
      </c>
      <c r="AR716" s="66" t="str">
        <f t="shared" si="954"/>
        <v>X</v>
      </c>
      <c r="AS716" s="66" t="str">
        <f t="shared" si="955"/>
        <v>X</v>
      </c>
      <c r="AT716" s="66" t="str">
        <f t="shared" si="956"/>
        <v>O</v>
      </c>
      <c r="AU716" s="66" t="str">
        <f t="shared" si="957"/>
        <v>X</v>
      </c>
      <c r="AV716" s="66" t="str">
        <f t="shared" si="958"/>
        <v>X</v>
      </c>
      <c r="AW716" s="66" t="str">
        <f t="shared" si="959"/>
        <v>X</v>
      </c>
      <c r="AX716" s="66" t="str">
        <f t="shared" si="960"/>
        <v>X</v>
      </c>
      <c r="AY716" s="66" t="str">
        <f t="shared" si="961"/>
        <v>X</v>
      </c>
      <c r="AZ716" s="66" t="str">
        <f t="shared" si="962"/>
        <v>X</v>
      </c>
      <c r="BA716" s="27" t="str">
        <f t="shared" si="963"/>
        <v>O</v>
      </c>
      <c r="BB716" s="27">
        <f t="shared" si="964"/>
        <v>4</v>
      </c>
      <c r="BC716" s="474" t="str">
        <f t="shared" si="1153"/>
        <v>1G</v>
      </c>
      <c r="BD716" s="474" t="str">
        <f t="shared" si="1154"/>
        <v>1G</v>
      </c>
      <c r="BE716" s="474" t="str">
        <f t="shared" si="1155"/>
        <v>1G</v>
      </c>
      <c r="BF716" s="474" t="str">
        <f t="shared" si="1156"/>
        <v>2G</v>
      </c>
      <c r="BG716" s="474" t="str">
        <f t="shared" si="1157"/>
        <v>2G</v>
      </c>
      <c r="BH716" s="474" t="str">
        <f t="shared" si="1158"/>
        <v>2G</v>
      </c>
      <c r="BI716" s="474">
        <f t="shared" si="1101"/>
        <v>3</v>
      </c>
      <c r="BJ716" s="474">
        <f t="shared" si="1102"/>
        <v>3</v>
      </c>
      <c r="BK716" s="474">
        <f t="shared" si="1103"/>
        <v>0</v>
      </c>
      <c r="BL716" s="474" t="str">
        <f t="shared" si="1159"/>
        <v>330</v>
      </c>
    </row>
    <row r="717" spans="2:71">
      <c r="B717" s="18">
        <v>714</v>
      </c>
      <c r="C717" s="363" t="s">
        <v>1080</v>
      </c>
      <c r="N717" s="28">
        <v>1</v>
      </c>
      <c r="O717" s="28">
        <v>7</v>
      </c>
      <c r="P717" s="28">
        <v>22</v>
      </c>
      <c r="Q717" s="28">
        <v>33</v>
      </c>
      <c r="R717" s="28">
        <v>37</v>
      </c>
      <c r="S717" s="28">
        <v>40</v>
      </c>
      <c r="T717" s="28">
        <v>20</v>
      </c>
      <c r="U717" s="28">
        <f t="shared" si="932"/>
        <v>140</v>
      </c>
      <c r="W717" s="27" t="str">
        <f t="shared" si="933"/>
        <v>홀수</v>
      </c>
      <c r="X717" s="27" t="str">
        <f t="shared" si="934"/>
        <v>홀수</v>
      </c>
      <c r="Y717" s="27" t="str">
        <f t="shared" si="935"/>
        <v>짝수</v>
      </c>
      <c r="Z717" s="27" t="str">
        <f t="shared" si="936"/>
        <v>홀수</v>
      </c>
      <c r="AA717" s="28" t="str">
        <f t="shared" si="937"/>
        <v>홀수</v>
      </c>
      <c r="AB717" s="28" t="str">
        <f t="shared" si="938"/>
        <v>짝수</v>
      </c>
      <c r="AC717" s="27" t="str">
        <f t="shared" si="939"/>
        <v>4 : 2</v>
      </c>
      <c r="AD717" s="32">
        <f t="shared" si="940"/>
        <v>4</v>
      </c>
      <c r="AE717" s="32">
        <f t="shared" si="941"/>
        <v>2</v>
      </c>
      <c r="AF717" s="66" t="str">
        <f t="shared" si="942"/>
        <v>저수</v>
      </c>
      <c r="AG717" s="66" t="str">
        <f t="shared" si="943"/>
        <v>저수</v>
      </c>
      <c r="AH717" s="66" t="str">
        <f t="shared" si="944"/>
        <v>저수</v>
      </c>
      <c r="AI717" s="66" t="str">
        <f t="shared" si="945"/>
        <v>고수</v>
      </c>
      <c r="AJ717" s="66" t="str">
        <f t="shared" si="946"/>
        <v>고수</v>
      </c>
      <c r="AK717" s="66" t="str">
        <f t="shared" si="947"/>
        <v>고수</v>
      </c>
      <c r="AL717" s="66" t="str">
        <f t="shared" si="948"/>
        <v>3 : 3</v>
      </c>
      <c r="AM717" s="27">
        <f t="shared" si="949"/>
        <v>3</v>
      </c>
      <c r="AN717" s="27">
        <f t="shared" si="950"/>
        <v>3</v>
      </c>
      <c r="AO717" s="27">
        <f t="shared" si="951"/>
        <v>20</v>
      </c>
      <c r="AP717" s="66" t="str">
        <f t="shared" si="952"/>
        <v>X</v>
      </c>
      <c r="AQ717" s="66" t="str">
        <f t="shared" si="953"/>
        <v>O</v>
      </c>
      <c r="AR717" s="66" t="str">
        <f t="shared" si="954"/>
        <v>X</v>
      </c>
      <c r="AS717" s="66" t="str">
        <f t="shared" si="955"/>
        <v>X</v>
      </c>
      <c r="AT717" s="66" t="str">
        <f t="shared" si="956"/>
        <v>X</v>
      </c>
      <c r="AU717" s="66" t="str">
        <f t="shared" si="957"/>
        <v>X</v>
      </c>
      <c r="AV717" s="66" t="str">
        <f t="shared" si="958"/>
        <v>X</v>
      </c>
      <c r="AW717" s="66" t="str">
        <f t="shared" si="959"/>
        <v>X</v>
      </c>
      <c r="AX717" s="66" t="str">
        <f t="shared" si="960"/>
        <v>X</v>
      </c>
      <c r="AY717" s="66" t="str">
        <f t="shared" si="961"/>
        <v>X</v>
      </c>
      <c r="AZ717" s="66" t="str">
        <f t="shared" si="962"/>
        <v>O</v>
      </c>
      <c r="BA717" s="27" t="str">
        <f t="shared" si="963"/>
        <v>X</v>
      </c>
      <c r="BB717" s="27">
        <f t="shared" si="964"/>
        <v>2</v>
      </c>
      <c r="BC717" s="475" t="str">
        <f t="shared" ref="BC717:BC718" si="1160">VLOOKUP(N717,삼그룹,6,FALSE)</f>
        <v>1G</v>
      </c>
      <c r="BD717" s="475" t="str">
        <f t="shared" ref="BD717:BD718" si="1161">VLOOKUP(O717,삼그룹,6,FALSE)</f>
        <v>1G</v>
      </c>
      <c r="BE717" s="475" t="str">
        <f t="shared" ref="BE717:BE718" si="1162">VLOOKUP(P717,삼그룹,6,FALSE)</f>
        <v>2G</v>
      </c>
      <c r="BF717" s="475" t="str">
        <f t="shared" ref="BF717:BF718" si="1163">VLOOKUP(Q717,삼그룹,6,FALSE)</f>
        <v>3G</v>
      </c>
      <c r="BG717" s="475" t="str">
        <f t="shared" ref="BG717:BG718" si="1164">VLOOKUP(R717,삼그룹,6,FALSE)</f>
        <v>3G</v>
      </c>
      <c r="BH717" s="475" t="str">
        <f t="shared" ref="BH717:BH718" si="1165">VLOOKUP(S717,삼그룹,6,FALSE)</f>
        <v>3G</v>
      </c>
      <c r="BI717" s="475">
        <f t="shared" si="1101"/>
        <v>2</v>
      </c>
      <c r="BJ717" s="475">
        <f t="shared" si="1102"/>
        <v>1</v>
      </c>
      <c r="BK717" s="475">
        <f t="shared" si="1103"/>
        <v>3</v>
      </c>
      <c r="BL717" s="475" t="str">
        <f t="shared" ref="BL717:BL718" si="1166">BI717&amp;BJ717&amp;BK717</f>
        <v>213</v>
      </c>
    </row>
    <row r="718" spans="2:71">
      <c r="B718" s="360">
        <v>715</v>
      </c>
      <c r="C718" s="363" t="s">
        <v>1081</v>
      </c>
      <c r="N718" s="28">
        <v>2</v>
      </c>
      <c r="O718" s="28">
        <v>7</v>
      </c>
      <c r="P718" s="28">
        <v>27</v>
      </c>
      <c r="Q718" s="28">
        <v>33</v>
      </c>
      <c r="R718" s="28">
        <v>41</v>
      </c>
      <c r="S718" s="28">
        <v>44</v>
      </c>
      <c r="T718" s="28">
        <v>10</v>
      </c>
      <c r="U718" s="28">
        <f t="shared" si="932"/>
        <v>154</v>
      </c>
      <c r="W718" s="27" t="str">
        <f t="shared" si="933"/>
        <v>짝수</v>
      </c>
      <c r="X718" s="27" t="str">
        <f t="shared" si="934"/>
        <v>홀수</v>
      </c>
      <c r="Y718" s="27" t="str">
        <f t="shared" si="935"/>
        <v>홀수</v>
      </c>
      <c r="Z718" s="27" t="str">
        <f t="shared" si="936"/>
        <v>홀수</v>
      </c>
      <c r="AA718" s="28" t="str">
        <f t="shared" si="937"/>
        <v>홀수</v>
      </c>
      <c r="AB718" s="28" t="str">
        <f t="shared" si="938"/>
        <v>짝수</v>
      </c>
      <c r="AC718" s="27" t="str">
        <f t="shared" si="939"/>
        <v>4 : 2</v>
      </c>
      <c r="AD718" s="32">
        <f t="shared" si="940"/>
        <v>4</v>
      </c>
      <c r="AE718" s="32">
        <f t="shared" si="941"/>
        <v>2</v>
      </c>
      <c r="AF718" s="66" t="str">
        <f t="shared" si="942"/>
        <v>저수</v>
      </c>
      <c r="AG718" s="66" t="str">
        <f t="shared" si="943"/>
        <v>저수</v>
      </c>
      <c r="AH718" s="66" t="str">
        <f t="shared" si="944"/>
        <v>고수</v>
      </c>
      <c r="AI718" s="66" t="str">
        <f t="shared" si="945"/>
        <v>고수</v>
      </c>
      <c r="AJ718" s="66" t="str">
        <f t="shared" si="946"/>
        <v>고수</v>
      </c>
      <c r="AK718" s="66" t="str">
        <f t="shared" si="947"/>
        <v>고수</v>
      </c>
      <c r="AL718" s="66" t="str">
        <f t="shared" si="948"/>
        <v>2 : 4</v>
      </c>
      <c r="AM718" s="27">
        <f t="shared" si="949"/>
        <v>2</v>
      </c>
      <c r="AN718" s="27">
        <f t="shared" si="950"/>
        <v>4</v>
      </c>
      <c r="AO718" s="27">
        <f t="shared" si="951"/>
        <v>24</v>
      </c>
      <c r="AP718" s="66" t="str">
        <f t="shared" si="952"/>
        <v>O</v>
      </c>
      <c r="AQ718" s="66" t="str">
        <f t="shared" si="953"/>
        <v>O</v>
      </c>
      <c r="AR718" s="66" t="str">
        <f t="shared" si="954"/>
        <v>X</v>
      </c>
      <c r="AS718" s="66" t="str">
        <f t="shared" si="955"/>
        <v>X</v>
      </c>
      <c r="AT718" s="66" t="str">
        <f t="shared" si="956"/>
        <v>X</v>
      </c>
      <c r="AU718" s="66" t="str">
        <f t="shared" si="957"/>
        <v>X</v>
      </c>
      <c r="AV718" s="66" t="str">
        <f t="shared" si="958"/>
        <v>X</v>
      </c>
      <c r="AW718" s="66" t="str">
        <f t="shared" si="959"/>
        <v>X</v>
      </c>
      <c r="AX718" s="66" t="str">
        <f t="shared" si="960"/>
        <v>X</v>
      </c>
      <c r="AY718" s="66" t="str">
        <f t="shared" si="961"/>
        <v>X</v>
      </c>
      <c r="AZ718" s="66" t="str">
        <f t="shared" si="962"/>
        <v>O</v>
      </c>
      <c r="BA718" s="27" t="str">
        <f t="shared" si="963"/>
        <v>X</v>
      </c>
      <c r="BB718" s="27">
        <f t="shared" si="964"/>
        <v>3</v>
      </c>
      <c r="BC718" s="476" t="str">
        <f t="shared" si="1160"/>
        <v>1G</v>
      </c>
      <c r="BD718" s="476" t="str">
        <f t="shared" si="1161"/>
        <v>1G</v>
      </c>
      <c r="BE718" s="476" t="str">
        <f t="shared" si="1162"/>
        <v>2G</v>
      </c>
      <c r="BF718" s="476" t="str">
        <f t="shared" si="1163"/>
        <v>3G</v>
      </c>
      <c r="BG718" s="476" t="str">
        <f t="shared" si="1164"/>
        <v>3G</v>
      </c>
      <c r="BH718" s="476" t="str">
        <f t="shared" si="1165"/>
        <v>3G</v>
      </c>
      <c r="BI718" s="476">
        <f t="shared" si="1101"/>
        <v>2</v>
      </c>
      <c r="BJ718" s="476">
        <f t="shared" si="1102"/>
        <v>1</v>
      </c>
      <c r="BK718" s="476">
        <f t="shared" si="1103"/>
        <v>3</v>
      </c>
      <c r="BL718" s="476" t="str">
        <f t="shared" si="1166"/>
        <v>213</v>
      </c>
    </row>
    <row r="719" spans="2:71">
      <c r="B719" s="18">
        <v>716</v>
      </c>
      <c r="C719" s="363" t="s">
        <v>1082</v>
      </c>
      <c r="N719" s="28">
        <v>2</v>
      </c>
      <c r="O719" s="28">
        <v>6</v>
      </c>
      <c r="P719" s="28">
        <v>13</v>
      </c>
      <c r="Q719" s="28">
        <v>16</v>
      </c>
      <c r="R719" s="28">
        <v>29</v>
      </c>
      <c r="S719" s="28">
        <v>30</v>
      </c>
      <c r="T719" s="28">
        <v>21</v>
      </c>
      <c r="U719" s="28">
        <f t="shared" si="932"/>
        <v>96</v>
      </c>
      <c r="W719" s="27" t="str">
        <f t="shared" si="933"/>
        <v>짝수</v>
      </c>
      <c r="X719" s="27" t="str">
        <f t="shared" si="934"/>
        <v>짝수</v>
      </c>
      <c r="Y719" s="27" t="str">
        <f t="shared" si="935"/>
        <v>홀수</v>
      </c>
      <c r="Z719" s="27" t="str">
        <f t="shared" si="936"/>
        <v>짝수</v>
      </c>
      <c r="AA719" s="28" t="str">
        <f t="shared" si="937"/>
        <v>홀수</v>
      </c>
      <c r="AB719" s="28" t="str">
        <f t="shared" si="938"/>
        <v>짝수</v>
      </c>
      <c r="AC719" s="27" t="str">
        <f t="shared" si="939"/>
        <v>2 : 4</v>
      </c>
      <c r="AD719" s="32">
        <f t="shared" si="940"/>
        <v>2</v>
      </c>
      <c r="AE719" s="32">
        <f t="shared" si="941"/>
        <v>4</v>
      </c>
      <c r="AF719" s="66" t="str">
        <f t="shared" si="942"/>
        <v>저수</v>
      </c>
      <c r="AG719" s="66" t="str">
        <f t="shared" si="943"/>
        <v>저수</v>
      </c>
      <c r="AH719" s="66" t="str">
        <f t="shared" si="944"/>
        <v>저수</v>
      </c>
      <c r="AI719" s="66" t="str">
        <f t="shared" si="945"/>
        <v>저수</v>
      </c>
      <c r="AJ719" s="66" t="str">
        <f t="shared" si="946"/>
        <v>고수</v>
      </c>
      <c r="AK719" s="66" t="str">
        <f t="shared" si="947"/>
        <v>고수</v>
      </c>
      <c r="AL719" s="66" t="str">
        <f t="shared" si="948"/>
        <v>4 : 2</v>
      </c>
      <c r="AM719" s="27">
        <f t="shared" si="949"/>
        <v>4</v>
      </c>
      <c r="AN719" s="27">
        <f t="shared" si="950"/>
        <v>2</v>
      </c>
      <c r="AO719" s="27">
        <f t="shared" si="951"/>
        <v>26</v>
      </c>
      <c r="AP719" s="66" t="str">
        <f t="shared" si="952"/>
        <v>O</v>
      </c>
      <c r="AQ719" s="66" t="str">
        <f t="shared" si="953"/>
        <v>X</v>
      </c>
      <c r="AR719" s="66" t="str">
        <f t="shared" si="954"/>
        <v>O</v>
      </c>
      <c r="AS719" s="66" t="str">
        <f t="shared" si="955"/>
        <v>X</v>
      </c>
      <c r="AT719" s="66" t="str">
        <f t="shared" si="956"/>
        <v>X</v>
      </c>
      <c r="AU719" s="66" t="str">
        <f t="shared" si="957"/>
        <v>X</v>
      </c>
      <c r="AV719" s="66" t="str">
        <f t="shared" si="958"/>
        <v>X</v>
      </c>
      <c r="AW719" s="66" t="str">
        <f t="shared" si="959"/>
        <v>X</v>
      </c>
      <c r="AX719" s="66" t="str">
        <f t="shared" si="960"/>
        <v>X</v>
      </c>
      <c r="AY719" s="66" t="str">
        <f t="shared" si="961"/>
        <v>X</v>
      </c>
      <c r="AZ719" s="66" t="str">
        <f t="shared" si="962"/>
        <v>O</v>
      </c>
      <c r="BA719" s="27" t="str">
        <f t="shared" si="963"/>
        <v>X</v>
      </c>
      <c r="BB719" s="27">
        <f t="shared" si="964"/>
        <v>3</v>
      </c>
      <c r="BC719" s="477" t="str">
        <f t="shared" ref="BC719:BC720" si="1167">VLOOKUP(N719,삼그룹,6,FALSE)</f>
        <v>1G</v>
      </c>
      <c r="BD719" s="477" t="str">
        <f t="shared" ref="BD719:BD720" si="1168">VLOOKUP(O719,삼그룹,6,FALSE)</f>
        <v>1G</v>
      </c>
      <c r="BE719" s="477" t="str">
        <f t="shared" ref="BE719:BE720" si="1169">VLOOKUP(P719,삼그룹,6,FALSE)</f>
        <v>1G</v>
      </c>
      <c r="BF719" s="477" t="str">
        <f t="shared" ref="BF719:BF720" si="1170">VLOOKUP(Q719,삼그룹,6,FALSE)</f>
        <v>2G</v>
      </c>
      <c r="BG719" s="477" t="str">
        <f t="shared" ref="BG719:BG720" si="1171">VLOOKUP(R719,삼그룹,6,FALSE)</f>
        <v>2G</v>
      </c>
      <c r="BH719" s="477" t="str">
        <f t="shared" ref="BH719:BH720" si="1172">VLOOKUP(S719,삼그룹,6,FALSE)</f>
        <v>2G</v>
      </c>
      <c r="BI719" s="477">
        <f t="shared" si="1101"/>
        <v>3</v>
      </c>
      <c r="BJ719" s="477">
        <f t="shared" si="1102"/>
        <v>3</v>
      </c>
      <c r="BK719" s="477">
        <f t="shared" si="1103"/>
        <v>0</v>
      </c>
      <c r="BL719" s="477" t="str">
        <f t="shared" ref="BL719:BL720" si="1173">BI719&amp;BJ719&amp;BK719</f>
        <v>330</v>
      </c>
    </row>
    <row r="720" spans="2:71">
      <c r="B720" s="360">
        <v>717</v>
      </c>
      <c r="C720" s="363" t="s">
        <v>1083</v>
      </c>
      <c r="N720" s="28">
        <v>2</v>
      </c>
      <c r="O720" s="28">
        <v>11</v>
      </c>
      <c r="P720" s="28">
        <v>19</v>
      </c>
      <c r="Q720" s="28">
        <v>25</v>
      </c>
      <c r="R720" s="28">
        <v>28</v>
      </c>
      <c r="S720" s="28">
        <v>32</v>
      </c>
      <c r="T720" s="28">
        <v>44</v>
      </c>
      <c r="U720" s="28">
        <f t="shared" si="932"/>
        <v>117</v>
      </c>
      <c r="W720" s="27" t="str">
        <f t="shared" si="933"/>
        <v>짝수</v>
      </c>
      <c r="X720" s="27" t="str">
        <f t="shared" si="934"/>
        <v>홀수</v>
      </c>
      <c r="Y720" s="27" t="str">
        <f t="shared" si="935"/>
        <v>홀수</v>
      </c>
      <c r="Z720" s="27" t="str">
        <f t="shared" si="936"/>
        <v>홀수</v>
      </c>
      <c r="AA720" s="28" t="str">
        <f t="shared" si="937"/>
        <v>짝수</v>
      </c>
      <c r="AB720" s="28" t="str">
        <f t="shared" si="938"/>
        <v>짝수</v>
      </c>
      <c r="AC720" s="27" t="str">
        <f t="shared" si="939"/>
        <v>3 : 3</v>
      </c>
      <c r="AD720" s="32">
        <f t="shared" si="940"/>
        <v>3</v>
      </c>
      <c r="AE720" s="32">
        <f t="shared" si="941"/>
        <v>3</v>
      </c>
      <c r="AF720" s="66" t="str">
        <f t="shared" si="942"/>
        <v>저수</v>
      </c>
      <c r="AG720" s="66" t="str">
        <f t="shared" si="943"/>
        <v>저수</v>
      </c>
      <c r="AH720" s="66" t="str">
        <f t="shared" si="944"/>
        <v>저수</v>
      </c>
      <c r="AI720" s="66" t="str">
        <f t="shared" si="945"/>
        <v>고수</v>
      </c>
      <c r="AJ720" s="66" t="str">
        <f t="shared" si="946"/>
        <v>고수</v>
      </c>
      <c r="AK720" s="66" t="str">
        <f t="shared" si="947"/>
        <v>고수</v>
      </c>
      <c r="AL720" s="66" t="str">
        <f t="shared" si="948"/>
        <v>3 : 3</v>
      </c>
      <c r="AM720" s="27">
        <f t="shared" si="949"/>
        <v>3</v>
      </c>
      <c r="AN720" s="27">
        <f t="shared" si="950"/>
        <v>3</v>
      </c>
      <c r="AO720" s="27">
        <f t="shared" si="951"/>
        <v>27</v>
      </c>
      <c r="AP720" s="66" t="str">
        <f t="shared" si="952"/>
        <v>O</v>
      </c>
      <c r="AQ720" s="66" t="str">
        <f t="shared" si="953"/>
        <v>O</v>
      </c>
      <c r="AR720" s="66" t="str">
        <f t="shared" si="954"/>
        <v>O</v>
      </c>
      <c r="AS720" s="66" t="str">
        <f t="shared" si="955"/>
        <v>X</v>
      </c>
      <c r="AT720" s="66" t="str">
        <f t="shared" si="956"/>
        <v>X</v>
      </c>
      <c r="AU720" s="66" t="str">
        <f t="shared" si="957"/>
        <v>X</v>
      </c>
      <c r="AV720" s="66" t="str">
        <f t="shared" si="958"/>
        <v>X</v>
      </c>
      <c r="AW720" s="66" t="str">
        <f t="shared" si="959"/>
        <v>X</v>
      </c>
      <c r="AX720" s="66" t="str">
        <f t="shared" si="960"/>
        <v>X</v>
      </c>
      <c r="AY720" s="66" t="str">
        <f t="shared" si="961"/>
        <v>X</v>
      </c>
      <c r="AZ720" s="66" t="str">
        <f t="shared" si="962"/>
        <v>X</v>
      </c>
      <c r="BA720" s="27" t="str">
        <f t="shared" si="963"/>
        <v>X</v>
      </c>
      <c r="BB720" s="27">
        <f t="shared" si="964"/>
        <v>3</v>
      </c>
      <c r="BC720" s="478" t="str">
        <f t="shared" si="1167"/>
        <v>1G</v>
      </c>
      <c r="BD720" s="478" t="str">
        <f t="shared" si="1168"/>
        <v>1G</v>
      </c>
      <c r="BE720" s="478" t="str">
        <f t="shared" si="1169"/>
        <v>2G</v>
      </c>
      <c r="BF720" s="478" t="str">
        <f t="shared" si="1170"/>
        <v>2G</v>
      </c>
      <c r="BG720" s="478" t="str">
        <f t="shared" si="1171"/>
        <v>2G</v>
      </c>
      <c r="BH720" s="478" t="str">
        <f t="shared" si="1172"/>
        <v>3G</v>
      </c>
      <c r="BI720" s="478">
        <f t="shared" si="1101"/>
        <v>2</v>
      </c>
      <c r="BJ720" s="478">
        <f t="shared" si="1102"/>
        <v>3</v>
      </c>
      <c r="BK720" s="478">
        <f t="shared" si="1103"/>
        <v>1</v>
      </c>
      <c r="BL720" s="478" t="str">
        <f t="shared" si="1173"/>
        <v>231</v>
      </c>
    </row>
    <row r="721" spans="2:64">
      <c r="B721" s="18">
        <v>718</v>
      </c>
      <c r="C721" s="363" t="s">
        <v>1084</v>
      </c>
      <c r="N721" s="28">
        <v>4</v>
      </c>
      <c r="O721" s="28">
        <v>11</v>
      </c>
      <c r="P721" s="28">
        <v>20</v>
      </c>
      <c r="Q721" s="28">
        <v>23</v>
      </c>
      <c r="R721" s="28">
        <v>32</v>
      </c>
      <c r="S721" s="28">
        <v>39</v>
      </c>
      <c r="T721" s="28">
        <v>40</v>
      </c>
      <c r="U721" s="28">
        <f t="shared" si="932"/>
        <v>129</v>
      </c>
      <c r="W721" s="27" t="str">
        <f t="shared" si="933"/>
        <v>짝수</v>
      </c>
      <c r="X721" s="27" t="str">
        <f t="shared" si="934"/>
        <v>홀수</v>
      </c>
      <c r="Y721" s="27" t="str">
        <f t="shared" si="935"/>
        <v>짝수</v>
      </c>
      <c r="Z721" s="27" t="str">
        <f t="shared" si="936"/>
        <v>홀수</v>
      </c>
      <c r="AA721" s="28" t="str">
        <f t="shared" si="937"/>
        <v>짝수</v>
      </c>
      <c r="AB721" s="28" t="str">
        <f t="shared" si="938"/>
        <v>홀수</v>
      </c>
      <c r="AC721" s="27" t="str">
        <f t="shared" si="939"/>
        <v>3 : 3</v>
      </c>
      <c r="AD721" s="32">
        <f t="shared" si="940"/>
        <v>3</v>
      </c>
      <c r="AE721" s="32">
        <f t="shared" si="941"/>
        <v>3</v>
      </c>
      <c r="AF721" s="66" t="str">
        <f t="shared" si="942"/>
        <v>저수</v>
      </c>
      <c r="AG721" s="66" t="str">
        <f t="shared" si="943"/>
        <v>저수</v>
      </c>
      <c r="AH721" s="66" t="str">
        <f t="shared" si="944"/>
        <v>저수</v>
      </c>
      <c r="AI721" s="66" t="str">
        <f t="shared" si="945"/>
        <v>고수</v>
      </c>
      <c r="AJ721" s="66" t="str">
        <f t="shared" si="946"/>
        <v>고수</v>
      </c>
      <c r="AK721" s="66" t="str">
        <f t="shared" si="947"/>
        <v>고수</v>
      </c>
      <c r="AL721" s="66" t="str">
        <f t="shared" si="948"/>
        <v>3 : 3</v>
      </c>
      <c r="AM721" s="27">
        <f t="shared" si="949"/>
        <v>3</v>
      </c>
      <c r="AN721" s="27">
        <f t="shared" si="950"/>
        <v>3</v>
      </c>
      <c r="AO721" s="27">
        <f t="shared" si="951"/>
        <v>19</v>
      </c>
      <c r="AP721" s="66" t="str">
        <f t="shared" si="952"/>
        <v>X</v>
      </c>
      <c r="AQ721" s="66" t="str">
        <f t="shared" si="953"/>
        <v>O</v>
      </c>
      <c r="AR721" s="66" t="str">
        <f t="shared" si="954"/>
        <v>X</v>
      </c>
      <c r="AS721" s="66" t="str">
        <f t="shared" si="955"/>
        <v>X</v>
      </c>
      <c r="AT721" s="66" t="str">
        <f t="shared" si="956"/>
        <v>X</v>
      </c>
      <c r="AU721" s="66" t="str">
        <f t="shared" si="957"/>
        <v>X</v>
      </c>
      <c r="AV721" s="66" t="str">
        <f t="shared" si="958"/>
        <v>X</v>
      </c>
      <c r="AW721" s="66" t="str">
        <f t="shared" si="959"/>
        <v>X</v>
      </c>
      <c r="AX721" s="66" t="str">
        <f t="shared" si="960"/>
        <v>X</v>
      </c>
      <c r="AY721" s="66" t="str">
        <f t="shared" si="961"/>
        <v>O</v>
      </c>
      <c r="AZ721" s="66" t="str">
        <f t="shared" si="962"/>
        <v>X</v>
      </c>
      <c r="BA721" s="27" t="str">
        <f t="shared" si="963"/>
        <v>X</v>
      </c>
      <c r="BB721" s="27">
        <f t="shared" si="964"/>
        <v>2</v>
      </c>
      <c r="BC721" s="479" t="str">
        <f t="shared" ref="BC721:BC722" si="1174">VLOOKUP(N721,삼그룹,6,FALSE)</f>
        <v>1G</v>
      </c>
      <c r="BD721" s="479" t="str">
        <f t="shared" ref="BD721:BD722" si="1175">VLOOKUP(O721,삼그룹,6,FALSE)</f>
        <v>1G</v>
      </c>
      <c r="BE721" s="479" t="str">
        <f t="shared" ref="BE721:BE722" si="1176">VLOOKUP(P721,삼그룹,6,FALSE)</f>
        <v>2G</v>
      </c>
      <c r="BF721" s="479" t="str">
        <f t="shared" ref="BF721:BF722" si="1177">VLOOKUP(Q721,삼그룹,6,FALSE)</f>
        <v>2G</v>
      </c>
      <c r="BG721" s="479" t="str">
        <f t="shared" ref="BG721:BG722" si="1178">VLOOKUP(R721,삼그룹,6,FALSE)</f>
        <v>3G</v>
      </c>
      <c r="BH721" s="479" t="str">
        <f t="shared" ref="BH721:BH722" si="1179">VLOOKUP(S721,삼그룹,6,FALSE)</f>
        <v>3G</v>
      </c>
      <c r="BI721" s="479">
        <f t="shared" si="1101"/>
        <v>2</v>
      </c>
      <c r="BJ721" s="479">
        <f t="shared" si="1102"/>
        <v>2</v>
      </c>
      <c r="BK721" s="479">
        <f t="shared" si="1103"/>
        <v>2</v>
      </c>
      <c r="BL721" s="479" t="str">
        <f t="shared" ref="BL721:BL722" si="1180">BI721&amp;BJ721&amp;BK721</f>
        <v>222</v>
      </c>
    </row>
    <row r="722" spans="2:64">
      <c r="B722" s="18">
        <v>719</v>
      </c>
      <c r="C722" s="363" t="s">
        <v>1085</v>
      </c>
      <c r="N722" s="28">
        <v>4</v>
      </c>
      <c r="O722" s="28">
        <v>8</v>
      </c>
      <c r="P722" s="28">
        <v>13</v>
      </c>
      <c r="Q722" s="28">
        <v>19</v>
      </c>
      <c r="R722" s="28">
        <v>20</v>
      </c>
      <c r="S722" s="28">
        <v>43</v>
      </c>
      <c r="T722" s="28">
        <v>26</v>
      </c>
      <c r="U722" s="28">
        <f t="shared" si="932"/>
        <v>107</v>
      </c>
      <c r="W722" s="27" t="str">
        <f t="shared" si="933"/>
        <v>짝수</v>
      </c>
      <c r="X722" s="27" t="str">
        <f t="shared" si="934"/>
        <v>짝수</v>
      </c>
      <c r="Y722" s="27" t="str">
        <f t="shared" si="935"/>
        <v>홀수</v>
      </c>
      <c r="Z722" s="27" t="str">
        <f t="shared" si="936"/>
        <v>홀수</v>
      </c>
      <c r="AA722" s="28" t="str">
        <f t="shared" si="937"/>
        <v>짝수</v>
      </c>
      <c r="AB722" s="28" t="str">
        <f t="shared" si="938"/>
        <v>홀수</v>
      </c>
      <c r="AC722" s="27" t="str">
        <f t="shared" si="939"/>
        <v>3 : 3</v>
      </c>
      <c r="AD722" s="32">
        <f t="shared" si="940"/>
        <v>3</v>
      </c>
      <c r="AE722" s="32">
        <f t="shared" si="941"/>
        <v>3</v>
      </c>
      <c r="AF722" s="66" t="str">
        <f t="shared" si="942"/>
        <v>저수</v>
      </c>
      <c r="AG722" s="66" t="str">
        <f t="shared" si="943"/>
        <v>저수</v>
      </c>
      <c r="AH722" s="66" t="str">
        <f t="shared" si="944"/>
        <v>저수</v>
      </c>
      <c r="AI722" s="66" t="str">
        <f t="shared" si="945"/>
        <v>저수</v>
      </c>
      <c r="AJ722" s="66" t="str">
        <f t="shared" si="946"/>
        <v>저수</v>
      </c>
      <c r="AK722" s="66" t="str">
        <f t="shared" si="947"/>
        <v>고수</v>
      </c>
      <c r="AL722" s="66" t="str">
        <f t="shared" si="948"/>
        <v>5 : 1</v>
      </c>
      <c r="AM722" s="27">
        <f t="shared" si="949"/>
        <v>5</v>
      </c>
      <c r="AN722" s="27">
        <f t="shared" si="950"/>
        <v>1</v>
      </c>
      <c r="AO722" s="27">
        <f t="shared" si="951"/>
        <v>27</v>
      </c>
      <c r="AP722" s="66" t="str">
        <f t="shared" si="952"/>
        <v>X</v>
      </c>
      <c r="AQ722" s="66" t="str">
        <f t="shared" si="953"/>
        <v>X</v>
      </c>
      <c r="AR722" s="66" t="str">
        <f t="shared" si="954"/>
        <v>O</v>
      </c>
      <c r="AS722" s="66" t="str">
        <f t="shared" si="955"/>
        <v>O</v>
      </c>
      <c r="AT722" s="66" t="str">
        <f t="shared" si="956"/>
        <v>X</v>
      </c>
      <c r="AU722" s="66" t="str">
        <f t="shared" si="957"/>
        <v>X</v>
      </c>
      <c r="AV722" s="66" t="str">
        <f t="shared" si="958"/>
        <v>X</v>
      </c>
      <c r="AW722" s="66" t="str">
        <f t="shared" si="959"/>
        <v>X</v>
      </c>
      <c r="AX722" s="66" t="str">
        <f t="shared" si="960"/>
        <v>X</v>
      </c>
      <c r="AY722" s="66" t="str">
        <f t="shared" si="961"/>
        <v>X</v>
      </c>
      <c r="AZ722" s="66" t="str">
        <f t="shared" si="962"/>
        <v>X</v>
      </c>
      <c r="BA722" s="27" t="str">
        <f t="shared" si="963"/>
        <v>O</v>
      </c>
      <c r="BB722" s="27">
        <f t="shared" si="964"/>
        <v>3</v>
      </c>
      <c r="BC722" s="480" t="str">
        <f t="shared" si="1174"/>
        <v>1G</v>
      </c>
      <c r="BD722" s="480" t="str">
        <f t="shared" si="1175"/>
        <v>1G</v>
      </c>
      <c r="BE722" s="480" t="str">
        <f t="shared" si="1176"/>
        <v>1G</v>
      </c>
      <c r="BF722" s="480" t="str">
        <f t="shared" si="1177"/>
        <v>2G</v>
      </c>
      <c r="BG722" s="480" t="str">
        <f t="shared" si="1178"/>
        <v>2G</v>
      </c>
      <c r="BH722" s="480" t="str">
        <f t="shared" si="1179"/>
        <v>3G</v>
      </c>
      <c r="BI722" s="480">
        <f t="shared" si="1101"/>
        <v>3</v>
      </c>
      <c r="BJ722" s="480">
        <f t="shared" si="1102"/>
        <v>2</v>
      </c>
      <c r="BK722" s="480">
        <f t="shared" si="1103"/>
        <v>1</v>
      </c>
      <c r="BL722" s="480" t="str">
        <f t="shared" si="1180"/>
        <v>321</v>
      </c>
    </row>
    <row r="723" spans="2:64">
      <c r="B723" s="360">
        <v>720</v>
      </c>
      <c r="C723" s="363" t="s">
        <v>1086</v>
      </c>
      <c r="N723" s="28">
        <v>1</v>
      </c>
      <c r="O723" s="28">
        <v>12</v>
      </c>
      <c r="P723" s="28">
        <v>29</v>
      </c>
      <c r="Q723" s="28">
        <v>34</v>
      </c>
      <c r="R723" s="28">
        <v>36</v>
      </c>
      <c r="S723" s="28">
        <v>37</v>
      </c>
      <c r="T723" s="28">
        <v>41</v>
      </c>
      <c r="U723" s="28">
        <f t="shared" si="932"/>
        <v>149</v>
      </c>
      <c r="W723" s="27" t="str">
        <f t="shared" si="933"/>
        <v>홀수</v>
      </c>
      <c r="X723" s="27" t="str">
        <f t="shared" si="934"/>
        <v>짝수</v>
      </c>
      <c r="Y723" s="27" t="str">
        <f t="shared" si="935"/>
        <v>홀수</v>
      </c>
      <c r="Z723" s="27" t="str">
        <f t="shared" si="936"/>
        <v>짝수</v>
      </c>
      <c r="AA723" s="28" t="str">
        <f t="shared" si="937"/>
        <v>짝수</v>
      </c>
      <c r="AB723" s="28" t="str">
        <f t="shared" si="938"/>
        <v>홀수</v>
      </c>
      <c r="AC723" s="27" t="str">
        <f t="shared" si="939"/>
        <v>3 : 3</v>
      </c>
      <c r="AD723" s="32">
        <f t="shared" si="940"/>
        <v>3</v>
      </c>
      <c r="AE723" s="32">
        <f t="shared" si="941"/>
        <v>3</v>
      </c>
      <c r="AF723" s="66" t="str">
        <f t="shared" si="942"/>
        <v>저수</v>
      </c>
      <c r="AG723" s="66" t="str">
        <f t="shared" si="943"/>
        <v>저수</v>
      </c>
      <c r="AH723" s="66" t="str">
        <f t="shared" si="944"/>
        <v>고수</v>
      </c>
      <c r="AI723" s="66" t="str">
        <f t="shared" si="945"/>
        <v>고수</v>
      </c>
      <c r="AJ723" s="66" t="str">
        <f t="shared" si="946"/>
        <v>고수</v>
      </c>
      <c r="AK723" s="66" t="str">
        <f t="shared" si="947"/>
        <v>고수</v>
      </c>
      <c r="AL723" s="66" t="str">
        <f t="shared" si="948"/>
        <v>2 : 4</v>
      </c>
      <c r="AM723" s="27">
        <f t="shared" si="949"/>
        <v>2</v>
      </c>
      <c r="AN723" s="27">
        <f t="shared" si="950"/>
        <v>4</v>
      </c>
      <c r="AO723" s="27">
        <f t="shared" si="951"/>
        <v>29</v>
      </c>
      <c r="AP723" s="66" t="str">
        <f t="shared" si="952"/>
        <v>X</v>
      </c>
      <c r="AQ723" s="66" t="str">
        <f t="shared" si="953"/>
        <v>X</v>
      </c>
      <c r="AR723" s="66" t="str">
        <f t="shared" si="954"/>
        <v>X</v>
      </c>
      <c r="AS723" s="66" t="str">
        <f t="shared" si="955"/>
        <v>X</v>
      </c>
      <c r="AT723" s="66" t="str">
        <f t="shared" si="956"/>
        <v>X</v>
      </c>
      <c r="AU723" s="66" t="str">
        <f t="shared" si="957"/>
        <v>X</v>
      </c>
      <c r="AV723" s="66" t="str">
        <f t="shared" si="958"/>
        <v>X</v>
      </c>
      <c r="AW723" s="66" t="str">
        <f t="shared" si="959"/>
        <v>X</v>
      </c>
      <c r="AX723" s="66" t="str">
        <f t="shared" si="960"/>
        <v>O</v>
      </c>
      <c r="AY723" s="66" t="str">
        <f t="shared" si="961"/>
        <v>X</v>
      </c>
      <c r="AZ723" s="66" t="str">
        <f t="shared" si="962"/>
        <v>X</v>
      </c>
      <c r="BA723" s="27" t="str">
        <f t="shared" si="963"/>
        <v>O</v>
      </c>
      <c r="BB723" s="27">
        <f t="shared" si="964"/>
        <v>2</v>
      </c>
      <c r="BC723" s="481" t="str">
        <f t="shared" ref="BC723:BC724" si="1181">VLOOKUP(N723,삼그룹,6,FALSE)</f>
        <v>1G</v>
      </c>
      <c r="BD723" s="481" t="str">
        <f t="shared" ref="BD723:BD724" si="1182">VLOOKUP(O723,삼그룹,6,FALSE)</f>
        <v>1G</v>
      </c>
      <c r="BE723" s="481" t="str">
        <f t="shared" ref="BE723:BE724" si="1183">VLOOKUP(P723,삼그룹,6,FALSE)</f>
        <v>2G</v>
      </c>
      <c r="BF723" s="481" t="str">
        <f t="shared" ref="BF723:BF724" si="1184">VLOOKUP(Q723,삼그룹,6,FALSE)</f>
        <v>3G</v>
      </c>
      <c r="BG723" s="481" t="str">
        <f t="shared" ref="BG723:BG724" si="1185">VLOOKUP(R723,삼그룹,6,FALSE)</f>
        <v>3G</v>
      </c>
      <c r="BH723" s="481" t="str">
        <f t="shared" ref="BH723:BH724" si="1186">VLOOKUP(S723,삼그룹,6,FALSE)</f>
        <v>3G</v>
      </c>
      <c r="BI723" s="481">
        <f t="shared" si="1101"/>
        <v>2</v>
      </c>
      <c r="BJ723" s="481">
        <f t="shared" si="1102"/>
        <v>1</v>
      </c>
      <c r="BK723" s="481">
        <f t="shared" si="1103"/>
        <v>3</v>
      </c>
      <c r="BL723" s="481" t="str">
        <f t="shared" ref="BL723:BL724" si="1187">BI723&amp;BJ723&amp;BK723</f>
        <v>213</v>
      </c>
    </row>
    <row r="724" spans="2:64">
      <c r="B724" s="360">
        <v>721</v>
      </c>
      <c r="C724" s="363" t="s">
        <v>1087</v>
      </c>
      <c r="N724" s="28">
        <v>1</v>
      </c>
      <c r="O724" s="28">
        <v>28</v>
      </c>
      <c r="P724" s="28">
        <v>35</v>
      </c>
      <c r="Q724" s="28">
        <v>41</v>
      </c>
      <c r="R724" s="28">
        <v>43</v>
      </c>
      <c r="S724" s="28">
        <v>44</v>
      </c>
      <c r="T724" s="28">
        <v>31</v>
      </c>
      <c r="U724" s="28">
        <f t="shared" si="932"/>
        <v>192</v>
      </c>
      <c r="W724" s="27" t="str">
        <f t="shared" si="933"/>
        <v>홀수</v>
      </c>
      <c r="X724" s="27" t="str">
        <f t="shared" si="934"/>
        <v>짝수</v>
      </c>
      <c r="Y724" s="27" t="str">
        <f t="shared" si="935"/>
        <v>홀수</v>
      </c>
      <c r="Z724" s="27" t="str">
        <f t="shared" si="936"/>
        <v>홀수</v>
      </c>
      <c r="AA724" s="28" t="str">
        <f t="shared" si="937"/>
        <v>홀수</v>
      </c>
      <c r="AB724" s="28" t="str">
        <f t="shared" si="938"/>
        <v>짝수</v>
      </c>
      <c r="AC724" s="27" t="str">
        <f t="shared" si="939"/>
        <v>4 : 2</v>
      </c>
      <c r="AD724" s="32">
        <f t="shared" si="940"/>
        <v>4</v>
      </c>
      <c r="AE724" s="32">
        <f t="shared" si="941"/>
        <v>2</v>
      </c>
      <c r="AF724" s="66" t="str">
        <f t="shared" si="942"/>
        <v>저수</v>
      </c>
      <c r="AG724" s="66" t="str">
        <f t="shared" si="943"/>
        <v>고수</v>
      </c>
      <c r="AH724" s="66" t="str">
        <f t="shared" si="944"/>
        <v>고수</v>
      </c>
      <c r="AI724" s="66" t="str">
        <f t="shared" si="945"/>
        <v>고수</v>
      </c>
      <c r="AJ724" s="66" t="str">
        <f t="shared" si="946"/>
        <v>고수</v>
      </c>
      <c r="AK724" s="66" t="str">
        <f t="shared" si="947"/>
        <v>고수</v>
      </c>
      <c r="AL724" s="66" t="str">
        <f t="shared" si="948"/>
        <v>1 : 5</v>
      </c>
      <c r="AM724" s="27">
        <f t="shared" si="949"/>
        <v>1</v>
      </c>
      <c r="AN724" s="27">
        <f t="shared" si="950"/>
        <v>5</v>
      </c>
      <c r="AO724" s="27">
        <f t="shared" si="951"/>
        <v>22</v>
      </c>
      <c r="AP724" s="66" t="str">
        <f t="shared" si="952"/>
        <v>X</v>
      </c>
      <c r="AQ724" s="66" t="str">
        <f t="shared" si="953"/>
        <v>X</v>
      </c>
      <c r="AR724" s="66" t="str">
        <f t="shared" si="954"/>
        <v>X</v>
      </c>
      <c r="AS724" s="66" t="str">
        <f t="shared" si="955"/>
        <v>X</v>
      </c>
      <c r="AT724" s="66" t="str">
        <f t="shared" si="956"/>
        <v>X</v>
      </c>
      <c r="AU724" s="66" t="str">
        <f t="shared" si="957"/>
        <v>X</v>
      </c>
      <c r="AV724" s="66" t="str">
        <f t="shared" si="958"/>
        <v>X</v>
      </c>
      <c r="AW724" s="66" t="str">
        <f t="shared" si="959"/>
        <v>X</v>
      </c>
      <c r="AX724" s="66" t="str">
        <f t="shared" si="960"/>
        <v>X</v>
      </c>
      <c r="AY724" s="66" t="str">
        <f t="shared" si="961"/>
        <v>O</v>
      </c>
      <c r="AZ724" s="66" t="str">
        <f t="shared" si="962"/>
        <v>O</v>
      </c>
      <c r="BA724" s="27" t="str">
        <f t="shared" si="963"/>
        <v>X</v>
      </c>
      <c r="BB724" s="27">
        <f t="shared" si="964"/>
        <v>2</v>
      </c>
      <c r="BC724" s="483" t="str">
        <f t="shared" si="1181"/>
        <v>1G</v>
      </c>
      <c r="BD724" s="483" t="str">
        <f t="shared" si="1182"/>
        <v>2G</v>
      </c>
      <c r="BE724" s="483" t="str">
        <f t="shared" si="1183"/>
        <v>3G</v>
      </c>
      <c r="BF724" s="483" t="str">
        <f t="shared" si="1184"/>
        <v>3G</v>
      </c>
      <c r="BG724" s="483" t="str">
        <f t="shared" si="1185"/>
        <v>3G</v>
      </c>
      <c r="BH724" s="483" t="str">
        <f t="shared" si="1186"/>
        <v>3G</v>
      </c>
      <c r="BI724" s="483">
        <f t="shared" si="1101"/>
        <v>1</v>
      </c>
      <c r="BJ724" s="483">
        <f t="shared" si="1102"/>
        <v>1</v>
      </c>
      <c r="BK724" s="483">
        <f t="shared" si="1103"/>
        <v>4</v>
      </c>
      <c r="BL724" s="483" t="str">
        <f t="shared" si="1187"/>
        <v>114</v>
      </c>
    </row>
    <row r="725" spans="2:64">
      <c r="B725" s="360">
        <v>722</v>
      </c>
      <c r="C725" s="363" t="s">
        <v>1088</v>
      </c>
      <c r="N725" s="28">
        <v>12</v>
      </c>
      <c r="O725" s="28">
        <v>14</v>
      </c>
      <c r="P725" s="28">
        <v>21</v>
      </c>
      <c r="Q725" s="28">
        <v>30</v>
      </c>
      <c r="R725" s="28">
        <v>39</v>
      </c>
      <c r="S725" s="28">
        <v>43</v>
      </c>
      <c r="T725" s="28">
        <v>45</v>
      </c>
      <c r="U725" s="28">
        <f t="shared" si="932"/>
        <v>159</v>
      </c>
      <c r="W725" s="27" t="str">
        <f t="shared" si="933"/>
        <v>짝수</v>
      </c>
      <c r="X725" s="27" t="str">
        <f t="shared" si="934"/>
        <v>짝수</v>
      </c>
      <c r="Y725" s="27" t="str">
        <f t="shared" si="935"/>
        <v>홀수</v>
      </c>
      <c r="Z725" s="27" t="str">
        <f t="shared" si="936"/>
        <v>짝수</v>
      </c>
      <c r="AA725" s="28" t="str">
        <f t="shared" si="937"/>
        <v>홀수</v>
      </c>
      <c r="AB725" s="28" t="str">
        <f t="shared" si="938"/>
        <v>홀수</v>
      </c>
      <c r="AC725" s="27" t="str">
        <f t="shared" si="939"/>
        <v>3 : 3</v>
      </c>
      <c r="AD725" s="32">
        <f t="shared" si="940"/>
        <v>3</v>
      </c>
      <c r="AE725" s="32">
        <f t="shared" si="941"/>
        <v>3</v>
      </c>
      <c r="AF725" s="66" t="str">
        <f t="shared" si="942"/>
        <v>저수</v>
      </c>
      <c r="AG725" s="66" t="str">
        <f t="shared" si="943"/>
        <v>저수</v>
      </c>
      <c r="AH725" s="66" t="str">
        <f t="shared" si="944"/>
        <v>저수</v>
      </c>
      <c r="AI725" s="66" t="str">
        <f t="shared" si="945"/>
        <v>고수</v>
      </c>
      <c r="AJ725" s="66" t="str">
        <f t="shared" si="946"/>
        <v>고수</v>
      </c>
      <c r="AK725" s="66" t="str">
        <f t="shared" si="947"/>
        <v>고수</v>
      </c>
      <c r="AL725" s="66" t="str">
        <f t="shared" si="948"/>
        <v>3 : 3</v>
      </c>
      <c r="AM725" s="27">
        <f t="shared" si="949"/>
        <v>3</v>
      </c>
      <c r="AN725" s="27">
        <f t="shared" si="950"/>
        <v>3</v>
      </c>
      <c r="AO725" s="27">
        <f t="shared" si="951"/>
        <v>19</v>
      </c>
      <c r="AP725" s="66" t="str">
        <f t="shared" si="952"/>
        <v>X</v>
      </c>
      <c r="AQ725" s="66" t="str">
        <f t="shared" si="953"/>
        <v>X</v>
      </c>
      <c r="AR725" s="66" t="str">
        <f t="shared" si="954"/>
        <v>X</v>
      </c>
      <c r="AS725" s="66" t="str">
        <f t="shared" si="955"/>
        <v>X</v>
      </c>
      <c r="AT725" s="66" t="str">
        <f t="shared" si="956"/>
        <v>X</v>
      </c>
      <c r="AU725" s="66" t="str">
        <f t="shared" si="957"/>
        <v>X</v>
      </c>
      <c r="AV725" s="66" t="str">
        <f t="shared" si="958"/>
        <v>X</v>
      </c>
      <c r="AW725" s="66" t="str">
        <f t="shared" si="959"/>
        <v>X</v>
      </c>
      <c r="AX725" s="66" t="str">
        <f t="shared" si="960"/>
        <v>X</v>
      </c>
      <c r="AY725" s="66" t="str">
        <f t="shared" si="961"/>
        <v>X</v>
      </c>
      <c r="AZ725" s="66" t="str">
        <f t="shared" si="962"/>
        <v>X</v>
      </c>
      <c r="BA725" s="27" t="str">
        <f t="shared" si="963"/>
        <v>O</v>
      </c>
      <c r="BB725" s="27">
        <f t="shared" si="964"/>
        <v>1</v>
      </c>
      <c r="BC725" s="484" t="str">
        <f t="shared" ref="BC725" si="1188">VLOOKUP(N725,삼그룹,6,FALSE)</f>
        <v>1G</v>
      </c>
      <c r="BD725" s="484" t="str">
        <f t="shared" ref="BD725" si="1189">VLOOKUP(O725,삼그룹,6,FALSE)</f>
        <v>1G</v>
      </c>
      <c r="BE725" s="484" t="str">
        <f t="shared" ref="BE725" si="1190">VLOOKUP(P725,삼그룹,6,FALSE)</f>
        <v>2G</v>
      </c>
      <c r="BF725" s="484" t="str">
        <f t="shared" ref="BF725" si="1191">VLOOKUP(Q725,삼그룹,6,FALSE)</f>
        <v>2G</v>
      </c>
      <c r="BG725" s="484" t="str">
        <f t="shared" ref="BG725" si="1192">VLOOKUP(R725,삼그룹,6,FALSE)</f>
        <v>3G</v>
      </c>
      <c r="BH725" s="484" t="str">
        <f t="shared" ref="BH725" si="1193">VLOOKUP(S725,삼그룹,6,FALSE)</f>
        <v>3G</v>
      </c>
      <c r="BI725" s="484">
        <f t="shared" si="1101"/>
        <v>2</v>
      </c>
      <c r="BJ725" s="484">
        <f t="shared" si="1102"/>
        <v>2</v>
      </c>
      <c r="BK725" s="484">
        <f t="shared" si="1103"/>
        <v>2</v>
      </c>
      <c r="BL725" s="484" t="str">
        <f t="shared" ref="BL725" si="1194">BI725&amp;BJ725&amp;BK725</f>
        <v>222</v>
      </c>
    </row>
  </sheetData>
  <autoFilter ref="A4:CD563"/>
  <sortState ref="BO5:BQ49">
    <sortCondition ref="BQ5"/>
  </sortState>
  <mergeCells count="18">
    <mergeCell ref="R2:S2"/>
    <mergeCell ref="R3:S3"/>
    <mergeCell ref="CF3:CJ3"/>
    <mergeCell ref="W3:AE3"/>
    <mergeCell ref="AF3:AN3"/>
    <mergeCell ref="BO51:BQ51"/>
    <mergeCell ref="BY1:CD1"/>
    <mergeCell ref="CF2:CJ2"/>
    <mergeCell ref="BO73:BQ73"/>
    <mergeCell ref="T3:U3"/>
    <mergeCell ref="BR3:BW3"/>
    <mergeCell ref="AP3:BB3"/>
    <mergeCell ref="BO62:BQ62"/>
    <mergeCell ref="T2:U2"/>
    <mergeCell ref="BS50:BU50"/>
    <mergeCell ref="BR2:BW2"/>
    <mergeCell ref="CE1:CJ1"/>
    <mergeCell ref="CF40:CH40"/>
  </mergeCells>
  <phoneticPr fontId="2" type="noConversion"/>
  <conditionalFormatting sqref="BQ53:BQ59">
    <cfRule type="cellIs" dxfId="2" priority="3" operator="greaterThan">
      <formula>0.1</formula>
    </cfRule>
  </conditionalFormatting>
  <conditionalFormatting sqref="BQ64:BQ70">
    <cfRule type="cellIs" dxfId="1" priority="2" operator="greaterThan">
      <formula>0.1</formula>
    </cfRule>
  </conditionalFormatting>
  <conditionalFormatting sqref="BQ75:BQ80">
    <cfRule type="cellIs" dxfId="0" priority="1" operator="greaterThan">
      <formula>0.1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16</vt:i4>
      </vt:variant>
    </vt:vector>
  </HeadingPairs>
  <TitlesOfParts>
    <vt:vector size="18" baseType="lpstr">
      <vt:lpstr>당첨번호</vt:lpstr>
      <vt:lpstr>집계</vt:lpstr>
      <vt:lpstr>_1열</vt:lpstr>
      <vt:lpstr>_2열</vt:lpstr>
      <vt:lpstr>_3열</vt:lpstr>
      <vt:lpstr>_4열</vt:lpstr>
      <vt:lpstr>_5열</vt:lpstr>
      <vt:lpstr>_6열</vt:lpstr>
      <vt:lpstr>당첨</vt:lpstr>
      <vt:lpstr>당첨번호</vt:lpstr>
      <vt:lpstr>보너스</vt:lpstr>
      <vt:lpstr>삼그룹</vt:lpstr>
      <vt:lpstr>전체출현번호</vt:lpstr>
      <vt:lpstr>최근10회</vt:lpstr>
      <vt:lpstr>최근5회</vt:lpstr>
      <vt:lpstr>합계</vt:lpstr>
      <vt:lpstr>홀짝수</vt:lpstr>
      <vt:lpstr>회차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Administrator</cp:lastModifiedBy>
  <cp:lastPrinted>2012-05-06T01:16:30Z</cp:lastPrinted>
  <dcterms:created xsi:type="dcterms:W3CDTF">2010-05-04T12:32:05Z</dcterms:created>
  <dcterms:modified xsi:type="dcterms:W3CDTF">2016-10-06T04:38:40Z</dcterms:modified>
</cp:coreProperties>
</file>